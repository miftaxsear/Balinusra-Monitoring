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DWAL &amp; KONTROL PM\KONTROL PM\MONITOR DT BCA\MONITOR UPTIME HARIAN\"/>
    </mc:Choice>
  </mc:AlternateContent>
  <xr:revisionPtr revIDLastSave="0" documentId="13_ncr:1_{094A1818-B274-4C62-8518-659A801E206D}" xr6:coauthVersionLast="47" xr6:coauthVersionMax="47" xr10:uidLastSave="{00000000-0000-0000-0000-000000000000}"/>
  <bookViews>
    <workbookView xWindow="-110" yWindow="-110" windowWidth="19420" windowHeight="10300" tabRatio="709" xr2:uid="{00000000-000D-0000-FFFF-FFFF00000000}"/>
  </bookViews>
  <sheets>
    <sheet name="BALI NUSRA" sheetId="3" r:id="rId1"/>
    <sheet name="UPTIME HARIAN" sheetId="24" r:id="rId2"/>
    <sheet name="BY SN &amp; PKT" sheetId="4" r:id="rId3"/>
    <sheet name="PKT TIPE MESIN" sheetId="12" r:id="rId4"/>
    <sheet name="FRX DT" sheetId="8" r:id="rId5"/>
    <sheet name="atm total" sheetId="2" r:id="rId6"/>
    <sheet name="SITE BLNS" sheetId="23" r:id="rId7"/>
    <sheet name="MainVisit" sheetId="10" r:id="rId8"/>
    <sheet name="1" sheetId="13" r:id="rId9"/>
    <sheet name="2" sheetId="14" r:id="rId10"/>
    <sheet name="3" sheetId="15" r:id="rId11"/>
    <sheet name="4" sheetId="16" r:id="rId12"/>
    <sheet name="5" sheetId="17" r:id="rId13"/>
    <sheet name="6" sheetId="18" r:id="rId14"/>
    <sheet name="7" sheetId="19" r:id="rId15"/>
    <sheet name="8" sheetId="20" r:id="rId16"/>
    <sheet name="9" sheetId="21" r:id="rId17"/>
    <sheet name="10" sheetId="22" r:id="rId18"/>
    <sheet name="11" sheetId="25" r:id="rId19"/>
    <sheet name="12" sheetId="26" r:id="rId20"/>
    <sheet name="13" sheetId="27" r:id="rId21"/>
    <sheet name="14" sheetId="28" r:id="rId22"/>
    <sheet name="15" sheetId="29" r:id="rId23"/>
    <sheet name="16" sheetId="30" r:id="rId24"/>
    <sheet name="17" sheetId="32" r:id="rId25"/>
    <sheet name="18" sheetId="33" r:id="rId26"/>
    <sheet name="19" sheetId="34" r:id="rId27"/>
    <sheet name="20" sheetId="35" r:id="rId28"/>
    <sheet name="21" sheetId="36" r:id="rId29"/>
    <sheet name="22" sheetId="37" r:id="rId30"/>
    <sheet name="23" sheetId="38" r:id="rId31"/>
    <sheet name="24" sheetId="39" r:id="rId32"/>
    <sheet name="25" sheetId="40" r:id="rId33"/>
    <sheet name="26" sheetId="41" r:id="rId34"/>
    <sheet name="27" sheetId="42" r:id="rId35"/>
    <sheet name="28" sheetId="43" r:id="rId36"/>
    <sheet name="29" sheetId="44" r:id="rId37"/>
    <sheet name="30" sheetId="47" r:id="rId38"/>
    <sheet name="31" sheetId="48" r:id="rId39"/>
  </sheets>
  <definedNames>
    <definedName name="_xlnm._FilterDatabase" localSheetId="8" hidden="1">'1'!$A$6:$AM$168</definedName>
    <definedName name="_xlnm._FilterDatabase" localSheetId="17" hidden="1">'10'!$A$5:$AH$8099</definedName>
    <definedName name="_xlnm._FilterDatabase" localSheetId="18" hidden="1">'11'!$A$5:$AH$167</definedName>
    <definedName name="_xlnm._FilterDatabase" localSheetId="19" hidden="1">'12'!$A$5:$AH$166</definedName>
    <definedName name="_xlnm._FilterDatabase" localSheetId="20" hidden="1">'13'!$A$5:$AH$5</definedName>
    <definedName name="_xlnm._FilterDatabase" localSheetId="21" hidden="1">'14'!$A$6:$AM$168</definedName>
    <definedName name="_xlnm._FilterDatabase" localSheetId="22" hidden="1">'15'!$A$5:$AH$167</definedName>
    <definedName name="_xlnm._FilterDatabase" localSheetId="23" hidden="1">'16'!$A$5:$AH$167</definedName>
    <definedName name="_xlnm._FilterDatabase" localSheetId="24" hidden="1">'17'!$A$5:$AH$166</definedName>
    <definedName name="_xlnm._FilterDatabase" localSheetId="25" hidden="1">'18'!$A$5:$AH$167</definedName>
    <definedName name="_xlnm._FilterDatabase" localSheetId="26" hidden="1">'19'!$A$6:$AM$6</definedName>
    <definedName name="_xlnm._FilterDatabase" localSheetId="9" hidden="1">'2'!$A$6:$AM$168</definedName>
    <definedName name="_xlnm._FilterDatabase" localSheetId="27" hidden="1">'20'!$A$5:$AH$5</definedName>
    <definedName name="_xlnm._FilterDatabase" localSheetId="29" hidden="1">'22'!$A$6:$AM$6</definedName>
    <definedName name="_xlnm._FilterDatabase" localSheetId="30" hidden="1">'23'!$A$6:$AM$451</definedName>
    <definedName name="_xlnm._FilterDatabase" localSheetId="31" hidden="1">'24'!$A$6:$AM$451</definedName>
    <definedName name="_xlnm._FilterDatabase" localSheetId="32" hidden="1">'25'!$A$6:$AM$451</definedName>
    <definedName name="_xlnm._FilterDatabase" localSheetId="33" hidden="1">'26'!$A$6:$AM$451</definedName>
    <definedName name="_xlnm._FilterDatabase" localSheetId="34" hidden="1">'27'!$A$6:$AM$451</definedName>
    <definedName name="_xlnm._FilterDatabase" localSheetId="35" hidden="1">'28'!$A$6:$AM$451</definedName>
    <definedName name="_xlnm._FilterDatabase" localSheetId="36" hidden="1">'29'!$A$6:$AM$451</definedName>
    <definedName name="_xlnm._FilterDatabase" localSheetId="10" hidden="1">'3'!$A$6:$AM$168</definedName>
    <definedName name="_xlnm._FilterDatabase" localSheetId="37" hidden="1">'30'!$A$6:$AM$451</definedName>
    <definedName name="_xlnm._FilterDatabase" localSheetId="38" hidden="1">'31'!$A$6:$AM$168</definedName>
    <definedName name="_xlnm._FilterDatabase" localSheetId="11" hidden="1">'4'!$A$5:$AH$166</definedName>
    <definedName name="_xlnm._FilterDatabase" localSheetId="12" hidden="1">'5'!$A$6:$AM$168</definedName>
    <definedName name="_xlnm._FilterDatabase" localSheetId="13" hidden="1">'6'!$A$5:$AH$167</definedName>
    <definedName name="_xlnm._FilterDatabase" localSheetId="14" hidden="1">'7'!$A$5:$AH$167</definedName>
    <definedName name="_xlnm._FilterDatabase" localSheetId="15" hidden="1">'8'!$A$5:$AH$167</definedName>
    <definedName name="_xlnm._FilterDatabase" localSheetId="16" hidden="1">'9'!$A$5:$AH$168</definedName>
    <definedName name="_xlnm._FilterDatabase" localSheetId="5" hidden="1">'atm total'!$A$6:$AN$8036</definedName>
    <definedName name="_xlnm._FilterDatabase" localSheetId="7" hidden="1">MainVisit!$A$1:$AM$321</definedName>
    <definedName name="_xlnm._FilterDatabase" localSheetId="6" hidden="1">'SITE BLNS'!$A$1:$AH$446</definedName>
    <definedName name="CSE">#REF!</definedName>
    <definedName name="TYP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" i="24" l="1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6" i="24"/>
  <c r="E500" i="10" l="1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P500" i="10"/>
  <c r="P501" i="10"/>
  <c r="P502" i="10"/>
  <c r="P503" i="10"/>
  <c r="P504" i="10"/>
  <c r="P505" i="10"/>
  <c r="P506" i="10"/>
  <c r="P507" i="10"/>
  <c r="P508" i="10"/>
  <c r="P509" i="10"/>
  <c r="P510" i="10"/>
  <c r="P511" i="10"/>
  <c r="P512" i="10"/>
  <c r="P513" i="10"/>
  <c r="P514" i="10"/>
  <c r="P515" i="10"/>
  <c r="P516" i="10"/>
  <c r="P517" i="10"/>
  <c r="P518" i="10"/>
  <c r="P519" i="10"/>
  <c r="P520" i="10"/>
  <c r="P521" i="10"/>
  <c r="P522" i="10"/>
  <c r="P523" i="10"/>
  <c r="P524" i="10"/>
  <c r="P525" i="10"/>
  <c r="P526" i="10"/>
  <c r="P527" i="10"/>
  <c r="I3" i="2"/>
  <c r="F3" i="2"/>
  <c r="E3" i="2"/>
  <c r="D3" i="2"/>
  <c r="C3" i="2" l="1"/>
  <c r="Q3" i="2"/>
  <c r="P322" i="10"/>
  <c r="P323" i="10"/>
  <c r="P324" i="10"/>
  <c r="P325" i="10"/>
  <c r="P326" i="10"/>
  <c r="P327" i="10"/>
  <c r="P328" i="10"/>
  <c r="P329" i="10"/>
  <c r="P330" i="10"/>
  <c r="P331" i="10"/>
  <c r="P332" i="10"/>
  <c r="P333" i="10"/>
  <c r="P334" i="10"/>
  <c r="P335" i="10"/>
  <c r="P336" i="10"/>
  <c r="P337" i="10"/>
  <c r="P338" i="10"/>
  <c r="P339" i="10"/>
  <c r="P340" i="10"/>
  <c r="P341" i="10"/>
  <c r="P342" i="10"/>
  <c r="P343" i="10"/>
  <c r="P344" i="10"/>
  <c r="P345" i="10"/>
  <c r="P346" i="10"/>
  <c r="P347" i="10"/>
  <c r="P348" i="10"/>
  <c r="P349" i="10"/>
  <c r="P350" i="10"/>
  <c r="P351" i="10"/>
  <c r="P352" i="10"/>
  <c r="P353" i="10"/>
  <c r="P354" i="10"/>
  <c r="P355" i="10"/>
  <c r="P356" i="10"/>
  <c r="P357" i="10"/>
  <c r="P358" i="10"/>
  <c r="P359" i="10"/>
  <c r="P360" i="10"/>
  <c r="P361" i="10"/>
  <c r="P362" i="10"/>
  <c r="P363" i="10"/>
  <c r="P364" i="10"/>
  <c r="P365" i="10"/>
  <c r="P366" i="10"/>
  <c r="P367" i="10"/>
  <c r="P368" i="10"/>
  <c r="P369" i="10"/>
  <c r="P370" i="10"/>
  <c r="P371" i="10"/>
  <c r="P372" i="10"/>
  <c r="P373" i="10"/>
  <c r="P374" i="10"/>
  <c r="P375" i="10"/>
  <c r="P376" i="10"/>
  <c r="P377" i="10"/>
  <c r="P378" i="10"/>
  <c r="P379" i="10"/>
  <c r="P380" i="10"/>
  <c r="P381" i="10"/>
  <c r="P382" i="10"/>
  <c r="P383" i="10"/>
  <c r="P384" i="10"/>
  <c r="P385" i="10"/>
  <c r="P386" i="10"/>
  <c r="P387" i="10"/>
  <c r="P388" i="10"/>
  <c r="P389" i="10"/>
  <c r="P390" i="10"/>
  <c r="P391" i="10"/>
  <c r="P392" i="10"/>
  <c r="P393" i="10"/>
  <c r="P394" i="10"/>
  <c r="P395" i="10"/>
  <c r="P396" i="10"/>
  <c r="P397" i="10"/>
  <c r="P398" i="10"/>
  <c r="P399" i="10"/>
  <c r="P400" i="10"/>
  <c r="P401" i="10"/>
  <c r="P402" i="10"/>
  <c r="P403" i="10"/>
  <c r="P404" i="10"/>
  <c r="P405" i="10"/>
  <c r="P406" i="10"/>
  <c r="P407" i="10"/>
  <c r="P408" i="10"/>
  <c r="P409" i="10"/>
  <c r="P410" i="10"/>
  <c r="P411" i="10"/>
  <c r="P412" i="10"/>
  <c r="P413" i="10"/>
  <c r="P414" i="10"/>
  <c r="P415" i="10"/>
  <c r="P416" i="10"/>
  <c r="P417" i="10"/>
  <c r="P418" i="10"/>
  <c r="P419" i="10"/>
  <c r="P420" i="10"/>
  <c r="P421" i="10"/>
  <c r="P422" i="10"/>
  <c r="P423" i="10"/>
  <c r="P424" i="10"/>
  <c r="P425" i="10"/>
  <c r="P426" i="10"/>
  <c r="P427" i="10"/>
  <c r="P428" i="10"/>
  <c r="P429" i="10"/>
  <c r="P430" i="10"/>
  <c r="P431" i="10"/>
  <c r="P432" i="10"/>
  <c r="P433" i="10"/>
  <c r="P434" i="10"/>
  <c r="P435" i="10"/>
  <c r="P436" i="10"/>
  <c r="P437" i="10"/>
  <c r="P438" i="10"/>
  <c r="P439" i="10"/>
  <c r="P440" i="10"/>
  <c r="P441" i="10"/>
  <c r="P442" i="10"/>
  <c r="P443" i="10"/>
  <c r="P444" i="10"/>
  <c r="P445" i="10"/>
  <c r="P446" i="10"/>
  <c r="P447" i="10"/>
  <c r="P448" i="10"/>
  <c r="P449" i="10"/>
  <c r="P450" i="10"/>
  <c r="P451" i="10"/>
  <c r="P452" i="10"/>
  <c r="P453" i="10"/>
  <c r="P454" i="10"/>
  <c r="P455" i="10"/>
  <c r="P456" i="10"/>
  <c r="P457" i="10"/>
  <c r="P458" i="10"/>
  <c r="P459" i="10"/>
  <c r="P460" i="10"/>
  <c r="P461" i="10"/>
  <c r="P462" i="10"/>
  <c r="P463" i="10"/>
  <c r="P464" i="10"/>
  <c r="P465" i="10"/>
  <c r="P466" i="10"/>
  <c r="P467" i="10"/>
  <c r="P468" i="10"/>
  <c r="P469" i="10"/>
  <c r="P470" i="10"/>
  <c r="P471" i="10"/>
  <c r="P472" i="10"/>
  <c r="P473" i="10"/>
  <c r="P474" i="10"/>
  <c r="P475" i="10"/>
  <c r="P476" i="10"/>
  <c r="P477" i="10"/>
  <c r="P478" i="10"/>
  <c r="P479" i="10"/>
  <c r="P480" i="10"/>
  <c r="P481" i="10"/>
  <c r="P482" i="10"/>
  <c r="P483" i="10"/>
  <c r="P484" i="10"/>
  <c r="P485" i="10"/>
  <c r="P486" i="10"/>
  <c r="P487" i="10"/>
  <c r="P488" i="10"/>
  <c r="P489" i="10"/>
  <c r="P490" i="10"/>
  <c r="P491" i="10"/>
  <c r="P492" i="10"/>
  <c r="P493" i="10"/>
  <c r="P494" i="10"/>
  <c r="P495" i="10"/>
  <c r="P496" i="10"/>
  <c r="P497" i="10"/>
  <c r="P498" i="10"/>
  <c r="P499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P305" i="10" l="1"/>
  <c r="P306" i="10"/>
  <c r="P307" i="10"/>
  <c r="P308" i="10"/>
  <c r="P309" i="10"/>
  <c r="P310" i="10"/>
  <c r="P311" i="10"/>
  <c r="P312" i="10"/>
  <c r="P313" i="10"/>
  <c r="P314" i="10"/>
  <c r="P315" i="10"/>
  <c r="P316" i="10"/>
  <c r="P317" i="10"/>
  <c r="P318" i="10"/>
  <c r="P319" i="10"/>
  <c r="P320" i="10"/>
  <c r="P321" i="10"/>
  <c r="P304" i="10"/>
  <c r="P303" i="10"/>
  <c r="P302" i="10"/>
  <c r="P301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203" i="10" l="1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P203" i="10"/>
  <c r="P204" i="10"/>
  <c r="P205" i="10"/>
  <c r="P206" i="10"/>
  <c r="P207" i="10"/>
  <c r="P208" i="10"/>
  <c r="P209" i="10"/>
  <c r="P210" i="10"/>
  <c r="P211" i="10"/>
  <c r="P212" i="10"/>
  <c r="P213" i="10"/>
  <c r="P214" i="10"/>
  <c r="P215" i="10"/>
  <c r="P216" i="10"/>
  <c r="P217" i="10"/>
  <c r="P218" i="10"/>
  <c r="P219" i="10"/>
  <c r="P220" i="10"/>
  <c r="P221" i="10"/>
  <c r="P222" i="10"/>
  <c r="P223" i="10"/>
  <c r="P224" i="10"/>
  <c r="P225" i="10"/>
  <c r="P226" i="10"/>
  <c r="P227" i="10"/>
  <c r="P228" i="10"/>
  <c r="P229" i="10"/>
  <c r="P230" i="10"/>
  <c r="P231" i="10"/>
  <c r="P232" i="10"/>
  <c r="P233" i="10"/>
  <c r="P234" i="10"/>
  <c r="P235" i="10"/>
  <c r="P236" i="10"/>
  <c r="P237" i="10"/>
  <c r="P238" i="10"/>
  <c r="P239" i="10"/>
  <c r="P240" i="10"/>
  <c r="P241" i="10"/>
  <c r="P242" i="10"/>
  <c r="P243" i="10"/>
  <c r="P244" i="10"/>
  <c r="P245" i="10"/>
  <c r="P246" i="10"/>
  <c r="P247" i="10"/>
  <c r="P248" i="10"/>
  <c r="P249" i="10"/>
  <c r="P250" i="10"/>
  <c r="P251" i="10"/>
  <c r="P252" i="10"/>
  <c r="P253" i="10"/>
  <c r="P254" i="10"/>
  <c r="P255" i="10"/>
  <c r="P256" i="10"/>
  <c r="P257" i="10"/>
  <c r="P258" i="10"/>
  <c r="P259" i="10"/>
  <c r="P260" i="10"/>
  <c r="P261" i="10"/>
  <c r="P262" i="10"/>
  <c r="P263" i="10"/>
  <c r="P264" i="10"/>
  <c r="P265" i="10"/>
  <c r="P266" i="10"/>
  <c r="P267" i="10"/>
  <c r="P268" i="10"/>
  <c r="P269" i="10"/>
  <c r="P270" i="10"/>
  <c r="P271" i="10"/>
  <c r="P272" i="10"/>
  <c r="P273" i="10"/>
  <c r="P274" i="10"/>
  <c r="P275" i="10"/>
  <c r="P276" i="10"/>
  <c r="P277" i="10"/>
  <c r="P278" i="10"/>
  <c r="P279" i="10"/>
  <c r="P280" i="10"/>
  <c r="P281" i="10"/>
  <c r="P282" i="10"/>
  <c r="P283" i="10"/>
  <c r="P284" i="10"/>
  <c r="P285" i="10"/>
  <c r="P286" i="10"/>
  <c r="P287" i="10"/>
  <c r="P288" i="10"/>
  <c r="P289" i="10"/>
  <c r="P290" i="10"/>
  <c r="P291" i="10"/>
  <c r="P292" i="10"/>
  <c r="P293" i="10"/>
  <c r="P294" i="10"/>
  <c r="P295" i="10"/>
  <c r="P296" i="10"/>
  <c r="P297" i="10"/>
  <c r="P298" i="10"/>
  <c r="P299" i="10"/>
  <c r="P300" i="10"/>
  <c r="AR27" i="24" l="1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M27" i="24"/>
  <c r="Y27" i="24"/>
  <c r="X27" i="24"/>
  <c r="F187" i="4"/>
  <c r="E187" i="4"/>
  <c r="D187" i="4"/>
  <c r="C187" i="4"/>
  <c r="F186" i="4"/>
  <c r="E186" i="4"/>
  <c r="D186" i="4"/>
  <c r="C186" i="4"/>
  <c r="F185" i="4"/>
  <c r="E185" i="4"/>
  <c r="D185" i="4"/>
  <c r="C185" i="4"/>
  <c r="F184" i="4"/>
  <c r="E184" i="4"/>
  <c r="D184" i="4"/>
  <c r="C184" i="4"/>
  <c r="F183" i="4"/>
  <c r="E183" i="4"/>
  <c r="D183" i="4"/>
  <c r="C183" i="4"/>
  <c r="F175" i="4"/>
  <c r="E175" i="4"/>
  <c r="D175" i="4"/>
  <c r="C175" i="4"/>
  <c r="F174" i="4"/>
  <c r="E174" i="4"/>
  <c r="D174" i="4"/>
  <c r="C174" i="4"/>
  <c r="F173" i="4"/>
  <c r="E173" i="4"/>
  <c r="D173" i="4"/>
  <c r="C173" i="4"/>
  <c r="F172" i="4"/>
  <c r="E172" i="4"/>
  <c r="D172" i="4"/>
  <c r="C172" i="4"/>
  <c r="F171" i="4"/>
  <c r="E171" i="4"/>
  <c r="D171" i="4"/>
  <c r="C171" i="4"/>
  <c r="F170" i="4"/>
  <c r="E170" i="4"/>
  <c r="D170" i="4"/>
  <c r="C170" i="4"/>
  <c r="I183" i="4" l="1"/>
  <c r="H183" i="4" s="1"/>
  <c r="I184" i="4"/>
  <c r="H184" i="4" s="1"/>
  <c r="I187" i="4"/>
  <c r="H187" i="4" s="1"/>
  <c r="I170" i="4"/>
  <c r="H170" i="4" s="1"/>
  <c r="I174" i="4"/>
  <c r="H174" i="4" s="1"/>
  <c r="C189" i="4"/>
  <c r="I172" i="4"/>
  <c r="H172" i="4" s="1"/>
  <c r="D177" i="4"/>
  <c r="F177" i="4"/>
  <c r="D189" i="4"/>
  <c r="I185" i="4"/>
  <c r="H185" i="4" s="1"/>
  <c r="F189" i="4"/>
  <c r="C177" i="4"/>
  <c r="I171" i="4"/>
  <c r="H171" i="4" s="1"/>
  <c r="I173" i="4"/>
  <c r="H173" i="4" s="1"/>
  <c r="E177" i="4"/>
  <c r="I175" i="4"/>
  <c r="H175" i="4" s="1"/>
  <c r="I186" i="4"/>
  <c r="H186" i="4" s="1"/>
  <c r="E189" i="4"/>
  <c r="I189" i="4" l="1"/>
  <c r="H189" i="4" s="1"/>
  <c r="I177" i="4"/>
  <c r="H177" i="4" s="1"/>
  <c r="W27" i="24" l="1"/>
  <c r="V27" i="24"/>
  <c r="U27" i="24"/>
  <c r="T27" i="24"/>
  <c r="S27" i="24"/>
  <c r="R27" i="24"/>
  <c r="Q27" i="24"/>
  <c r="P27" i="24"/>
  <c r="O27" i="24"/>
  <c r="N27" i="24"/>
  <c r="C18" i="24"/>
  <c r="E161" i="4" l="1"/>
  <c r="F162" i="4"/>
  <c r="E159" i="4"/>
  <c r="C161" i="4"/>
  <c r="F161" i="4"/>
  <c r="E158" i="4"/>
  <c r="C160" i="4"/>
  <c r="C162" i="4"/>
  <c r="F160" i="4"/>
  <c r="D162" i="4"/>
  <c r="C159" i="4"/>
  <c r="F159" i="4"/>
  <c r="D161" i="4"/>
  <c r="C158" i="4"/>
  <c r="E160" i="4"/>
  <c r="F158" i="4"/>
  <c r="D160" i="4"/>
  <c r="D158" i="4"/>
  <c r="E162" i="4"/>
  <c r="D159" i="4"/>
  <c r="F76" i="3"/>
  <c r="E76" i="3"/>
  <c r="D76" i="3"/>
  <c r="C76" i="3"/>
  <c r="I161" i="4" l="1"/>
  <c r="H161" i="4" s="1"/>
  <c r="I162" i="4"/>
  <c r="H162" i="4" s="1"/>
  <c r="F163" i="4"/>
  <c r="I160" i="4"/>
  <c r="H160" i="4" s="1"/>
  <c r="C163" i="4"/>
  <c r="E163" i="4"/>
  <c r="I158" i="4"/>
  <c r="H158" i="4" s="1"/>
  <c r="I159" i="4"/>
  <c r="H159" i="4" s="1"/>
  <c r="D163" i="4"/>
  <c r="F52" i="3"/>
  <c r="F101" i="3"/>
  <c r="E101" i="3"/>
  <c r="D101" i="3"/>
  <c r="C101" i="3"/>
  <c r="I76" i="3"/>
  <c r="H76" i="3" s="1"/>
  <c r="C52" i="3"/>
  <c r="D52" i="3"/>
  <c r="E52" i="3"/>
  <c r="I27" i="8"/>
  <c r="I163" i="4" l="1"/>
  <c r="H163" i="4" s="1"/>
  <c r="I52" i="3"/>
  <c r="H52" i="3" s="1"/>
  <c r="I101" i="3"/>
  <c r="H101" i="3" s="1"/>
  <c r="E8" i="12"/>
  <c r="E171" i="10" l="1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P171" i="10"/>
  <c r="P172" i="10"/>
  <c r="P173" i="10"/>
  <c r="P174" i="10"/>
  <c r="P175" i="10"/>
  <c r="P176" i="10"/>
  <c r="P177" i="10"/>
  <c r="P178" i="10"/>
  <c r="P179" i="10"/>
  <c r="P180" i="10"/>
  <c r="P181" i="10"/>
  <c r="P182" i="10"/>
  <c r="P183" i="10"/>
  <c r="P184" i="10"/>
  <c r="P185" i="10"/>
  <c r="P186" i="10"/>
  <c r="P187" i="10"/>
  <c r="P188" i="10"/>
  <c r="P189" i="10"/>
  <c r="P190" i="10"/>
  <c r="P191" i="10"/>
  <c r="P192" i="10"/>
  <c r="P193" i="10"/>
  <c r="P194" i="10"/>
  <c r="P195" i="10"/>
  <c r="P196" i="10"/>
  <c r="P197" i="10"/>
  <c r="P198" i="10"/>
  <c r="P199" i="10"/>
  <c r="P200" i="10"/>
  <c r="P201" i="10"/>
  <c r="P202" i="10"/>
  <c r="A15" i="3" a="1"/>
  <c r="A15" i="3" s="1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I3" i="48"/>
  <c r="F3" i="48"/>
  <c r="E3" i="48"/>
  <c r="AR36" i="24" s="1"/>
  <c r="D3" i="4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S39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S28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S27" i="8"/>
  <c r="R27" i="8"/>
  <c r="Q27" i="8"/>
  <c r="P27" i="8"/>
  <c r="O27" i="8"/>
  <c r="N27" i="8"/>
  <c r="M27" i="8"/>
  <c r="L27" i="8"/>
  <c r="K27" i="8"/>
  <c r="J27" i="8"/>
  <c r="H27" i="8"/>
  <c r="G27" i="8"/>
  <c r="F27" i="8"/>
  <c r="E27" i="8"/>
  <c r="D27" i="8"/>
  <c r="C27" i="8"/>
  <c r="B27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P166" i="10"/>
  <c r="P167" i="10"/>
  <c r="P168" i="10"/>
  <c r="P169" i="10"/>
  <c r="P170" i="10"/>
  <c r="E166" i="10"/>
  <c r="E167" i="10"/>
  <c r="E168" i="10"/>
  <c r="E169" i="10"/>
  <c r="E170" i="10"/>
  <c r="B25" i="8"/>
  <c r="C8" i="12"/>
  <c r="D8" i="12"/>
  <c r="F8" i="12"/>
  <c r="I8" i="12" s="1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121" i="10"/>
  <c r="P122" i="10"/>
  <c r="P123" i="10"/>
  <c r="P124" i="10"/>
  <c r="P125" i="10"/>
  <c r="P126" i="10"/>
  <c r="P127" i="10"/>
  <c r="P128" i="10"/>
  <c r="P129" i="10"/>
  <c r="P130" i="10"/>
  <c r="P131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4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7" i="10"/>
  <c r="P158" i="10"/>
  <c r="P159" i="10"/>
  <c r="P160" i="10"/>
  <c r="P161" i="10"/>
  <c r="P162" i="10"/>
  <c r="P163" i="10"/>
  <c r="P164" i="10"/>
  <c r="P165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B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B19" i="8"/>
  <c r="A4" i="8"/>
  <c r="S19" i="8"/>
  <c r="R19" i="8"/>
  <c r="Q19" i="8"/>
  <c r="S18" i="8"/>
  <c r="R18" i="8"/>
  <c r="Q18" i="8"/>
  <c r="S17" i="8"/>
  <c r="R17" i="8"/>
  <c r="Q17" i="8"/>
  <c r="S16" i="8"/>
  <c r="R16" i="8"/>
  <c r="Q16" i="8"/>
  <c r="S15" i="8"/>
  <c r="R15" i="8"/>
  <c r="Q15" i="8"/>
  <c r="S14" i="8"/>
  <c r="R14" i="8"/>
  <c r="Q14" i="8"/>
  <c r="S13" i="8"/>
  <c r="R13" i="8"/>
  <c r="Q13" i="8"/>
  <c r="S12" i="8"/>
  <c r="R12" i="8"/>
  <c r="Q11" i="8"/>
  <c r="Q12" i="8"/>
  <c r="R11" i="8"/>
  <c r="S11" i="8"/>
  <c r="S10" i="8"/>
  <c r="R10" i="8"/>
  <c r="Q10" i="8"/>
  <c r="H12" i="8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P2" i="10"/>
  <c r="P3" i="10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19" i="8"/>
  <c r="O19" i="8"/>
  <c r="N19" i="8"/>
  <c r="M19" i="8"/>
  <c r="L19" i="8"/>
  <c r="K19" i="8"/>
  <c r="J19" i="8"/>
  <c r="I19" i="8"/>
  <c r="H19" i="8"/>
  <c r="G19" i="8"/>
  <c r="F19" i="8"/>
  <c r="E19" i="8"/>
  <c r="P18" i="8"/>
  <c r="O18" i="8"/>
  <c r="N18" i="8"/>
  <c r="M18" i="8"/>
  <c r="L18" i="8"/>
  <c r="K18" i="8"/>
  <c r="J18" i="8"/>
  <c r="I18" i="8"/>
  <c r="H18" i="8"/>
  <c r="G18" i="8"/>
  <c r="F18" i="8"/>
  <c r="E18" i="8"/>
  <c r="P17" i="8"/>
  <c r="O17" i="8"/>
  <c r="N17" i="8"/>
  <c r="M17" i="8"/>
  <c r="L17" i="8"/>
  <c r="K17" i="8"/>
  <c r="J17" i="8"/>
  <c r="I17" i="8"/>
  <c r="H17" i="8"/>
  <c r="G17" i="8"/>
  <c r="F17" i="8"/>
  <c r="E17" i="8"/>
  <c r="P16" i="8"/>
  <c r="O16" i="8"/>
  <c r="N16" i="8"/>
  <c r="M16" i="8"/>
  <c r="L16" i="8"/>
  <c r="K16" i="8"/>
  <c r="J16" i="8"/>
  <c r="I16" i="8"/>
  <c r="H16" i="8"/>
  <c r="G16" i="8"/>
  <c r="F16" i="8"/>
  <c r="E16" i="8"/>
  <c r="B16" i="8"/>
  <c r="C16" i="8"/>
  <c r="D16" i="8"/>
  <c r="B17" i="8"/>
  <c r="C17" i="8"/>
  <c r="D17" i="8"/>
  <c r="B18" i="8"/>
  <c r="C18" i="8"/>
  <c r="D18" i="8"/>
  <c r="C19" i="8"/>
  <c r="D19" i="8"/>
  <c r="D11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F11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E11" i="8"/>
  <c r="C11" i="8"/>
  <c r="B11" i="8"/>
  <c r="P10" i="8"/>
  <c r="O10" i="8"/>
  <c r="N10" i="8"/>
  <c r="M10" i="8"/>
  <c r="L10" i="8"/>
  <c r="K10" i="8"/>
  <c r="J10" i="8"/>
  <c r="I10" i="8"/>
  <c r="H10" i="8"/>
  <c r="G10" i="8"/>
  <c r="F10" i="8"/>
  <c r="E10" i="8"/>
  <c r="C10" i="8"/>
  <c r="D10" i="8"/>
  <c r="B10" i="8"/>
  <c r="I3" i="43"/>
  <c r="F3" i="43"/>
  <c r="E3" i="43"/>
  <c r="AO35" i="24" s="1"/>
  <c r="D3" i="43"/>
  <c r="I3" i="42"/>
  <c r="F3" i="42"/>
  <c r="E3" i="42"/>
  <c r="D3" i="42"/>
  <c r="I3" i="41"/>
  <c r="F3" i="41"/>
  <c r="E3" i="41"/>
  <c r="AM33" i="24" s="1"/>
  <c r="D3" i="41"/>
  <c r="I3" i="40"/>
  <c r="F3" i="40"/>
  <c r="E3" i="40"/>
  <c r="AL37" i="24" s="1"/>
  <c r="D3" i="40"/>
  <c r="I3" i="39"/>
  <c r="F3" i="39"/>
  <c r="E3" i="39"/>
  <c r="AK35" i="24" s="1"/>
  <c r="D3" i="39"/>
  <c r="I3" i="38"/>
  <c r="F3" i="38"/>
  <c r="E3" i="38"/>
  <c r="AJ33" i="24" s="1"/>
  <c r="D3" i="38"/>
  <c r="I3" i="37"/>
  <c r="F3" i="37"/>
  <c r="E3" i="37"/>
  <c r="AI33" i="24" s="1"/>
  <c r="D3" i="37"/>
  <c r="I3" i="36"/>
  <c r="F3" i="36"/>
  <c r="E3" i="36"/>
  <c r="AH36" i="24" s="1"/>
  <c r="D3" i="36"/>
  <c r="I3" i="35"/>
  <c r="F3" i="35"/>
  <c r="E3" i="35"/>
  <c r="AG32" i="24" s="1"/>
  <c r="D3" i="35"/>
  <c r="I3" i="34"/>
  <c r="F3" i="34"/>
  <c r="E3" i="34"/>
  <c r="D3" i="34"/>
  <c r="I3" i="33"/>
  <c r="F3" i="33"/>
  <c r="E3" i="33"/>
  <c r="D3" i="33"/>
  <c r="I3" i="32"/>
  <c r="F3" i="32"/>
  <c r="E3" i="32"/>
  <c r="AD32" i="24" s="1"/>
  <c r="D3" i="32"/>
  <c r="C3" i="32" s="1"/>
  <c r="I3" i="30"/>
  <c r="F3" i="30"/>
  <c r="E3" i="30"/>
  <c r="D3" i="30"/>
  <c r="I3" i="29"/>
  <c r="F3" i="29"/>
  <c r="E3" i="29"/>
  <c r="Q3" i="29" s="1"/>
  <c r="D3" i="29"/>
  <c r="C3" i="29" s="1"/>
  <c r="AB7" i="24" s="1"/>
  <c r="I3" i="28"/>
  <c r="F3" i="28"/>
  <c r="E3" i="28"/>
  <c r="AA31" i="24" s="1"/>
  <c r="D3" i="28"/>
  <c r="I3" i="27"/>
  <c r="F3" i="27"/>
  <c r="E3" i="27"/>
  <c r="Z31" i="24" s="1"/>
  <c r="D3" i="27"/>
  <c r="I3" i="26"/>
  <c r="F3" i="26"/>
  <c r="E3" i="26"/>
  <c r="D3" i="26"/>
  <c r="I3" i="25"/>
  <c r="F3" i="25"/>
  <c r="E3" i="25"/>
  <c r="X31" i="24" s="1"/>
  <c r="D3" i="25"/>
  <c r="C3" i="25" s="1"/>
  <c r="I3" i="22"/>
  <c r="F3" i="22"/>
  <c r="E3" i="22"/>
  <c r="W31" i="24" s="1"/>
  <c r="D3" i="22"/>
  <c r="I3" i="21"/>
  <c r="F3" i="21"/>
  <c r="E3" i="21"/>
  <c r="V31" i="24" s="1"/>
  <c r="D3" i="21"/>
  <c r="I3" i="20"/>
  <c r="F3" i="20"/>
  <c r="E3" i="20"/>
  <c r="D3" i="20"/>
  <c r="I3" i="19"/>
  <c r="F3" i="19"/>
  <c r="E3" i="19"/>
  <c r="T31" i="24" s="1"/>
  <c r="D3" i="19"/>
  <c r="I3" i="18"/>
  <c r="F3" i="18"/>
  <c r="E3" i="18"/>
  <c r="S32" i="24" s="1"/>
  <c r="D3" i="18"/>
  <c r="I3" i="17"/>
  <c r="F3" i="17"/>
  <c r="E3" i="17"/>
  <c r="R31" i="24" s="1"/>
  <c r="D3" i="17"/>
  <c r="I3" i="16"/>
  <c r="F3" i="16"/>
  <c r="E3" i="16"/>
  <c r="Q31" i="24" s="1"/>
  <c r="D3" i="16"/>
  <c r="I3" i="15"/>
  <c r="F3" i="15"/>
  <c r="E3" i="15"/>
  <c r="P31" i="24" s="1"/>
  <c r="D3" i="15"/>
  <c r="I3" i="13"/>
  <c r="F3" i="13"/>
  <c r="E3" i="13"/>
  <c r="N31" i="24" s="1"/>
  <c r="D3" i="13"/>
  <c r="D3" i="14"/>
  <c r="E3" i="14"/>
  <c r="O33" i="24" s="1"/>
  <c r="F3" i="14"/>
  <c r="I3" i="14"/>
  <c r="E3" i="44"/>
  <c r="AP33" i="24" s="1"/>
  <c r="F3" i="44"/>
  <c r="I3" i="44"/>
  <c r="D3" i="44"/>
  <c r="E3" i="47"/>
  <c r="F3" i="47"/>
  <c r="I3" i="47"/>
  <c r="D3" i="47"/>
  <c r="F4" i="12"/>
  <c r="C4" i="12"/>
  <c r="E4" i="12"/>
  <c r="E5" i="12"/>
  <c r="E6" i="12"/>
  <c r="E7" i="12"/>
  <c r="E9" i="12"/>
  <c r="E10" i="12"/>
  <c r="F5" i="12"/>
  <c r="F6" i="12"/>
  <c r="F7" i="12"/>
  <c r="F9" i="12"/>
  <c r="F10" i="12"/>
  <c r="E82" i="3"/>
  <c r="F82" i="3"/>
  <c r="C31" i="24"/>
  <c r="C32" i="24"/>
  <c r="C33" i="24"/>
  <c r="C34" i="24"/>
  <c r="C35" i="24"/>
  <c r="C36" i="24"/>
  <c r="C37" i="24"/>
  <c r="C19" i="24"/>
  <c r="C20" i="24"/>
  <c r="C21" i="24"/>
  <c r="C22" i="24"/>
  <c r="C23" i="24"/>
  <c r="C24" i="24"/>
  <c r="C6" i="24"/>
  <c r="C7" i="24"/>
  <c r="C8" i="24"/>
  <c r="C9" i="24"/>
  <c r="C10" i="24"/>
  <c r="C11" i="24"/>
  <c r="C12" i="24"/>
  <c r="C13" i="24"/>
  <c r="C14" i="24"/>
  <c r="C15" i="24"/>
  <c r="C16" i="24"/>
  <c r="C17" i="24"/>
  <c r="A312" i="23"/>
  <c r="AJ312" i="23" s="1"/>
  <c r="AK312" i="23" s="1"/>
  <c r="J6" i="8"/>
  <c r="E6" i="8"/>
  <c r="A3" i="23"/>
  <c r="A4" i="23"/>
  <c r="A5" i="23"/>
  <c r="A6" i="23"/>
  <c r="A7" i="23"/>
  <c r="A8" i="23"/>
  <c r="A9" i="23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J42" i="23" s="1"/>
  <c r="AK42" i="23" s="1"/>
  <c r="A43" i="23"/>
  <c r="A44" i="23"/>
  <c r="A45" i="23"/>
  <c r="A46" i="23"/>
  <c r="A47" i="23"/>
  <c r="A48" i="23"/>
  <c r="A49" i="23"/>
  <c r="A50" i="23"/>
  <c r="A51" i="23"/>
  <c r="A52" i="23"/>
  <c r="A53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J74" i="23" s="1"/>
  <c r="AK74" i="23" s="1"/>
  <c r="A75" i="23"/>
  <c r="AJ75" i="23" s="1"/>
  <c r="AK75" i="23" s="1"/>
  <c r="A76" i="23"/>
  <c r="AJ76" i="23" s="1"/>
  <c r="AK76" i="23" s="1"/>
  <c r="A77" i="23"/>
  <c r="AJ77" i="23" s="1"/>
  <c r="AK77" i="23" s="1"/>
  <c r="A78" i="23"/>
  <c r="AJ78" i="23" s="1"/>
  <c r="AK78" i="23" s="1"/>
  <c r="A79" i="23"/>
  <c r="AJ79" i="23" s="1"/>
  <c r="AK79" i="23" s="1"/>
  <c r="A80" i="23"/>
  <c r="AJ80" i="23" s="1"/>
  <c r="AK80" i="23" s="1"/>
  <c r="A81" i="23"/>
  <c r="AJ81" i="23" s="1"/>
  <c r="AK81" i="23" s="1"/>
  <c r="A82" i="23"/>
  <c r="AJ82" i="23" s="1"/>
  <c r="AK82" i="23" s="1"/>
  <c r="A83" i="23"/>
  <c r="A84" i="23"/>
  <c r="AJ84" i="23" s="1"/>
  <c r="AK84" i="23" s="1"/>
  <c r="A85" i="23"/>
  <c r="AJ85" i="23" s="1"/>
  <c r="AK85" i="23" s="1"/>
  <c r="A86" i="23"/>
  <c r="AJ86" i="23" s="1"/>
  <c r="AK86" i="23" s="1"/>
  <c r="A87" i="23"/>
  <c r="AJ87" i="23" s="1"/>
  <c r="AK87" i="23" s="1"/>
  <c r="A88" i="23"/>
  <c r="A89" i="23"/>
  <c r="AJ89" i="23" s="1"/>
  <c r="AK89" i="23" s="1"/>
  <c r="A90" i="23"/>
  <c r="AJ90" i="23" s="1"/>
  <c r="AK90" i="23" s="1"/>
  <c r="A91" i="23"/>
  <c r="AJ91" i="23" s="1"/>
  <c r="AK91" i="23" s="1"/>
  <c r="A92" i="23"/>
  <c r="AJ92" i="23" s="1"/>
  <c r="AK92" i="23" s="1"/>
  <c r="A93" i="23"/>
  <c r="AJ93" i="23" s="1"/>
  <c r="AK93" i="23" s="1"/>
  <c r="A94" i="23"/>
  <c r="AJ94" i="23" s="1"/>
  <c r="AK94" i="23" s="1"/>
  <c r="A95" i="23"/>
  <c r="AJ95" i="23" s="1"/>
  <c r="AK95" i="23" s="1"/>
  <c r="A96" i="23"/>
  <c r="AJ96" i="23" s="1"/>
  <c r="AK96" i="23" s="1"/>
  <c r="A97" i="23"/>
  <c r="AJ97" i="23" s="1"/>
  <c r="AK97" i="23" s="1"/>
  <c r="A98" i="23"/>
  <c r="AJ98" i="23" s="1"/>
  <c r="AK98" i="23" s="1"/>
  <c r="A99" i="23"/>
  <c r="AJ99" i="23" s="1"/>
  <c r="AK99" i="23" s="1"/>
  <c r="A100" i="23"/>
  <c r="AJ100" i="23" s="1"/>
  <c r="AK100" i="23" s="1"/>
  <c r="A101" i="23"/>
  <c r="AJ101" i="23" s="1"/>
  <c r="AK101" i="23" s="1"/>
  <c r="A102" i="23"/>
  <c r="AJ102" i="23" s="1"/>
  <c r="AK102" i="23" s="1"/>
  <c r="A103" i="23"/>
  <c r="A104" i="23"/>
  <c r="A105" i="23"/>
  <c r="A106" i="23"/>
  <c r="A107" i="23"/>
  <c r="A108" i="23"/>
  <c r="A109" i="23"/>
  <c r="A110" i="23"/>
  <c r="A111" i="23"/>
  <c r="A112" i="23"/>
  <c r="A113" i="23"/>
  <c r="A114" i="23"/>
  <c r="A115" i="23"/>
  <c r="A116" i="23"/>
  <c r="A117" i="23"/>
  <c r="A118" i="23"/>
  <c r="A119" i="23"/>
  <c r="A120" i="23"/>
  <c r="A121" i="23"/>
  <c r="A122" i="23"/>
  <c r="A123" i="23"/>
  <c r="A124" i="23"/>
  <c r="A125" i="23"/>
  <c r="A126" i="23"/>
  <c r="A127" i="23"/>
  <c r="A128" i="23"/>
  <c r="A129" i="23"/>
  <c r="A130" i="23"/>
  <c r="A131" i="23"/>
  <c r="A132" i="23"/>
  <c r="A133" i="23"/>
  <c r="A134" i="23"/>
  <c r="A135" i="23"/>
  <c r="A136" i="23"/>
  <c r="A137" i="23"/>
  <c r="A138" i="23"/>
  <c r="A139" i="23"/>
  <c r="A140" i="23"/>
  <c r="A141" i="23"/>
  <c r="A142" i="23"/>
  <c r="A143" i="23"/>
  <c r="A144" i="23"/>
  <c r="A145" i="23"/>
  <c r="A146" i="23"/>
  <c r="A147" i="23"/>
  <c r="A148" i="23"/>
  <c r="A149" i="23"/>
  <c r="A150" i="23"/>
  <c r="A151" i="23"/>
  <c r="A152" i="23"/>
  <c r="A153" i="23"/>
  <c r="A154" i="23"/>
  <c r="A155" i="23"/>
  <c r="A156" i="23"/>
  <c r="A157" i="23"/>
  <c r="A158" i="23"/>
  <c r="A159" i="23"/>
  <c r="A160" i="23"/>
  <c r="A161" i="23"/>
  <c r="A162" i="23"/>
  <c r="A163" i="23"/>
  <c r="A164" i="23"/>
  <c r="A165" i="23"/>
  <c r="A166" i="23"/>
  <c r="A167" i="23"/>
  <c r="A168" i="23"/>
  <c r="A169" i="23"/>
  <c r="A170" i="23"/>
  <c r="A171" i="23"/>
  <c r="A172" i="23"/>
  <c r="A173" i="23"/>
  <c r="A174" i="23"/>
  <c r="A175" i="23"/>
  <c r="A176" i="23"/>
  <c r="A177" i="23"/>
  <c r="A178" i="23"/>
  <c r="A179" i="23"/>
  <c r="A180" i="23"/>
  <c r="A181" i="23"/>
  <c r="A182" i="23"/>
  <c r="A183" i="23"/>
  <c r="A184" i="23"/>
  <c r="A185" i="23"/>
  <c r="AJ185" i="23" s="1"/>
  <c r="AK185" i="23" s="1"/>
  <c r="A186" i="23"/>
  <c r="AJ186" i="23" s="1"/>
  <c r="AK186" i="23" s="1"/>
  <c r="A187" i="23"/>
  <c r="AJ187" i="23" s="1"/>
  <c r="AK187" i="23" s="1"/>
  <c r="A188" i="23"/>
  <c r="AJ188" i="23" s="1"/>
  <c r="AK188" i="23" s="1"/>
  <c r="A189" i="23"/>
  <c r="AJ189" i="23" s="1"/>
  <c r="AK189" i="23" s="1"/>
  <c r="A190" i="23"/>
  <c r="AJ190" i="23" s="1"/>
  <c r="AK190" i="23" s="1"/>
  <c r="A191" i="23"/>
  <c r="AJ191" i="23" s="1"/>
  <c r="AK191" i="23" s="1"/>
  <c r="A192" i="23"/>
  <c r="AJ192" i="23" s="1"/>
  <c r="AK192" i="23" s="1"/>
  <c r="A193" i="23"/>
  <c r="AJ193" i="23" s="1"/>
  <c r="AK193" i="23" s="1"/>
  <c r="A194" i="23"/>
  <c r="AJ194" i="23" s="1"/>
  <c r="AK194" i="23" s="1"/>
  <c r="A195" i="23"/>
  <c r="AJ195" i="23" s="1"/>
  <c r="AK195" i="23" s="1"/>
  <c r="A196" i="23"/>
  <c r="AJ196" i="23" s="1"/>
  <c r="AK196" i="23" s="1"/>
  <c r="A197" i="23"/>
  <c r="AJ197" i="23" s="1"/>
  <c r="AK197" i="23" s="1"/>
  <c r="A198" i="23"/>
  <c r="AJ198" i="23" s="1"/>
  <c r="AK198" i="23" s="1"/>
  <c r="A199" i="23"/>
  <c r="A200" i="23"/>
  <c r="A201" i="23"/>
  <c r="AJ201" i="23" s="1"/>
  <c r="AK201" i="23" s="1"/>
  <c r="A202" i="23"/>
  <c r="AJ202" i="23" s="1"/>
  <c r="AK202" i="23" s="1"/>
  <c r="A203" i="23"/>
  <c r="AJ203" i="23" s="1"/>
  <c r="AK203" i="23" s="1"/>
  <c r="A204" i="23"/>
  <c r="AJ204" i="23" s="1"/>
  <c r="AK204" i="23" s="1"/>
  <c r="A205" i="23"/>
  <c r="AJ205" i="23" s="1"/>
  <c r="AK205" i="23" s="1"/>
  <c r="A206" i="23"/>
  <c r="AJ206" i="23" s="1"/>
  <c r="AK206" i="23" s="1"/>
  <c r="A207" i="23"/>
  <c r="AJ207" i="23" s="1"/>
  <c r="AK207" i="23" s="1"/>
  <c r="A208" i="23"/>
  <c r="AJ208" i="23" s="1"/>
  <c r="AK208" i="23" s="1"/>
  <c r="A209" i="23"/>
  <c r="AJ209" i="23" s="1"/>
  <c r="AK209" i="23" s="1"/>
  <c r="A210" i="23"/>
  <c r="AJ210" i="23" s="1"/>
  <c r="AK210" i="23" s="1"/>
  <c r="A211" i="23"/>
  <c r="AJ211" i="23" s="1"/>
  <c r="AK211" i="23" s="1"/>
  <c r="A212" i="23"/>
  <c r="AJ212" i="23" s="1"/>
  <c r="AK212" i="23" s="1"/>
  <c r="A213" i="23"/>
  <c r="AJ213" i="23" s="1"/>
  <c r="AK213" i="23" s="1"/>
  <c r="A214" i="23"/>
  <c r="AJ214" i="23" s="1"/>
  <c r="AK214" i="23" s="1"/>
  <c r="A215" i="23"/>
  <c r="AJ215" i="23" s="1"/>
  <c r="AK215" i="23" s="1"/>
  <c r="A216" i="23"/>
  <c r="AJ216" i="23" s="1"/>
  <c r="AK216" i="23" s="1"/>
  <c r="A217" i="23"/>
  <c r="AJ217" i="23" s="1"/>
  <c r="AK217" i="23" s="1"/>
  <c r="A218" i="23"/>
  <c r="AJ218" i="23" s="1"/>
  <c r="AK218" i="23" s="1"/>
  <c r="A219" i="23"/>
  <c r="AJ219" i="23" s="1"/>
  <c r="AK219" i="23" s="1"/>
  <c r="A220" i="23"/>
  <c r="AJ220" i="23" s="1"/>
  <c r="AK220" i="23" s="1"/>
  <c r="A221" i="23"/>
  <c r="AJ221" i="23" s="1"/>
  <c r="AK221" i="23" s="1"/>
  <c r="A222" i="23"/>
  <c r="AJ222" i="23" s="1"/>
  <c r="AK222" i="23" s="1"/>
  <c r="A223" i="23"/>
  <c r="AJ223" i="23" s="1"/>
  <c r="AK223" i="23" s="1"/>
  <c r="A224" i="23"/>
  <c r="AJ224" i="23" s="1"/>
  <c r="AK224" i="23" s="1"/>
  <c r="A225" i="23"/>
  <c r="AJ225" i="23" s="1"/>
  <c r="AK225" i="23" s="1"/>
  <c r="A226" i="23"/>
  <c r="AJ226" i="23" s="1"/>
  <c r="AK226" i="23" s="1"/>
  <c r="A227" i="23"/>
  <c r="AJ227" i="23" s="1"/>
  <c r="AK227" i="23" s="1"/>
  <c r="A228" i="23"/>
  <c r="AJ228" i="23" s="1"/>
  <c r="AK228" i="23" s="1"/>
  <c r="A229" i="23"/>
  <c r="AJ229" i="23" s="1"/>
  <c r="AK229" i="23" s="1"/>
  <c r="A230" i="23"/>
  <c r="AJ230" i="23" s="1"/>
  <c r="AK230" i="23" s="1"/>
  <c r="A231" i="23"/>
  <c r="AJ231" i="23" s="1"/>
  <c r="AK231" i="23" s="1"/>
  <c r="A232" i="23"/>
  <c r="AJ232" i="23" s="1"/>
  <c r="AK232" i="23" s="1"/>
  <c r="A233" i="23"/>
  <c r="AJ233" i="23" s="1"/>
  <c r="AK233" i="23" s="1"/>
  <c r="A234" i="23"/>
  <c r="A235" i="23"/>
  <c r="A236" i="23"/>
  <c r="AJ236" i="23" s="1"/>
  <c r="AK236" i="23" s="1"/>
  <c r="A237" i="23"/>
  <c r="AJ237" i="23" s="1"/>
  <c r="AK237" i="23" s="1"/>
  <c r="A238" i="23"/>
  <c r="AJ238" i="23" s="1"/>
  <c r="AK238" i="23" s="1"/>
  <c r="A239" i="23"/>
  <c r="A240" i="23"/>
  <c r="A241" i="23"/>
  <c r="A242" i="23"/>
  <c r="A243" i="23"/>
  <c r="A244" i="23"/>
  <c r="A245" i="23"/>
  <c r="A246" i="23"/>
  <c r="A247" i="23"/>
  <c r="A248" i="23"/>
  <c r="A249" i="23"/>
  <c r="A250" i="23"/>
  <c r="A251" i="23"/>
  <c r="A252" i="23"/>
  <c r="A253" i="23"/>
  <c r="A254" i="23"/>
  <c r="A255" i="23"/>
  <c r="A256" i="23"/>
  <c r="A257" i="23"/>
  <c r="A258" i="23"/>
  <c r="A259" i="23"/>
  <c r="A260" i="23"/>
  <c r="A261" i="23"/>
  <c r="A262" i="23"/>
  <c r="A263" i="23"/>
  <c r="A264" i="23"/>
  <c r="A265" i="23"/>
  <c r="A266" i="23"/>
  <c r="A267" i="23"/>
  <c r="A268" i="23"/>
  <c r="A269" i="23"/>
  <c r="A270" i="23"/>
  <c r="A271" i="23"/>
  <c r="A272" i="23"/>
  <c r="A273" i="23"/>
  <c r="A274" i="23"/>
  <c r="A275" i="23"/>
  <c r="A276" i="23"/>
  <c r="A277" i="23"/>
  <c r="A278" i="23"/>
  <c r="A279" i="23"/>
  <c r="A280" i="23"/>
  <c r="A281" i="23"/>
  <c r="A282" i="23"/>
  <c r="A283" i="23"/>
  <c r="A284" i="23"/>
  <c r="A285" i="23"/>
  <c r="AJ285" i="23" s="1"/>
  <c r="AK285" i="23" s="1"/>
  <c r="A286" i="23"/>
  <c r="AJ286" i="23" s="1"/>
  <c r="AK286" i="23" s="1"/>
  <c r="A287" i="23"/>
  <c r="AJ287" i="23" s="1"/>
  <c r="AK287" i="23" s="1"/>
  <c r="A288" i="23"/>
  <c r="AJ288" i="23" s="1"/>
  <c r="AK288" i="23" s="1"/>
  <c r="A289" i="23"/>
  <c r="AJ289" i="23" s="1"/>
  <c r="AK289" i="23" s="1"/>
  <c r="A290" i="23"/>
  <c r="AJ290" i="23" s="1"/>
  <c r="AK290" i="23" s="1"/>
  <c r="A291" i="23"/>
  <c r="A292" i="23"/>
  <c r="AJ292" i="23" s="1"/>
  <c r="AK292" i="23" s="1"/>
  <c r="A293" i="23"/>
  <c r="AJ293" i="23" s="1"/>
  <c r="AK293" i="23" s="1"/>
  <c r="A294" i="23"/>
  <c r="AJ294" i="23" s="1"/>
  <c r="AK294" i="23" s="1"/>
  <c r="A295" i="23"/>
  <c r="A296" i="23"/>
  <c r="A297" i="23"/>
  <c r="A298" i="23"/>
  <c r="A299" i="23"/>
  <c r="A300" i="23"/>
  <c r="A301" i="23"/>
  <c r="A302" i="23"/>
  <c r="A303" i="23"/>
  <c r="A304" i="23"/>
  <c r="A305" i="23"/>
  <c r="A306" i="23"/>
  <c r="A307" i="23"/>
  <c r="AJ307" i="23" s="1"/>
  <c r="AK307" i="23" s="1"/>
  <c r="A308" i="23"/>
  <c r="AJ308" i="23" s="1"/>
  <c r="AK308" i="23" s="1"/>
  <c r="A309" i="23"/>
  <c r="AJ309" i="23" s="1"/>
  <c r="AK309" i="23" s="1"/>
  <c r="A310" i="23"/>
  <c r="AJ310" i="23" s="1"/>
  <c r="AK310" i="23" s="1"/>
  <c r="A311" i="23"/>
  <c r="AJ311" i="23" s="1"/>
  <c r="AK311" i="23" s="1"/>
  <c r="A313" i="23"/>
  <c r="AJ313" i="23" s="1"/>
  <c r="AK313" i="23" s="1"/>
  <c r="A314" i="23"/>
  <c r="A315" i="23"/>
  <c r="A316" i="23"/>
  <c r="A317" i="23"/>
  <c r="A318" i="23"/>
  <c r="A319" i="23"/>
  <c r="A320" i="23"/>
  <c r="A321" i="23"/>
  <c r="A322" i="23"/>
  <c r="A323" i="23"/>
  <c r="AJ323" i="23" s="1"/>
  <c r="AK323" i="23" s="1"/>
  <c r="A324" i="23"/>
  <c r="A325" i="23"/>
  <c r="A326" i="23"/>
  <c r="AJ326" i="23" s="1"/>
  <c r="AK326" i="23" s="1"/>
  <c r="A327" i="23"/>
  <c r="AJ327" i="23" s="1"/>
  <c r="AK327" i="23" s="1"/>
  <c r="A328" i="23"/>
  <c r="AJ328" i="23" s="1"/>
  <c r="AK328" i="23" s="1"/>
  <c r="A329" i="23"/>
  <c r="AJ329" i="23" s="1"/>
  <c r="AK329" i="23" s="1"/>
  <c r="A330" i="23"/>
  <c r="AJ330" i="23" s="1"/>
  <c r="AK330" i="23" s="1"/>
  <c r="A331" i="23"/>
  <c r="AJ331" i="23" s="1"/>
  <c r="AK331" i="23" s="1"/>
  <c r="A332" i="23"/>
  <c r="AJ332" i="23" s="1"/>
  <c r="AK332" i="23" s="1"/>
  <c r="A333" i="23"/>
  <c r="A334" i="23"/>
  <c r="A335" i="23"/>
  <c r="A336" i="23"/>
  <c r="A337" i="23"/>
  <c r="A338" i="23"/>
  <c r="A339" i="23"/>
  <c r="A340" i="23"/>
  <c r="AJ340" i="23" s="1"/>
  <c r="AK340" i="23" s="1"/>
  <c r="A341" i="23"/>
  <c r="AJ341" i="23" s="1"/>
  <c r="AK341" i="23" s="1"/>
  <c r="A342" i="23"/>
  <c r="A343" i="23"/>
  <c r="A344" i="23"/>
  <c r="AJ344" i="23" s="1"/>
  <c r="AK344" i="23" s="1"/>
  <c r="A345" i="23"/>
  <c r="AJ345" i="23" s="1"/>
  <c r="AK345" i="23" s="1"/>
  <c r="A346" i="23"/>
  <c r="A347" i="23"/>
  <c r="AJ347" i="23" s="1"/>
  <c r="AK347" i="23" s="1"/>
  <c r="A348" i="23"/>
  <c r="AJ348" i="23" s="1"/>
  <c r="AK348" i="23" s="1"/>
  <c r="A349" i="23"/>
  <c r="AJ349" i="23" s="1"/>
  <c r="AK349" i="23" s="1"/>
  <c r="A350" i="23"/>
  <c r="A351" i="23"/>
  <c r="A352" i="23"/>
  <c r="AJ352" i="23" s="1"/>
  <c r="AK352" i="23" s="1"/>
  <c r="A353" i="23"/>
  <c r="A354" i="23"/>
  <c r="AJ354" i="23" s="1"/>
  <c r="AK354" i="23" s="1"/>
  <c r="A355" i="23"/>
  <c r="AJ355" i="23" s="1"/>
  <c r="AK355" i="23" s="1"/>
  <c r="A356" i="23"/>
  <c r="AJ356" i="23" s="1"/>
  <c r="AK356" i="23" s="1"/>
  <c r="A357" i="23"/>
  <c r="AJ357" i="23" s="1"/>
  <c r="AK357" i="23" s="1"/>
  <c r="A358" i="23"/>
  <c r="AJ358" i="23" s="1"/>
  <c r="AK358" i="23" s="1"/>
  <c r="A359" i="23"/>
  <c r="AJ359" i="23" s="1"/>
  <c r="AK359" i="23" s="1"/>
  <c r="A360" i="23"/>
  <c r="A361" i="23"/>
  <c r="A362" i="23"/>
  <c r="A363" i="23"/>
  <c r="A364" i="23"/>
  <c r="A365" i="23"/>
  <c r="A366" i="23"/>
  <c r="AJ366" i="23" s="1"/>
  <c r="AK366" i="23" s="1"/>
  <c r="A367" i="23"/>
  <c r="AJ367" i="23" s="1"/>
  <c r="AK367" i="23" s="1"/>
  <c r="A368" i="23"/>
  <c r="AJ368" i="23" s="1"/>
  <c r="AK368" i="23" s="1"/>
  <c r="A369" i="23"/>
  <c r="AJ369" i="23" s="1"/>
  <c r="AK369" i="23" s="1"/>
  <c r="A370" i="23"/>
  <c r="A371" i="23"/>
  <c r="AJ371" i="23" s="1"/>
  <c r="AK371" i="23" s="1"/>
  <c r="A372" i="23"/>
  <c r="AJ372" i="23" s="1"/>
  <c r="AK372" i="23" s="1"/>
  <c r="A373" i="23"/>
  <c r="AJ373" i="23" s="1"/>
  <c r="AK373" i="23" s="1"/>
  <c r="A374" i="23"/>
  <c r="AJ374" i="23" s="1"/>
  <c r="AK374" i="23" s="1"/>
  <c r="A375" i="23"/>
  <c r="AJ375" i="23" s="1"/>
  <c r="AK375" i="23" s="1"/>
  <c r="A376" i="23"/>
  <c r="AJ376" i="23" s="1"/>
  <c r="AK376" i="23" s="1"/>
  <c r="A377" i="23"/>
  <c r="AJ377" i="23" s="1"/>
  <c r="AK377" i="23" s="1"/>
  <c r="A378" i="23"/>
  <c r="AJ378" i="23" s="1"/>
  <c r="AK378" i="23" s="1"/>
  <c r="A379" i="23"/>
  <c r="AJ379" i="23" s="1"/>
  <c r="AK379" i="23" s="1"/>
  <c r="A380" i="23"/>
  <c r="AJ380" i="23" s="1"/>
  <c r="AK380" i="23" s="1"/>
  <c r="A381" i="23"/>
  <c r="AJ381" i="23" s="1"/>
  <c r="AK381" i="23" s="1"/>
  <c r="A382" i="23"/>
  <c r="AJ382" i="23" s="1"/>
  <c r="AK382" i="23" s="1"/>
  <c r="A383" i="23"/>
  <c r="A384" i="23"/>
  <c r="A385" i="23"/>
  <c r="A386" i="23"/>
  <c r="A387" i="23"/>
  <c r="A388" i="23"/>
  <c r="A389" i="23"/>
  <c r="A390" i="23"/>
  <c r="AJ390" i="23" s="1"/>
  <c r="AK390" i="23" s="1"/>
  <c r="A391" i="23"/>
  <c r="AJ391" i="23" s="1"/>
  <c r="AK391" i="23" s="1"/>
  <c r="A392" i="23"/>
  <c r="AJ392" i="23" s="1"/>
  <c r="AK392" i="23" s="1"/>
  <c r="A393" i="23"/>
  <c r="A394" i="23"/>
  <c r="A395" i="23"/>
  <c r="A396" i="23"/>
  <c r="A397" i="23"/>
  <c r="A398" i="23"/>
  <c r="A399" i="23"/>
  <c r="AJ399" i="23" s="1"/>
  <c r="AK399" i="23" s="1"/>
  <c r="A400" i="23"/>
  <c r="AJ400" i="23" s="1"/>
  <c r="AK400" i="23" s="1"/>
  <c r="A401" i="23"/>
  <c r="AJ401" i="23" s="1"/>
  <c r="AK401" i="23" s="1"/>
  <c r="A402" i="23"/>
  <c r="AJ402" i="23" s="1"/>
  <c r="AK402" i="23" s="1"/>
  <c r="A403" i="23"/>
  <c r="AJ403" i="23" s="1"/>
  <c r="AK403" i="23" s="1"/>
  <c r="A404" i="23"/>
  <c r="A405" i="23"/>
  <c r="AJ405" i="23" s="1"/>
  <c r="AK405" i="23" s="1"/>
  <c r="A406" i="23"/>
  <c r="AJ406" i="23" s="1"/>
  <c r="AK406" i="23" s="1"/>
  <c r="A407" i="23"/>
  <c r="AJ407" i="23" s="1"/>
  <c r="AK407" i="23" s="1"/>
  <c r="A408" i="23"/>
  <c r="A409" i="23"/>
  <c r="A410" i="23"/>
  <c r="A411" i="23"/>
  <c r="AJ411" i="23" s="1"/>
  <c r="AK411" i="23" s="1"/>
  <c r="A412" i="23"/>
  <c r="A413" i="23"/>
  <c r="A414" i="23"/>
  <c r="A415" i="23"/>
  <c r="AJ415" i="23" s="1"/>
  <c r="AK415" i="23" s="1"/>
  <c r="A416" i="23"/>
  <c r="AJ416" i="23" s="1"/>
  <c r="AK416" i="23" s="1"/>
  <c r="A417" i="23"/>
  <c r="A418" i="23"/>
  <c r="AJ418" i="23" s="1"/>
  <c r="AK418" i="23" s="1"/>
  <c r="A419" i="23"/>
  <c r="AJ419" i="23" s="1"/>
  <c r="AK419" i="23" s="1"/>
  <c r="A420" i="23"/>
  <c r="AJ420" i="23" s="1"/>
  <c r="AK420" i="23" s="1"/>
  <c r="A421" i="23"/>
  <c r="AJ421" i="23" s="1"/>
  <c r="AK421" i="23" s="1"/>
  <c r="A422" i="23"/>
  <c r="AJ422" i="23" s="1"/>
  <c r="AK422" i="23" s="1"/>
  <c r="A423" i="23"/>
  <c r="AJ423" i="23" s="1"/>
  <c r="AK423" i="23" s="1"/>
  <c r="A424" i="23"/>
  <c r="A425" i="23"/>
  <c r="A426" i="23"/>
  <c r="A427" i="23"/>
  <c r="A428" i="23"/>
  <c r="A429" i="23"/>
  <c r="A430" i="23"/>
  <c r="A431" i="23"/>
  <c r="A432" i="23"/>
  <c r="A433" i="23"/>
  <c r="AJ433" i="23" s="1"/>
  <c r="AK433" i="23" s="1"/>
  <c r="A434" i="23"/>
  <c r="AJ434" i="23" s="1"/>
  <c r="AK434" i="23" s="1"/>
  <c r="A435" i="23"/>
  <c r="AJ435" i="23" s="1"/>
  <c r="AK435" i="23" s="1"/>
  <c r="A436" i="23"/>
  <c r="A437" i="23"/>
  <c r="A438" i="23"/>
  <c r="AJ438" i="23" s="1"/>
  <c r="AK438" i="23" s="1"/>
  <c r="A439" i="23"/>
  <c r="A440" i="23"/>
  <c r="AJ440" i="23" s="1"/>
  <c r="AK440" i="23" s="1"/>
  <c r="A441" i="23"/>
  <c r="A442" i="23"/>
  <c r="AJ442" i="23" s="1"/>
  <c r="AK442" i="23" s="1"/>
  <c r="A443" i="23"/>
  <c r="AJ443" i="23" s="1"/>
  <c r="AK443" i="23" s="1"/>
  <c r="A444" i="23"/>
  <c r="AJ444" i="23" s="1"/>
  <c r="AK444" i="23" s="1"/>
  <c r="A445" i="23"/>
  <c r="AJ445" i="23" s="1"/>
  <c r="AK445" i="23" s="1"/>
  <c r="A446" i="23"/>
  <c r="AJ446" i="23" s="1"/>
  <c r="AK446" i="23" s="1"/>
  <c r="A2" i="23"/>
  <c r="F6" i="3"/>
  <c r="E6" i="3"/>
  <c r="D6" i="3"/>
  <c r="C6" i="3"/>
  <c r="D10" i="12"/>
  <c r="C10" i="12"/>
  <c r="D9" i="12"/>
  <c r="C9" i="12"/>
  <c r="D7" i="12"/>
  <c r="C7" i="12"/>
  <c r="D6" i="12"/>
  <c r="C6" i="12"/>
  <c r="D5" i="12"/>
  <c r="C5" i="12"/>
  <c r="D4" i="12"/>
  <c r="F154" i="3"/>
  <c r="E154" i="3"/>
  <c r="D154" i="3"/>
  <c r="C154" i="3"/>
  <c r="C77" i="3"/>
  <c r="D77" i="3"/>
  <c r="E77" i="3"/>
  <c r="F77" i="3"/>
  <c r="E138" i="3"/>
  <c r="F138" i="3"/>
  <c r="D138" i="3"/>
  <c r="C138" i="3"/>
  <c r="F146" i="3"/>
  <c r="F147" i="3"/>
  <c r="F148" i="3"/>
  <c r="F149" i="3"/>
  <c r="F150" i="3"/>
  <c r="F151" i="3"/>
  <c r="F152" i="3"/>
  <c r="F153" i="3"/>
  <c r="E146" i="3"/>
  <c r="E147" i="3"/>
  <c r="E148" i="3"/>
  <c r="E149" i="3"/>
  <c r="E150" i="3"/>
  <c r="E151" i="3"/>
  <c r="E152" i="3"/>
  <c r="E153" i="3"/>
  <c r="D146" i="3"/>
  <c r="D147" i="3"/>
  <c r="D148" i="3"/>
  <c r="D149" i="3"/>
  <c r="D150" i="3"/>
  <c r="D151" i="3"/>
  <c r="D152" i="3"/>
  <c r="D153" i="3"/>
  <c r="C146" i="3"/>
  <c r="C147" i="3"/>
  <c r="C148" i="3"/>
  <c r="C149" i="3"/>
  <c r="C150" i="3"/>
  <c r="C151" i="3"/>
  <c r="C152" i="3"/>
  <c r="C153" i="3"/>
  <c r="E64" i="3"/>
  <c r="F64" i="3"/>
  <c r="F75" i="3"/>
  <c r="E75" i="3"/>
  <c r="D75" i="3"/>
  <c r="C75" i="3"/>
  <c r="C71" i="3"/>
  <c r="F8" i="3"/>
  <c r="E8" i="3"/>
  <c r="D8" i="3"/>
  <c r="C8" i="3"/>
  <c r="F7" i="3"/>
  <c r="E7" i="3"/>
  <c r="D7" i="3"/>
  <c r="C7" i="3"/>
  <c r="F5" i="3"/>
  <c r="E5" i="3"/>
  <c r="D5" i="3"/>
  <c r="D4" i="3"/>
  <c r="C5" i="3"/>
  <c r="F4" i="3"/>
  <c r="E4" i="3"/>
  <c r="C4" i="3"/>
  <c r="F150" i="4"/>
  <c r="E150" i="4"/>
  <c r="D150" i="4"/>
  <c r="C150" i="4"/>
  <c r="F149" i="4"/>
  <c r="E149" i="4"/>
  <c r="D149" i="4"/>
  <c r="C149" i="4"/>
  <c r="F148" i="4"/>
  <c r="E148" i="4"/>
  <c r="D148" i="4"/>
  <c r="C148" i="4"/>
  <c r="F135" i="4"/>
  <c r="E135" i="4"/>
  <c r="D135" i="4"/>
  <c r="C135" i="4"/>
  <c r="F134" i="4"/>
  <c r="E134" i="4"/>
  <c r="D134" i="4"/>
  <c r="C134" i="4"/>
  <c r="F133" i="4"/>
  <c r="E133" i="4"/>
  <c r="D133" i="4"/>
  <c r="C133" i="4"/>
  <c r="F147" i="4"/>
  <c r="E147" i="4"/>
  <c r="D147" i="4"/>
  <c r="C147" i="4"/>
  <c r="F146" i="4"/>
  <c r="E146" i="4"/>
  <c r="D146" i="4"/>
  <c r="C146" i="4"/>
  <c r="F145" i="4"/>
  <c r="E145" i="4"/>
  <c r="D145" i="4"/>
  <c r="C145" i="4"/>
  <c r="F144" i="4"/>
  <c r="E144" i="4"/>
  <c r="D144" i="4"/>
  <c r="C144" i="4"/>
  <c r="F143" i="4"/>
  <c r="E143" i="4"/>
  <c r="D143" i="4"/>
  <c r="C143" i="4"/>
  <c r="F132" i="4"/>
  <c r="E132" i="4"/>
  <c r="D132" i="4"/>
  <c r="C132" i="4"/>
  <c r="F131" i="4"/>
  <c r="E131" i="4"/>
  <c r="D131" i="4"/>
  <c r="C131" i="4"/>
  <c r="F130" i="4"/>
  <c r="E130" i="4"/>
  <c r="D130" i="4"/>
  <c r="C130" i="4"/>
  <c r="F129" i="4"/>
  <c r="E129" i="4"/>
  <c r="D129" i="4"/>
  <c r="C129" i="4"/>
  <c r="F128" i="4"/>
  <c r="E128" i="4"/>
  <c r="D128" i="4"/>
  <c r="C128" i="4"/>
  <c r="I6" i="8"/>
  <c r="B6" i="8"/>
  <c r="C105" i="4"/>
  <c r="F108" i="4"/>
  <c r="E108" i="4"/>
  <c r="F106" i="4"/>
  <c r="E106" i="4"/>
  <c r="F107" i="4"/>
  <c r="F105" i="4"/>
  <c r="E107" i="4"/>
  <c r="E105" i="4"/>
  <c r="D108" i="4"/>
  <c r="D107" i="4"/>
  <c r="D106" i="4"/>
  <c r="D105" i="4"/>
  <c r="C65" i="4"/>
  <c r="C108" i="4"/>
  <c r="C107" i="4"/>
  <c r="C106" i="4"/>
  <c r="F94" i="4"/>
  <c r="E94" i="4"/>
  <c r="F93" i="4"/>
  <c r="E93" i="4"/>
  <c r="D94" i="4"/>
  <c r="D93" i="4"/>
  <c r="C94" i="4"/>
  <c r="C93" i="4"/>
  <c r="C90" i="4"/>
  <c r="C89" i="4"/>
  <c r="C91" i="4"/>
  <c r="C92" i="4"/>
  <c r="C95" i="4"/>
  <c r="C102" i="4"/>
  <c r="C103" i="4"/>
  <c r="C104" i="4"/>
  <c r="D89" i="4"/>
  <c r="D90" i="4"/>
  <c r="D91" i="4"/>
  <c r="D92" i="4"/>
  <c r="D95" i="4"/>
  <c r="D102" i="4"/>
  <c r="D103" i="4"/>
  <c r="D104" i="4"/>
  <c r="E89" i="4"/>
  <c r="E90" i="4"/>
  <c r="E91" i="4"/>
  <c r="E92" i="4"/>
  <c r="E95" i="4"/>
  <c r="E102" i="4"/>
  <c r="E103" i="4"/>
  <c r="E104" i="4"/>
  <c r="F89" i="4"/>
  <c r="F90" i="4"/>
  <c r="F91" i="4"/>
  <c r="F92" i="4"/>
  <c r="F95" i="4"/>
  <c r="F102" i="4"/>
  <c r="F103" i="4"/>
  <c r="F104" i="4"/>
  <c r="D52" i="4"/>
  <c r="F67" i="4"/>
  <c r="F69" i="4"/>
  <c r="F66" i="4"/>
  <c r="F68" i="4"/>
  <c r="F65" i="4"/>
  <c r="E65" i="4"/>
  <c r="E69" i="4"/>
  <c r="E68" i="4"/>
  <c r="E67" i="4"/>
  <c r="E66" i="4"/>
  <c r="D69" i="4"/>
  <c r="D68" i="4"/>
  <c r="D67" i="4"/>
  <c r="D66" i="4"/>
  <c r="D65" i="4"/>
  <c r="C69" i="4"/>
  <c r="C68" i="4"/>
  <c r="C67" i="4"/>
  <c r="C66" i="4"/>
  <c r="E52" i="4"/>
  <c r="F52" i="4"/>
  <c r="C52" i="4"/>
  <c r="F57" i="4"/>
  <c r="E57" i="4"/>
  <c r="D57" i="4"/>
  <c r="C57" i="4"/>
  <c r="C53" i="4"/>
  <c r="C55" i="4"/>
  <c r="C56" i="4"/>
  <c r="C54" i="4"/>
  <c r="C64" i="4"/>
  <c r="D53" i="4"/>
  <c r="D54" i="4"/>
  <c r="D55" i="4"/>
  <c r="D56" i="4"/>
  <c r="D64" i="4"/>
  <c r="E53" i="4"/>
  <c r="F53" i="4"/>
  <c r="E54" i="4"/>
  <c r="E55" i="4"/>
  <c r="E56" i="4"/>
  <c r="E64" i="4"/>
  <c r="F64" i="4"/>
  <c r="F54" i="4"/>
  <c r="F55" i="4"/>
  <c r="F56" i="4"/>
  <c r="C123" i="3"/>
  <c r="D123" i="3"/>
  <c r="E123" i="3"/>
  <c r="F123" i="3"/>
  <c r="C124" i="3"/>
  <c r="D124" i="3"/>
  <c r="E124" i="3"/>
  <c r="F124" i="3"/>
  <c r="C125" i="3"/>
  <c r="D125" i="3"/>
  <c r="E125" i="3"/>
  <c r="F125" i="3"/>
  <c r="C132" i="3"/>
  <c r="D132" i="3"/>
  <c r="E132" i="3"/>
  <c r="F132" i="3"/>
  <c r="C133" i="3"/>
  <c r="D133" i="3"/>
  <c r="E133" i="3"/>
  <c r="F133" i="3"/>
  <c r="C134" i="3"/>
  <c r="D134" i="3"/>
  <c r="E134" i="3"/>
  <c r="F134" i="3"/>
  <c r="C135" i="3"/>
  <c r="D135" i="3"/>
  <c r="E135" i="3"/>
  <c r="F135" i="3"/>
  <c r="C136" i="3"/>
  <c r="D136" i="3"/>
  <c r="E136" i="3"/>
  <c r="F136" i="3"/>
  <c r="C137" i="3"/>
  <c r="D137" i="3"/>
  <c r="E137" i="3"/>
  <c r="F137" i="3"/>
  <c r="C139" i="3"/>
  <c r="D139" i="3"/>
  <c r="E139" i="3"/>
  <c r="F139" i="3"/>
  <c r="C115" i="3"/>
  <c r="D115" i="3"/>
  <c r="D114" i="3"/>
  <c r="D116" i="3"/>
  <c r="E115" i="3"/>
  <c r="F115" i="3"/>
  <c r="C116" i="3"/>
  <c r="E116" i="3"/>
  <c r="F116" i="3"/>
  <c r="C114" i="3"/>
  <c r="F114" i="3"/>
  <c r="E114" i="3"/>
  <c r="D29" i="4"/>
  <c r="E30" i="4"/>
  <c r="F31" i="4"/>
  <c r="D33" i="4"/>
  <c r="E28" i="4"/>
  <c r="C31" i="4"/>
  <c r="F30" i="4"/>
  <c r="D32" i="4"/>
  <c r="E33" i="4"/>
  <c r="D28" i="4"/>
  <c r="C32" i="4"/>
  <c r="E29" i="4"/>
  <c r="F29" i="4"/>
  <c r="D31" i="4"/>
  <c r="E32" i="4"/>
  <c r="F32" i="4"/>
  <c r="F33" i="4"/>
  <c r="C29" i="4"/>
  <c r="C33" i="4"/>
  <c r="D30" i="4"/>
  <c r="E31" i="4"/>
  <c r="F28" i="4"/>
  <c r="C30" i="4"/>
  <c r="C28" i="4"/>
  <c r="F21" i="4"/>
  <c r="E20" i="4"/>
  <c r="D19" i="4"/>
  <c r="F17" i="4"/>
  <c r="E16" i="4"/>
  <c r="D15" i="4"/>
  <c r="C19" i="4"/>
  <c r="E21" i="4"/>
  <c r="D20" i="4"/>
  <c r="E17" i="4"/>
  <c r="D16" i="4"/>
  <c r="C16" i="4"/>
  <c r="C20" i="4"/>
  <c r="D21" i="4"/>
  <c r="E18" i="4"/>
  <c r="D17" i="4"/>
  <c r="F15" i="4"/>
  <c r="C17" i="4"/>
  <c r="C21" i="4"/>
  <c r="F20" i="4"/>
  <c r="E19" i="4"/>
  <c r="D18" i="4"/>
  <c r="F16" i="4"/>
  <c r="F18" i="4"/>
  <c r="F19" i="4"/>
  <c r="E15" i="4"/>
  <c r="C18" i="4"/>
  <c r="C15" i="4"/>
  <c r="C72" i="3"/>
  <c r="F69" i="3"/>
  <c r="D80" i="3"/>
  <c r="C80" i="3"/>
  <c r="C66" i="3"/>
  <c r="F70" i="3"/>
  <c r="C65" i="3"/>
  <c r="D79" i="3"/>
  <c r="C70" i="3"/>
  <c r="F72" i="3"/>
  <c r="E72" i="3"/>
  <c r="E81" i="3"/>
  <c r="F81" i="3"/>
  <c r="F71" i="3"/>
  <c r="D64" i="3"/>
  <c r="F78" i="3"/>
  <c r="D81" i="3"/>
  <c r="E70" i="3"/>
  <c r="D69" i="3"/>
  <c r="E69" i="3"/>
  <c r="D74" i="3"/>
  <c r="D65" i="3"/>
  <c r="C64" i="3"/>
  <c r="C68" i="3"/>
  <c r="E74" i="3"/>
  <c r="C69" i="3"/>
  <c r="E71" i="3"/>
  <c r="C74" i="3"/>
  <c r="C67" i="3"/>
  <c r="F79" i="3"/>
  <c r="D73" i="3"/>
  <c r="D70" i="3"/>
  <c r="F74" i="3"/>
  <c r="D68" i="3"/>
  <c r="E65" i="3"/>
  <c r="C73" i="3"/>
  <c r="C82" i="3"/>
  <c r="C79" i="3"/>
  <c r="E79" i="3"/>
  <c r="D67" i="3"/>
  <c r="F66" i="3"/>
  <c r="F67" i="3"/>
  <c r="E67" i="3"/>
  <c r="D66" i="3"/>
  <c r="D71" i="3"/>
  <c r="E78" i="3"/>
  <c r="E66" i="3"/>
  <c r="F80" i="3"/>
  <c r="D78" i="3"/>
  <c r="F73" i="3"/>
  <c r="E73" i="3"/>
  <c r="D82" i="3"/>
  <c r="F65" i="3"/>
  <c r="E68" i="3"/>
  <c r="E80" i="3"/>
  <c r="C81" i="3"/>
  <c r="C78" i="3"/>
  <c r="D72" i="3"/>
  <c r="F68" i="3"/>
  <c r="B4" i="8" l="1"/>
  <c r="W5" i="8"/>
  <c r="G4" i="8"/>
  <c r="Q3" i="33"/>
  <c r="C3" i="30"/>
  <c r="Q3" i="26"/>
  <c r="C3" i="44"/>
  <c r="AP18" i="24" s="1"/>
  <c r="AH35" i="24"/>
  <c r="AG37" i="24"/>
  <c r="Q3" i="30"/>
  <c r="AB31" i="24"/>
  <c r="V36" i="24"/>
  <c r="AO34" i="24"/>
  <c r="AO31" i="24"/>
  <c r="Q3" i="42"/>
  <c r="C3" i="36"/>
  <c r="AH18" i="24" s="1"/>
  <c r="Q3" i="34"/>
  <c r="AE34" i="24"/>
  <c r="AC35" i="24"/>
  <c r="AB37" i="24"/>
  <c r="C3" i="21"/>
  <c r="V18" i="24" s="1"/>
  <c r="C3" i="20"/>
  <c r="U18" i="24" s="1"/>
  <c r="T37" i="24"/>
  <c r="R34" i="24"/>
  <c r="C3" i="16"/>
  <c r="Q24" i="24" s="1"/>
  <c r="P35" i="24"/>
  <c r="AP32" i="24"/>
  <c r="AO32" i="24"/>
  <c r="A2" i="8"/>
  <c r="AK31" i="24"/>
  <c r="C3" i="37"/>
  <c r="AI20" i="24" s="1"/>
  <c r="AI36" i="24"/>
  <c r="AH34" i="24"/>
  <c r="AG34" i="24"/>
  <c r="AF34" i="24"/>
  <c r="AF31" i="24"/>
  <c r="AF37" i="24"/>
  <c r="AE37" i="24"/>
  <c r="AE36" i="24"/>
  <c r="AE33" i="24"/>
  <c r="AC13" i="24"/>
  <c r="AC18" i="24"/>
  <c r="AB14" i="24"/>
  <c r="AB18" i="24"/>
  <c r="AD33" i="24"/>
  <c r="AD14" i="24"/>
  <c r="AD18" i="24"/>
  <c r="AD36" i="24"/>
  <c r="AD35" i="24"/>
  <c r="AD9" i="24"/>
  <c r="AD31" i="24"/>
  <c r="Y37" i="24"/>
  <c r="Y36" i="24"/>
  <c r="Y32" i="24"/>
  <c r="Y33" i="24"/>
  <c r="X19" i="24"/>
  <c r="X18" i="24"/>
  <c r="I150" i="3"/>
  <c r="H150" i="3" s="1"/>
  <c r="W34" i="24"/>
  <c r="I143" i="4"/>
  <c r="H143" i="4" s="1"/>
  <c r="V37" i="24"/>
  <c r="Q3" i="20"/>
  <c r="U37" i="24"/>
  <c r="U36" i="24"/>
  <c r="U35" i="24"/>
  <c r="U34" i="24"/>
  <c r="C4" i="8"/>
  <c r="P34" i="24"/>
  <c r="O32" i="24"/>
  <c r="N35" i="24"/>
  <c r="O37" i="24"/>
  <c r="O35" i="24"/>
  <c r="O31" i="24"/>
  <c r="N37" i="24"/>
  <c r="N32" i="24"/>
  <c r="N33" i="24"/>
  <c r="AR34" i="24"/>
  <c r="AR35" i="24"/>
  <c r="C3" i="48"/>
  <c r="AR18" i="24" s="1"/>
  <c r="Q3" i="47"/>
  <c r="Q3" i="44"/>
  <c r="AP31" i="24"/>
  <c r="AP37" i="24"/>
  <c r="AP35" i="24"/>
  <c r="AO36" i="24"/>
  <c r="AN31" i="24"/>
  <c r="AN36" i="24"/>
  <c r="C3" i="39"/>
  <c r="AK16" i="24" s="1"/>
  <c r="Q3" i="39"/>
  <c r="AK36" i="24"/>
  <c r="AH37" i="24"/>
  <c r="AH33" i="24"/>
  <c r="AH32" i="24"/>
  <c r="AG36" i="24"/>
  <c r="AG31" i="24"/>
  <c r="AG35" i="24"/>
  <c r="AG33" i="24"/>
  <c r="AF36" i="24"/>
  <c r="AF33" i="24"/>
  <c r="AF35" i="24"/>
  <c r="AF32" i="24"/>
  <c r="AE35" i="24"/>
  <c r="AE32" i="24"/>
  <c r="AD37" i="24"/>
  <c r="AD21" i="24"/>
  <c r="AD13" i="24"/>
  <c r="AD34" i="24"/>
  <c r="AC37" i="24"/>
  <c r="AC33" i="24"/>
  <c r="AC36" i="24"/>
  <c r="AC34" i="24"/>
  <c r="AC32" i="24"/>
  <c r="AB33" i="24"/>
  <c r="AB32" i="24"/>
  <c r="AB36" i="24"/>
  <c r="AB35" i="24"/>
  <c r="AB24" i="24"/>
  <c r="AB34" i="24"/>
  <c r="Z37" i="24"/>
  <c r="Z36" i="24"/>
  <c r="Z35" i="24"/>
  <c r="Z34" i="24"/>
  <c r="Z33" i="24"/>
  <c r="Z32" i="24"/>
  <c r="C3" i="26"/>
  <c r="Y18" i="24" s="1"/>
  <c r="Y35" i="24"/>
  <c r="Y34" i="24"/>
  <c r="X20" i="24"/>
  <c r="X38" i="24"/>
  <c r="X34" i="24"/>
  <c r="X37" i="24"/>
  <c r="X10" i="24"/>
  <c r="X36" i="24"/>
  <c r="X8" i="24"/>
  <c r="X32" i="24"/>
  <c r="X33" i="24"/>
  <c r="X21" i="24"/>
  <c r="X35" i="24"/>
  <c r="W36" i="24"/>
  <c r="W33" i="24"/>
  <c r="W35" i="24"/>
  <c r="W32" i="24"/>
  <c r="W37" i="24"/>
  <c r="U33" i="24"/>
  <c r="U32" i="24"/>
  <c r="T35" i="24"/>
  <c r="T34" i="24"/>
  <c r="T36" i="24"/>
  <c r="T33" i="24"/>
  <c r="T32" i="24"/>
  <c r="S34" i="24"/>
  <c r="S36" i="24"/>
  <c r="S33" i="24"/>
  <c r="S35" i="24"/>
  <c r="S37" i="24"/>
  <c r="R32" i="24"/>
  <c r="Q36" i="24"/>
  <c r="Q34" i="24"/>
  <c r="Q35" i="24"/>
  <c r="Q33" i="24"/>
  <c r="Q37" i="24"/>
  <c r="Q32" i="24"/>
  <c r="P32" i="24"/>
  <c r="C3" i="14"/>
  <c r="O18" i="24" s="1"/>
  <c r="O36" i="24"/>
  <c r="Q3" i="14"/>
  <c r="O34" i="24"/>
  <c r="N36" i="24"/>
  <c r="C3" i="13"/>
  <c r="Q3" i="13"/>
  <c r="N34" i="24"/>
  <c r="Q3" i="48"/>
  <c r="AR13" i="24"/>
  <c r="AR37" i="24"/>
  <c r="AR9" i="24"/>
  <c r="AR17" i="24"/>
  <c r="AR31" i="24"/>
  <c r="AR32" i="24"/>
  <c r="AR11" i="24"/>
  <c r="AR33" i="24"/>
  <c r="AQ32" i="24"/>
  <c r="AQ33" i="24"/>
  <c r="AQ36" i="24"/>
  <c r="AQ35" i="24"/>
  <c r="AQ31" i="24"/>
  <c r="AQ37" i="24"/>
  <c r="AQ34" i="24"/>
  <c r="AP14" i="24"/>
  <c r="AP38" i="24"/>
  <c r="AP34" i="24"/>
  <c r="AP36" i="24"/>
  <c r="AO33" i="24"/>
  <c r="AO37" i="24"/>
  <c r="AN32" i="24"/>
  <c r="AN34" i="24"/>
  <c r="AN37" i="24"/>
  <c r="AN35" i="24"/>
  <c r="AN33" i="24"/>
  <c r="AL34" i="24"/>
  <c r="C3" i="40"/>
  <c r="T40" i="8" a="1"/>
  <c r="T40" i="8" s="1"/>
  <c r="U40" i="8" a="1"/>
  <c r="U40" i="8" s="1"/>
  <c r="AM31" i="24"/>
  <c r="AM37" i="24"/>
  <c r="AM34" i="24"/>
  <c r="AM35" i="24"/>
  <c r="AM32" i="24"/>
  <c r="AM36" i="24"/>
  <c r="AL35" i="24"/>
  <c r="AL31" i="24"/>
  <c r="AL36" i="24"/>
  <c r="AL32" i="24"/>
  <c r="Q3" i="40"/>
  <c r="AL33" i="24"/>
  <c r="AK9" i="24"/>
  <c r="AK7" i="24"/>
  <c r="AK37" i="24"/>
  <c r="AK32" i="24"/>
  <c r="AK33" i="24"/>
  <c r="AK34" i="24"/>
  <c r="Q3" i="37"/>
  <c r="AI35" i="24"/>
  <c r="AI32" i="24"/>
  <c r="AI37" i="24"/>
  <c r="AI34" i="24"/>
  <c r="AJ37" i="24"/>
  <c r="AJ36" i="24"/>
  <c r="AJ35" i="24"/>
  <c r="AJ32" i="24"/>
  <c r="Q3" i="38"/>
  <c r="AJ31" i="24"/>
  <c r="AJ34" i="24"/>
  <c r="C3" i="38"/>
  <c r="AI31" i="24"/>
  <c r="AH6" i="24"/>
  <c r="AH24" i="24"/>
  <c r="AH19" i="24"/>
  <c r="AH38" i="24"/>
  <c r="Q3" i="36"/>
  <c r="AH31" i="24"/>
  <c r="AE31" i="24"/>
  <c r="C3" i="33"/>
  <c r="AC6" i="24"/>
  <c r="AC11" i="24"/>
  <c r="AC31" i="24"/>
  <c r="AC17" i="24"/>
  <c r="AC9" i="24"/>
  <c r="AC10" i="24"/>
  <c r="AC8" i="24"/>
  <c r="AC38" i="24"/>
  <c r="AD24" i="24"/>
  <c r="Q3" i="32"/>
  <c r="AD6" i="24"/>
  <c r="AD15" i="24"/>
  <c r="AD38" i="24"/>
  <c r="AB20" i="24"/>
  <c r="AB9" i="24"/>
  <c r="AB8" i="24"/>
  <c r="AB22" i="24"/>
  <c r="AB38" i="24"/>
  <c r="AB6" i="24"/>
  <c r="E17" i="12"/>
  <c r="AA36" i="24"/>
  <c r="AA35" i="24"/>
  <c r="AA37" i="24"/>
  <c r="AA34" i="24"/>
  <c r="AA33" i="24"/>
  <c r="AA32" i="24"/>
  <c r="C105" i="3"/>
  <c r="C3" i="27"/>
  <c r="Z14" i="24" s="1"/>
  <c r="H8" i="12"/>
  <c r="M35" i="24" s="1"/>
  <c r="F34" i="12"/>
  <c r="E34" i="12"/>
  <c r="D34" i="12"/>
  <c r="C34" i="12"/>
  <c r="T13" i="8" a="1"/>
  <c r="T13" i="8" s="1"/>
  <c r="T25" i="8" a="1"/>
  <c r="T25" i="8" s="1"/>
  <c r="T22" i="8" a="1"/>
  <c r="T22" i="8" s="1"/>
  <c r="T14" i="8" a="1"/>
  <c r="T14" i="8" s="1"/>
  <c r="C22" i="12"/>
  <c r="D18" i="12"/>
  <c r="C33" i="12"/>
  <c r="E32" i="12"/>
  <c r="E30" i="12"/>
  <c r="E20" i="12"/>
  <c r="Y31" i="24"/>
  <c r="Y19" i="24"/>
  <c r="Y10" i="24"/>
  <c r="X22" i="24"/>
  <c r="X17" i="24"/>
  <c r="X23" i="24"/>
  <c r="C3" i="22"/>
  <c r="W20" i="24" s="1"/>
  <c r="R36" i="24"/>
  <c r="P36" i="24"/>
  <c r="P33" i="24"/>
  <c r="P37" i="24"/>
  <c r="V35" i="24"/>
  <c r="V34" i="24"/>
  <c r="V33" i="24"/>
  <c r="V32" i="24"/>
  <c r="F20" i="12"/>
  <c r="D30" i="12"/>
  <c r="F21" i="12"/>
  <c r="D19" i="12"/>
  <c r="C21" i="12"/>
  <c r="C32" i="12"/>
  <c r="E31" i="12"/>
  <c r="D23" i="12"/>
  <c r="D33" i="12"/>
  <c r="E33" i="12"/>
  <c r="C30" i="12"/>
  <c r="F17" i="12"/>
  <c r="R35" i="24"/>
  <c r="R37" i="24"/>
  <c r="R33" i="24"/>
  <c r="U31" i="24"/>
  <c r="I148" i="3"/>
  <c r="H148" i="3" s="1"/>
  <c r="F33" i="12"/>
  <c r="F19" i="12"/>
  <c r="D21" i="12"/>
  <c r="F23" i="12"/>
  <c r="F30" i="12"/>
  <c r="E22" i="12"/>
  <c r="I149" i="3"/>
  <c r="H149" i="3" s="1"/>
  <c r="I153" i="3"/>
  <c r="H153" i="3" s="1"/>
  <c r="F22" i="12"/>
  <c r="C20" i="12"/>
  <c r="D17" i="12"/>
  <c r="D32" i="12"/>
  <c r="C19" i="12"/>
  <c r="E19" i="12"/>
  <c r="E23" i="12"/>
  <c r="D20" i="12"/>
  <c r="C23" i="12"/>
  <c r="F18" i="12"/>
  <c r="F32" i="12"/>
  <c r="C18" i="12"/>
  <c r="I152" i="3"/>
  <c r="H152" i="3" s="1"/>
  <c r="I146" i="3"/>
  <c r="H146" i="3" s="1"/>
  <c r="F31" i="12"/>
  <c r="I6" i="3"/>
  <c r="H6" i="3" s="1"/>
  <c r="C3" i="18"/>
  <c r="S12" i="24" s="1"/>
  <c r="Q3" i="18"/>
  <c r="S31" i="24"/>
  <c r="K6" i="8"/>
  <c r="I130" i="4"/>
  <c r="H130" i="4" s="1"/>
  <c r="I131" i="4"/>
  <c r="H131" i="4" s="1"/>
  <c r="I145" i="4"/>
  <c r="H145" i="4" s="1"/>
  <c r="I149" i="4"/>
  <c r="H149" i="4" s="1"/>
  <c r="I7" i="3"/>
  <c r="H7" i="3" s="1"/>
  <c r="I6" i="12"/>
  <c r="H6" i="12" s="1"/>
  <c r="M33" i="24" s="1"/>
  <c r="E152" i="4"/>
  <c r="I91" i="4"/>
  <c r="H91" i="4" s="1"/>
  <c r="I154" i="3"/>
  <c r="H154" i="3" s="1"/>
  <c r="I5" i="12"/>
  <c r="H5" i="12" s="1"/>
  <c r="M32" i="24" s="1"/>
  <c r="I4" i="12"/>
  <c r="H4" i="12" s="1"/>
  <c r="M31" i="24" s="1"/>
  <c r="I77" i="3"/>
  <c r="H77" i="3" s="1"/>
  <c r="C43" i="4"/>
  <c r="I67" i="4"/>
  <c r="H67" i="4" s="1"/>
  <c r="I75" i="3"/>
  <c r="H75" i="3" s="1"/>
  <c r="F137" i="4"/>
  <c r="U34" i="8" a="1"/>
  <c r="U34" i="8" s="1"/>
  <c r="T20" i="8" a="1"/>
  <c r="T20" i="8" s="1"/>
  <c r="T21" i="8" a="1"/>
  <c r="T21" i="8" s="1"/>
  <c r="T29" i="8" a="1"/>
  <c r="T29" i="8" s="1"/>
  <c r="B2" i="8" a="1"/>
  <c r="B2" i="8" s="1"/>
  <c r="T31" i="8" a="1"/>
  <c r="T31" i="8" s="1"/>
  <c r="T11" i="8" a="1"/>
  <c r="T11" i="8" s="1"/>
  <c r="T16" i="8" a="1"/>
  <c r="T16" i="8" s="1"/>
  <c r="T26" i="8" a="1"/>
  <c r="T26" i="8" s="1"/>
  <c r="U10" i="8" a="1"/>
  <c r="U10" i="8" s="1"/>
  <c r="T24" i="8" a="1"/>
  <c r="T24" i="8" s="1"/>
  <c r="T27" i="8" a="1"/>
  <c r="T27" i="8" s="1"/>
  <c r="T17" i="8" a="1"/>
  <c r="T17" i="8" s="1"/>
  <c r="T28" i="8" a="1"/>
  <c r="T28" i="8" s="1"/>
  <c r="U16" i="8" a="1"/>
  <c r="U16" i="8" s="1"/>
  <c r="T39" i="8" a="1"/>
  <c r="T39" i="8" s="1"/>
  <c r="T10" i="8" a="1"/>
  <c r="T10" i="8" s="1"/>
  <c r="T23" i="8" a="1"/>
  <c r="T23" i="8" s="1"/>
  <c r="T33" i="8" a="1"/>
  <c r="T33" i="8" s="1"/>
  <c r="T12" i="8" a="1"/>
  <c r="T12" i="8" s="1"/>
  <c r="T35" i="8" a="1"/>
  <c r="T35" i="8" s="1"/>
  <c r="T38" i="8" a="1"/>
  <c r="T38" i="8" s="1"/>
  <c r="T30" i="8" a="1"/>
  <c r="T30" i="8" s="1"/>
  <c r="U24" i="8" a="1"/>
  <c r="U24" i="8" s="1"/>
  <c r="T32" i="8" a="1"/>
  <c r="T32" i="8" s="1"/>
  <c r="U13" i="8" a="1"/>
  <c r="U13" i="8" s="1"/>
  <c r="U15" i="8" a="1"/>
  <c r="U15" i="8" s="1"/>
  <c r="T36" i="8" a="1"/>
  <c r="T36" i="8" s="1"/>
  <c r="U23" i="8" a="1"/>
  <c r="U23" i="8" s="1"/>
  <c r="T37" i="8" a="1"/>
  <c r="T37" i="8" s="1"/>
  <c r="U32" i="8" a="1"/>
  <c r="U32" i="8" s="1"/>
  <c r="U28" i="8" a="1"/>
  <c r="U28" i="8" s="1"/>
  <c r="U21" i="8" a="1"/>
  <c r="U21" i="8" s="1"/>
  <c r="U29" i="8" a="1"/>
  <c r="U29" i="8" s="1"/>
  <c r="U35" i="8" a="1"/>
  <c r="U35" i="8" s="1"/>
  <c r="U14" i="8" a="1"/>
  <c r="U14" i="8" s="1"/>
  <c r="U22" i="8" a="1"/>
  <c r="U22" i="8" s="1"/>
  <c r="U30" i="8" a="1"/>
  <c r="U30" i="8" s="1"/>
  <c r="U31" i="8" a="1"/>
  <c r="U31" i="8" s="1"/>
  <c r="U36" i="8" a="1"/>
  <c r="U36" i="8" s="1"/>
  <c r="T18" i="8" a="1"/>
  <c r="T18" i="8" s="1"/>
  <c r="T19" i="8" a="1"/>
  <c r="T19" i="8" s="1"/>
  <c r="T15" i="8" a="1"/>
  <c r="T15" i="8" s="1"/>
  <c r="U17" i="8" a="1"/>
  <c r="U17" i="8" s="1"/>
  <c r="U25" i="8" a="1"/>
  <c r="U25" i="8" s="1"/>
  <c r="U33" i="8" a="1"/>
  <c r="U33" i="8" s="1"/>
  <c r="U39" i="8" a="1"/>
  <c r="U39" i="8" s="1"/>
  <c r="U18" i="8" a="1"/>
  <c r="U18" i="8" s="1"/>
  <c r="U26" i="8" a="1"/>
  <c r="U26" i="8" s="1"/>
  <c r="U37" i="8" a="1"/>
  <c r="U37" i="8" s="1"/>
  <c r="U11" i="8" a="1"/>
  <c r="U11" i="8" s="1"/>
  <c r="U19" i="8" a="1"/>
  <c r="U19" i="8" s="1"/>
  <c r="U27" i="8" a="1"/>
  <c r="U27" i="8" s="1"/>
  <c r="U38" i="8" a="1"/>
  <c r="U38" i="8" s="1"/>
  <c r="T34" i="8" a="1"/>
  <c r="T34" i="8" s="1"/>
  <c r="U12" i="8" a="1"/>
  <c r="U12" i="8" s="1"/>
  <c r="U20" i="8" a="1"/>
  <c r="U20" i="8" s="1"/>
  <c r="F11" i="12"/>
  <c r="C41" i="4"/>
  <c r="I133" i="4"/>
  <c r="H133" i="4" s="1"/>
  <c r="I135" i="4"/>
  <c r="H135" i="4" s="1"/>
  <c r="I108" i="4"/>
  <c r="H108" i="4" s="1"/>
  <c r="I9" i="12"/>
  <c r="H9" i="12" s="1"/>
  <c r="M36" i="24" s="1"/>
  <c r="F152" i="4"/>
  <c r="C77" i="4"/>
  <c r="E41" i="4"/>
  <c r="I90" i="4"/>
  <c r="H90" i="4" s="1"/>
  <c r="I104" i="4"/>
  <c r="H104" i="4" s="1"/>
  <c r="I133" i="3"/>
  <c r="H133" i="3" s="1"/>
  <c r="I125" i="3"/>
  <c r="H125" i="3" s="1"/>
  <c r="I128" i="4"/>
  <c r="H128" i="4" s="1"/>
  <c r="C78" i="4"/>
  <c r="F44" i="4"/>
  <c r="D6" i="4"/>
  <c r="C11" i="12"/>
  <c r="D119" i="4"/>
  <c r="I95" i="4"/>
  <c r="H95" i="4" s="1"/>
  <c r="C9" i="3"/>
  <c r="I69" i="4"/>
  <c r="H69" i="4" s="1"/>
  <c r="I102" i="4"/>
  <c r="H102" i="4" s="1"/>
  <c r="F9" i="3"/>
  <c r="I7" i="12"/>
  <c r="H7" i="12" s="1"/>
  <c r="M34" i="24" s="1"/>
  <c r="I81" i="3"/>
  <c r="H81" i="3" s="1"/>
  <c r="I115" i="3"/>
  <c r="H115" i="3" s="1"/>
  <c r="I106" i="4"/>
  <c r="H106" i="4" s="1"/>
  <c r="I4" i="3"/>
  <c r="H4" i="3" s="1"/>
  <c r="I69" i="3"/>
  <c r="H69" i="3" s="1"/>
  <c r="I31" i="4"/>
  <c r="H31" i="4" s="1"/>
  <c r="I54" i="4"/>
  <c r="H54" i="4" s="1"/>
  <c r="D9" i="3"/>
  <c r="D11" i="12"/>
  <c r="I82" i="3"/>
  <c r="H82" i="3" s="1"/>
  <c r="E11" i="12"/>
  <c r="I146" i="4"/>
  <c r="H146" i="4" s="1"/>
  <c r="I55" i="4"/>
  <c r="H55" i="4" s="1"/>
  <c r="E6" i="4"/>
  <c r="C115" i="4"/>
  <c r="F120" i="4"/>
  <c r="I53" i="4"/>
  <c r="H53" i="4" s="1"/>
  <c r="E70" i="4"/>
  <c r="I129" i="4"/>
  <c r="H129" i="4" s="1"/>
  <c r="I144" i="4"/>
  <c r="H144" i="4" s="1"/>
  <c r="I147" i="4"/>
  <c r="H147" i="4" s="1"/>
  <c r="I134" i="4"/>
  <c r="H134" i="4" s="1"/>
  <c r="E9" i="3"/>
  <c r="E42" i="4"/>
  <c r="F70" i="4"/>
  <c r="E44" i="4"/>
  <c r="E116" i="4"/>
  <c r="D41" i="4"/>
  <c r="D79" i="4"/>
  <c r="F7" i="4"/>
  <c r="E43" i="4"/>
  <c r="C116" i="4"/>
  <c r="F116" i="4"/>
  <c r="F119" i="4"/>
  <c r="F117" i="4"/>
  <c r="F79" i="4"/>
  <c r="C117" i="4"/>
  <c r="I73" i="3"/>
  <c r="H73" i="3" s="1"/>
  <c r="I67" i="3"/>
  <c r="H67" i="3" s="1"/>
  <c r="I16" i="4"/>
  <c r="H16" i="4" s="1"/>
  <c r="I147" i="3"/>
  <c r="H147" i="3" s="1"/>
  <c r="I68" i="3"/>
  <c r="H68" i="3" s="1"/>
  <c r="I70" i="3"/>
  <c r="H70" i="3" s="1"/>
  <c r="C34" i="4"/>
  <c r="I52" i="4"/>
  <c r="H52" i="4" s="1"/>
  <c r="I68" i="4"/>
  <c r="H68" i="4" s="1"/>
  <c r="I64" i="3"/>
  <c r="H64" i="3" s="1"/>
  <c r="I65" i="3"/>
  <c r="H65" i="3" s="1"/>
  <c r="I15" i="4"/>
  <c r="H15" i="4" s="1"/>
  <c r="D22" i="4"/>
  <c r="C141" i="3"/>
  <c r="I64" i="4"/>
  <c r="H64" i="4" s="1"/>
  <c r="I66" i="4"/>
  <c r="H66" i="4" s="1"/>
  <c r="F96" i="4"/>
  <c r="E96" i="4"/>
  <c r="I93" i="4"/>
  <c r="H93" i="4" s="1"/>
  <c r="D137" i="4"/>
  <c r="I5" i="3"/>
  <c r="H5" i="3" s="1"/>
  <c r="E7" i="4"/>
  <c r="F40" i="4"/>
  <c r="F81" i="4"/>
  <c r="D80" i="4"/>
  <c r="E79" i="4"/>
  <c r="D5" i="4"/>
  <c r="F5" i="4"/>
  <c r="C42" i="4"/>
  <c r="C119" i="4"/>
  <c r="D43" i="4"/>
  <c r="E5" i="4"/>
  <c r="C118" i="4"/>
  <c r="E4" i="4"/>
  <c r="E81" i="4"/>
  <c r="C40" i="4"/>
  <c r="D120" i="4"/>
  <c r="C80" i="4"/>
  <c r="E119" i="4"/>
  <c r="E22" i="4"/>
  <c r="C81" i="4"/>
  <c r="I20" i="4"/>
  <c r="H20" i="4" s="1"/>
  <c r="E40" i="4"/>
  <c r="D7" i="4"/>
  <c r="D78" i="4"/>
  <c r="D40" i="4"/>
  <c r="D152" i="4"/>
  <c r="I10" i="12"/>
  <c r="H10" i="12" s="1"/>
  <c r="M37" i="24" s="1"/>
  <c r="F80" i="4"/>
  <c r="C44" i="4"/>
  <c r="D115" i="4"/>
  <c r="E115" i="4"/>
  <c r="D118" i="4"/>
  <c r="D44" i="4"/>
  <c r="F115" i="4"/>
  <c r="E120" i="4"/>
  <c r="C120" i="4"/>
  <c r="I138" i="3"/>
  <c r="H138" i="3" s="1"/>
  <c r="C4" i="4"/>
  <c r="D116" i="4"/>
  <c r="E77" i="4"/>
  <c r="F77" i="4"/>
  <c r="F118" i="4"/>
  <c r="D77" i="4"/>
  <c r="E118" i="4"/>
  <c r="F42" i="4"/>
  <c r="I71" i="3"/>
  <c r="H71" i="3" s="1"/>
  <c r="F43" i="4"/>
  <c r="D81" i="4"/>
  <c r="C79" i="4"/>
  <c r="F41" i="4"/>
  <c r="F4" i="4"/>
  <c r="C6" i="4"/>
  <c r="D4" i="4"/>
  <c r="F6" i="4"/>
  <c r="C7" i="4"/>
  <c r="F78" i="4"/>
  <c r="E80" i="4"/>
  <c r="D42" i="4"/>
  <c r="D117" i="4"/>
  <c r="E155" i="3"/>
  <c r="I79" i="3"/>
  <c r="H79" i="3" s="1"/>
  <c r="E141" i="3"/>
  <c r="E127" i="3"/>
  <c r="E58" i="4"/>
  <c r="C58" i="4"/>
  <c r="I105" i="4"/>
  <c r="H105" i="4" s="1"/>
  <c r="I132" i="4"/>
  <c r="H132" i="4" s="1"/>
  <c r="I148" i="4"/>
  <c r="H148" i="4" s="1"/>
  <c r="I150" i="4"/>
  <c r="H150" i="4" s="1"/>
  <c r="I8" i="3"/>
  <c r="H8" i="3" s="1"/>
  <c r="C155" i="3"/>
  <c r="D155" i="3"/>
  <c r="I30" i="4"/>
  <c r="H30" i="4" s="1"/>
  <c r="I33" i="4"/>
  <c r="H33" i="4" s="1"/>
  <c r="C127" i="3"/>
  <c r="C5" i="4"/>
  <c r="I18" i="4"/>
  <c r="H18" i="4" s="1"/>
  <c r="I21" i="4"/>
  <c r="H21" i="4" s="1"/>
  <c r="I32" i="4"/>
  <c r="H32" i="4" s="1"/>
  <c r="I114" i="3"/>
  <c r="H114" i="3" s="1"/>
  <c r="I137" i="3"/>
  <c r="H137" i="3" s="1"/>
  <c r="I135" i="3"/>
  <c r="H135" i="3" s="1"/>
  <c r="I123" i="3"/>
  <c r="H123" i="3" s="1"/>
  <c r="I72" i="3"/>
  <c r="H72" i="3" s="1"/>
  <c r="F34" i="4"/>
  <c r="C118" i="3"/>
  <c r="D141" i="3"/>
  <c r="D127" i="3"/>
  <c r="I57" i="4"/>
  <c r="H57" i="4" s="1"/>
  <c r="C70" i="4"/>
  <c r="I89" i="4"/>
  <c r="H89" i="4" s="1"/>
  <c r="D96" i="4"/>
  <c r="I94" i="4"/>
  <c r="H94" i="4" s="1"/>
  <c r="C137" i="4"/>
  <c r="C152" i="4"/>
  <c r="F155" i="3"/>
  <c r="D33" i="3"/>
  <c r="F18" i="3"/>
  <c r="F26" i="3"/>
  <c r="E98" i="3"/>
  <c r="F24" i="3"/>
  <c r="F30" i="3"/>
  <c r="D106" i="3"/>
  <c r="C92" i="3"/>
  <c r="D95" i="3"/>
  <c r="E89" i="3"/>
  <c r="D25" i="3"/>
  <c r="I92" i="4"/>
  <c r="H92" i="4" s="1"/>
  <c r="I151" i="3"/>
  <c r="H151" i="3" s="1"/>
  <c r="D118" i="3"/>
  <c r="D58" i="4"/>
  <c r="I66" i="3"/>
  <c r="H66" i="3" s="1"/>
  <c r="I74" i="3"/>
  <c r="H74" i="3" s="1"/>
  <c r="I19" i="4"/>
  <c r="H19" i="4" s="1"/>
  <c r="I28" i="4"/>
  <c r="H28" i="4" s="1"/>
  <c r="F118" i="3"/>
  <c r="I80" i="3"/>
  <c r="H80" i="3" s="1"/>
  <c r="D84" i="3"/>
  <c r="C22" i="4"/>
  <c r="D34" i="4"/>
  <c r="I136" i="3"/>
  <c r="H136" i="3" s="1"/>
  <c r="I134" i="3"/>
  <c r="H134" i="3" s="1"/>
  <c r="I124" i="3"/>
  <c r="H124" i="3" s="1"/>
  <c r="I56" i="4"/>
  <c r="H56" i="4" s="1"/>
  <c r="D70" i="4"/>
  <c r="I65" i="4"/>
  <c r="H65" i="4" s="1"/>
  <c r="F109" i="4"/>
  <c r="D109" i="4"/>
  <c r="C109" i="4"/>
  <c r="C96" i="4"/>
  <c r="I107" i="4"/>
  <c r="H107" i="4" s="1"/>
  <c r="E137" i="4"/>
  <c r="I78" i="3"/>
  <c r="H78" i="3" s="1"/>
  <c r="C84" i="3"/>
  <c r="F22" i="4"/>
  <c r="I17" i="4"/>
  <c r="H17" i="4" s="1"/>
  <c r="I29" i="4"/>
  <c r="H29" i="4" s="1"/>
  <c r="E34" i="4"/>
  <c r="E118" i="3"/>
  <c r="I116" i="3"/>
  <c r="H116" i="3" s="1"/>
  <c r="F141" i="3"/>
  <c r="I132" i="3"/>
  <c r="H132" i="3" s="1"/>
  <c r="F58" i="4"/>
  <c r="E109" i="4"/>
  <c r="I103" i="4"/>
  <c r="H103" i="4" s="1"/>
  <c r="F84" i="3"/>
  <c r="I139" i="3"/>
  <c r="H139" i="3" s="1"/>
  <c r="E84" i="3"/>
  <c r="F127" i="3"/>
  <c r="E117" i="4"/>
  <c r="E78" i="4"/>
  <c r="C31" i="12"/>
  <c r="E21" i="12"/>
  <c r="D22" i="12"/>
  <c r="C17" i="12"/>
  <c r="D31" i="12"/>
  <c r="E18" i="12"/>
  <c r="C26" i="24"/>
  <c r="C38" i="24"/>
  <c r="Q3" i="17"/>
  <c r="C3" i="17"/>
  <c r="R21" i="24" s="1"/>
  <c r="C3" i="15"/>
  <c r="P17" i="24" s="1"/>
  <c r="Q3" i="15"/>
  <c r="N6" i="24"/>
  <c r="N16" i="24"/>
  <c r="C3" i="47"/>
  <c r="AP22" i="24"/>
  <c r="AP13" i="24"/>
  <c r="AP24" i="24"/>
  <c r="AP26" i="24"/>
  <c r="AP20" i="24"/>
  <c r="AP11" i="24"/>
  <c r="AP10" i="24"/>
  <c r="AP17" i="24"/>
  <c r="AP9" i="24"/>
  <c r="AP21" i="24"/>
  <c r="AP19" i="24"/>
  <c r="AP16" i="24"/>
  <c r="AP8" i="24"/>
  <c r="AP12" i="24"/>
  <c r="AP6" i="24"/>
  <c r="AP15" i="24"/>
  <c r="AP7" i="24"/>
  <c r="AP23" i="24"/>
  <c r="C3" i="43"/>
  <c r="AO10" i="24" s="1"/>
  <c r="Q3" i="43"/>
  <c r="C3" i="42"/>
  <c r="C3" i="41"/>
  <c r="AM11" i="24" s="1"/>
  <c r="Q3" i="41"/>
  <c r="AH26" i="24"/>
  <c r="AH13" i="24"/>
  <c r="AH16" i="24"/>
  <c r="AH20" i="24"/>
  <c r="C3" i="35"/>
  <c r="AG26" i="24" s="1"/>
  <c r="Q3" i="35"/>
  <c r="C3" i="34"/>
  <c r="AF18" i="24" s="1"/>
  <c r="AC12" i="24"/>
  <c r="AC20" i="24"/>
  <c r="AC24" i="24"/>
  <c r="AB10" i="24"/>
  <c r="AB17" i="24"/>
  <c r="AB13" i="24"/>
  <c r="AB12" i="24"/>
  <c r="AB15" i="24"/>
  <c r="AB23" i="24"/>
  <c r="AB16" i="24"/>
  <c r="AB19" i="24"/>
  <c r="AB21" i="24"/>
  <c r="AB26" i="24"/>
  <c r="Q3" i="28"/>
  <c r="C3" i="28"/>
  <c r="AA17" i="24" s="1"/>
  <c r="Q3" i="27"/>
  <c r="Y20" i="24"/>
  <c r="Q3" i="25"/>
  <c r="X6" i="24"/>
  <c r="X24" i="24"/>
  <c r="W7" i="24"/>
  <c r="W15" i="24"/>
  <c r="W22" i="24"/>
  <c r="C6" i="8"/>
  <c r="Q3" i="22"/>
  <c r="Q3" i="21"/>
  <c r="Q3" i="19"/>
  <c r="C3" i="19"/>
  <c r="T18" i="24" s="1"/>
  <c r="S10" i="24"/>
  <c r="S26" i="24"/>
  <c r="Q3" i="16"/>
  <c r="AL7" i="24"/>
  <c r="AL11" i="24"/>
  <c r="AL13" i="24"/>
  <c r="AK15" i="24"/>
  <c r="AH21" i="24"/>
  <c r="AH14" i="24"/>
  <c r="AH11" i="24"/>
  <c r="AH15" i="24"/>
  <c r="AH8" i="24"/>
  <c r="AE16" i="24"/>
  <c r="AD17" i="24"/>
  <c r="AD7" i="24"/>
  <c r="AD8" i="24"/>
  <c r="AD19" i="24"/>
  <c r="AD22" i="24"/>
  <c r="AD10" i="24"/>
  <c r="AD11" i="24"/>
  <c r="AD12" i="24"/>
  <c r="AD16" i="24"/>
  <c r="AD20" i="24"/>
  <c r="AD23" i="24"/>
  <c r="AD26" i="24"/>
  <c r="AC22" i="24"/>
  <c r="AC16" i="24"/>
  <c r="AC7" i="24"/>
  <c r="AC19" i="24"/>
  <c r="AC15" i="24"/>
  <c r="AC26" i="24"/>
  <c r="AC23" i="24"/>
  <c r="AC21" i="24"/>
  <c r="AC14" i="24"/>
  <c r="AB11" i="24"/>
  <c r="X15" i="24"/>
  <c r="X13" i="24"/>
  <c r="X11" i="24"/>
  <c r="X9" i="24"/>
  <c r="X16" i="24"/>
  <c r="X26" i="24"/>
  <c r="X7" i="24"/>
  <c r="X14" i="24"/>
  <c r="X12" i="24"/>
  <c r="W6" i="24"/>
  <c r="W21" i="24"/>
  <c r="W16" i="24"/>
  <c r="V20" i="24"/>
  <c r="V11" i="24"/>
  <c r="V12" i="24"/>
  <c r="U22" i="24"/>
  <c r="U6" i="24"/>
  <c r="T16" i="24"/>
  <c r="Q7" i="24"/>
  <c r="Q11" i="24"/>
  <c r="Q15" i="24"/>
  <c r="Q20" i="24"/>
  <c r="Q12" i="24"/>
  <c r="Q16" i="24"/>
  <c r="Q21" i="24"/>
  <c r="Q26" i="24"/>
  <c r="Q9" i="24"/>
  <c r="Q13" i="24"/>
  <c r="Q10" i="24"/>
  <c r="Q14" i="24"/>
  <c r="Q19" i="24"/>
  <c r="Q23" i="24"/>
  <c r="AO8" i="24" l="1"/>
  <c r="AH9" i="24"/>
  <c r="AH22" i="24"/>
  <c r="AH17" i="24"/>
  <c r="AG8" i="24"/>
  <c r="AA14" i="24"/>
  <c r="W11" i="24"/>
  <c r="V15" i="24"/>
  <c r="V8" i="24"/>
  <c r="V24" i="24"/>
  <c r="U17" i="24"/>
  <c r="U13" i="24"/>
  <c r="U20" i="24"/>
  <c r="U9" i="24"/>
  <c r="U14" i="24"/>
  <c r="U38" i="24"/>
  <c r="U15" i="24"/>
  <c r="U11" i="24"/>
  <c r="U7" i="24"/>
  <c r="U26" i="24"/>
  <c r="U10" i="24"/>
  <c r="U16" i="24"/>
  <c r="U23" i="24"/>
  <c r="U8" i="24"/>
  <c r="Q22" i="24"/>
  <c r="Q8" i="24"/>
  <c r="Q17" i="24"/>
  <c r="AK19" i="24"/>
  <c r="AK24" i="24"/>
  <c r="AK17" i="24"/>
  <c r="AI6" i="24"/>
  <c r="AI17" i="24"/>
  <c r="AI10" i="24"/>
  <c r="AH7" i="24"/>
  <c r="AH10" i="24"/>
  <c r="AH12" i="24"/>
  <c r="AH23" i="24"/>
  <c r="AG13" i="24"/>
  <c r="AG9" i="24"/>
  <c r="W8" i="24"/>
  <c r="W13" i="24"/>
  <c r="W19" i="24"/>
  <c r="W17" i="24"/>
  <c r="V38" i="24"/>
  <c r="V21" i="24"/>
  <c r="V9" i="24"/>
  <c r="V19" i="24"/>
  <c r="V17" i="24"/>
  <c r="V22" i="24"/>
  <c r="V6" i="24"/>
  <c r="V14" i="24"/>
  <c r="V10" i="24"/>
  <c r="V16" i="24"/>
  <c r="V13" i="24"/>
  <c r="V7" i="24"/>
  <c r="V23" i="24"/>
  <c r="V26" i="24"/>
  <c r="U19" i="24"/>
  <c r="U21" i="24"/>
  <c r="U24" i="24"/>
  <c r="U12" i="24"/>
  <c r="S6" i="24"/>
  <c r="AR12" i="24"/>
  <c r="AR7" i="24"/>
  <c r="AR26" i="24"/>
  <c r="AR22" i="24"/>
  <c r="AR24" i="24"/>
  <c r="AR38" i="24"/>
  <c r="AR15" i="24"/>
  <c r="AR16" i="24"/>
  <c r="AR21" i="24"/>
  <c r="AR19" i="24"/>
  <c r="AR8" i="24"/>
  <c r="AR10" i="24"/>
  <c r="AR14" i="24"/>
  <c r="AI13" i="24"/>
  <c r="AI21" i="24"/>
  <c r="AI26" i="24"/>
  <c r="AI24" i="24"/>
  <c r="AI8" i="24"/>
  <c r="AI14" i="24"/>
  <c r="AI15" i="24"/>
  <c r="AI22" i="24"/>
  <c r="AI11" i="24"/>
  <c r="AI18" i="24"/>
  <c r="AI12" i="24"/>
  <c r="AI23" i="24"/>
  <c r="AI19" i="24"/>
  <c r="AI9" i="24"/>
  <c r="AI7" i="24"/>
  <c r="AI16" i="24"/>
  <c r="AI38" i="24"/>
  <c r="AF16" i="24"/>
  <c r="Z13" i="24"/>
  <c r="Y13" i="24"/>
  <c r="Y12" i="24"/>
  <c r="S38" i="24"/>
  <c r="S18" i="24"/>
  <c r="Q38" i="24"/>
  <c r="Q18" i="24"/>
  <c r="Q6" i="24"/>
  <c r="P10" i="24"/>
  <c r="N14" i="24"/>
  <c r="N18" i="24"/>
  <c r="AQ38" i="24"/>
  <c r="AQ18" i="24"/>
  <c r="AO24" i="24"/>
  <c r="AO11" i="24"/>
  <c r="AO20" i="24"/>
  <c r="AO18" i="24"/>
  <c r="AO17" i="24"/>
  <c r="AO23" i="24"/>
  <c r="AO14" i="24"/>
  <c r="AO21" i="24"/>
  <c r="AO13" i="24"/>
  <c r="AN16" i="24"/>
  <c r="AN18" i="24"/>
  <c r="AN17" i="24"/>
  <c r="AN9" i="24"/>
  <c r="AM23" i="24"/>
  <c r="AM18" i="24"/>
  <c r="AK38" i="24"/>
  <c r="AK18" i="24"/>
  <c r="AL19" i="24"/>
  <c r="AL18" i="24"/>
  <c r="AL10" i="24"/>
  <c r="AG10" i="24"/>
  <c r="AG18" i="24"/>
  <c r="AJ10" i="24"/>
  <c r="AJ18" i="24"/>
  <c r="AE8" i="24"/>
  <c r="AE18" i="24"/>
  <c r="AE13" i="24"/>
  <c r="AE15" i="24"/>
  <c r="AE7" i="24"/>
  <c r="AA26" i="24"/>
  <c r="AA18" i="24"/>
  <c r="AA7" i="24"/>
  <c r="Z9" i="24"/>
  <c r="Z18" i="24"/>
  <c r="Y16" i="24"/>
  <c r="Y14" i="24"/>
  <c r="Y11" i="24"/>
  <c r="Y23" i="24"/>
  <c r="Y21" i="24"/>
  <c r="Y15" i="24"/>
  <c r="Y6" i="24"/>
  <c r="Y26" i="24"/>
  <c r="Y7" i="24"/>
  <c r="Y9" i="24"/>
  <c r="W10" i="24"/>
  <c r="W23" i="24"/>
  <c r="W12" i="24"/>
  <c r="W24" i="24"/>
  <c r="W14" i="24"/>
  <c r="W26" i="24"/>
  <c r="W18" i="24"/>
  <c r="T8" i="24"/>
  <c r="T22" i="24"/>
  <c r="R7" i="24"/>
  <c r="R38" i="24"/>
  <c r="R18" i="24"/>
  <c r="P26" i="24"/>
  <c r="P7" i="24"/>
  <c r="P18" i="24"/>
  <c r="P15" i="24"/>
  <c r="S16" i="24"/>
  <c r="S21" i="24"/>
  <c r="S9" i="24"/>
  <c r="N15" i="24"/>
  <c r="N26" i="24"/>
  <c r="N17" i="24"/>
  <c r="N12" i="24"/>
  <c r="N8" i="24"/>
  <c r="N21" i="24"/>
  <c r="N13" i="24"/>
  <c r="N7" i="24"/>
  <c r="N9" i="24"/>
  <c r="N23" i="24"/>
  <c r="N22" i="24"/>
  <c r="AR20" i="24"/>
  <c r="AR23" i="24"/>
  <c r="AR6" i="24"/>
  <c r="AO15" i="24"/>
  <c r="AO12" i="24"/>
  <c r="AO7" i="24"/>
  <c r="AO26" i="24"/>
  <c r="AN6" i="24"/>
  <c r="AN22" i="24"/>
  <c r="AN13" i="24"/>
  <c r="AN21" i="24"/>
  <c r="AL9" i="24"/>
  <c r="AL16" i="24"/>
  <c r="AL12" i="24"/>
  <c r="AL23" i="24"/>
  <c r="AL22" i="24"/>
  <c r="AL26" i="24"/>
  <c r="AL15" i="24"/>
  <c r="AL17" i="24"/>
  <c r="AK6" i="24"/>
  <c r="AK8" i="24"/>
  <c r="AK20" i="24"/>
  <c r="AK22" i="24"/>
  <c r="AK13" i="24"/>
  <c r="AK12" i="24"/>
  <c r="AK14" i="24"/>
  <c r="AK21" i="24"/>
  <c r="AK11" i="24"/>
  <c r="AK26" i="24"/>
  <c r="AK10" i="24"/>
  <c r="AK23" i="24"/>
  <c r="AG19" i="24"/>
  <c r="AG17" i="24"/>
  <c r="AG15" i="24"/>
  <c r="AE12" i="24"/>
  <c r="AE26" i="24"/>
  <c r="AE11" i="24"/>
  <c r="AE14" i="24"/>
  <c r="AA9" i="24"/>
  <c r="AA8" i="24"/>
  <c r="AA12" i="24"/>
  <c r="AA11" i="24"/>
  <c r="Z10" i="24"/>
  <c r="Z15" i="24"/>
  <c r="Z12" i="24"/>
  <c r="Z38" i="24"/>
  <c r="Z17" i="24"/>
  <c r="Z8" i="24"/>
  <c r="Z7" i="24"/>
  <c r="Z26" i="24"/>
  <c r="Z11" i="24"/>
  <c r="Y8" i="24"/>
  <c r="Y38" i="24"/>
  <c r="Y22" i="24"/>
  <c r="Y24" i="24"/>
  <c r="Y17" i="24"/>
  <c r="T38" i="24"/>
  <c r="T6" i="24"/>
  <c r="T17" i="24"/>
  <c r="T11" i="24"/>
  <c r="T19" i="24"/>
  <c r="T24" i="24"/>
  <c r="T15" i="24"/>
  <c r="T7" i="24"/>
  <c r="T12" i="24"/>
  <c r="T21" i="24"/>
  <c r="T26" i="24"/>
  <c r="S8" i="24"/>
  <c r="S14" i="24"/>
  <c r="S22" i="24"/>
  <c r="S7" i="24"/>
  <c r="S17" i="24"/>
  <c r="P23" i="24"/>
  <c r="P14" i="24"/>
  <c r="P16" i="24"/>
  <c r="O22" i="24"/>
  <c r="O13" i="24"/>
  <c r="O9" i="24"/>
  <c r="O24" i="24"/>
  <c r="O14" i="24"/>
  <c r="O6" i="24"/>
  <c r="O21" i="24"/>
  <c r="O12" i="24"/>
  <c r="O19" i="24"/>
  <c r="O17" i="24"/>
  <c r="O26" i="24"/>
  <c r="O8" i="24"/>
  <c r="O7" i="24"/>
  <c r="O20" i="24"/>
  <c r="O11" i="24"/>
  <c r="O10" i="24"/>
  <c r="O38" i="24"/>
  <c r="O16" i="24"/>
  <c r="O15" i="24"/>
  <c r="O23" i="24"/>
  <c r="N19" i="24"/>
  <c r="N38" i="24"/>
  <c r="N20" i="24"/>
  <c r="N11" i="24"/>
  <c r="N10" i="24"/>
  <c r="N24" i="24"/>
  <c r="AO38" i="24"/>
  <c r="AO9" i="24"/>
  <c r="AO22" i="24"/>
  <c r="AN38" i="24"/>
  <c r="AN20" i="24"/>
  <c r="AN12" i="24"/>
  <c r="AN26" i="24"/>
  <c r="AN19" i="24"/>
  <c r="AM14" i="24"/>
  <c r="AM26" i="24"/>
  <c r="AM9" i="24"/>
  <c r="AL14" i="24"/>
  <c r="AL8" i="24"/>
  <c r="AL6" i="24"/>
  <c r="AL20" i="24"/>
  <c r="AL38" i="24"/>
  <c r="AL21" i="24"/>
  <c r="AL24" i="24"/>
  <c r="AM13" i="24"/>
  <c r="AM21" i="24"/>
  <c r="AM10" i="24"/>
  <c r="AM20" i="24"/>
  <c r="AM7" i="24"/>
  <c r="AM6" i="24"/>
  <c r="AM22" i="24"/>
  <c r="AM38" i="24"/>
  <c r="AM19" i="24"/>
  <c r="AM12" i="24"/>
  <c r="AM8" i="24"/>
  <c r="AJ12" i="24"/>
  <c r="AJ23" i="24"/>
  <c r="AJ38" i="24"/>
  <c r="AJ6" i="24"/>
  <c r="AJ15" i="24"/>
  <c r="AJ21" i="24"/>
  <c r="AJ26" i="24"/>
  <c r="AJ19" i="24"/>
  <c r="AJ22" i="24"/>
  <c r="AJ8" i="24"/>
  <c r="AJ11" i="24"/>
  <c r="AJ14" i="24"/>
  <c r="AJ24" i="24"/>
  <c r="AJ7" i="24"/>
  <c r="AJ17" i="24"/>
  <c r="AJ13" i="24"/>
  <c r="AJ16" i="24"/>
  <c r="AJ20" i="24"/>
  <c r="AJ9" i="24"/>
  <c r="I17" i="12"/>
  <c r="H17" i="12" s="1"/>
  <c r="I20" i="12"/>
  <c r="H20" i="12" s="1"/>
  <c r="AG6" i="24"/>
  <c r="AG21" i="24"/>
  <c r="AG12" i="24"/>
  <c r="AG38" i="24"/>
  <c r="AG23" i="24"/>
  <c r="AG14" i="24"/>
  <c r="AG11" i="24"/>
  <c r="AF21" i="24"/>
  <c r="AF22" i="24"/>
  <c r="AF38" i="24"/>
  <c r="AF24" i="24"/>
  <c r="AF6" i="24"/>
  <c r="AF10" i="24"/>
  <c r="AF9" i="24"/>
  <c r="AF7" i="24"/>
  <c r="AF8" i="24"/>
  <c r="AF26" i="24"/>
  <c r="AF11" i="24"/>
  <c r="AF19" i="24"/>
  <c r="AF13" i="24"/>
  <c r="AE10" i="24"/>
  <c r="AE17" i="24"/>
  <c r="AE6" i="24"/>
  <c r="AE20" i="24"/>
  <c r="AE38" i="24"/>
  <c r="AE9" i="24"/>
  <c r="AE19" i="24"/>
  <c r="AE24" i="24"/>
  <c r="AE23" i="24"/>
  <c r="AE22" i="24"/>
  <c r="AE21" i="24"/>
  <c r="D20" i="3"/>
  <c r="C56" i="3"/>
  <c r="E41" i="3"/>
  <c r="F22" i="3"/>
  <c r="C98" i="3"/>
  <c r="F45" i="3"/>
  <c r="C30" i="3"/>
  <c r="C18" i="3"/>
  <c r="D89" i="3"/>
  <c r="D45" i="3"/>
  <c r="E93" i="3"/>
  <c r="D104" i="3"/>
  <c r="C50" i="3"/>
  <c r="E25" i="3"/>
  <c r="D91" i="3"/>
  <c r="D90" i="3"/>
  <c r="I32" i="12"/>
  <c r="H32" i="12" s="1"/>
  <c r="AA20" i="24"/>
  <c r="AA13" i="24"/>
  <c r="AA10" i="24"/>
  <c r="AA21" i="24"/>
  <c r="AA19" i="24"/>
  <c r="AA23" i="24"/>
  <c r="AA16" i="24"/>
  <c r="AA38" i="24"/>
  <c r="Z6" i="24"/>
  <c r="Z16" i="24"/>
  <c r="Z19" i="24"/>
  <c r="Z24" i="24"/>
  <c r="Z21" i="24"/>
  <c r="Z22" i="24"/>
  <c r="Z23" i="24"/>
  <c r="Z20" i="24"/>
  <c r="I34" i="12"/>
  <c r="H34" i="12" s="1"/>
  <c r="I30" i="12"/>
  <c r="H30" i="12" s="1"/>
  <c r="E36" i="12"/>
  <c r="W9" i="24"/>
  <c r="W38" i="24"/>
  <c r="C36" i="12"/>
  <c r="R11" i="24"/>
  <c r="R17" i="24"/>
  <c r="P22" i="24"/>
  <c r="P8" i="24"/>
  <c r="P9" i="24"/>
  <c r="P38" i="24"/>
  <c r="I31" i="12"/>
  <c r="H31" i="12" s="1"/>
  <c r="I22" i="12"/>
  <c r="H22" i="12" s="1"/>
  <c r="I33" i="12"/>
  <c r="H33" i="12" s="1"/>
  <c r="R23" i="24"/>
  <c r="R10" i="24"/>
  <c r="R9" i="24"/>
  <c r="R19" i="24"/>
  <c r="R14" i="24"/>
  <c r="R8" i="24"/>
  <c r="R26" i="24"/>
  <c r="R6" i="24"/>
  <c r="R24" i="24"/>
  <c r="R12" i="24"/>
  <c r="R16" i="24"/>
  <c r="R22" i="24"/>
  <c r="R13" i="24"/>
  <c r="R15" i="24"/>
  <c r="R20" i="24"/>
  <c r="I19" i="12"/>
  <c r="H19" i="12" s="1"/>
  <c r="I21" i="12"/>
  <c r="H21" i="12" s="1"/>
  <c r="F25" i="12"/>
  <c r="I23" i="12"/>
  <c r="H23" i="12" s="1"/>
  <c r="T9" i="24"/>
  <c r="T14" i="24"/>
  <c r="T13" i="24"/>
  <c r="T10" i="24"/>
  <c r="T20" i="24"/>
  <c r="T23" i="24"/>
  <c r="D25" i="12"/>
  <c r="C25" i="12"/>
  <c r="F36" i="12"/>
  <c r="I42" i="4"/>
  <c r="H42" i="4" s="1"/>
  <c r="I22" i="4"/>
  <c r="H22" i="4" s="1"/>
  <c r="S13" i="24"/>
  <c r="S20" i="24"/>
  <c r="S15" i="24"/>
  <c r="S24" i="24"/>
  <c r="S23" i="24"/>
  <c r="S11" i="24"/>
  <c r="S19" i="24"/>
  <c r="I43" i="4"/>
  <c r="H43" i="4" s="1"/>
  <c r="I152" i="4"/>
  <c r="H152" i="4" s="1"/>
  <c r="P13" i="24"/>
  <c r="P6" i="24"/>
  <c r="P21" i="24"/>
  <c r="P20" i="24"/>
  <c r="P19" i="24"/>
  <c r="P12" i="24"/>
  <c r="P11" i="24"/>
  <c r="P24" i="24"/>
  <c r="I11" i="12"/>
  <c r="H11" i="12" s="1"/>
  <c r="M38" i="24" s="1"/>
  <c r="I137" i="4"/>
  <c r="H137" i="4" s="1"/>
  <c r="I41" i="4"/>
  <c r="H41" i="4" s="1"/>
  <c r="I6" i="4"/>
  <c r="H6" i="4" s="1"/>
  <c r="I79" i="4"/>
  <c r="H79" i="4" s="1"/>
  <c r="I116" i="4"/>
  <c r="H116" i="4" s="1"/>
  <c r="D82" i="4"/>
  <c r="I7" i="4"/>
  <c r="H7" i="4" s="1"/>
  <c r="I118" i="4"/>
  <c r="H118" i="4" s="1"/>
  <c r="I4" i="4"/>
  <c r="H4" i="4" s="1"/>
  <c r="I81" i="4"/>
  <c r="H81" i="4" s="1"/>
  <c r="I119" i="4"/>
  <c r="H119" i="4" s="1"/>
  <c r="F121" i="4"/>
  <c r="I44" i="4"/>
  <c r="H44" i="4" s="1"/>
  <c r="I96" i="4"/>
  <c r="H96" i="4" s="1"/>
  <c r="I109" i="4"/>
  <c r="H109" i="4" s="1"/>
  <c r="C82" i="4"/>
  <c r="I9" i="3"/>
  <c r="H9" i="3" s="1"/>
  <c r="F82" i="4"/>
  <c r="D8" i="4"/>
  <c r="D121" i="4"/>
  <c r="I120" i="4"/>
  <c r="H120" i="4" s="1"/>
  <c r="C121" i="4"/>
  <c r="I5" i="4"/>
  <c r="H5" i="4" s="1"/>
  <c r="I77" i="4"/>
  <c r="H77" i="4" s="1"/>
  <c r="D45" i="4"/>
  <c r="I70" i="4"/>
  <c r="H70" i="4" s="1"/>
  <c r="I155" i="3"/>
  <c r="H155" i="3" s="1"/>
  <c r="I58" i="4"/>
  <c r="H58" i="4" s="1"/>
  <c r="I127" i="3"/>
  <c r="H127" i="3" s="1"/>
  <c r="I141" i="3"/>
  <c r="H141" i="3" s="1"/>
  <c r="I84" i="3"/>
  <c r="H84" i="3" s="1"/>
  <c r="I34" i="4"/>
  <c r="H34" i="4" s="1"/>
  <c r="I80" i="4"/>
  <c r="H80" i="4" s="1"/>
  <c r="E45" i="4"/>
  <c r="I40" i="4"/>
  <c r="H40" i="4" s="1"/>
  <c r="C45" i="4"/>
  <c r="C8" i="4"/>
  <c r="F8" i="4"/>
  <c r="F45" i="4"/>
  <c r="E29" i="3"/>
  <c r="E18" i="3"/>
  <c r="I18" i="3" s="1"/>
  <c r="H18" i="3" s="1"/>
  <c r="F47" i="3"/>
  <c r="E50" i="3"/>
  <c r="C46" i="3"/>
  <c r="F34" i="3"/>
  <c r="E95" i="3"/>
  <c r="E55" i="3"/>
  <c r="D94" i="3"/>
  <c r="D50" i="3"/>
  <c r="C34" i="3"/>
  <c r="C45" i="3"/>
  <c r="E43" i="3"/>
  <c r="F31" i="3"/>
  <c r="E28" i="3"/>
  <c r="C44" i="3"/>
  <c r="D102" i="3"/>
  <c r="F96" i="3"/>
  <c r="F100" i="3"/>
  <c r="F90" i="3"/>
  <c r="E23" i="3"/>
  <c r="C55" i="3"/>
  <c r="D98" i="3"/>
  <c r="F19" i="3"/>
  <c r="E19" i="3"/>
  <c r="F51" i="3"/>
  <c r="C96" i="3"/>
  <c r="F102" i="3"/>
  <c r="E100" i="3"/>
  <c r="C29" i="3"/>
  <c r="C51" i="3"/>
  <c r="F57" i="3"/>
  <c r="C54" i="3"/>
  <c r="C21" i="3"/>
  <c r="C94" i="3"/>
  <c r="E92" i="3"/>
  <c r="C23" i="3"/>
  <c r="D96" i="3"/>
  <c r="E46" i="3"/>
  <c r="F20" i="3"/>
  <c r="E57" i="3"/>
  <c r="D103" i="3"/>
  <c r="F93" i="3"/>
  <c r="F46" i="3"/>
  <c r="C106" i="3"/>
  <c r="F29" i="3"/>
  <c r="D23" i="3"/>
  <c r="E54" i="3"/>
  <c r="F50" i="3"/>
  <c r="F32" i="3"/>
  <c r="E45" i="3"/>
  <c r="D56" i="3"/>
  <c r="F56" i="3"/>
  <c r="D32" i="3"/>
  <c r="D30" i="3"/>
  <c r="C43" i="3"/>
  <c r="F104" i="3"/>
  <c r="F99" i="3"/>
  <c r="C91" i="3"/>
  <c r="C95" i="3"/>
  <c r="D53" i="3"/>
  <c r="E105" i="3"/>
  <c r="C93" i="3"/>
  <c r="D24" i="3"/>
  <c r="E106" i="3"/>
  <c r="C19" i="3"/>
  <c r="F105" i="3"/>
  <c r="F41" i="3"/>
  <c r="F91" i="3"/>
  <c r="D93" i="3"/>
  <c r="C102" i="3"/>
  <c r="E94" i="3"/>
  <c r="E27" i="3"/>
  <c r="E96" i="3"/>
  <c r="E30" i="3"/>
  <c r="I30" i="3" s="1"/>
  <c r="H30" i="3" s="1"/>
  <c r="C32" i="3"/>
  <c r="E99" i="3"/>
  <c r="C42" i="3"/>
  <c r="F103" i="3"/>
  <c r="D54" i="3"/>
  <c r="C100" i="3"/>
  <c r="C53" i="3"/>
  <c r="C22" i="3"/>
  <c r="D92" i="3"/>
  <c r="E22" i="3"/>
  <c r="F97" i="3"/>
  <c r="D44" i="3"/>
  <c r="E21" i="3"/>
  <c r="F89" i="3"/>
  <c r="I89" i="3" s="1"/>
  <c r="H89" i="3" s="1"/>
  <c r="E47" i="3"/>
  <c r="D22" i="3"/>
  <c r="E103" i="3"/>
  <c r="F25" i="3"/>
  <c r="D42" i="3"/>
  <c r="D105" i="3"/>
  <c r="C41" i="3"/>
  <c r="D41" i="3"/>
  <c r="C31" i="3"/>
  <c r="C89" i="3"/>
  <c r="C33" i="3"/>
  <c r="C28" i="3"/>
  <c r="C47" i="3"/>
  <c r="D47" i="3"/>
  <c r="E26" i="3"/>
  <c r="I26" i="3" s="1"/>
  <c r="H26" i="3" s="1"/>
  <c r="E44" i="3"/>
  <c r="E104" i="3"/>
  <c r="E48" i="3"/>
  <c r="E33" i="3"/>
  <c r="C104" i="3"/>
  <c r="D31" i="3"/>
  <c r="F95" i="3"/>
  <c r="C24" i="3"/>
  <c r="E24" i="3"/>
  <c r="I24" i="3" s="1"/>
  <c r="H24" i="3" s="1"/>
  <c r="C27" i="3"/>
  <c r="D27" i="3"/>
  <c r="C20" i="3"/>
  <c r="D51" i="3"/>
  <c r="E31" i="3"/>
  <c r="F44" i="3"/>
  <c r="D57" i="3"/>
  <c r="D28" i="3"/>
  <c r="E20" i="3"/>
  <c r="F42" i="3"/>
  <c r="F27" i="3"/>
  <c r="E91" i="3"/>
  <c r="C49" i="3"/>
  <c r="C103" i="3"/>
  <c r="E42" i="3"/>
  <c r="E53" i="3"/>
  <c r="F92" i="3"/>
  <c r="C25" i="3"/>
  <c r="D34" i="3"/>
  <c r="D100" i="3"/>
  <c r="F53" i="3"/>
  <c r="C57" i="3"/>
  <c r="F98" i="3"/>
  <c r="I98" i="3" s="1"/>
  <c r="H98" i="3" s="1"/>
  <c r="E32" i="3"/>
  <c r="E97" i="3"/>
  <c r="C48" i="3"/>
  <c r="E56" i="3"/>
  <c r="C99" i="3"/>
  <c r="F28" i="3"/>
  <c r="E49" i="3"/>
  <c r="C97" i="3"/>
  <c r="D21" i="3"/>
  <c r="D19" i="3"/>
  <c r="D46" i="3"/>
  <c r="F55" i="3"/>
  <c r="E90" i="3"/>
  <c r="E34" i="3"/>
  <c r="E51" i="3"/>
  <c r="F23" i="3"/>
  <c r="D97" i="3"/>
  <c r="D26" i="3"/>
  <c r="F48" i="3"/>
  <c r="D55" i="3"/>
  <c r="F43" i="3"/>
  <c r="D29" i="3"/>
  <c r="F21" i="3"/>
  <c r="D43" i="3"/>
  <c r="F33" i="3"/>
  <c r="F54" i="3"/>
  <c r="C26" i="3"/>
  <c r="I115" i="4"/>
  <c r="H115" i="4" s="1"/>
  <c r="E8" i="4"/>
  <c r="D18" i="3"/>
  <c r="D48" i="3"/>
  <c r="D99" i="3"/>
  <c r="F106" i="3"/>
  <c r="I106" i="3" s="1"/>
  <c r="H106" i="3" s="1"/>
  <c r="D36" i="12"/>
  <c r="I118" i="3"/>
  <c r="H118" i="3" s="1"/>
  <c r="I117" i="4"/>
  <c r="H117" i="4" s="1"/>
  <c r="E121" i="4"/>
  <c r="I121" i="4" s="1"/>
  <c r="H121" i="4" s="1"/>
  <c r="F94" i="3"/>
  <c r="C90" i="3"/>
  <c r="E102" i="3"/>
  <c r="D49" i="3"/>
  <c r="F49" i="3"/>
  <c r="I18" i="12"/>
  <c r="H18" i="12" s="1"/>
  <c r="E25" i="12"/>
  <c r="I78" i="4"/>
  <c r="H78" i="4" s="1"/>
  <c r="E82" i="4"/>
  <c r="D6" i="8"/>
  <c r="O6" i="8" s="1"/>
  <c r="AQ21" i="24"/>
  <c r="AQ12" i="24"/>
  <c r="AQ20" i="24"/>
  <c r="AQ11" i="24"/>
  <c r="AQ19" i="24"/>
  <c r="AQ10" i="24"/>
  <c r="AQ17" i="24"/>
  <c r="AQ9" i="24"/>
  <c r="AQ16" i="24"/>
  <c r="AQ8" i="24"/>
  <c r="AQ22" i="24"/>
  <c r="AQ26" i="24"/>
  <c r="AQ15" i="24"/>
  <c r="AQ7" i="24"/>
  <c r="AQ24" i="24"/>
  <c r="AQ23" i="24"/>
  <c r="AQ14" i="24"/>
  <c r="AQ6" i="24"/>
  <c r="AQ13" i="24"/>
  <c r="AO6" i="24"/>
  <c r="AO16" i="24"/>
  <c r="AO19" i="24"/>
  <c r="AN14" i="24"/>
  <c r="AN8" i="24"/>
  <c r="AN24" i="24"/>
  <c r="AN10" i="24"/>
  <c r="AN15" i="24"/>
  <c r="AN11" i="24"/>
  <c r="AN7" i="24"/>
  <c r="AN23" i="24"/>
  <c r="AM16" i="24"/>
  <c r="AM15" i="24"/>
  <c r="AM17" i="24"/>
  <c r="AM24" i="24"/>
  <c r="AG24" i="24"/>
  <c r="AG22" i="24"/>
  <c r="AG16" i="24"/>
  <c r="AG20" i="24"/>
  <c r="AG7" i="24"/>
  <c r="AF15" i="24"/>
  <c r="AF20" i="24"/>
  <c r="AF12" i="24"/>
  <c r="AF23" i="24"/>
  <c r="AF14" i="24"/>
  <c r="AF17" i="24"/>
  <c r="AA22" i="24"/>
  <c r="AA24" i="24"/>
  <c r="AA15" i="24"/>
  <c r="AA6" i="24"/>
  <c r="I93" i="3" l="1"/>
  <c r="H93" i="3" s="1"/>
  <c r="I36" i="12"/>
  <c r="H36" i="12" s="1"/>
  <c r="Q6" i="8"/>
  <c r="W6" i="8"/>
  <c r="L6" i="8" s="1"/>
  <c r="I25" i="12"/>
  <c r="H25" i="12" s="1"/>
  <c r="I22" i="3"/>
  <c r="H22" i="3" s="1"/>
  <c r="I41" i="3"/>
  <c r="H41" i="3" s="1"/>
  <c r="I25" i="3"/>
  <c r="H25" i="3" s="1"/>
  <c r="I96" i="3"/>
  <c r="H96" i="3" s="1"/>
  <c r="I45" i="3"/>
  <c r="H45" i="3" s="1"/>
  <c r="I90" i="3"/>
  <c r="H90" i="3" s="1"/>
  <c r="I50" i="3"/>
  <c r="H50" i="3" s="1"/>
  <c r="I31" i="3"/>
  <c r="H31" i="3" s="1"/>
  <c r="I91" i="3"/>
  <c r="H91" i="3" s="1"/>
  <c r="I20" i="3"/>
  <c r="H20" i="3" s="1"/>
  <c r="I34" i="3"/>
  <c r="H34" i="3" s="1"/>
  <c r="I104" i="3"/>
  <c r="H104" i="3" s="1"/>
  <c r="I82" i="4"/>
  <c r="H82" i="4" s="1"/>
  <c r="I51" i="3"/>
  <c r="H51" i="3" s="1"/>
  <c r="I32" i="3"/>
  <c r="H32" i="3" s="1"/>
  <c r="I47" i="3"/>
  <c r="H47" i="3" s="1"/>
  <c r="I8" i="4"/>
  <c r="H8" i="4" s="1"/>
  <c r="I99" i="3"/>
  <c r="H99" i="3" s="1"/>
  <c r="F36" i="3"/>
  <c r="C59" i="3"/>
  <c r="I97" i="3"/>
  <c r="H97" i="3" s="1"/>
  <c r="I19" i="3"/>
  <c r="H19" i="3" s="1"/>
  <c r="I56" i="3"/>
  <c r="H56" i="3" s="1"/>
  <c r="D108" i="3"/>
  <c r="C36" i="3"/>
  <c r="I53" i="3"/>
  <c r="H53" i="3" s="1"/>
  <c r="I44" i="3"/>
  <c r="H44" i="3" s="1"/>
  <c r="C108" i="3"/>
  <c r="I23" i="3"/>
  <c r="H23" i="3" s="1"/>
  <c r="D36" i="3"/>
  <c r="I105" i="3"/>
  <c r="H105" i="3" s="1"/>
  <c r="I45" i="4"/>
  <c r="H45" i="4" s="1"/>
  <c r="I43" i="3"/>
  <c r="H43" i="3" s="1"/>
  <c r="I33" i="3"/>
  <c r="H33" i="3" s="1"/>
  <c r="I92" i="3"/>
  <c r="H92" i="3" s="1"/>
  <c r="I48" i="3"/>
  <c r="H48" i="3" s="1"/>
  <c r="I100" i="3"/>
  <c r="H100" i="3" s="1"/>
  <c r="I27" i="3"/>
  <c r="H27" i="3" s="1"/>
  <c r="I29" i="3"/>
  <c r="H29" i="3" s="1"/>
  <c r="E36" i="3"/>
  <c r="E59" i="3"/>
  <c r="I42" i="3"/>
  <c r="H42" i="3" s="1"/>
  <c r="I21" i="3"/>
  <c r="H21" i="3" s="1"/>
  <c r="I54" i="3"/>
  <c r="H54" i="3" s="1"/>
  <c r="I57" i="3"/>
  <c r="H57" i="3" s="1"/>
  <c r="I55" i="3"/>
  <c r="H55" i="3" s="1"/>
  <c r="I103" i="3"/>
  <c r="H103" i="3" s="1"/>
  <c r="I46" i="3"/>
  <c r="H46" i="3" s="1"/>
  <c r="I28" i="3"/>
  <c r="H28" i="3" s="1"/>
  <c r="I95" i="3"/>
  <c r="H95" i="3" s="1"/>
  <c r="D59" i="3"/>
  <c r="I49" i="3"/>
  <c r="H49" i="3" s="1"/>
  <c r="F59" i="3"/>
  <c r="I102" i="3"/>
  <c r="H102" i="3" s="1"/>
  <c r="E108" i="3"/>
  <c r="I94" i="3"/>
  <c r="H94" i="3" s="1"/>
  <c r="F108" i="3"/>
  <c r="H6" i="8"/>
  <c r="I36" i="3" l="1"/>
  <c r="H36" i="3" s="1"/>
  <c r="I59" i="3"/>
  <c r="H59" i="3" s="1"/>
  <c r="I108" i="3"/>
  <c r="H108" i="3" s="1"/>
  <c r="G6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<sst xmlns="http://schemas.openxmlformats.org/spreadsheetml/2006/main" count="59198" uniqueCount="3458">
  <si>
    <t>2022</t>
  </si>
  <si>
    <t>PROVINSI</t>
  </si>
  <si>
    <t>PENCAPAIAN</t>
  </si>
  <si>
    <t>UPTIME</t>
  </si>
  <si>
    <t>LIMIT</t>
  </si>
  <si>
    <t>SN BATCH</t>
  </si>
  <si>
    <t>SN</t>
  </si>
  <si>
    <t>Dt%</t>
  </si>
  <si>
    <t>Duration</t>
  </si>
  <si>
    <t>Freq</t>
  </si>
  <si>
    <t>%</t>
  </si>
  <si>
    <t>DUR</t>
  </si>
  <si>
    <t>FRX</t>
  </si>
  <si>
    <t>OPR</t>
  </si>
  <si>
    <t>JAM</t>
  </si>
  <si>
    <t>HARI</t>
  </si>
  <si>
    <t>GROUP</t>
  </si>
  <si>
    <t>SERVICE AREA</t>
  </si>
  <si>
    <t>Type</t>
  </si>
  <si>
    <t>Reg</t>
  </si>
  <si>
    <t>Kanwil</t>
  </si>
  <si>
    <t>Zona</t>
  </si>
  <si>
    <t>DESCKCU</t>
  </si>
  <si>
    <t>LOKASI</t>
  </si>
  <si>
    <t>SE</t>
  </si>
  <si>
    <t>WSID</t>
  </si>
  <si>
    <t>NO</t>
  </si>
  <si>
    <t>Freq DT</t>
  </si>
  <si>
    <t>Dur DT</t>
  </si>
  <si>
    <t>Opr Hour</t>
  </si>
  <si>
    <t>Target UT</t>
  </si>
  <si>
    <t>Achieve UT</t>
  </si>
  <si>
    <t>DT</t>
  </si>
  <si>
    <t>TOTAL</t>
  </si>
  <si>
    <t>CSE</t>
  </si>
  <si>
    <t>CRML#</t>
  </si>
  <si>
    <t>ATMS#</t>
  </si>
  <si>
    <t>CRMS#</t>
  </si>
  <si>
    <t>CRM</t>
  </si>
  <si>
    <t>CRM#</t>
  </si>
  <si>
    <t>ALL BCA #</t>
  </si>
  <si>
    <t>KENDARI</t>
  </si>
  <si>
    <t>Sulampua 2</t>
  </si>
  <si>
    <t>ADVANTAGE MANADO</t>
  </si>
  <si>
    <t>SSI PALU</t>
  </si>
  <si>
    <t>TAG TERNATE</t>
  </si>
  <si>
    <t>SSI KENDARI</t>
  </si>
  <si>
    <t>SSI GORONTALO</t>
  </si>
  <si>
    <t>PALU</t>
  </si>
  <si>
    <t>ATM Downtime</t>
  </si>
  <si>
    <t>Period :</t>
  </si>
  <si>
    <t>-</t>
  </si>
  <si>
    <t>UT :</t>
  </si>
  <si>
    <t>ATM</t>
  </si>
  <si>
    <t>Maintenance</t>
  </si>
  <si>
    <t>HW</t>
  </si>
  <si>
    <t>P01 - Pick Modul</t>
  </si>
  <si>
    <t>P02 - Presenter</t>
  </si>
  <si>
    <t>P03 - Reject</t>
  </si>
  <si>
    <t>P04 - Card Reader</t>
  </si>
  <si>
    <t>P09 - H/W</t>
  </si>
  <si>
    <t>TAG MADIUN</t>
  </si>
  <si>
    <t>Jatim 2</t>
  </si>
  <si>
    <t>Sulampua 1</t>
  </si>
  <si>
    <t>TAG JEMBER</t>
  </si>
  <si>
    <t>Jatim 1</t>
  </si>
  <si>
    <t>Suhel Risdianto</t>
  </si>
  <si>
    <t>Denpasar</t>
  </si>
  <si>
    <t>Bali Nusra</t>
  </si>
  <si>
    <t>YO27200535</t>
  </si>
  <si>
    <t>Bali</t>
  </si>
  <si>
    <t>Lalu Riswan Hadi</t>
  </si>
  <si>
    <t>ADVANTAGE CAKRANEGARA</t>
  </si>
  <si>
    <t>Mataram</t>
  </si>
  <si>
    <t>YO27200437</t>
  </si>
  <si>
    <t>Nusa Tenggara Barat</t>
  </si>
  <si>
    <t>Farozan Ali Fahmi</t>
  </si>
  <si>
    <t>YO27201168</t>
  </si>
  <si>
    <t>Eko Adi Sugiyantoro</t>
  </si>
  <si>
    <t>TAG MALANG</t>
  </si>
  <si>
    <t>YO27200442</t>
  </si>
  <si>
    <t>Rio Erdiansyah</t>
  </si>
  <si>
    <t>Singaraja</t>
  </si>
  <si>
    <t>YR20400179</t>
  </si>
  <si>
    <t>YR20400136</t>
  </si>
  <si>
    <t>YR20400247</t>
  </si>
  <si>
    <t>Alparizi</t>
  </si>
  <si>
    <t>YR20400078</t>
  </si>
  <si>
    <t>SSI JAYAPURA</t>
  </si>
  <si>
    <t>YR20400060</t>
  </si>
  <si>
    <t>YO98200160</t>
  </si>
  <si>
    <t>YR21400355</t>
  </si>
  <si>
    <t>Bambang Yuniarko</t>
  </si>
  <si>
    <t>YR21400453</t>
  </si>
  <si>
    <t>Furqan</t>
  </si>
  <si>
    <t>SSI SUMBAWA</t>
  </si>
  <si>
    <t>Bima</t>
  </si>
  <si>
    <t>YR21400488</t>
  </si>
  <si>
    <t>YR21400490</t>
  </si>
  <si>
    <t>YR21400226</t>
  </si>
  <si>
    <t>Revaldi Resha Wardhana</t>
  </si>
  <si>
    <t>YO27200408</t>
  </si>
  <si>
    <t>Arif Rahman Hakim</t>
  </si>
  <si>
    <t>YR20400518</t>
  </si>
  <si>
    <t>YN23200090</t>
  </si>
  <si>
    <t>YR20400515</t>
  </si>
  <si>
    <t>YO27200450</t>
  </si>
  <si>
    <t>YO27200498</t>
  </si>
  <si>
    <t>YR20400409</t>
  </si>
  <si>
    <t>YH98200041</t>
  </si>
  <si>
    <t>YO27200847</t>
  </si>
  <si>
    <t>Yunarius Raynold Gege</t>
  </si>
  <si>
    <t>ADVANTAGE KUPANG</t>
  </si>
  <si>
    <t>Kupang</t>
  </si>
  <si>
    <t>YO27200240</t>
  </si>
  <si>
    <t>Nusa Tenggara Timur</t>
  </si>
  <si>
    <t>TAG AMBON</t>
  </si>
  <si>
    <t>I Putu Dendy Pratama</t>
  </si>
  <si>
    <t>YR20400250</t>
  </si>
  <si>
    <t>ANDALAN BALI</t>
  </si>
  <si>
    <t>YR20400167</t>
  </si>
  <si>
    <t>YR20400077</t>
  </si>
  <si>
    <t>YO27200844</t>
  </si>
  <si>
    <t>YR20400375</t>
  </si>
  <si>
    <t>YO27200496</t>
  </si>
  <si>
    <t>YO27200791</t>
  </si>
  <si>
    <t>TAG KEDIRI</t>
  </si>
  <si>
    <t>YR20400071</t>
  </si>
  <si>
    <t>Leonardo A Ruly</t>
  </si>
  <si>
    <t>YR20400180</t>
  </si>
  <si>
    <t>YO27200413</t>
  </si>
  <si>
    <t>YK19200352</t>
  </si>
  <si>
    <t>JAYAPURA</t>
  </si>
  <si>
    <t>YR20400361</t>
  </si>
  <si>
    <t>YR20400360</t>
  </si>
  <si>
    <t>Yohanes Yeximus Tritanto</t>
  </si>
  <si>
    <t>KUPANG</t>
  </si>
  <si>
    <t>Ende</t>
  </si>
  <si>
    <t>YR20400367</t>
  </si>
  <si>
    <t>YR20400304</t>
  </si>
  <si>
    <t>YR20400032</t>
  </si>
  <si>
    <t>YR21400301</t>
  </si>
  <si>
    <t>YR20400443</t>
  </si>
  <si>
    <t>YO27200722</t>
  </si>
  <si>
    <t>YR20400024</t>
  </si>
  <si>
    <t>YR21400432</t>
  </si>
  <si>
    <t>ADVANTAGE JEMBER</t>
  </si>
  <si>
    <t>YO27200419</t>
  </si>
  <si>
    <t>YR20400496</t>
  </si>
  <si>
    <t>PAREPARE</t>
  </si>
  <si>
    <t>YR21400028</t>
  </si>
  <si>
    <t>YR21400234</t>
  </si>
  <si>
    <t>YR20400385</t>
  </si>
  <si>
    <t>YR20400030</t>
  </si>
  <si>
    <t>YO27200649</t>
  </si>
  <si>
    <t>YR21400195</t>
  </si>
  <si>
    <t>YR21400219</t>
  </si>
  <si>
    <t>YR21400224</t>
  </si>
  <si>
    <t>YO27200565</t>
  </si>
  <si>
    <t>YO27200830</t>
  </si>
  <si>
    <t>YO27200443</t>
  </si>
  <si>
    <t>YO27200589</t>
  </si>
  <si>
    <t>YO27200407</t>
  </si>
  <si>
    <t>YR20400376</t>
  </si>
  <si>
    <t>YR20400427</t>
  </si>
  <si>
    <t>YR20400371</t>
  </si>
  <si>
    <t>YK19200392</t>
  </si>
  <si>
    <t>YR20400001</t>
  </si>
  <si>
    <t>YO27200769</t>
  </si>
  <si>
    <t>YR20400491</t>
  </si>
  <si>
    <t>YO27200800</t>
  </si>
  <si>
    <t>YO27200520</t>
  </si>
  <si>
    <t>YR20400489</t>
  </si>
  <si>
    <t>YR20400421</t>
  </si>
  <si>
    <t>YR20400464</t>
  </si>
  <si>
    <t>YR20400430</t>
  </si>
  <si>
    <t>YN23200007</t>
  </si>
  <si>
    <t>YO27200703</t>
  </si>
  <si>
    <t>YR20400448</t>
  </si>
  <si>
    <t>YO27200570</t>
  </si>
  <si>
    <t>YO27200125</t>
  </si>
  <si>
    <t>YH98200042</t>
  </si>
  <si>
    <t>YO27200824</t>
  </si>
  <si>
    <t>YR20400438</t>
  </si>
  <si>
    <t>YK19200003</t>
  </si>
  <si>
    <t>YR21400178</t>
  </si>
  <si>
    <t>YR20400480</t>
  </si>
  <si>
    <t>YR20400454</t>
  </si>
  <si>
    <t>YR20400503</t>
  </si>
  <si>
    <t>YR20400483</t>
  </si>
  <si>
    <t>YR20400424</t>
  </si>
  <si>
    <t>YR20400465</t>
  </si>
  <si>
    <t>YR20400468</t>
  </si>
  <si>
    <t>YO27200715</t>
  </si>
  <si>
    <t>YR20400015</t>
  </si>
  <si>
    <t>YH98200040</t>
  </si>
  <si>
    <t>YR20400017</t>
  </si>
  <si>
    <t>YH98200023</t>
  </si>
  <si>
    <t>YH98200031</t>
  </si>
  <si>
    <t>YH98200089</t>
  </si>
  <si>
    <t>YO27200810</t>
  </si>
  <si>
    <t>YH98200056</t>
  </si>
  <si>
    <t>YO27200463</t>
  </si>
  <si>
    <t>SSI SORONG</t>
  </si>
  <si>
    <t>YO27200815</t>
  </si>
  <si>
    <t>YO27200453</t>
  </si>
  <si>
    <t>YK19200025</t>
  </si>
  <si>
    <t>YO27200404</t>
  </si>
  <si>
    <t>YR20400316</t>
  </si>
  <si>
    <t>YN23200082</t>
  </si>
  <si>
    <t>2025</t>
  </si>
  <si>
    <t>YR20400416</t>
  </si>
  <si>
    <t>YO27200416</t>
  </si>
  <si>
    <t>YO27200829</t>
  </si>
  <si>
    <t>YO27200531</t>
  </si>
  <si>
    <t>YN23200001</t>
  </si>
  <si>
    <t>YN23200032</t>
  </si>
  <si>
    <t>YR20400434</t>
  </si>
  <si>
    <t>YR20400298</t>
  </si>
  <si>
    <t>YN23200042</t>
  </si>
  <si>
    <t>YO27200766</t>
  </si>
  <si>
    <t>YO27200682</t>
  </si>
  <si>
    <t>YO27200828</t>
  </si>
  <si>
    <t>YO27200753</t>
  </si>
  <si>
    <t>YO27200619</t>
  </si>
  <si>
    <t>YO27200666</t>
  </si>
  <si>
    <t>YO27200473</t>
  </si>
  <si>
    <t>YO27200737</t>
  </si>
  <si>
    <t>YO27200597</t>
  </si>
  <si>
    <t>YO27200594</t>
  </si>
  <si>
    <t>YO27200635</t>
  </si>
  <si>
    <t>YO27200637</t>
  </si>
  <si>
    <t>YO27200449</t>
  </si>
  <si>
    <t>YO27200639</t>
  </si>
  <si>
    <t>YO27200604</t>
  </si>
  <si>
    <t>YO27200459</t>
  </si>
  <si>
    <t>YR20400422</t>
  </si>
  <si>
    <t>Adi Irawan</t>
  </si>
  <si>
    <t>YR20400039</t>
  </si>
  <si>
    <t>YH98200047</t>
  </si>
  <si>
    <t>YO27200435</t>
  </si>
  <si>
    <t>YO27200451</t>
  </si>
  <si>
    <t>YO27200472</t>
  </si>
  <si>
    <t>YO27200550</t>
  </si>
  <si>
    <t>YO27200502</t>
  </si>
  <si>
    <t>YO27200542</t>
  </si>
  <si>
    <t>YO27200691</t>
  </si>
  <si>
    <t>YO27200739</t>
  </si>
  <si>
    <t>YO27200607</t>
  </si>
  <si>
    <t>YO27200613</t>
  </si>
  <si>
    <t>YO27200043</t>
  </si>
  <si>
    <t>YO27200717</t>
  </si>
  <si>
    <t>YO27200749</t>
  </si>
  <si>
    <t>YO27200658</t>
  </si>
  <si>
    <t>YO27200617</t>
  </si>
  <si>
    <t>YN23200072</t>
  </si>
  <si>
    <t>YO27200431</t>
  </si>
  <si>
    <t>YO27200468</t>
  </si>
  <si>
    <t>YO27200665</t>
  </si>
  <si>
    <t>YR21400261</t>
  </si>
  <si>
    <t>YO27200409</t>
  </si>
  <si>
    <t>YR20400453</t>
  </si>
  <si>
    <t>YR20400423</t>
  </si>
  <si>
    <t>YR20400026</t>
  </si>
  <si>
    <t>YR21400065</t>
  </si>
  <si>
    <t>YR20400459</t>
  </si>
  <si>
    <t>YR20400473</t>
  </si>
  <si>
    <t>YO27200578</t>
  </si>
  <si>
    <t>YR21400150</t>
  </si>
  <si>
    <t>YN23200088</t>
  </si>
  <si>
    <t>YR20400425</t>
  </si>
  <si>
    <t>YR20400484</t>
  </si>
  <si>
    <t>YO27200123</t>
  </si>
  <si>
    <t>YO27200814</t>
  </si>
  <si>
    <t>YH98200054</t>
  </si>
  <si>
    <t>YR20400050</t>
  </si>
  <si>
    <t>YR20400478</t>
  </si>
  <si>
    <t>YO27200423</t>
  </si>
  <si>
    <t>YR20400512</t>
  </si>
  <si>
    <t>YR20400485</t>
  </si>
  <si>
    <t>YR20400470</t>
  </si>
  <si>
    <t>YR20400383</t>
  </si>
  <si>
    <t>2014</t>
  </si>
  <si>
    <t>2019</t>
  </si>
  <si>
    <t>YN23200083</t>
  </si>
  <si>
    <t>2020</t>
  </si>
  <si>
    <t>2021</t>
  </si>
  <si>
    <t>2023</t>
  </si>
  <si>
    <t>2024</t>
  </si>
  <si>
    <t>YO27200622</t>
  </si>
  <si>
    <t>YO27200761</t>
  </si>
  <si>
    <t>YO27200752</t>
  </si>
  <si>
    <t>YO27200440</t>
  </si>
  <si>
    <t>YO27200748</t>
  </si>
  <si>
    <t>YR20400010</t>
  </si>
  <si>
    <t>YR21400196</t>
  </si>
  <si>
    <t>YR21400093</t>
  </si>
  <si>
    <t>YR21400242</t>
  </si>
  <si>
    <t>YR21400144</t>
  </si>
  <si>
    <t>YO27200436</t>
  </si>
  <si>
    <t>YO27200795</t>
  </si>
  <si>
    <t>YO27200427</t>
  </si>
  <si>
    <t>YO27200547</t>
  </si>
  <si>
    <t>YR21400385</t>
  </si>
  <si>
    <t>YR21400160</t>
  </si>
  <si>
    <t>YR21400467</t>
  </si>
  <si>
    <t>YO27200421</t>
  </si>
  <si>
    <t>YO27200577</t>
  </si>
  <si>
    <t>YO27200458</t>
  </si>
  <si>
    <t>YO27200768</t>
  </si>
  <si>
    <t>YO27200545</t>
  </si>
  <si>
    <t>YH98200022</t>
  </si>
  <si>
    <t>YO27200754</t>
  </si>
  <si>
    <t>YR21400270</t>
  </si>
  <si>
    <t>YO27200620</t>
  </si>
  <si>
    <t>YN23200005</t>
  </si>
  <si>
    <t>YR20400403</t>
  </si>
  <si>
    <t>YR20400504</t>
  </si>
  <si>
    <t>YO27200488</t>
  </si>
  <si>
    <t>YO27200414</t>
  </si>
  <si>
    <t>YR20400011</t>
  </si>
  <si>
    <t>YN23200065</t>
  </si>
  <si>
    <t>YR21400208</t>
  </si>
  <si>
    <t>YO27200375</t>
  </si>
  <si>
    <t>YN23200050</t>
  </si>
  <si>
    <t>YO27200747</t>
  </si>
  <si>
    <t>YR20400041</t>
  </si>
  <si>
    <t>YR20400461</t>
  </si>
  <si>
    <t>YR20400471</t>
  </si>
  <si>
    <t>YR21400213</t>
  </si>
  <si>
    <t>YO27200587</t>
  </si>
  <si>
    <t>YO27200533</t>
  </si>
  <si>
    <t>YO27200447</t>
  </si>
  <si>
    <t>YH98200036</t>
  </si>
  <si>
    <t>YO27200478</t>
  </si>
  <si>
    <t>YO27200555</t>
  </si>
  <si>
    <t>YO27200606</t>
  </si>
  <si>
    <t>YR20400472</t>
  </si>
  <si>
    <t>YO27200825</t>
  </si>
  <si>
    <t>YO27200266</t>
  </si>
  <si>
    <t>YK19200388</t>
  </si>
  <si>
    <t>YR21400251</t>
  </si>
  <si>
    <t>YO27200439</t>
  </si>
  <si>
    <t>YO27200727</t>
  </si>
  <si>
    <t>YR21400295</t>
  </si>
  <si>
    <t>YR21400217</t>
  </si>
  <si>
    <t>YN23200067</t>
  </si>
  <si>
    <t>YR21400175</t>
  </si>
  <si>
    <t>YK19200053</t>
  </si>
  <si>
    <t>YR21400275</t>
  </si>
  <si>
    <t>YR21400105</t>
  </si>
  <si>
    <t>YR21400291</t>
  </si>
  <si>
    <t>YO27200602</t>
  </si>
  <si>
    <t>YR20400083</t>
  </si>
  <si>
    <t>YR20400467</t>
  </si>
  <si>
    <t>YO27200367</t>
  </si>
  <si>
    <t>YO27200951</t>
  </si>
  <si>
    <t>YR20400517</t>
  </si>
  <si>
    <t>YO27201158</t>
  </si>
  <si>
    <t>YO27201150</t>
  </si>
  <si>
    <t>YO27200262</t>
  </si>
  <si>
    <t>YH98200061</t>
  </si>
  <si>
    <t>YR20400378</t>
  </si>
  <si>
    <t>YO27200563</t>
  </si>
  <si>
    <t>YR20400191</t>
  </si>
  <si>
    <t>YR21400050</t>
  </si>
  <si>
    <t>YO27200434</t>
  </si>
  <si>
    <t>YR21400204</t>
  </si>
  <si>
    <t>YR21400264</t>
  </si>
  <si>
    <t>YO27200420</t>
  </si>
  <si>
    <t>YO27200516</t>
  </si>
  <si>
    <t>YO27200274</t>
  </si>
  <si>
    <t>YO27200405</t>
  </si>
  <si>
    <t>YO27200484</t>
  </si>
  <si>
    <t>YR21400276</t>
  </si>
  <si>
    <t>YR21400265</t>
  </si>
  <si>
    <t>YR20400008</t>
  </si>
  <si>
    <t>YO27200466</t>
  </si>
  <si>
    <t>YO27200817</t>
  </si>
  <si>
    <t>YO27200695</t>
  </si>
  <si>
    <t>YR20400034</t>
  </si>
  <si>
    <t>YR20400035</t>
  </si>
  <si>
    <t>YO27200430</t>
  </si>
  <si>
    <t>YR20400428</t>
  </si>
  <si>
    <t>YR20400037</t>
  </si>
  <si>
    <t>YR21400132</t>
  </si>
  <si>
    <t>YO27200870</t>
  </si>
  <si>
    <t>YR20400507</t>
  </si>
  <si>
    <t>YO27200651</t>
  </si>
  <si>
    <t>YR21400274</t>
  </si>
  <si>
    <t>YO27200692</t>
  </si>
  <si>
    <t>YR20400406</t>
  </si>
  <si>
    <t>YT21400216</t>
  </si>
  <si>
    <t>YT21400313</t>
  </si>
  <si>
    <t>YT21400342</t>
  </si>
  <si>
    <t>YT21400436</t>
  </si>
  <si>
    <t>YT21400045</t>
  </si>
  <si>
    <t>YT21400434</t>
  </si>
  <si>
    <t>YK21200021</t>
  </si>
  <si>
    <t>YK21200129</t>
  </si>
  <si>
    <t>YT21400106</t>
  </si>
  <si>
    <t>YT21400257</t>
  </si>
  <si>
    <t>YT21400112</t>
  </si>
  <si>
    <t>YT21400278</t>
  </si>
  <si>
    <t>YT21400295</t>
  </si>
  <si>
    <t>YT21400017</t>
  </si>
  <si>
    <t>YT21400140</t>
  </si>
  <si>
    <t>YT21400147</t>
  </si>
  <si>
    <t>YT21400254</t>
  </si>
  <si>
    <t>YT21400303</t>
  </si>
  <si>
    <t>YT21400291</t>
  </si>
  <si>
    <t>YT21400308</t>
  </si>
  <si>
    <t>YT21400218</t>
  </si>
  <si>
    <t>YT21400138</t>
  </si>
  <si>
    <t>YT21400286</t>
  </si>
  <si>
    <t>YT21400262</t>
  </si>
  <si>
    <t>YR25401836</t>
  </si>
  <si>
    <t>YR25400709</t>
  </si>
  <si>
    <t>YR25401814</t>
  </si>
  <si>
    <t>YT21400141</t>
  </si>
  <si>
    <t>YT21400007</t>
  </si>
  <si>
    <t>YT21400320</t>
  </si>
  <si>
    <t>YT21400437</t>
  </si>
  <si>
    <t>YT21400207</t>
  </si>
  <si>
    <t>Lombok Timur</t>
  </si>
  <si>
    <t>YK21200142</t>
  </si>
  <si>
    <t>YK21200059</t>
  </si>
  <si>
    <t>Negara</t>
  </si>
  <si>
    <t>YT21400331</t>
  </si>
  <si>
    <t>YT21400306</t>
  </si>
  <si>
    <t>YT21400114</t>
  </si>
  <si>
    <t>YT21400211</t>
  </si>
  <si>
    <t>YT21400174</t>
  </si>
  <si>
    <t>YT21400277</t>
  </si>
  <si>
    <t>YT21400005</t>
  </si>
  <si>
    <t>YT21400212</t>
  </si>
  <si>
    <t>YK21200180</t>
  </si>
  <si>
    <t>YT21400003</t>
  </si>
  <si>
    <t>YT21400009</t>
  </si>
  <si>
    <t>YT21400371</t>
  </si>
  <si>
    <t>YT21400537</t>
  </si>
  <si>
    <t>YT21400004</t>
  </si>
  <si>
    <t>SSI BIMA</t>
  </si>
  <si>
    <t>YT21400219</t>
  </si>
  <si>
    <t>YT21400068</t>
  </si>
  <si>
    <t>YT21400293</t>
  </si>
  <si>
    <t>YT21400104</t>
  </si>
  <si>
    <t>YT21400599</t>
  </si>
  <si>
    <t>YT21400545</t>
  </si>
  <si>
    <t>YR25400048</t>
  </si>
  <si>
    <t>YT21400328</t>
  </si>
  <si>
    <t>YT21400133</t>
  </si>
  <si>
    <t>YT21400299</t>
  </si>
  <si>
    <t>YT21400110</t>
  </si>
  <si>
    <t>YT21400279</t>
  </si>
  <si>
    <t>YT21400255</t>
  </si>
  <si>
    <t>YT21400131</t>
  </si>
  <si>
    <t>YT21400046</t>
  </si>
  <si>
    <t>YT21400109</t>
  </si>
  <si>
    <t>YT21400430</t>
  </si>
  <si>
    <t>YT21400446</t>
  </si>
  <si>
    <t>YK21200046</t>
  </si>
  <si>
    <t>YR25400639</t>
  </si>
  <si>
    <t>YT21400271</t>
  </si>
  <si>
    <t>YT21400249</t>
  </si>
  <si>
    <t>YT21400335</t>
  </si>
  <si>
    <t>YT21400105</t>
  </si>
  <si>
    <t>YK21200138</t>
  </si>
  <si>
    <t>YT21400047</t>
  </si>
  <si>
    <t>YT21400217</t>
  </si>
  <si>
    <t>YK21200183</t>
  </si>
  <si>
    <t>YT21400332</t>
  </si>
  <si>
    <t>YT21400433</t>
  </si>
  <si>
    <t>YT21400280</t>
  </si>
  <si>
    <t>YT21400161</t>
  </si>
  <si>
    <t>YT21400182</t>
  </si>
  <si>
    <t>YT21400205</t>
  </si>
  <si>
    <t>YT21400152</t>
  </si>
  <si>
    <t>YT21400149</t>
  </si>
  <si>
    <t>YT21400337</t>
  </si>
  <si>
    <t>YT21400305</t>
  </si>
  <si>
    <t>YT21400165</t>
  </si>
  <si>
    <t>YT21400203</t>
  </si>
  <si>
    <t>YT21400113</t>
  </si>
  <si>
    <t>YT21400148</t>
  </si>
  <si>
    <t>YT21400201</t>
  </si>
  <si>
    <t>YT21400438</t>
  </si>
  <si>
    <t>YT21400324</t>
  </si>
  <si>
    <t>YT21400055</t>
  </si>
  <si>
    <t>YT21400309</t>
  </si>
  <si>
    <t>YR25400506</t>
  </si>
  <si>
    <t>YR25401638</t>
  </si>
  <si>
    <t>YR25401665</t>
  </si>
  <si>
    <t>YR25400092</t>
  </si>
  <si>
    <t>YR25400236</t>
  </si>
  <si>
    <t>YR25400227</t>
  </si>
  <si>
    <t>YR25400171</t>
  </si>
  <si>
    <t>YR25400223</t>
  </si>
  <si>
    <t>YM68200041</t>
  </si>
  <si>
    <t>YR25400643</t>
  </si>
  <si>
    <t>YR25400343</t>
  </si>
  <si>
    <t>YR25400698</t>
  </si>
  <si>
    <t>YR25400316</t>
  </si>
  <si>
    <t>YR25400706</t>
  </si>
  <si>
    <t>YR25400875</t>
  </si>
  <si>
    <t>YR25400547</t>
  </si>
  <si>
    <t>YR25400821</t>
  </si>
  <si>
    <t>YR25400357</t>
  </si>
  <si>
    <t>YR25400713</t>
  </si>
  <si>
    <t>YR25400460</t>
  </si>
  <si>
    <t>YR25400610</t>
  </si>
  <si>
    <t>YR25400680</t>
  </si>
  <si>
    <t>YR25400633</t>
  </si>
  <si>
    <t>YR25400606</t>
  </si>
  <si>
    <t>YR25400575</t>
  </si>
  <si>
    <t>YR25400574</t>
  </si>
  <si>
    <t>YR25400648</t>
  </si>
  <si>
    <t>YR25400668</t>
  </si>
  <si>
    <t>YR25400354</t>
  </si>
  <si>
    <t>YR25400477</t>
  </si>
  <si>
    <t>YR25400636</t>
  </si>
  <si>
    <t>YR25400684</t>
  </si>
  <si>
    <t>YR25400512</t>
  </si>
  <si>
    <t>YR25400617</t>
  </si>
  <si>
    <t>YR25400804</t>
  </si>
  <si>
    <t>YR25400719</t>
  </si>
  <si>
    <t>YR25400561</t>
  </si>
  <si>
    <t>YR25400740</t>
  </si>
  <si>
    <t>YR25400405</t>
  </si>
  <si>
    <t>YR25400558</t>
  </si>
  <si>
    <t>YR25400808</t>
  </si>
  <si>
    <t>YR25400586</t>
  </si>
  <si>
    <t>YR25400781</t>
  </si>
  <si>
    <t>YR25400311</t>
  </si>
  <si>
    <t>YR25400355</t>
  </si>
  <si>
    <t>YR25400728</t>
  </si>
  <si>
    <t>YR25400754</t>
  </si>
  <si>
    <t>YR25400846</t>
  </si>
  <si>
    <t>YR25400329</t>
  </si>
  <si>
    <t>YR25400486</t>
  </si>
  <si>
    <t>YR25400689</t>
  </si>
  <si>
    <t>YR25400571</t>
  </si>
  <si>
    <t>YR25400463</t>
  </si>
  <si>
    <t>YR25400805</t>
  </si>
  <si>
    <t>YR25400601</t>
  </si>
  <si>
    <t>YR25400540</t>
  </si>
  <si>
    <t>YR25400785</t>
  </si>
  <si>
    <t>YR25400377</t>
  </si>
  <si>
    <t>YR25400378</t>
  </si>
  <si>
    <t>YR25401189</t>
  </si>
  <si>
    <t>YR25400443</t>
  </si>
  <si>
    <t>YR25400498</t>
  </si>
  <si>
    <t>YT21400326</t>
  </si>
  <si>
    <t>YT21400339</t>
  </si>
  <si>
    <t>YT21400102</t>
  </si>
  <si>
    <t>YT21400236</t>
  </si>
  <si>
    <t>YM68200939</t>
  </si>
  <si>
    <t>ABACUS MALANG</t>
  </si>
  <si>
    <t>ABACUS MAKASSAR</t>
  </si>
  <si>
    <t>ABACUS BALI</t>
  </si>
  <si>
    <t>ABACUS KEDIRI</t>
  </si>
  <si>
    <t>YR20400433</t>
  </si>
  <si>
    <t>Provinsi</t>
  </si>
  <si>
    <t>Service Area</t>
  </si>
  <si>
    <t xml:space="preserve">TYPE </t>
  </si>
  <si>
    <t>Muhammad Gufron Sofyan</t>
  </si>
  <si>
    <t>ATM#</t>
  </si>
  <si>
    <t>YK21</t>
  </si>
  <si>
    <t>YM68</t>
  </si>
  <si>
    <t>YR25</t>
  </si>
  <si>
    <t>YT21</t>
  </si>
  <si>
    <t>TOTAL CRM</t>
  </si>
  <si>
    <t>`</t>
  </si>
  <si>
    <t>YO52</t>
  </si>
  <si>
    <t>PKT</t>
  </si>
  <si>
    <t>TYPE SN</t>
  </si>
  <si>
    <t>Status</t>
  </si>
  <si>
    <t>YK20</t>
  </si>
  <si>
    <t>ABACUS SIDOARJO,</t>
  </si>
  <si>
    <t>Last Visit</t>
  </si>
  <si>
    <t>Action</t>
  </si>
  <si>
    <t>TASK</t>
  </si>
  <si>
    <t>BANK</t>
  </si>
  <si>
    <t>SLA</t>
  </si>
  <si>
    <t>WSNAME</t>
  </si>
  <si>
    <t>WS_TYPE</t>
  </si>
  <si>
    <t>ADDRESS</t>
  </si>
  <si>
    <t>CREATED_AT</t>
  </si>
  <si>
    <t>CALLTIME</t>
  </si>
  <si>
    <t>APPOINTMENT</t>
  </si>
  <si>
    <t>ARRIVED</t>
  </si>
  <si>
    <t>STARTED</t>
  </si>
  <si>
    <t>FINISHED</t>
  </si>
  <si>
    <t>SE_CODE</t>
  </si>
  <si>
    <t>SE_NAME</t>
  </si>
  <si>
    <t>PROBLEM</t>
  </si>
  <si>
    <t>PT1</t>
  </si>
  <si>
    <t>PT2</t>
  </si>
  <si>
    <t>FT1</t>
  </si>
  <si>
    <t>FT2</t>
  </si>
  <si>
    <t>SOLUTION</t>
  </si>
  <si>
    <t>NOTES</t>
  </si>
  <si>
    <t>CREATOR</t>
  </si>
  <si>
    <t>TICKET</t>
  </si>
  <si>
    <t>SVC_TYPE</t>
  </si>
  <si>
    <t>CALL_NO</t>
  </si>
  <si>
    <t>PRIORITY</t>
  </si>
  <si>
    <t>ZONE</t>
  </si>
  <si>
    <t>REGION</t>
  </si>
  <si>
    <t>GRP_AREA</t>
  </si>
  <si>
    <t>PENDING_REASON</t>
  </si>
  <si>
    <t>SPART</t>
  </si>
  <si>
    <t>APPROVE</t>
  </si>
  <si>
    <t>RESPONSE_SCORE</t>
  </si>
  <si>
    <t>FIX_SCORE</t>
  </si>
  <si>
    <t>BCA</t>
  </si>
  <si>
    <t>Z11RBCA</t>
  </si>
  <si>
    <t>BCA KCP LOMBOK TIMUR CRM 2</t>
  </si>
  <si>
    <t>IRN</t>
  </si>
  <si>
    <t>Indonesia B</t>
  </si>
  <si>
    <t>AVCK-Advantage Cakranegara</t>
  </si>
  <si>
    <t>Z11QBCA</t>
  </si>
  <si>
    <t>BCA KCP LOMBOK TIMUR CRM 1</t>
  </si>
  <si>
    <t>ZRH5BCA</t>
  </si>
  <si>
    <t>BCA ALFA RAYA MASBAGIK</t>
  </si>
  <si>
    <t>JL RAYA MASBAGIK, MASBAGIK SELATAN, MASBAGIK, LOMB</t>
  </si>
  <si>
    <t>Z24CBCA</t>
  </si>
  <si>
    <t>BCA Crystal Mart Cargo</t>
  </si>
  <si>
    <t>PTD</t>
  </si>
  <si>
    <t>ACBL-Abacus Bali</t>
  </si>
  <si>
    <t>Z3TZBCA</t>
  </si>
  <si>
    <t>BCA KK SRIWIJAYA 2 CRM</t>
  </si>
  <si>
    <t>KANTOR KAS SRWIJAYA  JL SRIWIJAYA NO 14 F</t>
  </si>
  <si>
    <t>ZLR2BCA</t>
  </si>
  <si>
    <t>BCA ALFA THOMAS AQUINAS</t>
  </si>
  <si>
    <t>JL NURI WATU LANGKE REMBONG MANGGARAI NUSA TENGGARA TIMUR</t>
  </si>
  <si>
    <t>YYT</t>
  </si>
  <si>
    <t>BCA 0314-Kupang</t>
  </si>
  <si>
    <t>LAR</t>
  </si>
  <si>
    <t>LRH</t>
  </si>
  <si>
    <t>FQN</t>
  </si>
  <si>
    <t>ZUP8BCA</t>
  </si>
  <si>
    <t>BCA INDOMARET ULUWATU  II</t>
  </si>
  <si>
    <t xml:space="preserve"> JL ULUWATU II KUTA SELATAN BADUNG DENPASAR</t>
  </si>
  <si>
    <t>AHA</t>
  </si>
  <si>
    <t>RRW</t>
  </si>
  <si>
    <t>Z2H3BCA</t>
  </si>
  <si>
    <t>BCA  GATOT SUBROTO TIMUR</t>
  </si>
  <si>
    <t xml:space="preserve"> JL. GATOT SUBROTO TIMUR 67, DENPASAR  80237</t>
  </si>
  <si>
    <t>FAF</t>
  </si>
  <si>
    <t>ZLQ2BCA</t>
  </si>
  <si>
    <t>BCA ALFA RAYA ATAMBUA BELU</t>
  </si>
  <si>
    <t>JL ADAM MALIK BARDAO, ATAMBUA BARAT BELU</t>
  </si>
  <si>
    <t>YRG</t>
  </si>
  <si>
    <t>ZRY6BCA</t>
  </si>
  <si>
    <t>BCA Alfa Suropati</t>
  </si>
  <si>
    <t>BBY</t>
  </si>
  <si>
    <t>ANBL-Andalan Bali</t>
  </si>
  <si>
    <t>ZRF7BCA</t>
  </si>
  <si>
    <t>BCA CK 0233 GUNUNG AGUNG I</t>
  </si>
  <si>
    <t>JL. GUNUNG AGUNG NO. 30 DENPASAR</t>
  </si>
  <si>
    <t>ZRF6BCA</t>
  </si>
  <si>
    <t>BCA CK RAYA BUDUK</t>
  </si>
  <si>
    <t>EAS</t>
  </si>
  <si>
    <t>Z2H4BCA</t>
  </si>
  <si>
    <t>BCA GATOT SUBROTO TIMUR</t>
  </si>
  <si>
    <t>JL. GATOT SUBROTO TIMUR 67, DENPASAR 80237</t>
  </si>
  <si>
    <t>Z2H2BCA</t>
  </si>
  <si>
    <t>ZTQ4BCA</t>
  </si>
  <si>
    <t>BCA KC WAINGAPU</t>
  </si>
  <si>
    <t>JL A YANI RT 15 RW 006 KEL MENTAWAI KEC KOTA WAINGAPU</t>
  </si>
  <si>
    <t>Z10ZBCA</t>
  </si>
  <si>
    <t>BCA KCU KUPANG CRM 2</t>
  </si>
  <si>
    <t>JL. TOMPELO, OETETE, KECAMATAN OEBOBO, KOTA KUPANG - NUSA TENGGARA TIMUR</t>
  </si>
  <si>
    <t>AVKP-Advantage Kupang</t>
  </si>
  <si>
    <t>Z263BCA</t>
  </si>
  <si>
    <t>BCA Level 21 Denpasar</t>
  </si>
  <si>
    <t>SHR</t>
  </si>
  <si>
    <t>Z4ULBCA</t>
  </si>
  <si>
    <t>BCA MALL BALI GALERIA CRM 1</t>
  </si>
  <si>
    <t>JL BY PASS NGURAH RAI KUTA KAB BADUNG</t>
  </si>
  <si>
    <t>ZTR4BCA</t>
  </si>
  <si>
    <t>BCA WAINGAPU</t>
  </si>
  <si>
    <t>6736BCA</t>
  </si>
  <si>
    <t>BCA HARD ROCK HOTEL, DENPASAR</t>
  </si>
  <si>
    <t>JL. PANTAI KUTA, DENPASAR, BALI</t>
  </si>
  <si>
    <t>Z08RBCA</t>
  </si>
  <si>
    <t>BCA DENPASAR CRM 9</t>
  </si>
  <si>
    <t>ALP</t>
  </si>
  <si>
    <t>JL. WR. SUPRATMAN DENPASAR BALI</t>
  </si>
  <si>
    <t>REH</t>
  </si>
  <si>
    <t>ZRC7BCA</t>
  </si>
  <si>
    <t>BCA ARYS MIKRO PULAU GALANG</t>
  </si>
  <si>
    <t>ZQC4BCA</t>
  </si>
  <si>
    <t>BCA CRM TOKO KAWAN NAKULA</t>
  </si>
  <si>
    <t>Z23EBCA</t>
  </si>
  <si>
    <t>BCA SUMBAWA BESAR</t>
  </si>
  <si>
    <t>RUKO JALAN HASANUDDIN NO 68, SUMBAWA, NUSA TENGGARA BARAT</t>
  </si>
  <si>
    <t>ZRR5BCA</t>
  </si>
  <si>
    <t>BCA INDOMARET ARAFAH LELATENG</t>
  </si>
  <si>
    <t>JL MANGGA NO 89, BR LELATENG, NEGARA, JEMBRANA</t>
  </si>
  <si>
    <t>GUS</t>
  </si>
  <si>
    <t>ZRE6BCA</t>
  </si>
  <si>
    <t>BCA CK 0193 TANGKUBAN PERAHU</t>
  </si>
  <si>
    <t>JL GUNUNG TANGKUBAN PERAHU NO 5A BADUNG</t>
  </si>
  <si>
    <t>ZQD4BCA</t>
  </si>
  <si>
    <t>BCA INDOMARET TOKO SHINTA</t>
  </si>
  <si>
    <t>ZRN6BCA</t>
  </si>
  <si>
    <t>BCA ALFA Q400 NAKULA SEMINYAK</t>
  </si>
  <si>
    <t>JL NAKULA NO 18 SEMINYAK, KUTA, BADUNG</t>
  </si>
  <si>
    <t>2574BCA</t>
  </si>
  <si>
    <t>BCA CK 151 Pulau Bungin 2</t>
  </si>
  <si>
    <t>Jl. Pulau Bungin No.108, Pedungan, Denpasar Selatan, Kota Denpasar, Bali 80113</t>
  </si>
  <si>
    <t>Z07VBCA</t>
  </si>
  <si>
    <t>BCA Cakranegara CRM 4</t>
  </si>
  <si>
    <t>ZRK5BCA</t>
  </si>
  <si>
    <t>BCA IDM DR WAHIDIN MATARAM</t>
  </si>
  <si>
    <t>JL DR WAHIDIN KEL REMBIGA MATARAM</t>
  </si>
  <si>
    <t>ZQF4BCA</t>
  </si>
  <si>
    <t>BCA CRM CK 114 CANGGU</t>
  </si>
  <si>
    <t>Z4VYBCA</t>
  </si>
  <si>
    <t>BCA Canggu CRM 1</t>
  </si>
  <si>
    <t>Z07ZBCA</t>
  </si>
  <si>
    <t>BCA SWETA LOMBAR CRM 1</t>
  </si>
  <si>
    <t xml:space="preserve"> JL SANDUBAYA 70-72 SWETA, BERTAIS, MATARAM</t>
  </si>
  <si>
    <t>0072BCA</t>
  </si>
  <si>
    <t>BCA BANDARA INTERNATIONAL LOMBOK</t>
  </si>
  <si>
    <t>JL. TANAH AWU, LOMBOK TENGAH PRAYA</t>
  </si>
  <si>
    <t>00DPBCA</t>
  </si>
  <si>
    <t>BCA SPBU Pagutan</t>
  </si>
  <si>
    <t>Jl. Bung Karno No.78C, Pagesangan Timur., Kecamatan Mataram, Kota Mataram, Nusa Tenggara Barat</t>
  </si>
  <si>
    <t>00FUBCA</t>
  </si>
  <si>
    <t>BCA KANTOR OJK NTB</t>
  </si>
  <si>
    <t>00HCBCA</t>
  </si>
  <si>
    <t>BCA ALFA PASIR PANJANG</t>
  </si>
  <si>
    <t>PASIR PANJANG, KEC.KOTA LAMA, KOTA KUPANG</t>
  </si>
  <si>
    <t>00R1BCA</t>
  </si>
  <si>
    <t>BCA IDM PEMUDA MATARAM</t>
  </si>
  <si>
    <t>JL PEMUDA, GOMONG, SELAPARANG, MATARAM</t>
  </si>
  <si>
    <t>00R9BCA</t>
  </si>
  <si>
    <t>037WBCA</t>
  </si>
  <si>
    <t>BCA TOKO SINAR BANGUNAN KUPANG</t>
  </si>
  <si>
    <t>164RBCA</t>
  </si>
  <si>
    <t>BCA SPBU MITRA KUPANG</t>
  </si>
  <si>
    <t>238XBCA</t>
  </si>
  <si>
    <t>BCA HOTEL CENDANA</t>
  </si>
  <si>
    <t>262RBCA</t>
  </si>
  <si>
    <t>BCA SPBU BENGKEL</t>
  </si>
  <si>
    <t>285LBCA</t>
  </si>
  <si>
    <t>BCA Bandara Eltari Kupang</t>
  </si>
  <si>
    <t>454QBCA</t>
  </si>
  <si>
    <t>BCA ATM INDOMARET PAOK MOTONG</t>
  </si>
  <si>
    <t>JL. RAYA PAOK MOTONG LOMBOK TIMUR</t>
  </si>
  <si>
    <t>513NBCA</t>
  </si>
  <si>
    <t>BCA ALFAMART BRAWIJAYA</t>
  </si>
  <si>
    <t>JL BRAWIJAYA CAKRA SELATAN BARU CAKRANEGARA MATARAM</t>
  </si>
  <si>
    <t>551KBCA</t>
  </si>
  <si>
    <t>BCA INDOMARET KUTA II LOMBOK TENGAH</t>
  </si>
  <si>
    <t>JL PARIWISATA DESA KUTA PUJUT LOMBOK TENGAH, NUSA TENGGARA BARAT</t>
  </si>
  <si>
    <t>609WBCA</t>
  </si>
  <si>
    <t>BCA INDOMARET RAYA SENGGIGI LOMBOK BARAT</t>
  </si>
  <si>
    <t>617BBCA</t>
  </si>
  <si>
    <t>BCA SPBU 54.835.08 BYPAS BIL</t>
  </si>
  <si>
    <t>JL RAYA BANDARA INTERNASIONAL LOMBOK, LOMBOK TENGAH</t>
  </si>
  <si>
    <t>634BBCA</t>
  </si>
  <si>
    <t>BCA ALFAMART JENDRAL SUDIRMAN</t>
  </si>
  <si>
    <t>JL JENDRAL SUDIRMAN, KEL REMBIGA, KEC SELAPARANG, MATARAM, NTB</t>
  </si>
  <si>
    <t>6878BCA</t>
  </si>
  <si>
    <t>BCA ROYAL</t>
  </si>
  <si>
    <t>688JBCA</t>
  </si>
  <si>
    <t>BCA ALFAMART ADI SUCIPTO MATARAM</t>
  </si>
  <si>
    <t>695JBCA</t>
  </si>
  <si>
    <t>BCA ATM ALFA PANTAI SENGGIGI</t>
  </si>
  <si>
    <t>JL. RAYA SENGGIGI, KEC. BATULAYAR, KAB. LOMBOK BARAT</t>
  </si>
  <si>
    <t>Z07QBCA</t>
  </si>
  <si>
    <t>BCA Ampenan CRM 2</t>
  </si>
  <si>
    <t>Jl Saleh Sungkar no 37, Ampenan, Mataram</t>
  </si>
  <si>
    <t>Z07TBCA</t>
  </si>
  <si>
    <t>BCA Cakranegara CRM 2</t>
  </si>
  <si>
    <t>Z07UBCA</t>
  </si>
  <si>
    <t>BCA Cakranegara CRM 3</t>
  </si>
  <si>
    <t>Z08ABCA</t>
  </si>
  <si>
    <t>JL SANDUBAYA 70-72 SWETA , BERTAIS , MATARAM</t>
  </si>
  <si>
    <t>Z16JBCA</t>
  </si>
  <si>
    <t>BCA KK SRIWIJAYA 1 CRM</t>
  </si>
  <si>
    <t>Z2FCBCA</t>
  </si>
  <si>
    <t>BCA PRAYA</t>
  </si>
  <si>
    <t>JL. JENDRAL SUDIRMAN, PRAYA, LOMBOK TENGAH</t>
  </si>
  <si>
    <t>Z3NUBCA</t>
  </si>
  <si>
    <t>BCA KCP SILIWANGI KUPANG</t>
  </si>
  <si>
    <t>Z3NVBCA</t>
  </si>
  <si>
    <t>BCA SILIWANGI KUPANG CRM 2</t>
  </si>
  <si>
    <t>Z4WFBCA</t>
  </si>
  <si>
    <t>BCA SWETA LOMBAR CRM 3</t>
  </si>
  <si>
    <t>Z4XTBCA</t>
  </si>
  <si>
    <t>BCA KCP LOMBOK TIMUR CRM 3</t>
  </si>
  <si>
    <t>ZKP9BCA</t>
  </si>
  <si>
    <t>ZLY2BCA</t>
  </si>
  <si>
    <t>BCA ALFAMART BATU RINGGIT MATARAM</t>
  </si>
  <si>
    <t>ZQ1RBCA</t>
  </si>
  <si>
    <t>BCA CRM SWETA LOMBAR 4</t>
  </si>
  <si>
    <t>JL SANDUBAYA 70-72 SWETA, BERTAIS, MATARAM</t>
  </si>
  <si>
    <t>ZQH4BCA</t>
  </si>
  <si>
    <t>BCA MODERN ELEKTRONIK</t>
  </si>
  <si>
    <t>ZQU2BCA</t>
  </si>
  <si>
    <t>BCA CRM ALFAMART GERUNG II</t>
  </si>
  <si>
    <t>GERUNG UTARA, KEC. GERUNG, KAB. LOMBOK BARAT</t>
  </si>
  <si>
    <t>ZQV2BCA</t>
  </si>
  <si>
    <t>BCA ALFAMART GUNUNGSARI</t>
  </si>
  <si>
    <t>JL. JURUSAN TANJUNG LOMBOK BARAT  KAB. LOMBOK BARAT  NUSA TENGGARA BARAT</t>
  </si>
  <si>
    <t>ZRF5BCA</t>
  </si>
  <si>
    <t>BCA ALFAMART PANTAI KUTA LOMBOK TENGAH</t>
  </si>
  <si>
    <t>JL. PANTAI KUTA, KUTA, PUJUT, LOMBOK TENGAH</t>
  </si>
  <si>
    <t>ZRJ5BCA</t>
  </si>
  <si>
    <t>BCA  INDOMARET BUNG HATTA MATARAM</t>
  </si>
  <si>
    <t>JL. BUNG HATTA NOMOR 37, PENJANGGIK MATARAM</t>
  </si>
  <si>
    <t>00RNBCA</t>
  </si>
  <si>
    <t>BCA KADO BAJO</t>
  </si>
  <si>
    <t>JL YOHANIS SAHADUN KEL. LABUAN BAJO, KEC. KOMODO, KAB. MANGGARAI BARAT, PROV. NUSA TENGGARA TIMUR</t>
  </si>
  <si>
    <t>HID</t>
  </si>
  <si>
    <t>Muhammad Hidayatullah</t>
  </si>
  <si>
    <t>653LBCA</t>
  </si>
  <si>
    <t>BCA MINIMARKET PAGI</t>
  </si>
  <si>
    <t>006SBCA</t>
  </si>
  <si>
    <t>BCA Depo Bangunan Denpasar</t>
  </si>
  <si>
    <t>Jl. Teuku Umar Barat 388 (Marlboro), Denpasar</t>
  </si>
  <si>
    <t>00BHBCA</t>
  </si>
  <si>
    <t>BCA ALFAMART KALIAKAH</t>
  </si>
  <si>
    <t xml:space="preserve"> JL RAYA DENPASAR - GILIMANUK, KALIAKAH, NEGARA  82218</t>
  </si>
  <si>
    <t>00BJBCA</t>
  </si>
  <si>
    <t>BCA ALFA YEH EMBANG</t>
  </si>
  <si>
    <t>JL. RAYA DENPASAR - GILIMANUK, YEH EMBANG, KEC. MENDOYO, KABUPATEN JEMBRANA, BALI</t>
  </si>
  <si>
    <t>00C6BCA</t>
  </si>
  <si>
    <t>BCA IDM Laksamana</t>
  </si>
  <si>
    <t>00CHBCA</t>
  </si>
  <si>
    <t>BCA CK Munggu Tanah Lot</t>
  </si>
  <si>
    <t>Munggu, Mengwi, Badung Regency, Bali</t>
  </si>
  <si>
    <t>00D9BCA</t>
  </si>
  <si>
    <t>BCA IDM SEBATU GIANYAR</t>
  </si>
  <si>
    <t>JL. RAYA BILUKAN, SEBATU, KEC. TEGALLALANG, KABUPATEN GIANYAR, BALI</t>
  </si>
  <si>
    <t>00DMBCA</t>
  </si>
  <si>
    <t>BCA Alfa Segina Kertapura</t>
  </si>
  <si>
    <t>Gg. Segina III B No.6, Pemecutan Klod, Kec. Denpasar Bar., Kota Denpasar, Bali</t>
  </si>
  <si>
    <t>00E2BCA</t>
  </si>
  <si>
    <t>BCA T-SHOCKED DOG CANGGU</t>
  </si>
  <si>
    <t>JL PANTAI BATU BOLONG NO 11 CANGGU KUTA UTARA BADUNG BALI</t>
  </si>
  <si>
    <t>00E3BCA</t>
  </si>
  <si>
    <t>BCA CK WANGAYA</t>
  </si>
  <si>
    <t>JL KARTINI DAUH PURI KAJA DENPASAR UTARA, DENPASAR BALI</t>
  </si>
  <si>
    <t>00F5BCA</t>
  </si>
  <si>
    <t>BCA HOTEL THE MANSION UBUD</t>
  </si>
  <si>
    <t>JL PENESTANAN SAYAN KEC UBUD KAB GIANYAR BALI</t>
  </si>
  <si>
    <t>00FTBCA</t>
  </si>
  <si>
    <t>BCA IDM LODTUNDUH</t>
  </si>
  <si>
    <t>00H1BCA</t>
  </si>
  <si>
    <t>BCA THE APURVA KEMPINSKI 2</t>
  </si>
  <si>
    <t>JL. RAYA NUSA DUA SELATAN LOT 4, BENOA, KEC. KUTA SEL., KABUPATEN BADUNG, BALI 80361</t>
  </si>
  <si>
    <t>00H8BCA</t>
  </si>
  <si>
    <t>BCA CK PECATU UTARA</t>
  </si>
  <si>
    <t>JL DAHLIA RAYA,PECATU,KEC.KUTA SEL. KABUPATEN BADUNG,BALI</t>
  </si>
  <si>
    <t>00H9BCA</t>
  </si>
  <si>
    <t>BCA CK KAPAL BADUNG</t>
  </si>
  <si>
    <t>KAPAL, MENGWI, BADUNG REGENCY, BALI  80351</t>
  </si>
  <si>
    <t>00JKBCA</t>
  </si>
  <si>
    <t>BCA ATM  Beachwalk</t>
  </si>
  <si>
    <t>Jl Pantai Kuta, Kuta, Kab. Badung  80361</t>
  </si>
  <si>
    <t>00JPBCA</t>
  </si>
  <si>
    <t>BCA TOKO WISMA TANI GELGEL</t>
  </si>
  <si>
    <t>JL. WATU RENGGONG, GELGEL, KEC. KLUNGKUNG, KABUPATEN KLUNGKUNG, BALI</t>
  </si>
  <si>
    <t>00KKBCA</t>
  </si>
  <si>
    <t>BCA CK SARAS BEDUGUL</t>
  </si>
  <si>
    <t>JL. BATURITI BEDUGUL, BATUNYA, KEC. BATURITI, KABUPATEN TABANAN, BALI</t>
  </si>
  <si>
    <t>00KLBCA</t>
  </si>
  <si>
    <t>BCA SARI LIMO ANTASURA</t>
  </si>
  <si>
    <t>JL. ANTASURA NO.22X, PEGUYANGAN KANGIN, KEC. DENPASAR UTARA, KOTA DENPASAR, BALI  80115</t>
  </si>
  <si>
    <t>00KPBCA</t>
  </si>
  <si>
    <t>BCA IDM GEOPARK KINTAMANI</t>
  </si>
  <si>
    <t>PENELOKAN MAIN RD, SOUTH BATUR, KINTAMANI, BANGLI REGENCY, BALI  80652</t>
  </si>
  <si>
    <t>00LTBCA</t>
  </si>
  <si>
    <t>BCA TOKO HARAPAN JAYA</t>
  </si>
  <si>
    <t>00N4BCA</t>
  </si>
  <si>
    <t>BCA SPBU DEWI SRI</t>
  </si>
  <si>
    <t>00RFBCA</t>
  </si>
  <si>
    <t>BCA BANDARA NGURAH RAI BALI</t>
  </si>
  <si>
    <t>JL RY GUSTI NGURAH RAI TUBAN KUTA BADUNG BALI</t>
  </si>
  <si>
    <t>00RRBCA</t>
  </si>
  <si>
    <t>BCA CINEMA XXI PARK 23 MALL</t>
  </si>
  <si>
    <t>JL KEDIRI, TUBAN, KEC KUTA, KABUPATEN BADUNG, BALI</t>
  </si>
  <si>
    <t>00T3BCA</t>
  </si>
  <si>
    <t>BCA CK PERERENAN</t>
  </si>
  <si>
    <t>JL PANTAI PERERENAN, PERERENAN MENGWI BADUNG</t>
  </si>
  <si>
    <t>00TMBCA</t>
  </si>
  <si>
    <t>BCA IDM KALIUNTU</t>
  </si>
  <si>
    <t>00TYBCA</t>
  </si>
  <si>
    <t>BCA COCO MART SANGGULAN</t>
  </si>
  <si>
    <t>JL TUKAD YEH EMPAS, BANJAR ANYAR, KEC.KEDIRI,KABUPATEN TABANAN, BALI</t>
  </si>
  <si>
    <t>00TZBCA</t>
  </si>
  <si>
    <t>BCA CRYSTAL MART LEMPUYANG</t>
  </si>
  <si>
    <t>00ULBCA</t>
  </si>
  <si>
    <t>BCA ALFA MAHENDRADATA UTARA</t>
  </si>
  <si>
    <t>JL. MAHENDRADATTA UTARA, PADANGSAMBIAN, KEC. DENPASAR BAR., KOTA DENPASAR, BALI  80119</t>
  </si>
  <si>
    <t>00UMBCA</t>
  </si>
  <si>
    <t>BCA IDM MAHENDRADATA UTARA</t>
  </si>
  <si>
    <t>PADANGSAMBIAN, DENPASAR BARAT, DENPASAR CITY, BALI  80118</t>
  </si>
  <si>
    <t>00UPBCA</t>
  </si>
  <si>
    <t>BCA SPBU GAJAH MADA MENDOYO 3</t>
  </si>
  <si>
    <t>JL. GAJAH MADA, MENDOYO DAUH TUKAD, KEC. MENDOYO, KABUPATEN JEMBRANA, BALI 82261</t>
  </si>
  <si>
    <t>00UUBCA</t>
  </si>
  <si>
    <t>BCA COCO MART BLAHKIUH</t>
  </si>
  <si>
    <t>00UVBCA</t>
  </si>
  <si>
    <t>BCA COCO MART TEBONGKANG</t>
  </si>
  <si>
    <t xml:space="preserve"> JL. RAYA SINGAKERTA NO.7, SINGAKERTA, KECAMATAN UBUD, KABUPATEN GIANYAR, BALI  80571</t>
  </si>
  <si>
    <t>00UXBCA</t>
  </si>
  <si>
    <t>BCA SPBU ANTURAN SINGARAJA</t>
  </si>
  <si>
    <t>JL. SERIRIT- SINGARAJA, TUKADMUNGGA BULELENG , KAB BULELENG</t>
  </si>
  <si>
    <t>00V9BCA</t>
  </si>
  <si>
    <t>BCA ARYS MIKRO CELUK</t>
  </si>
  <si>
    <t>00VCBCA</t>
  </si>
  <si>
    <t>BCA BANDARA NGURAH RAI ATM CE</t>
  </si>
  <si>
    <t>JALAN RAYA GUSTI NGURAH RAI, TUBAN, KUTA, BADUNG REGENCY, BALI  80362</t>
  </si>
  <si>
    <t>00X4BCA</t>
  </si>
  <si>
    <t>BCA CK TEGALLALANG  JL PAKUDUI TEGALLALANG GIANYAR BALI</t>
  </si>
  <si>
    <t>JL BY PASS I B MANTRA, LEBIH, GIANYAR</t>
  </si>
  <si>
    <t>00Y4BCA</t>
  </si>
  <si>
    <t>BCA CK MUNGGU PERERENAN</t>
  </si>
  <si>
    <t>JL BY PASS TANAH LOT NO 88A MENGWI BADUNG BALI</t>
  </si>
  <si>
    <t>00ZBBCA</t>
  </si>
  <si>
    <t>BCA ARYS MIKRO DUKUH TABANAN</t>
  </si>
  <si>
    <t>JL TERATAI, DAUH PEKEN, KEC.TABANAN, KAB.TABANAN</t>
  </si>
  <si>
    <t>0118BCA</t>
  </si>
  <si>
    <t>BCA KFA 242 Raya Kuta</t>
  </si>
  <si>
    <t>011CBCA</t>
  </si>
  <si>
    <t>BCA CK Gatsu Hook</t>
  </si>
  <si>
    <t>Jl. Gatot Subroto Tim. No.187x, Tonja, Kec. Denpasar Utara, Kota Denpasar, Bali   80239</t>
  </si>
  <si>
    <t>0169BCA</t>
  </si>
  <si>
    <t>BCA CLUB MED HOTEL  KAWASAN PARIWISATA NUSA DUA BTDC LOT 6</t>
  </si>
  <si>
    <t>JL RAYA NUSA DUA SELATAN, BENOA, BADUNG, BALI  80363</t>
  </si>
  <si>
    <t>016MBCA</t>
  </si>
  <si>
    <t>BCA ECCOS PLAZA</t>
  </si>
  <si>
    <t xml:space="preserve"> JL SUNSET ROAD NO.77B, KUTA, KEC.KUTA, KAB.BADUNG, BALI  80361</t>
  </si>
  <si>
    <t>0173BCA</t>
  </si>
  <si>
    <t>BCA SPBU PENDEM JEMBRANA</t>
  </si>
  <si>
    <t>0178BCA</t>
  </si>
  <si>
    <t>BCA Gramedia Gatot Subroto</t>
  </si>
  <si>
    <t>Jl Gatot Subroto Tengah No 332 Dauh Puri Kaja</t>
  </si>
  <si>
    <t>017NBCA</t>
  </si>
  <si>
    <t>BCA Alfa Antasura</t>
  </si>
  <si>
    <t>Jl. AntasurA Banjar Pengukuh, Denpasar</t>
  </si>
  <si>
    <t>017QBCA</t>
  </si>
  <si>
    <t>BCA IDM Sibangkaja</t>
  </si>
  <si>
    <t>Jl. Sibangkaja, Mumbul, badung Bali</t>
  </si>
  <si>
    <t>01B2BCA</t>
  </si>
  <si>
    <t>BCA ALFA MULAWARMAN</t>
  </si>
  <si>
    <t>JL MULAWARMAN NO.503, ABIANBASE  80515</t>
  </si>
  <si>
    <t>032LBCA</t>
  </si>
  <si>
    <t>BCA PIA LEGONG</t>
  </si>
  <si>
    <t>JLN. BY PASS NGURAH RAI KUTA, BADUNG BALI</t>
  </si>
  <si>
    <t>032QBCA</t>
  </si>
  <si>
    <t>BCA Muaya Cafe 19</t>
  </si>
  <si>
    <t>Jl. Pantai Muaya Jimbaran, Badung, Bali</t>
  </si>
  <si>
    <t>051FBCA</t>
  </si>
  <si>
    <t>BCA THE ONE LEGIAN</t>
  </si>
  <si>
    <t>JL. RAYA LEGIAN NO. 117 KUTA BADUNG</t>
  </si>
  <si>
    <t>066PBCA</t>
  </si>
  <si>
    <t>BCA CK CK154 BAL0251 Ketewe</t>
  </si>
  <si>
    <t>Jl. Prof. Dr. Ida Bagus Mantra No.300, Ketewel, Kec. Sukawati, Kabupaten Gianyar, Bali 80582</t>
  </si>
  <si>
    <t>068WBCA</t>
  </si>
  <si>
    <t>BCA ALFA Q004 BANJAR ANYAR 2</t>
  </si>
  <si>
    <t>JL TUKAD YEH HO BR SANGGULAN BANJAAR, BANJAR ANYAR, KAB, KABUPATEN TABANAN, BALI 82123</t>
  </si>
  <si>
    <t>139PBCA</t>
  </si>
  <si>
    <t>BCA CIRCLE K 0109 MELASTI</t>
  </si>
  <si>
    <t>139TBCA</t>
  </si>
  <si>
    <t>BCA CIRCLE K CK0136  BANJAR SEMER</t>
  </si>
  <si>
    <t>JL. BR SEMER NO. 27 KEROBOKAN KUTA UTARA BADUNG 80361</t>
  </si>
  <si>
    <t>139UBCA</t>
  </si>
  <si>
    <t>BCA CIRCLE K 0137 NUSA DUA</t>
  </si>
  <si>
    <t>JL. BY PASS NGURAH RAI NUSA DUA BADUNG 80361</t>
  </si>
  <si>
    <t>142ZBCA</t>
  </si>
  <si>
    <t>BCA CIRCLE K CK0190 PETITENGET</t>
  </si>
  <si>
    <t>JL PETITENGET NO 105 KEL KEROBOKAN BADUNG</t>
  </si>
  <si>
    <t>144ZBCA</t>
  </si>
  <si>
    <t>BCA Yamaha Ngurah Rai</t>
  </si>
  <si>
    <t>164BBCA</t>
  </si>
  <si>
    <t>BCA ALFAMART GOA GAJAH GIANYAR</t>
  </si>
  <si>
    <t>JL MELATI BANJAR MANUKARYA KAB GIANYAR</t>
  </si>
  <si>
    <t>164EBCA</t>
  </si>
  <si>
    <t>BCA Papaya Fresh Gallery</t>
  </si>
  <si>
    <t>Jl Merthanadi Kuta Bali Kab Badung</t>
  </si>
  <si>
    <t>2045BCA</t>
  </si>
  <si>
    <t>BCA Klinik Tiara Husada Tuban</t>
  </si>
  <si>
    <t>205HBCA</t>
  </si>
  <si>
    <t>BCA Krisna Oleh Oleh Tuban</t>
  </si>
  <si>
    <t>226KBCA</t>
  </si>
  <si>
    <t>BCA Dapur Lebih Gianyar</t>
  </si>
  <si>
    <t>Jl Prof Dr Ida Bagus Mantra Gianyar</t>
  </si>
  <si>
    <t>226LBCA</t>
  </si>
  <si>
    <t>BCA BOSHE CLUB</t>
  </si>
  <si>
    <t>JL BY PASS NGURAH RAI KUTA KABUPATEN BADUNG,</t>
  </si>
  <si>
    <t>253HBCA</t>
  </si>
  <si>
    <t>BCA HOTEL ADI ASRI</t>
  </si>
  <si>
    <t>JL RAYA KERI SRIRIT GILAMANUK KEL PEMITERAN KEC SERIRIT SINGARAJA</t>
  </si>
  <si>
    <t>273JBCA</t>
  </si>
  <si>
    <t>BCA Minimarket Udayana Jimbaran</t>
  </si>
  <si>
    <t>Jl Raya Kampus Univ Udayana Jimbaran Badung</t>
  </si>
  <si>
    <t>273KBCA</t>
  </si>
  <si>
    <t>BCA PEPITO EXPRESS ULUWATU</t>
  </si>
  <si>
    <t>JL RAYA ULUWATU JIMBARAN KUTA SELATAN BADUNG</t>
  </si>
  <si>
    <t>273MBCA</t>
  </si>
  <si>
    <t>BCA Minimarket Pantai Kuta ( JLP III )</t>
  </si>
  <si>
    <t>2900BCA</t>
  </si>
  <si>
    <t>BCA RYOSI JAPANESE RESTAURANT</t>
  </si>
  <si>
    <t>JL. HANOMAN, PADANG TEGAL - UBUD 80571</t>
  </si>
  <si>
    <t>305PBCA</t>
  </si>
  <si>
    <t>BCA CIRCLE K 0244 GUNUNG SANGHYANG</t>
  </si>
  <si>
    <t>JL GUNUNG SANGHYANG KEROBOKAN KUTA UTARA BADUNG</t>
  </si>
  <si>
    <t>305QBCA</t>
  </si>
  <si>
    <t>BCA Circle K 0405 Munggu Mengwi</t>
  </si>
  <si>
    <t>Jl Raya Munggu Banjar Pempatan Desa Munggu Kec Mengwi Kab Badung</t>
  </si>
  <si>
    <t>315EBCA</t>
  </si>
  <si>
    <t>BCA ALFAMART ULUWATU V</t>
  </si>
  <si>
    <t>JL RAYA ULUWATU LINGK KELAN ABIAN KEL KELAN KEC KUTA BADUNG</t>
  </si>
  <si>
    <t>320TBCA</t>
  </si>
  <si>
    <t>BCA AYANA RESORT &amp; SPA BALI</t>
  </si>
  <si>
    <t>334RBCA</t>
  </si>
  <si>
    <t>BCA PEPITO EXPRESS PECATU</t>
  </si>
  <si>
    <t>334UBCA</t>
  </si>
  <si>
    <t>BCA Pepito Petitenget</t>
  </si>
  <si>
    <t>Jl Petitenget Kel Kerobokan Kab Badung</t>
  </si>
  <si>
    <t>334ZBCA</t>
  </si>
  <si>
    <t>BCA Minimart By Pass Jimbaran</t>
  </si>
  <si>
    <t>3353BCA</t>
  </si>
  <si>
    <t>BCA Pepito Supermarket</t>
  </si>
  <si>
    <t>355TBCA</t>
  </si>
  <si>
    <t>BCA Alfamart Q073 Canggu</t>
  </si>
  <si>
    <t>Jl Raya Canggu Kerobokan Kuta Utara Badung</t>
  </si>
  <si>
    <t>355UBCA</t>
  </si>
  <si>
    <t>BCA ALFAMART Q215 TEUKU UMAR BARAT</t>
  </si>
  <si>
    <t>JL TEUKU UMAR BARAT, LINGK PENGABENGAN KANGIN, KEL KEROBOKAN, KUTA UTARA, BADUNG</t>
  </si>
  <si>
    <t>355VBCA</t>
  </si>
  <si>
    <t>BCA ALFAMART Q231 MAMBAL</t>
  </si>
  <si>
    <t>JL RAYA MAMBAL BANJAR AGUNG KEC ABIANSEMAL BADUNG</t>
  </si>
  <si>
    <t>355XBCA</t>
  </si>
  <si>
    <t>BCA ALFAMART Q290 DARMASABA</t>
  </si>
  <si>
    <t>JL DARMASABA, LINGK PENINJOAN DARMASABA, KEC ABIANSEMAL, BADUNG</t>
  </si>
  <si>
    <t>356ABCA</t>
  </si>
  <si>
    <t>BCA Alfamart Q318 Tibung Sari</t>
  </si>
  <si>
    <t>Jl Tibung Sari Lingk Kwanji Dalung Badung</t>
  </si>
  <si>
    <t>365KBCA</t>
  </si>
  <si>
    <t>BCA Indomaret Dewi Sartika Badung Bali</t>
  </si>
  <si>
    <t>Jl Dewi Sartika Kuta - Badung Bali</t>
  </si>
  <si>
    <t>365LBCA</t>
  </si>
  <si>
    <t>BCA INDOMARET MERTANADI  BADUNG BALI</t>
  </si>
  <si>
    <t>JL MERTANADI, KEROBOKAN KLOD KUTA UTR BADUNG</t>
  </si>
  <si>
    <t>371XBCA</t>
  </si>
  <si>
    <t>BCA ALFAMART Q243 GUNUNG AGUNG</t>
  </si>
  <si>
    <t>JL GUNUNG AGUNG NO 146 PADANG SAMBIAN DPS</t>
  </si>
  <si>
    <t>374TBCA</t>
  </si>
  <si>
    <t>BCA INDOMARET IR SOEKARNO ABANAN BALI</t>
  </si>
  <si>
    <t>JL IR SOEKARNO NO 77X DAUH PEKEN TABANAN BALI</t>
  </si>
  <si>
    <t>383PBCA</t>
  </si>
  <si>
    <t>BCA Coco Mart Goa Gong</t>
  </si>
  <si>
    <t>Jl Pura Goa Gong, Pecatu, Kuta Slt Badung</t>
  </si>
  <si>
    <t>383QBCA</t>
  </si>
  <si>
    <t>BCA Coco Mart Mumbul</t>
  </si>
  <si>
    <t>Jl By Pass Ngurah Rai, Kuta Selatan Badung</t>
  </si>
  <si>
    <t>383TBCA</t>
  </si>
  <si>
    <t>BCA Coco Mart Taman Giri</t>
  </si>
  <si>
    <t>Jl Perumahan Taman Giri Kuta Slt Badung</t>
  </si>
  <si>
    <t>401DBCA</t>
  </si>
  <si>
    <t>BCA KRISHNA OLEH OLEH SINGARAJA</t>
  </si>
  <si>
    <t>JL. TEMUKUS, BANJAR, BULELENG, BALI 81113</t>
  </si>
  <si>
    <t>4078BCA</t>
  </si>
  <si>
    <t>BCA DELTA DEWATA</t>
  </si>
  <si>
    <t>JL. RAYA ANDONG NO. 14, UBUD - BALI</t>
  </si>
  <si>
    <t>4079BCA</t>
  </si>
  <si>
    <t>BCA GOSHA</t>
  </si>
  <si>
    <t>JL. DHYANA PURE, SEMINYAK - BADUNG, BALI</t>
  </si>
  <si>
    <t>407DBCA</t>
  </si>
  <si>
    <t>BCA FOUR SEASON UBUD</t>
  </si>
  <si>
    <t>JL RAYA SEYAN - KEDEWATAN BANJAR KUTUH UBUD , GIANYAR</t>
  </si>
  <si>
    <t>418PBCA</t>
  </si>
  <si>
    <t>BCA CIRCLE K 238 SILIGITA BAL0412</t>
  </si>
  <si>
    <t>JL SILIGITA KEL KAMPIAL TANJUNG BENOA-BADUNG</t>
  </si>
  <si>
    <t>439KBCA</t>
  </si>
  <si>
    <t>BCA IDM F26U DALUNG II</t>
  </si>
  <si>
    <t xml:space="preserve"> JL. PERUMAHAN DALUNG PERMAI NO.38B, DALUNG, KEC. KUTA UTARA, KABUPATEN BADUNG, BALI 80361</t>
  </si>
  <si>
    <t>444BBCA</t>
  </si>
  <si>
    <t>BCA ALFAMART KEBO IWA II</t>
  </si>
  <si>
    <t>JL KEBO IWA, PADANGSAMBIAN KAJA, DENPASAR</t>
  </si>
  <si>
    <t>516MBCA</t>
  </si>
  <si>
    <t>BCA CITRALAND WATERPAK DENPASAR</t>
  </si>
  <si>
    <t>5174BCA</t>
  </si>
  <si>
    <t>BCA Pusat Kesenian Lovina 2</t>
  </si>
  <si>
    <t>519CBCA</t>
  </si>
  <si>
    <t>BCA INDOMARET PANDU BADUNG KUTA BALI</t>
  </si>
  <si>
    <t>JL PANDU, KUTA UTARA BADUNG BALI</t>
  </si>
  <si>
    <t>532DBCA</t>
  </si>
  <si>
    <t>BCA ALFAMART SURADIPA</t>
  </si>
  <si>
    <t>JL SURADIPA, LINGK PEGUYANGAN DENPASAR</t>
  </si>
  <si>
    <t>536XBCA</t>
  </si>
  <si>
    <t>BCA CIRCLE K BAL0416 BATU BELIG II BADUNG</t>
  </si>
  <si>
    <t>JL BATU BELIG, KEROBOKAN, KUTA UTARA, BADUNG</t>
  </si>
  <si>
    <t>556EBCA</t>
  </si>
  <si>
    <t>BCA CIRCLE K BATU BOLONG BAL0481 BADUNG</t>
  </si>
  <si>
    <t>JL PANTAIBATUBOLONG SEGARAMADU, KUTA, BADUNG</t>
  </si>
  <si>
    <t>561JBCA</t>
  </si>
  <si>
    <t>BCA SAMASTA JIMBARAN 1</t>
  </si>
  <si>
    <t>JL WANAGIRI, JIMBARAN, KUTA SELATAN</t>
  </si>
  <si>
    <t>5753BCA</t>
  </si>
  <si>
    <t>BCA Super Ekonomi Malboro</t>
  </si>
  <si>
    <t>5867BCA</t>
  </si>
  <si>
    <t>BCA PERTOKOAN DELTA MAS</t>
  </si>
  <si>
    <t>602UBCA</t>
  </si>
  <si>
    <t>BCA ALFAMART GEROKGAK</t>
  </si>
  <si>
    <t>SANGGALANGIT, KEC. GEROKGAK, KABUPATEN BULELENG, BALI</t>
  </si>
  <si>
    <t>602YBCA</t>
  </si>
  <si>
    <t>BCA Prima Medika Hospital Bali 1</t>
  </si>
  <si>
    <t>Jl Pulau Serangan No 9X, Denpasar Bali</t>
  </si>
  <si>
    <t>602ZBCA</t>
  </si>
  <si>
    <t>BCA TOKO AYU DENPASAR BALI 1</t>
  </si>
  <si>
    <t>JL GUNUNG SOPUTAN NO 26 X, PEMECUTAN DENPASAR BALI</t>
  </si>
  <si>
    <t>611ZBCA</t>
  </si>
  <si>
    <t>BCA ALFAMART KEROBOKAN III</t>
  </si>
  <si>
    <t>622HBCA</t>
  </si>
  <si>
    <t>BCA IDM PULAU SAELUS DENPASAR 1</t>
  </si>
  <si>
    <t>JL. PULAU SAELUS NO.16, SESETAN, DENPASAR SEL., KOTA DENPASAR, BALI 80223, INDONESIA</t>
  </si>
  <si>
    <t>624FBCA</t>
  </si>
  <si>
    <t>BCA Minimart Kediri III ( KD3 ) Badung</t>
  </si>
  <si>
    <t>Jl Kediri, Tuban, Kuta, Badung, Bali</t>
  </si>
  <si>
    <t>625HBCA</t>
  </si>
  <si>
    <t>BCA MINIMART TAB 3 KEDIRI, TABANAN, DENPASAR</t>
  </si>
  <si>
    <t>JL DR IR SOEKARNO NO 768 KEDIRI, TABANAN DENPASAR</t>
  </si>
  <si>
    <t>639DBCA</t>
  </si>
  <si>
    <t>BCA RS Ari Canti Mas Ubud 1</t>
  </si>
  <si>
    <t>Jl Raya Mas D No 88X, Mas Ubud Gianyar</t>
  </si>
  <si>
    <t>646WBCA</t>
  </si>
  <si>
    <t>BCA Circle K  Padonan Canggu 1</t>
  </si>
  <si>
    <t>6519BCA</t>
  </si>
  <si>
    <t>BCA GUNTUR SPORT</t>
  </si>
  <si>
    <t>651HBCA</t>
  </si>
  <si>
    <t>BCA Circle K Imam Bonjol Denpasar 1</t>
  </si>
  <si>
    <t>Jl Imam Bonjol - Pemecutan Klod - Denpasar</t>
  </si>
  <si>
    <t>651LBCA</t>
  </si>
  <si>
    <t>BCA CIRCLE K 109 BAL 0244 TEUKU UMAR 1</t>
  </si>
  <si>
    <t>JL TEUKU UMAR KEL DAUH PURI DENPASAR</t>
  </si>
  <si>
    <t>651MBCA</t>
  </si>
  <si>
    <t>BCA CIRCLE K TOHPATI 1</t>
  </si>
  <si>
    <t>JL. WR SUPRATMAN NO.132, KESIMAN KERTALANGU, KEC. DENPASAR TIM., KOTA DENPASAR, BALI 80237</t>
  </si>
  <si>
    <t>651QBCA</t>
  </si>
  <si>
    <t>BCA Circle K 73 Bal0207 Teuku Umar 1</t>
  </si>
  <si>
    <t>Jl Teuku Umar No 246 B Denpasar</t>
  </si>
  <si>
    <t>6520BCA</t>
  </si>
  <si>
    <t>BCA ST REGIS</t>
  </si>
  <si>
    <t>KOMPLEKS BTDC JL TEROMPONG LOT SW 2, NUSA DUA</t>
  </si>
  <si>
    <t>6521BCA</t>
  </si>
  <si>
    <t>BCA MITRA 10 DENPASAR</t>
  </si>
  <si>
    <t>JL. GATOT SUBROTO BARAT, DENPASAR</t>
  </si>
  <si>
    <t>652YBCA</t>
  </si>
  <si>
    <t>BCA ALFAMART DENATA</t>
  </si>
  <si>
    <t>JL PULAU SINGKEP PEDUNGAN DENPASAR</t>
  </si>
  <si>
    <t>660DBCA</t>
  </si>
  <si>
    <t>663NBCA</t>
  </si>
  <si>
    <t>BCA CIRCLE K 304 NAKULA TIMUR 1</t>
  </si>
  <si>
    <t>JL NAKULA, LINGKUNGAN LEGIAN KUTA, BADUNG</t>
  </si>
  <si>
    <t>6651BCA</t>
  </si>
  <si>
    <t>BCA HOTEL TAMAN SUCI</t>
  </si>
  <si>
    <t>681ZBCA</t>
  </si>
  <si>
    <t>BCA THE RITZCARLTON HOTEL 1</t>
  </si>
  <si>
    <t>JALAN RAYA NUSA DUA SELATAN, LOT III, SAWANGAN, NUSA DUA, BALI, INDONESIA, 80361. </t>
  </si>
  <si>
    <t>685BBCA</t>
  </si>
  <si>
    <t>BCA IDM RAYA SANGEH</t>
  </si>
  <si>
    <t>JL RAYA SANGEH SANGEH KEC ABIANSEMAL KAB BADUNG</t>
  </si>
  <si>
    <t>685EBCA</t>
  </si>
  <si>
    <t>BCA PEPITO PRIMALOKA KUTUH</t>
  </si>
  <si>
    <t>JL RAYA DHARMAWANGSA, BANJAR KAJA JATI, KUTUH, KUTA SELATAN, KABUPATEN BADUNG, BALI</t>
  </si>
  <si>
    <t>686MBCA</t>
  </si>
  <si>
    <t>BCA ATM  CIRCLE K TRIDAYA CANGGU</t>
  </si>
  <si>
    <t>686RBCA</t>
  </si>
  <si>
    <t>BCA ALFA WIDA BALI 3</t>
  </si>
  <si>
    <t>686VBCA</t>
  </si>
  <si>
    <t>BCA RS MURNI TEGUH</t>
  </si>
  <si>
    <t>688ABCA</t>
  </si>
  <si>
    <t>BCA TOKO FROZEN DALUNG CK</t>
  </si>
  <si>
    <t>JL RY DALUNG PERMAI, PERTOKOAN PERMAI, DALUNG, KUTA UTARA, BADUNG</t>
  </si>
  <si>
    <t>688BBCA</t>
  </si>
  <si>
    <t>BCA INDOMART ANDONG II GIANYAR</t>
  </si>
  <si>
    <t>JL RAYA ANDONG, PELIATAN UBUD, KAB. GIANYAR</t>
  </si>
  <si>
    <t>688KBCA</t>
  </si>
  <si>
    <t>BCA INDOMARET IMAM BONJOL</t>
  </si>
  <si>
    <t>JL. IMAM BONJOL NO.94, PEMECUTAN KLOD, KEC. DENPASAR BAR., KOTA DENPASAR, BALI 80112</t>
  </si>
  <si>
    <t>689DBCA</t>
  </si>
  <si>
    <t>BCA IDM PALAPA</t>
  </si>
  <si>
    <t>JL PALAPA GG 11, SESETAN, DENPASAR SELATAN</t>
  </si>
  <si>
    <t>689HBCA</t>
  </si>
  <si>
    <t>BCA LUIGIS HOT PIZZA BALI</t>
  </si>
  <si>
    <t>JL BATU MEJAN, CANGGU, KUTA UTARA, CANGGU</t>
  </si>
  <si>
    <t>694KBCA</t>
  </si>
  <si>
    <t>BCA ATM  HOTEL CONRAD BALI</t>
  </si>
  <si>
    <t>JL PRATAMA NO 168, TANJUNG, BENOA, KEC KUTA BADUNG</t>
  </si>
  <si>
    <t>694MBCA</t>
  </si>
  <si>
    <t>BCA CIRCLE KEDEWATAN</t>
  </si>
  <si>
    <t>JL KEDEWATAN, KECAMATAN UBUD, KABUPATEN GIANYAR, BALI 80571</t>
  </si>
  <si>
    <t>694QBCA</t>
  </si>
  <si>
    <t>BCA IDM TANAH LOT TABANAN</t>
  </si>
  <si>
    <t>JL TANAH LOT NO 6 BERABAN KEDIRI TABANAN BALI</t>
  </si>
  <si>
    <t>695LBCA</t>
  </si>
  <si>
    <t>BCA CK Bali Kiddy 4</t>
  </si>
  <si>
    <t>Jl. Teuku Umar Barat No. 235 Jl. Persada, Kerobokan Kelod, Kec. Kuta Utara Kabupaten Badung, Bali 80117, Kerobokan Kelod, Kec. Kuta Utara, Kabupaten Badung, Bali 80112</t>
  </si>
  <si>
    <t>695YBCA</t>
  </si>
  <si>
    <t>BCA IDM I BAGUS MANTRA 119</t>
  </si>
  <si>
    <t>JL PROF DR IDA BAGUS MANTRA, NEGARI, KEC BANJARANGKAN, KAB KLUNGKUNG</t>
  </si>
  <si>
    <t>Z08NBCA</t>
  </si>
  <si>
    <t>BCA DENPASAR CRM 6</t>
  </si>
  <si>
    <t>Z08PBCA</t>
  </si>
  <si>
    <t>BCA DENPASAR CRM 7</t>
  </si>
  <si>
    <t>Z08QBCA</t>
  </si>
  <si>
    <t>BCA DENPASAR CRM 8</t>
  </si>
  <si>
    <t>Z15QBCA</t>
  </si>
  <si>
    <t>JL. SERIRIT- SINGARAJA NO.96, SERIRIT, KEC. SERIRIT, KABUPATEN BULELENG, BALI 81153</t>
  </si>
  <si>
    <t>Z15UBCA</t>
  </si>
  <si>
    <t>BCA Singaraja CRM 3</t>
  </si>
  <si>
    <t>Jl Dr Sutomo 3 - Singaraja Kec Buleleng Kab Buleleng</t>
  </si>
  <si>
    <t>Z1N0BCA</t>
  </si>
  <si>
    <t>BCA IDM Kepaon Indah</t>
  </si>
  <si>
    <t>Jl. Kepaon Indah No.07, Pemogan, Denpasar Selatan</t>
  </si>
  <si>
    <t>Z1T7BCA</t>
  </si>
  <si>
    <t>BCA Alfa Green Kori</t>
  </si>
  <si>
    <t>Jl. Nuansa Hijau Utama I, Ubung Kaja, Kec. Denpasar Utara, Kota Denpasar, Bali</t>
  </si>
  <si>
    <t>Z4WJBCA</t>
  </si>
  <si>
    <t>BCA Mahendradata CRM 5</t>
  </si>
  <si>
    <t>Jl Mahendradata No 99 AX, Denpasar</t>
  </si>
  <si>
    <t>Z4XLBCA</t>
  </si>
  <si>
    <t>BCA GIANYAR CRM 4</t>
  </si>
  <si>
    <t>JL DHARMA GIRI 88 GIANYAR, BADUNG</t>
  </si>
  <si>
    <t>Z833BCA</t>
  </si>
  <si>
    <t>BCA KCP GATOT SUBROTO GSD CRM2</t>
  </si>
  <si>
    <t>JL GATOT SUBROTO TENGAH 80 UNIT 8-9 DENPASAR</t>
  </si>
  <si>
    <t>Z836BCA</t>
  </si>
  <si>
    <t>BCA KLUNGKUNG CRM 2</t>
  </si>
  <si>
    <t>JL PUPUTAN NO 88 SEMARA PURA KLOD KLUNGKUNG</t>
  </si>
  <si>
    <t>Z837BCA</t>
  </si>
  <si>
    <t>BCA KLUNGKUNG CRM 3</t>
  </si>
  <si>
    <t>Z843BCA</t>
  </si>
  <si>
    <t>BCA GIANYAR CRM 2</t>
  </si>
  <si>
    <t>Z847BCA</t>
  </si>
  <si>
    <t>BCA Benoa CRM 3</t>
  </si>
  <si>
    <t>Jl Suwung Batan Kendal no 2 Denpasar</t>
  </si>
  <si>
    <t>Z848BCA</t>
  </si>
  <si>
    <t>BCA Benoa CRM 4</t>
  </si>
  <si>
    <t>Z866BCA</t>
  </si>
  <si>
    <t>BCA Tabanan CRM 2</t>
  </si>
  <si>
    <t>Jl Gajah Mada No 108 Kel Dlod Peken Tabanan</t>
  </si>
  <si>
    <t>ZCD2BCA</t>
  </si>
  <si>
    <t>BCA IDM Banyuasri</t>
  </si>
  <si>
    <t>Jl Ahmah Yani No 189X Buleleng Singaraja</t>
  </si>
  <si>
    <t>ZDX5BCA</t>
  </si>
  <si>
    <t>BCA Alfa Imam Bonjol Tabanan</t>
  </si>
  <si>
    <t>ZKL9BCA</t>
  </si>
  <si>
    <t>BCA KCP Kas Dalung</t>
  </si>
  <si>
    <t>Jl. Raya Padang Luwih, Dalung, Kuta Utara,Badung, Bali</t>
  </si>
  <si>
    <t>ZQE4BCA</t>
  </si>
  <si>
    <t>BCA BINTANG UBUD</t>
  </si>
  <si>
    <t>ZQP3BCA</t>
  </si>
  <si>
    <t>BCA WANA MART</t>
  </si>
  <si>
    <t>JL. JALAN MELASTI.NO.99, LABUAN SAIT, PECATU, KEC. KUTA SEL., KABUPATEN BADUNG, BALI 80361</t>
  </si>
  <si>
    <t>ZRA6BCA</t>
  </si>
  <si>
    <t>BCA IDM GATOT SUBROTO BALI</t>
  </si>
  <si>
    <t>JL GATOT SUBROTO NO 5, TABANAN BALI</t>
  </si>
  <si>
    <t>ZRA7BCA</t>
  </si>
  <si>
    <t>BCA ARYS MIKRO BATANTA</t>
  </si>
  <si>
    <t>JL PULAU BATANTA NO 28, DENPASAR</t>
  </si>
  <si>
    <t>ZRB7BCA</t>
  </si>
  <si>
    <t>BCA ARYS MIKRO BUANA RAYA</t>
  </si>
  <si>
    <t>JL BUANA RAYA NO 103-104, DENPASAR</t>
  </si>
  <si>
    <t>ZRD6BCA</t>
  </si>
  <si>
    <t>BCA ALFA PRATAMA CELUK</t>
  </si>
  <si>
    <t>JL PRATAMA LING CELUK, BENOA, KUTA SELATAN, BADUNG</t>
  </si>
  <si>
    <t>ZRE7BCA</t>
  </si>
  <si>
    <t>BCA CELUK TRADE CENTER</t>
  </si>
  <si>
    <t>JL. RAYA CELUK SUKAWATI, GIANYAR</t>
  </si>
  <si>
    <t>ZRH6BCA</t>
  </si>
  <si>
    <t>BCA IDM BUDUK BADUNG DENPASAR</t>
  </si>
  <si>
    <t>JL RAYA BUDUK, BADUNG, DENPASAR BALI</t>
  </si>
  <si>
    <t>ZRJ7BCA</t>
  </si>
  <si>
    <t>BCA IDM BUANA RAYA DENPASAR</t>
  </si>
  <si>
    <t>ZRL6BCA</t>
  </si>
  <si>
    <t>ZRM6BCA</t>
  </si>
  <si>
    <t>BCA KALIMAS ARCADE</t>
  </si>
  <si>
    <t>JL ULUWATU II, JIMBARAN, BADUNG, KUTA</t>
  </si>
  <si>
    <t>ZRQ5BCA</t>
  </si>
  <si>
    <t>BCA ALFA BANJAR JAWA</t>
  </si>
  <si>
    <t>ZRQ6BCA</t>
  </si>
  <si>
    <t>BCA BAGOES BANGUNAN</t>
  </si>
  <si>
    <t>JL. RAYA SEMOBAUNG GIANYAR  DENPASAR BALI</t>
  </si>
  <si>
    <t>ZRT5BCA</t>
  </si>
  <si>
    <t>BCA IDM F511 UDAYANA</t>
  </si>
  <si>
    <t>JL UDAYANA NO 86 DESA BALER BALE AGUNG, NEGARA, JE</t>
  </si>
  <si>
    <t>ZRT6BCA</t>
  </si>
  <si>
    <t>BCA IDM CANDIBARU GIANYAR</t>
  </si>
  <si>
    <t>JL ASTINA SELATAN NO 09 GIANYAR BALI</t>
  </si>
  <si>
    <t>BCA BATURITI</t>
  </si>
  <si>
    <t>DESA BATURITI, BATURITI, TABANAN</t>
  </si>
  <si>
    <t>ZY9NBCA</t>
  </si>
  <si>
    <t>BCA Alfa Sangsit</t>
  </si>
  <si>
    <t>Jl Raya Sangsit Kec Sawan Singaraja</t>
  </si>
  <si>
    <t>ZZ4ABCA</t>
  </si>
  <si>
    <t>BCA IDM TEGAL PERMAI</t>
  </si>
  <si>
    <t>JL TEGAL PERMAI PERUM DALUNG PERMAI KUTA UTARA KAB BADUNG</t>
  </si>
  <si>
    <t>00JNBCA</t>
  </si>
  <si>
    <t>BCA Gogo Sedap Malam</t>
  </si>
  <si>
    <t>00T4BCA</t>
  </si>
  <si>
    <t>BCA CK RENON 2 BAL 0294</t>
  </si>
  <si>
    <t>JL RAYA PUPUTAN DENPASAR TIMUR DENPASAR BALI</t>
  </si>
  <si>
    <t>00TRBCA</t>
  </si>
  <si>
    <t>BCA ALFA HANGTUAH BARAT</t>
  </si>
  <si>
    <t>00U3BCA</t>
  </si>
  <si>
    <t>BCA IDM NUSA KAMBANGAN</t>
  </si>
  <si>
    <t>JL. NUSA KAMBANGAN NO. 149 DAUH PURI PURI KAUH, DENPASAR</t>
  </si>
  <si>
    <t>016UBCA</t>
  </si>
  <si>
    <t xml:space="preserve"> JL. TUKAD BADUNG NO.20, PANJER, DENPASAR SELATAN, KOTA DENPASAR,  80225</t>
  </si>
  <si>
    <t>067EBCA</t>
  </si>
  <si>
    <t>BCA IDM WR Supratman Denpasar</t>
  </si>
  <si>
    <t>Jl. WR Supratman No. 19A, Denpasar</t>
  </si>
  <si>
    <t>135ABCA</t>
  </si>
  <si>
    <t>BCA CIRCLE K 0252 LETDA MADE PUTRA</t>
  </si>
  <si>
    <t>JL LETDA MADE PUTRA 14 DANGIN PURI DENPASAR</t>
  </si>
  <si>
    <t>143JBCA</t>
  </si>
  <si>
    <t>BCA CIRCLE K CK0226 WR SUPRATMAN</t>
  </si>
  <si>
    <t>JL WR SUPRATMAN NO 28 DENPASAR
KOTA DENPASAR, BALI	 - 80233</t>
  </si>
  <si>
    <t>1850BCA</t>
  </si>
  <si>
    <t>BCA RS Surya Husada</t>
  </si>
  <si>
    <t>2578BCA</t>
  </si>
  <si>
    <t>BCA Toko Sepatu Surabaya</t>
  </si>
  <si>
    <t>263LBCA</t>
  </si>
  <si>
    <t>BCA Circle K 113 Bal 0227 Waturenggong</t>
  </si>
  <si>
    <t>334VBCA</t>
  </si>
  <si>
    <t>BCA MINIMART SANUR</t>
  </si>
  <si>
    <t>JL BYPASS NGURAH RAI KEL SANUR DENPASAR</t>
  </si>
  <si>
    <t>353DBCA</t>
  </si>
  <si>
    <t>BCA BI DENPASAR</t>
  </si>
  <si>
    <t>JL BRIGJEN TANTULAR NO 2 DENPASAR BALI 60223</t>
  </si>
  <si>
    <t>365NBCA</t>
  </si>
  <si>
    <t>BCA Indomaret Tukad Pakerisan Denpasar Bali</t>
  </si>
  <si>
    <t>Jl Tukad Pakerisan PanjerDenpasar Sel- Bali</t>
  </si>
  <si>
    <t>391NBCA</t>
  </si>
  <si>
    <t>BCA Circle K98 Pakerisan BAL0218</t>
  </si>
  <si>
    <t>Jl Tukad Pakerisan Kel Panjer - Denpasar</t>
  </si>
  <si>
    <t>405FBCA</t>
  </si>
  <si>
    <t>BCA KOPERASI MITRA KARYA</t>
  </si>
  <si>
    <t>431LBCA</t>
  </si>
  <si>
    <t>BCA IDM Tkd Balian Momi Bali</t>
  </si>
  <si>
    <t>Jl Tukad Balian, Denpasar Selatan, Denpasar</t>
  </si>
  <si>
    <t>497FBCA</t>
  </si>
  <si>
    <t>BCA CK Tjok Agung Tresna</t>
  </si>
  <si>
    <t>Jl Tjok Agung Tresna - Renon Denpasar</t>
  </si>
  <si>
    <t>5022BCA</t>
  </si>
  <si>
    <t>BCA CK 131 Tukad Yeh Aya</t>
  </si>
  <si>
    <t>Jl. Pukat Tukat Yehaya, Denpasar</t>
  </si>
  <si>
    <t>544DBCA</t>
  </si>
  <si>
    <t>BCA PLAZA RENON 1</t>
  </si>
  <si>
    <t>JL RAYA PUPUTAN RENON, DENPASAR</t>
  </si>
  <si>
    <t>5874BCA</t>
  </si>
  <si>
    <t>BCA CIRCLE K SANUR</t>
  </si>
  <si>
    <t>607BBCA</t>
  </si>
  <si>
    <t>BCA INDOMARET HAYAM WURUK DENPASAR</t>
  </si>
  <si>
    <t>JL HAYAM WURUK NO 54, DENPASAR BALI</t>
  </si>
  <si>
    <t>614YBCA</t>
  </si>
  <si>
    <t>BCA CIRCLE K KAMBOJA BAL0270</t>
  </si>
  <si>
    <t>621JBCA</t>
  </si>
  <si>
    <t>BCA IDM Sidakarya Denpasar</t>
  </si>
  <si>
    <t>Jl Sidakarya No 95, Denpasar Selatan Bali</t>
  </si>
  <si>
    <t>649YBCA</t>
  </si>
  <si>
    <t>BCA Alfa Batanghari 1</t>
  </si>
  <si>
    <t>Jl Batanghari Selatan, Panjer Denpasar</t>
  </si>
  <si>
    <t>650KBCA</t>
  </si>
  <si>
    <t>BCA OJK Denpasar 1</t>
  </si>
  <si>
    <t>652HBCA</t>
  </si>
  <si>
    <t>BCA ALFA MUDHITA TUKAD BARITO</t>
  </si>
  <si>
    <t>JL TUKAD BARITO TIMUR, KEL PANJER DENPASAR</t>
  </si>
  <si>
    <t>6738BCA</t>
  </si>
  <si>
    <t>BCA RSUP SANGLAH</t>
  </si>
  <si>
    <t>683XBCA</t>
  </si>
  <si>
    <t>BCA KOPERASI 163 MART</t>
  </si>
  <si>
    <t>JL SLAMET RIYADI, DAUH PURI, DENPASAR BARAT, DENPASAR</t>
  </si>
  <si>
    <t>6840BCA</t>
  </si>
  <si>
    <t>BCA Super Ekonomi Veteran</t>
  </si>
  <si>
    <t>6873BCA</t>
  </si>
  <si>
    <t>BCA SPBU COCO 51.801.30 DENPASAR</t>
  </si>
  <si>
    <t>JL. RAYA HAYAM WURUK. DENPASAR - BALI</t>
  </si>
  <si>
    <t>688DBCA</t>
  </si>
  <si>
    <t>BCA CK DAPUR EXPRESS RENON</t>
  </si>
  <si>
    <t>JL. TUKAD YEH AYA NO 128 RENON DENPASAR SELATAN</t>
  </si>
  <si>
    <t>689MBCA</t>
  </si>
  <si>
    <t>BCA GRAND LUCKY SANUR</t>
  </si>
  <si>
    <t>JL BY PASS .NGURAH RAI NO 240 SANUR ,DENPASAR</t>
  </si>
  <si>
    <t>699CBCA</t>
  </si>
  <si>
    <t>BCA Alfa Tukad Irawadi</t>
  </si>
  <si>
    <t>Jl Tukad Irawadi, Panjer, Denpasar Selatan, Denpasar , Bali</t>
  </si>
  <si>
    <t>Z1Q7BCA</t>
  </si>
  <si>
    <t>BCA Dhana Mart Intaran</t>
  </si>
  <si>
    <t>Jl. Intaran No. 22, Sanur Kauh, Denpasar Selatan, Kota Denpasar, Bali</t>
  </si>
  <si>
    <t>ZRD7BCA</t>
  </si>
  <si>
    <t>BCA ARYS MIKRO TUKAD PAKERISAN</t>
  </si>
  <si>
    <t>JL TUKAD PAKERISAN PANJER DENPASAR BALI</t>
  </si>
  <si>
    <t>ZRW6BCA</t>
  </si>
  <si>
    <t>BCA ALFA Q207 AKASIA DENPASAR</t>
  </si>
  <si>
    <t>JL AKASIA, SUMERTA KELUD, DENPASAR</t>
  </si>
  <si>
    <t>ZRX6BCA</t>
  </si>
  <si>
    <t>BCA ALFA SESETAN II</t>
  </si>
  <si>
    <t>JL RAYA DIPONEGORO KEC DENPASAR SELATAN</t>
  </si>
  <si>
    <t>Z4WBBCA</t>
  </si>
  <si>
    <t>Z24MBCA</t>
  </si>
  <si>
    <t>BCA IDM MELAYA</t>
  </si>
  <si>
    <t>BCA SWETA LOMBAR CRM 2</t>
  </si>
  <si>
    <t>686HBCA</t>
  </si>
  <si>
    <t>BCA IDM KEMBANG MERTHA</t>
  </si>
  <si>
    <t>JL RAYA BEDEGUL SINGARAJA, CANDI KUNING, TABANAN</t>
  </si>
  <si>
    <t>Z844BCA</t>
  </si>
  <si>
    <t>BCA GIANYAR CRM 3</t>
  </si>
  <si>
    <t>ZLX2BCA</t>
  </si>
  <si>
    <t>BCA ALFA MANDALIKA MATARAM</t>
  </si>
  <si>
    <t>JL TGH FAISAL, GERUNG BUTUN, MANDALIKA, SANDUBAYA, MATARAM</t>
  </si>
  <si>
    <t>ZRZ6BCA</t>
  </si>
  <si>
    <t>BCA ALFA TUKAD BUAJI</t>
  </si>
  <si>
    <t>Z15TBCA</t>
  </si>
  <si>
    <t>BCA Singaraja CRM 2</t>
  </si>
  <si>
    <t>Z08XBCA</t>
  </si>
  <si>
    <t>Z5R6BCA</t>
  </si>
  <si>
    <t>BCA PECATU</t>
  </si>
  <si>
    <t>JL. ULUWATU NO 189, UNGARAN, BALI  80361</t>
  </si>
  <si>
    <t>Z7TRBCA</t>
  </si>
  <si>
    <t>BCA  NEGARA</t>
  </si>
  <si>
    <t xml:space="preserve">JJQH+QG7, JL. NGURAH RAI, PENDEM, KEC. JEMBRANA, KABUPATEN JEMBRANA, BALI 82218, INDONESIA_x000D_
</t>
  </si>
  <si>
    <t>Z14TBCA</t>
  </si>
  <si>
    <t>ZRU6BCA</t>
  </si>
  <si>
    <t>BCA ALFA GATSU BARAT I DPS</t>
  </si>
  <si>
    <t>JL GATOT SUBROTO BARAT, DENPASAR</t>
  </si>
  <si>
    <t>00B7BCA</t>
  </si>
  <si>
    <t>BCA INDOMARET PENATAHAN</t>
  </si>
  <si>
    <t>BCA Mumbul CRM 1</t>
  </si>
  <si>
    <t>Jl By Pass Ngurah Rai No074, Nusa Dua, Dps</t>
  </si>
  <si>
    <t>Z07PBCA</t>
  </si>
  <si>
    <t>BCA Ampenan CRM 1</t>
  </si>
  <si>
    <t>Z08EBCA</t>
  </si>
  <si>
    <t>BCA Cokroaminoto CRM 4</t>
  </si>
  <si>
    <t>Z08FBCA</t>
  </si>
  <si>
    <t>BCA Cokroaminoto CRM 5</t>
  </si>
  <si>
    <t>BCA Grand Sudirman CRM 2</t>
  </si>
  <si>
    <t>Jl PB Sudirman blok C5-C6, Denpasar</t>
  </si>
  <si>
    <t>Z09NBCA</t>
  </si>
  <si>
    <t>BCA Mahendradata CRM 1</t>
  </si>
  <si>
    <t>Z14WBCA</t>
  </si>
  <si>
    <t>BCA Mumbul CRM 4</t>
  </si>
  <si>
    <t>BCA Ampenan CRM 3</t>
  </si>
  <si>
    <t>Z5R5BCA</t>
  </si>
  <si>
    <t xml:space="preserve"> JL. ULUWATU NO 189, UNGARAN, BALI  80361</t>
  </si>
  <si>
    <t>Z832BCA</t>
  </si>
  <si>
    <t>BCA KCP GATOT SUBROTO GSD CRM1</t>
  </si>
  <si>
    <t>Z867BCA</t>
  </si>
  <si>
    <t>BCA Tabanan CRM 3</t>
  </si>
  <si>
    <t>ZQJ4BCA</t>
  </si>
  <si>
    <t>BCA MINMARKET CAHAYA BARU</t>
  </si>
  <si>
    <t>JL. WR SUPRATMAN 236-6, PENARUKAN, KEC. BULELENG, KABUPATEN BULELENG, BALI 81119</t>
  </si>
  <si>
    <t>ZRB6BCA</t>
  </si>
  <si>
    <t>BCA IDM Tualakilang Tabanan</t>
  </si>
  <si>
    <t>Jl Batukaru No 69X, Denbantas, Tabanan, Kuta Bali</t>
  </si>
  <si>
    <t>ZRL5BCA</t>
  </si>
  <si>
    <t>BCA IDM Industri Ampenan</t>
  </si>
  <si>
    <t>Jl Industri No 1 Ampenan Selatan, Ampenan, Mataram</t>
  </si>
  <si>
    <t>JL CANGGU TANAH LOT MUNGGU MENGWI BADUNG BALI</t>
  </si>
  <si>
    <t>ZY9PBCA</t>
  </si>
  <si>
    <t>BCA IDM Untung Surapati</t>
  </si>
  <si>
    <t>Jl Surapati No 142B, Banyuning, Kec Buleleng</t>
  </si>
  <si>
    <t>676QBCA</t>
  </si>
  <si>
    <t>BCA GOLDEN PALACE HOTEL</t>
  </si>
  <si>
    <t>JL SRIWIJAYA NO 38, MATARAM LOMBOK NTB</t>
  </si>
  <si>
    <t>01H0BCA</t>
  </si>
  <si>
    <t>BCA MINIMART SEMER</t>
  </si>
  <si>
    <t>Z23FBCA</t>
  </si>
  <si>
    <t>RUKO JALAN HASANUDDIN NO 68, SUMBAWA, NUSA TENNGGARA BARAT</t>
  </si>
  <si>
    <t>494JBCA</t>
  </si>
  <si>
    <t>BCA GARUDA WISNU KENCANA KENCANA SOUVENIR</t>
  </si>
  <si>
    <t>JL. RAYA ULUWATU,UNGGASAN,KUTA SELATAN KAB BADUNG</t>
  </si>
  <si>
    <t>01H2BCA</t>
  </si>
  <si>
    <t>BCA COCO MART BLAHBATUH</t>
  </si>
  <si>
    <t>345RBCA</t>
  </si>
  <si>
    <t>BCA ALFAMART M YAMIN SELONG</t>
  </si>
  <si>
    <t>JL PROF M YAMIN KEL SELONG KEC SELONG LOMBOK TIMUR</t>
  </si>
  <si>
    <t>Z3BEBCA</t>
  </si>
  <si>
    <t>BCA EBC BEACHWALK CRM 1</t>
  </si>
  <si>
    <t>BCA IDM TQ45 MUNGGU BADUNG</t>
  </si>
  <si>
    <t>Z07RBCA</t>
  </si>
  <si>
    <t>BCA Cakranegara CRM 1</t>
  </si>
  <si>
    <t>00V8BCA</t>
  </si>
  <si>
    <t>BCA COCO MART NUANSA UTAMA</t>
  </si>
  <si>
    <t>JL NUANSA UTAMA, BENOA, KUTA SELATAN, BADUNG  80361</t>
  </si>
  <si>
    <t>1017BCA</t>
  </si>
  <si>
    <t>BCA UNITED INDO BALI, KUTA</t>
  </si>
  <si>
    <t>5015BCA</t>
  </si>
  <si>
    <t>00KJBCA</t>
  </si>
  <si>
    <t>BCA ALFA MERDEKA BANGLI</t>
  </si>
  <si>
    <t>JL. RAYA MERDEKA KAWAN KEC BANGLI 80614</t>
  </si>
  <si>
    <t>066JBCA</t>
  </si>
  <si>
    <t>Z1T1BCA</t>
  </si>
  <si>
    <t>BCA ALFA BATU CERMIN</t>
  </si>
  <si>
    <t>695KBCA</t>
  </si>
  <si>
    <t>BCA IDM TERONG TAWAH</t>
  </si>
  <si>
    <t>JL DARUL HIKMAH BAJUR KEC LABUAPI KAB LOMBOK BARAT NTB</t>
  </si>
  <si>
    <t>068YBCA</t>
  </si>
  <si>
    <t>617CBCA</t>
  </si>
  <si>
    <t>BCA ATM RM TALIWANG</t>
  </si>
  <si>
    <t>JL. RAYA PEMENANG, KEC. PEMENANG, KAB. LOMBOK UTARA</t>
  </si>
  <si>
    <t>ID</t>
  </si>
  <si>
    <t>Column1</t>
  </si>
  <si>
    <t>YR20400441</t>
  </si>
  <si>
    <t>Muhammad Rifki R</t>
  </si>
  <si>
    <t>Sumbawa</t>
  </si>
  <si>
    <t>WS_ID</t>
  </si>
  <si>
    <t>WS_NAME</t>
  </si>
  <si>
    <t>SERIAL_NO</t>
  </si>
  <si>
    <t>CITY</t>
  </si>
  <si>
    <t>PROVINCE</t>
  </si>
  <si>
    <t>ISLAND</t>
  </si>
  <si>
    <t>LOCATION</t>
  </si>
  <si>
    <t>VIP</t>
  </si>
  <si>
    <t>MTYPE</t>
  </si>
  <si>
    <t>MODEL</t>
  </si>
  <si>
    <t>SW_INSTALLED</t>
  </si>
  <si>
    <t>VENDOR</t>
  </si>
  <si>
    <t>BANK_CODE</t>
  </si>
  <si>
    <t>BANK_NAME</t>
  </si>
  <si>
    <t>MA_COMPANY</t>
  </si>
  <si>
    <t>OPS_HOUR</t>
  </si>
  <si>
    <t>OPS_HOUR_RANGE</t>
  </si>
  <si>
    <t>SVC_HOUR_RANGE</t>
  </si>
  <si>
    <t>OPS_DAY</t>
  </si>
  <si>
    <t>MA_STATUS</t>
  </si>
  <si>
    <t>GROUP_AREA</t>
  </si>
  <si>
    <t>SVC_AREA</t>
  </si>
  <si>
    <t>SLA_PM</t>
  </si>
  <si>
    <t>ACTIVE</t>
  </si>
  <si>
    <t>PRODUCTION_YEAR</t>
  </si>
  <si>
    <t>HANDOVER_DATE</t>
  </si>
  <si>
    <t>INSTALLATION_DATE</t>
  </si>
  <si>
    <t>WARRANTY_EXP_DATE</t>
  </si>
  <si>
    <t>Jl. Raya Canggu No.18A, Tibubeneng, Kec. Kuta Utara, Kabupaten Badung, Bali 80361, Indonesia</t>
  </si>
  <si>
    <t>Kab. Badung</t>
  </si>
  <si>
    <t>Convenience Store</t>
  </si>
  <si>
    <t>MX-5600S</t>
  </si>
  <si>
    <t>DATINDO</t>
  </si>
  <si>
    <t>Bank Central Asia</t>
  </si>
  <si>
    <t>00:00-23:59</t>
  </si>
  <si>
    <t>1111111</t>
  </si>
  <si>
    <t>IN MAINTENANCE</t>
  </si>
  <si>
    <t>Jl. Melasti No.23, Legian, Kuta, Kabupaten Badung, Bali 80361, Indonesia</t>
  </si>
  <si>
    <t>07:00-22:00</t>
  </si>
  <si>
    <t>Branch</t>
  </si>
  <si>
    <t>08:00-17:00</t>
  </si>
  <si>
    <t>08:00-20:00</t>
  </si>
  <si>
    <t>Bandara</t>
  </si>
  <si>
    <t>Hotel</t>
  </si>
  <si>
    <t>WARRANTY</t>
  </si>
  <si>
    <t>Jl. Raya Uluwatu No.101, Ungasan, Kec. Kuta Sel., Kabupaten Badung, Bali 80361, Indonesia</t>
  </si>
  <si>
    <t>647Q+GP, Jimbaran, Kec. Kuta Sel., Kabupaten Badung, Bali 80361, Indonesia</t>
  </si>
  <si>
    <t>06:00-23:00</t>
  </si>
  <si>
    <t>Jl. Raya Kuta No.45a, Tuban, Kec. Kuta, Kabupaten Badung, Bali 80361, Indonesia</t>
  </si>
  <si>
    <t>Hospital</t>
  </si>
  <si>
    <t>031VBCA</t>
  </si>
  <si>
    <t>BCA SEMINYAK SQUARE</t>
  </si>
  <si>
    <t>8584+GMM, Seminyak, Kuta, Badung Regency, Bali, Indonesia</t>
  </si>
  <si>
    <t>85Q7+6RX, Kerobokan Kelod, Kuta Utara, Badung Regency, Bali 80361, Indonesia</t>
  </si>
  <si>
    <t>BCA IDM TUKAD BADUNG DENPASAR</t>
  </si>
  <si>
    <t>Jl. Raya Kerobokan No.8a, Kerobokan Kelod, Kec. Kuta Utara, Kabupaten Badung, Bali 80361, Indonesia</t>
  </si>
  <si>
    <t>Jl By Pass Ngurah Rai No 38 Jimbaran</t>
  </si>
  <si>
    <t>Perkantoran</t>
  </si>
  <si>
    <t>699BBCA</t>
  </si>
  <si>
    <t>BCA IDM ANGANTAKA</t>
  </si>
  <si>
    <t>JL RY ANGANTAKA NO 23 ANGANTAKA ABIANSEMAL BADUNG BALI</t>
  </si>
  <si>
    <t>657FBCA</t>
  </si>
  <si>
    <t>BCA Circle K Uluwatu Square 1</t>
  </si>
  <si>
    <t>Jl. Raya Uluwatu No.18x, Jimbaran, Kec. Kuta Sel., Kabupaten Badung, Bali 80361, Indonesia</t>
  </si>
  <si>
    <t>694FBCA</t>
  </si>
  <si>
    <t>BCA BVLGARI RESORT BALI  BANJAR DINAS KANGIN</t>
  </si>
  <si>
    <t>JL GOA LEMPEH ULUWATU, BY PASS NGURAH RAI MUMBUL</t>
  </si>
  <si>
    <t>5762BCA</t>
  </si>
  <si>
    <t>BCA Circle K Uluwatu</t>
  </si>
  <si>
    <t>Circle K, Jimbaran, Bali, 55W5+GWW, Jimbaran, Kec. Kuta Sel., Kabupaten Badung, Bali 80361, Indonesia</t>
  </si>
  <si>
    <t>Jl. Bypass Ngurah Rai No.99XX, Kelan, Kec. Kuta, Tuban, Bali 80361, Indonesia</t>
  </si>
  <si>
    <t>MX-8600S</t>
  </si>
  <si>
    <t>Jl. Pantai Kuta (samping Minimart Kuta Beach) Kel. Kuta, Kec. Kuta - Bali, KUTA, Legian, Kuta, Badung Regency, Bali 80361, Indonesia</t>
  </si>
  <si>
    <t>75XG+445, Jl. Campuhan I - Dewi Sri, Legian, Kec. Kuta, Kabupaten Badung, Bali 80361, Indonesia</t>
  </si>
  <si>
    <t>SPBU</t>
  </si>
  <si>
    <t>4081BCA</t>
  </si>
  <si>
    <t>BCA MUTIARA MINI MARKET KUTA</t>
  </si>
  <si>
    <t>JL. ULUWATU, JIMBARAN, DENPASAR - BALI</t>
  </si>
  <si>
    <t>656CBCA</t>
  </si>
  <si>
    <t>BCA CIRCLE K KUNTI TEXTILE BAL0483</t>
  </si>
  <si>
    <t>JL KUNTI II NO 67 SEMINYAK KUTA KABBADUNG</t>
  </si>
  <si>
    <t>619ABCA</t>
  </si>
  <si>
    <t>BCA Taman Rama Jimbaran</t>
  </si>
  <si>
    <t>Jl Blongkeker No 4, Jimbaran, Kuta Selatan</t>
  </si>
  <si>
    <t>175CBCA</t>
  </si>
  <si>
    <t>BCA PADANG PADANG IN</t>
  </si>
  <si>
    <t>JL LABUAN SAIT NO 234 KUTA SELATAN</t>
  </si>
  <si>
    <t>JL. Dewi Sartika, Tuban, 755H+8H5, Tuban, Kec. Kuta, Kabupaten Badung, Bali 80361, Indonesia</t>
  </si>
  <si>
    <t>Jl. Raya Padonan No.6, Canggu, Kec. Kuta Utara, Kabupaten Badung, Bali 80361, Indonesia</t>
  </si>
  <si>
    <t>JL. CIUNG WANARA NO.11A, DAUH YEH CANI, KEC. ABIANSEMAL, KABUPATEN BADUNG, BALI  80352</t>
  </si>
  <si>
    <t>Jl. Raya Buduk No.15, Dalung, Kec. Kuta Utara, Kabupaten Badung, Bali 80351, Indonesia</t>
  </si>
  <si>
    <t>ZRK6BCA</t>
  </si>
  <si>
    <t>BCA IDM TAMAN GRIYA BADUNG</t>
  </si>
  <si>
    <t>JL NUANSA UTAMA, JIMBARAN KUTA BADUNG BALI</t>
  </si>
  <si>
    <t>06:00-22:00</t>
  </si>
  <si>
    <t>9536+V49, Kerobokan, Kuta Utara, Badung Regency, Bali, Indonesia</t>
  </si>
  <si>
    <t>852F+JP2, Jl. Nakula, Legian, Kec. Kuta, Kabupaten Badung, Bali 80361, Indonesia</t>
  </si>
  <si>
    <t>ZQA4BCA</t>
  </si>
  <si>
    <t>BCA Bali Padma Hotel</t>
  </si>
  <si>
    <t>Jl. Padma Utara Legian No. 1 - Kuta</t>
  </si>
  <si>
    <t>Z858BCA</t>
  </si>
  <si>
    <t>BCA KCP RAYA KUTA CCR</t>
  </si>
  <si>
    <t>JL. RAYA KUTA 118 KUTA- BADUNG BALI</t>
  </si>
  <si>
    <t>HS6L</t>
  </si>
  <si>
    <t>Z5R7BCA</t>
  </si>
  <si>
    <t>BCA PECATU CRM 3</t>
  </si>
  <si>
    <t>JL. ULUWATU NO 189, UNGARAN, BALI  80361  KAB. BADUNG  BALI</t>
  </si>
  <si>
    <t>Z11KBCA</t>
  </si>
  <si>
    <t>BCA Kerobokan CRM 3</t>
  </si>
  <si>
    <t>Jl Raya Kerobokan No 8, Kuta Utara, Badung</t>
  </si>
  <si>
    <t>75M9+CP2, Kuta, Badung Regency, Bali 80361, Indonesia</t>
  </si>
  <si>
    <t>09:00-22:00</t>
  </si>
  <si>
    <t>Z861BCA</t>
  </si>
  <si>
    <t>BCA Sunset Boulevard CRM 1</t>
  </si>
  <si>
    <t>Jl Blvd Sunset Road Dewa Ruci, Kuta, Bali</t>
  </si>
  <si>
    <t>Z3NRBCA</t>
  </si>
  <si>
    <t>BCA PASAR KUTA CRM 3</t>
  </si>
  <si>
    <t>Jl. Raya Kuta No.200, Kuta, Kec. Kuta, Kabupaten Badung, Bali 80361, Indonesia</t>
  </si>
  <si>
    <t>Shopping Center</t>
  </si>
  <si>
    <t>Mall</t>
  </si>
  <si>
    <t>942X+5Q4, Jl. Pantai Berawa, Tibubeneng, Kec. Kuta Utara, Kabupaten Badung, Bali 80361, Indonesia</t>
  </si>
  <si>
    <t>00E5BCA</t>
  </si>
  <si>
    <t>BCA PURA ULUWATU 3</t>
  </si>
  <si>
    <t>DESA PECATU, KECAMATAN KUTA SELATAN, KABUPATEN BADUNG, BALI.</t>
  </si>
  <si>
    <t>470EBCA</t>
  </si>
  <si>
    <t>BCA Minimart Kampial</t>
  </si>
  <si>
    <t>Jl Darmawangsa, Kampial, Kuta Selatan, Badung</t>
  </si>
  <si>
    <t>00UDBCA</t>
  </si>
  <si>
    <t>BCA CK Puja Mandala</t>
  </si>
  <si>
    <t>Jl. Kuruksetra No.88, Benoa, Kec. Kuta Selatan, Kabupaten Badung, Bali</t>
  </si>
  <si>
    <t>4102BCA</t>
  </si>
  <si>
    <t>BCA CV Mita Nusa Dua</t>
  </si>
  <si>
    <t>Jl. By Pass I Gusti Ngurah Rai - Bali</t>
  </si>
  <si>
    <t>066LBCA</t>
  </si>
  <si>
    <t>BCA CK CK102 BAL0139 Toyani</t>
  </si>
  <si>
    <t>Jl. Toyaning No. 10 Kelurahan Kedongan Badung</t>
  </si>
  <si>
    <t>755H+HF8, Jl. Raya Tuban, Tuban, Kec. Kuta, Kabupaten Badung, Bali 80361, Indonesia</t>
  </si>
  <si>
    <t>Health care</t>
  </si>
  <si>
    <t>Jl. Kediri No.67, Kuta, Kec. Kuta, Kabupaten Badung, Bali 80361, Indonesia</t>
  </si>
  <si>
    <t>BCA CK CK171 BAL0168 Kubu A</t>
  </si>
  <si>
    <t xml:space="preserve"> Jl. Kubu Anyar, Kuta, Kec. Kuta, Kabupaten Badung, Bali 80361</t>
  </si>
  <si>
    <t>074ZBCA</t>
  </si>
  <si>
    <t>BCA Canggu Plaza 1</t>
  </si>
  <si>
    <t>Jl. Taman Wisata Tibubeneng, Canggu, Kuta Utara, Tibubeneng, Kec. Kuta Utara, Kabupaten Badung, Bali 80361</t>
  </si>
  <si>
    <t>472YBCA</t>
  </si>
  <si>
    <t>BCA CK Beraban Kuta 3</t>
  </si>
  <si>
    <t>Jl. Braban No.3, Kerobokan Kelod, Kec. Kuta Utara, Kabupaten Badung, Bali 80361</t>
  </si>
  <si>
    <t>031UBCA</t>
  </si>
  <si>
    <t>BCA  BOGA SWAHA SUPERMARKET</t>
  </si>
  <si>
    <t>Jl. Raya Denpasar - Gilimanuk No.31-27, Sempidi, Kec. Mengwi, Kabupaten Badung, Bali 80351</t>
  </si>
  <si>
    <t>Jl. Raya Kuta No.102, Kuta, Kec. Kuta, Kabupaten Badung, Bali</t>
  </si>
  <si>
    <t>0127BCA</t>
  </si>
  <si>
    <t>BCA CK Padang Luwih</t>
  </si>
  <si>
    <t>Jl. Raya Padang Luwih No.132-130, Dalung, Kec. Kuta Utara, Kabupaten Badung, Bali 80361, Indonesia</t>
  </si>
  <si>
    <t>01KCBCA</t>
  </si>
  <si>
    <t>BCA PARADISUS BY MELIA</t>
  </si>
  <si>
    <t>Kawasan Pariwisata ITDC Lot. 1, Jl. Raya Nusa Dua Selatan, Benoa, Kec. Kuta Sel., Kabupaten Badung, Bali 80363, Indonesia</t>
  </si>
  <si>
    <t>Kota Denpasar</t>
  </si>
  <si>
    <t>032OBCA</t>
  </si>
  <si>
    <t>BCA TUNA LONG LINE INDONESIA</t>
  </si>
  <si>
    <t>Jl. Ikan Tuna III No.11, Pedungan, Denpasar Selatan, Kota Denpasar, Bali 80222, Indonesia</t>
  </si>
  <si>
    <t>Office Private</t>
  </si>
  <si>
    <t>Jl. Kamboja No.22 A, Dangin Puri Kangin, Kec. Denpasar Utara, Kota Denpasar, Bali 80236, Indonesia</t>
  </si>
  <si>
    <t>665MBCA</t>
  </si>
  <si>
    <t>BCA TOKO AYU PULAU GALANG 1</t>
  </si>
  <si>
    <t>JL. PULAU GALANG NO.33, PEMOGAN, KEC. DENPASAR SEL., KOTA</t>
  </si>
  <si>
    <t>619EBCA</t>
  </si>
  <si>
    <t>BCA MINIMARKET KEMBAR ARTHA</t>
  </si>
  <si>
    <t>JL. GN. SOPUTAN NO.35, PADANGSAMBIAN KLOD, KEC. DENPASAR BAR., KOTA DENPASAR, BALI 80117</t>
  </si>
  <si>
    <t>664BBCA</t>
  </si>
  <si>
    <t>651JBCA</t>
  </si>
  <si>
    <t>BCA CIRCLE K 129 BAL 0236 GATOT SUBROTO 1</t>
  </si>
  <si>
    <t>JL GATOT SUBROTO BARAT DENPASAR</t>
  </si>
  <si>
    <t>Lt. 2, Se Supermarket, Jl. Teuku Umar Barat, Pemecutan Klod, Kec. Denpasar Bar., Kota Denpasar, Bali 80119, Indonesia</t>
  </si>
  <si>
    <t>2980BCA</t>
  </si>
  <si>
    <t>BCA LOTTEMART DENPASAR 2</t>
  </si>
  <si>
    <t>JL. BAY PASS NGURAH RAI NO. 222 DENPASAR BALI</t>
  </si>
  <si>
    <t>00Y3BCA</t>
  </si>
  <si>
    <t>BCA CIRCLE K PESANGGARAN</t>
  </si>
  <si>
    <t>Jl. Diponegoro No.62, Pedungan, Denpasar Selatan, Kota Denpasar, Bali 80222, Indonesia</t>
  </si>
  <si>
    <t>Jl. Diponegoro No.124, Dauh Puri, Kec. Denpasar Bar., Kota Denpasar, Bali 80232, Indonesia</t>
  </si>
  <si>
    <t>Pertokoan</t>
  </si>
  <si>
    <t>8775+RXC, Sanur, Denpasar Selatan, Denpasar City, Bali 80228, Indonesia</t>
  </si>
  <si>
    <t>Jl. Sidakarya No.157, Sidakarya, Denpasar Selatan, Kota Denpasar, Bali 80224, Indonesia</t>
  </si>
  <si>
    <t>01KTBCA</t>
  </si>
  <si>
    <t>BCA ALFA PATIH NAMBI</t>
  </si>
  <si>
    <t>Jl. Patih Nambi Utara No.18, Ubung Kaja, Kec. Denpasar Utara, Kota Denpasar, Bali 80116, Indonesia</t>
  </si>
  <si>
    <t>Jl. Hang Tuah No.1b, Sanur Kaja, Denpasar Selatan, Kota Denpasar, Bali 80227, Indonesia</t>
  </si>
  <si>
    <t>01DDBCA</t>
  </si>
  <si>
    <t>BCA CK TUKAD JINAH</t>
  </si>
  <si>
    <t>JL TUKAD JINAH NO 1 RENON DENPASAR BALI  80234</t>
  </si>
  <si>
    <t>00VHBCA</t>
  </si>
  <si>
    <t>BCA IDM PADANGSAMBIAN KELOD</t>
  </si>
  <si>
    <t>JL. GN. ATHENA NO.5, PADANGSAMBIAN KLOD, KEC. DENPASAR BAR., KOTA DENPASAR, BALI 80361</t>
  </si>
  <si>
    <t>Jl. Cargo Permai No.110, Ubung Kaja, Kec. Denpasar Utara, Kota Denpasar, Bali 80116, Indonesia</t>
  </si>
  <si>
    <t>86C9+VC6, Jl. Waturenggong, Dauh Puri Klod, Kec. Denpasar Bar., Kota Denpasar, Bali 80113, Indonesia</t>
  </si>
  <si>
    <t>08:00-21:00</t>
  </si>
  <si>
    <t>Jl. Mahendradatta No.44, Pemecutan Kaja, Kec. Denpasar Utara, Kota Denpasar, Bali 80118, Indonesia</t>
  </si>
  <si>
    <t>697WBCA</t>
  </si>
  <si>
    <t>BCA SPBU BULUH INDAH</t>
  </si>
  <si>
    <t>JL. BULUH INDAH NO 84 PEMECUTAN KAJA KEC DENPASAR UTARA</t>
  </si>
  <si>
    <t>Jl. Imam Bonjol No.18, Pemecutan Klod, Kec. Denpasar Bar., Kota Denpasar, Bali 80112, Indonesia</t>
  </si>
  <si>
    <t>86F6+PX4, Dauh Puri Klod, Denpasar Barat, Denpasar City, Bali 80114, Indonesia</t>
  </si>
  <si>
    <t>687ZBCA</t>
  </si>
  <si>
    <t>BCA TOKO BALI DEWATA PENATIH</t>
  </si>
  <si>
    <t>JL PADMA NO 38 PENATIH DENPASAR TIMUR , BALI</t>
  </si>
  <si>
    <t>681WBCA</t>
  </si>
  <si>
    <t>BCA IDM INTAN MART</t>
  </si>
  <si>
    <t>JL GATOT SUBROTO TIMUR DENPASAR, BALI</t>
  </si>
  <si>
    <t>695FBCA</t>
  </si>
  <si>
    <t>BCA RS PURI BUNDA</t>
  </si>
  <si>
    <t>Jl. Gatot Subroto IV/XII No.2, Dauh Puri Kaja, Kec. Denpasar Utara, Kota Denpasar, Bali 80233, Indonesia</t>
  </si>
  <si>
    <t>Jl. Imam Bonjol No.537, Pemecutan Klod, Kec. Denpasar Bar., Kota Denpasar, Bali 80119, Indonesia</t>
  </si>
  <si>
    <t>ZUB7BCA</t>
  </si>
  <si>
    <t>BCA ALFA Q661LILIGUNDI</t>
  </si>
  <si>
    <t>JL COKROAMINOTO LINGKLILIGUNDI DENPASAR UTARA</t>
  </si>
  <si>
    <t>Samping Alfamart Banjar Jawa, V3MR+FQM, Banjar Jawa, Buleleng, Buleleng Regency, Bali 81113, Indonesia</t>
  </si>
  <si>
    <t>866C+PWJ, Jl. Tukad Buaji, Sesetan, Denpasar Selatan, Kota Denpasar, Bali 80225, Indonesia</t>
  </si>
  <si>
    <t>854V+MQJ, Jl. Pulau Galang, Pemecutan Klod, Kec. Denpasar Bar., Kota Denpasar, Bali 80119, Indonesia</t>
  </si>
  <si>
    <t>Banjar Kayu Mas, Dangin Puri, Kec. Denpasar Tim., Kota Denpasar, Bali, Indonesia</t>
  </si>
  <si>
    <t>Z4CBBCA</t>
  </si>
  <si>
    <t>BCA ARYS MIKRO NANGKA UTARA</t>
  </si>
  <si>
    <t>GG SANGGING, TONJA, KEC.DENPASAR UTARA, KOTA DENPASAR  80239</t>
  </si>
  <si>
    <t>75QX+VXM, Pemogan, Denpasar Selatan, Denpasar City, Bali 80221, Indonesia</t>
  </si>
  <si>
    <t>Jl. Gn. Lempuyang No.85, Tegal Harum, Kec. Denpasar Bar., Kota Denpasar, Bali 80119, Indonesia</t>
  </si>
  <si>
    <t>07:00-21:00</t>
  </si>
  <si>
    <t>Z0Q4BCA</t>
  </si>
  <si>
    <t>BCA Gatot Subroto Barat</t>
  </si>
  <si>
    <t>Jl. Gatot Subroto Barat No. 334, Denpasar, Bali</t>
  </si>
  <si>
    <t>Z0Q3BCA</t>
  </si>
  <si>
    <t>Jl. Cokroaminoto No.51, Pemecutan Kaja, Kec. Denpasar Utara, Kota Denpasar, Bali 80231, Indonesia</t>
  </si>
  <si>
    <t>9645+XQM, Pemecutan Kaja, Denpasar Utara, Denpasar City, Bali, Indonesia</t>
  </si>
  <si>
    <t>Z849BCA</t>
  </si>
  <si>
    <t>BCA Benoa CRM 5</t>
  </si>
  <si>
    <t>Z09RBCA</t>
  </si>
  <si>
    <t>BCA Mahendradata CRM 4</t>
  </si>
  <si>
    <t>Z09QBCA</t>
  </si>
  <si>
    <t>BCA Mahendradata CRM 3</t>
  </si>
  <si>
    <t>Z09PBCA</t>
  </si>
  <si>
    <t>BCA Mahendradata CRM 2</t>
  </si>
  <si>
    <t>Z4WDBCA</t>
  </si>
  <si>
    <t>BCA Renon CRM 4</t>
  </si>
  <si>
    <t>Jl Raya Puputan no 10 Renon, Denpasar</t>
  </si>
  <si>
    <t>Z841BCA</t>
  </si>
  <si>
    <t>BCA MALUKU, DPS CRM 4</t>
  </si>
  <si>
    <t>JL MALUKU 10 - DENPASAR - 80119</t>
  </si>
  <si>
    <t>Z840BCA</t>
  </si>
  <si>
    <t>BCA MALUKU, DPS CRM 3</t>
  </si>
  <si>
    <t>Jl. Hasanuddin No.62, Pemecutan, Kec. Denpasar Bar., Kota Denpasar, Bali 80232, Indonesia</t>
  </si>
  <si>
    <t>Jl. Hasanuddin No.59, Pemecutan, Kec. Denpasar Bar., Kota Denpasar, Bali 80232, Indonesia</t>
  </si>
  <si>
    <t>Jl. Hasanuddin No.68, Pemecutan, Kec. Denpasar Bar., Kota Denpasar, Bali 80232, Indonesia</t>
  </si>
  <si>
    <t>Z09KBCA</t>
  </si>
  <si>
    <t>BCA Teuku Umar Denpasar CRM 4</t>
  </si>
  <si>
    <t>Jl. Teuku Umar No.110, Dauh Puri Kauh, Kec. Denpasar Bar., Kota Denpasar, Bali 80113, Indonesia</t>
  </si>
  <si>
    <t>Z09ABCA</t>
  </si>
  <si>
    <t>BCA Grand Sudirman CRM 5</t>
  </si>
  <si>
    <t>Z08ZBCA</t>
  </si>
  <si>
    <t>BCA Grand Sudirman CRM 4</t>
  </si>
  <si>
    <t>Z09EBCA</t>
  </si>
  <si>
    <t>BCA Sesetan, Kuta CRM 4</t>
  </si>
  <si>
    <t>Depan SMK Harapan, Sesetan, Denpasar Selatan, Kota Denpasar, Bali, Indonesia</t>
  </si>
  <si>
    <t>Z09DBCA</t>
  </si>
  <si>
    <t>BCA Sesetan, Kuta CRM 3</t>
  </si>
  <si>
    <t>JL. Pangeran Diponegoro, 8688+F9P, Sesetan, Denpasar Selatan, Kota Denpasar, Bali 80114, Indonesia</t>
  </si>
  <si>
    <t>Jl. Cargo Permai No.8a, Ubung, Kec. Denpasar Utara, Kota Denpasar, Bali 80111, Indonesia</t>
  </si>
  <si>
    <t>Jl. Sedap Malam No.187X, Sumerta Kelod, Kec. Denpasar Tim., Kota Denpasar, Bali 80237, Indonesia</t>
  </si>
  <si>
    <t>Level21 Mall, Ground Floor #55, Dauh Puri Klod, Kec. Denpasar Bar., Kota Denpasar, Bali 80113, Indonesia</t>
  </si>
  <si>
    <t>PGC2+X6G, Melaya, Jembrana Regency, Bali 82252, Indonesia</t>
  </si>
  <si>
    <t>01JTBCA</t>
  </si>
  <si>
    <t>BCA RS BALI INTERNASIONAL</t>
  </si>
  <si>
    <t>JL BYPASS NGURAH RAI NO35, SANUR, DPS SELATAN    80227</t>
  </si>
  <si>
    <t>BCA Mitra 10 ByPass NgurahRai</t>
  </si>
  <si>
    <t>Jl. Bypass Ngurah Rai No.838, Pedungan, Denpasar Selatan, Kota Denpasar, Bali 80221, Indonesia</t>
  </si>
  <si>
    <t>8654+8WP, Jl. Pulau Belitung, Pedungan, Denpasar Selatan, Kota Denpasar, Bali 80222, Indonesia</t>
  </si>
  <si>
    <t>00FRBCA</t>
  </si>
  <si>
    <t>BCA alfa penatih dauh puri</t>
  </si>
  <si>
    <t>Jl. Siulan No.159, Penatih Dangin Puri, Kec. Denpasar Tim., Kota Denpasar, Bali 80237, Indonesia</t>
  </si>
  <si>
    <t>BCA alfamart wr supratman</t>
  </si>
  <si>
    <t>5059BCA</t>
  </si>
  <si>
    <t>BCA CK 100 COKRO AMINOTO</t>
  </si>
  <si>
    <t xml:space="preserve"> Jl. Cokroaminoto No.224, Ubung, Kec. Denpasar Utara, Kota Denpasar, Bali 80115</t>
  </si>
  <si>
    <t>Jl. WR Supratman No.142, Kesiman, Kec. Denpasar Tim., Kota Denpasar, Bali 80235, Indonesia</t>
  </si>
  <si>
    <t>Pasar Burung Satria, Dangin Puri Kauh, Kec. Denpasar Utara, Kota Denpasar, Bali, Indonesia</t>
  </si>
  <si>
    <t>962F+GC2, Jl. Trijata, Dangin Puri Kangin, Kec. Denpasar Utara, Kota Denpasar, Bali 80234, Indonesia</t>
  </si>
  <si>
    <t>Jl. Pulau Serangan No.I, Dauh Puri Klod, Kec. Denpasar Bar., Kota Denpasar, Bali 80114, Indonesia</t>
  </si>
  <si>
    <t>5029BCA</t>
  </si>
  <si>
    <t>BCA CK 108 Kopi Bali Sanur</t>
  </si>
  <si>
    <t>Jl. Bay Pass Ngurah Rai, Sanur Bali</t>
  </si>
  <si>
    <t>194YBCA</t>
  </si>
  <si>
    <t>BCA PELABUHAN PADANG BAI</t>
  </si>
  <si>
    <t>JALAN PELABUHAN PADANG BAI KARANGASEM 80871</t>
  </si>
  <si>
    <t>Kab. Karangasem</t>
  </si>
  <si>
    <t>093UBCA</t>
  </si>
  <si>
    <t>BCA BALI PALM RESORT</t>
  </si>
  <si>
    <t>JL RAYA CANDIDASA AMLAPURA BALI</t>
  </si>
  <si>
    <t>00ANBCA</t>
  </si>
  <si>
    <t>BCA SOLALUNA MART AMED</t>
  </si>
  <si>
    <t>JL I KETUT NATIH KEC ABANG KAB KARANGASEM BALI</t>
  </si>
  <si>
    <t>Kab. Gianyar</t>
  </si>
  <si>
    <t>355ZBCA</t>
  </si>
  <si>
    <t>BCA ALFAMART Q312 PEJENG</t>
  </si>
  <si>
    <t>JL RY PEJENG KAJA TAMPAKSIRING GIANYAR</t>
  </si>
  <si>
    <t>692QBCA</t>
  </si>
  <si>
    <t>BCA ARYS MIKRO SINGAPADU</t>
  </si>
  <si>
    <t>JL RAYA SINGAPADU NO 22 BATUBULAN SUKAWATI, GIANYAR, BALI</t>
  </si>
  <si>
    <t>Jl. Wisma Gajah Mada No.59, Blahbatuh, Kec. Blahbatuh, Kabupaten Gianyar, Bali 80581, Indonesia</t>
  </si>
  <si>
    <t>F726+PRF, Jl. A.A. Gede Rai, Lodtunduh, Kecamatan Ubud, Kabupaten Gianyar, Bali 80571, Indonesia</t>
  </si>
  <si>
    <t>687LBCA</t>
  </si>
  <si>
    <t>BCA TETEN MART DESA ADAT</t>
  </si>
  <si>
    <t>JL RAYA BATUAN, SUKAWATI KAB.GIANYAR, BALI</t>
  </si>
  <si>
    <t>BATUBULAN, SUKAWATI, GIANYAR  80582</t>
  </si>
  <si>
    <t>BCA BALI ZOO1</t>
  </si>
  <si>
    <t>Jl. Raya Singapadu No.333, Singapadu, Kec. Sukawati, Kabupaten Gianyar, Bali 80582, Indonesia</t>
  </si>
  <si>
    <t>554HBCA</t>
  </si>
  <si>
    <t>BCA BALE UDANG UBUD  1</t>
  </si>
  <si>
    <t>Jalan Raya Goa Gajah, Peliatan, Ubud, Peliatan, Kecamatan Ubud, Kabupaten Gianyar, Bali 80582, Indonesia</t>
  </si>
  <si>
    <t>ZRR6BCA</t>
  </si>
  <si>
    <t>BCA IDM CELUK 3 GIANYAR</t>
  </si>
  <si>
    <t>JL RAYA CELUK SUKAWATI GIANYAR BALI</t>
  </si>
  <si>
    <t>JL. RAYA SANGGINGAN NO 45, CAMPUHAN UBUD</t>
  </si>
  <si>
    <t>ZQB4BCA</t>
  </si>
  <si>
    <t>BCA PADMA RESORT UBUD</t>
  </si>
  <si>
    <t>JL RAYA UBUD, UBUD, GIANYAR 80571</t>
  </si>
  <si>
    <t>691XBCA</t>
  </si>
  <si>
    <t>BCA ARYS MIKRO BATUYANG</t>
  </si>
  <si>
    <t>JL. BATUYANG NO.18 BATU BULAN SUKAWATI GIANYAR , BALI</t>
  </si>
  <si>
    <t>V3FM+W46, Jl. Laksamana, Baktiseraga, Kec. Buleleng, Kabupaten Buleleng, Bali 81119, Indonesia</t>
  </si>
  <si>
    <t>08:00-22:00</t>
  </si>
  <si>
    <t>016YBCA</t>
  </si>
  <si>
    <t>BCA Coco Mart Sukawati</t>
  </si>
  <si>
    <t>Jl. Raya Sukawati No.75X, Sukawati, Kec. Sukawati, Kabupaten Gianyar, Bali 80582</t>
  </si>
  <si>
    <t>011BBCA</t>
  </si>
  <si>
    <t>BCA INDOGROSIR DENPASAR</t>
  </si>
  <si>
    <t>JL. RAYA BATUBULAN NO.63 C, BATUBULAN, KEC. SUKAWATI, KABUPATEN GIANYAR, BALI</t>
  </si>
  <si>
    <t>Kab. Tabanan</t>
  </si>
  <si>
    <t>Jl. Pura Batukaru No.55, Penatahan, Kec. Penebel, Kabupaten Tabanan, Bali 82152, Indonesia</t>
  </si>
  <si>
    <t>498TBCA</t>
  </si>
  <si>
    <t>BCA Secret Garden Village</t>
  </si>
  <si>
    <t>Jl Raya Bedugul, Mekarsari, Tabanan, Bali</t>
  </si>
  <si>
    <t xml:space="preserve"> Jl Imam Bonjol Kediri, Tabanan Bali</t>
  </si>
  <si>
    <t>694RBCA</t>
  </si>
  <si>
    <t>BCA IDM BANTAS TABANAN 1</t>
  </si>
  <si>
    <t>JALAN RAYA DENPASAR, GILIMANUK, DESA BANTAS, BANTAS, KEC. SELEMADEG TIM., KABUPATEN TABANAN, BALI 82162</t>
  </si>
  <si>
    <t>017PBCA</t>
  </si>
  <si>
    <t>BCA IDM MERANGGI TABANAN 2</t>
  </si>
  <si>
    <t>JALAN RAYA SEMBUNG MERANGGI, SEMBUNG GEDE, KEC. KERAMBITAN, KABUPATEN TABANAN, BALI 82161</t>
  </si>
  <si>
    <t>Kab. Buleleng</t>
  </si>
  <si>
    <t>R2QG+38Q, Anturan, Buleleng, Buleleng Regency, Bali 81152, Indonesia</t>
  </si>
  <si>
    <t>01CXBCA</t>
  </si>
  <si>
    <t>BCA EDIE ARTA MOTOR</t>
  </si>
  <si>
    <t>JL RAYA SINGARAJA,BUNGKULAN,SAWATI,BULELENG</t>
  </si>
  <si>
    <t>06:00-20:00</t>
  </si>
  <si>
    <t>Z15VBCA</t>
  </si>
  <si>
    <t>BCA Singaraja CRM 4</t>
  </si>
  <si>
    <t>BCA KCP SERIRIT CRM 2</t>
  </si>
  <si>
    <t>VJ4C+F23, Jl. Singaraja-Gilimanuk, Sumberkima, Kec. Gerokgak, Kabupaten Buleleng, Bali 81155, Indonesia</t>
  </si>
  <si>
    <t>Jl. A. Yani No.65e, Kaliuntu, Kec. Buleleng, Kabupaten Buleleng, Bali 81116, Indonesia</t>
  </si>
  <si>
    <t>Kab. Bangli</t>
  </si>
  <si>
    <t>Kab. Jembrana</t>
  </si>
  <si>
    <t>01ATBCA</t>
  </si>
  <si>
    <t>BCA IDM POINT GILIMANUK</t>
  </si>
  <si>
    <t>JL RAYA PELABUHAN GILIMANUK NO.5  82252</t>
  </si>
  <si>
    <t>PENDEM, JEMBRANA, JEMBRANA REGENCY, BALI  82211</t>
  </si>
  <si>
    <t>418QBCA</t>
  </si>
  <si>
    <t>BCA MELAYA GILIMANUK</t>
  </si>
  <si>
    <t>JL NEGARA-GILIMANUK DESA MELAYA KEC MELAYA KAB JBR</t>
  </si>
  <si>
    <t>Z7Z6BCA</t>
  </si>
  <si>
    <t>BCA ATM CENTER PENYARINGAN</t>
  </si>
  <si>
    <t>JP84+295, Jl. Raya Denpasar - Gilimanuk, Penyaringan, Kec. Mendoyo, Kabupaten Jembrana, Bali 82261, Indonesia</t>
  </si>
  <si>
    <t>Kab. Klungkung</t>
  </si>
  <si>
    <t>ZDZ5BCA</t>
  </si>
  <si>
    <t>BCA CRM  ALFA TOKO NESH</t>
  </si>
  <si>
    <t>JL BIMA NO 5, SAMPALAN TENGAH, DAWAN, KLUNGKUNG, BALI</t>
  </si>
  <si>
    <t>Kab. Lombok Utara</t>
  </si>
  <si>
    <t>Nusa Tenggara</t>
  </si>
  <si>
    <t>ZRP5BCA</t>
  </si>
  <si>
    <t>BCA COCO MART EXPRESS GILI TRAWANGAN</t>
  </si>
  <si>
    <t>GILI TRAWANGAN, KEC PEMENANG, LOMBOK UTARA</t>
  </si>
  <si>
    <t>Kota Mataram</t>
  </si>
  <si>
    <t>Lombok</t>
  </si>
  <si>
    <t>Jl. Pejanggik No.67, Cilinaya, Kec. Cakranegara, Kota Mataram, Nusa Tenggara Bar. 83231, Indonesia</t>
  </si>
  <si>
    <t>630XBCA</t>
  </si>
  <si>
    <t>BCA ASTON INN HOTEL MATARAM</t>
  </si>
  <si>
    <t>JL PANCA USAHA NO 1 CILINAYA CAKRANEGARA MATARAM</t>
  </si>
  <si>
    <t>C45W+Q4J, Jl. Selaparang, Mayura, Kec. Cakranegara, Kota Mataram, Nusa Tenggara Bar. 83236, Indonesia</t>
  </si>
  <si>
    <t>07:00-23:00</t>
  </si>
  <si>
    <t>653KBCA</t>
  </si>
  <si>
    <t>BCA LOTTEM MATARAM</t>
  </si>
  <si>
    <t>JL AA GEDE NUGRAH CAKRANEGARA MATARAM</t>
  </si>
  <si>
    <t>5918BCA</t>
  </si>
  <si>
    <t>BCA RUMAH SAKIT BERSALIN TRESNA MTR</t>
  </si>
  <si>
    <t>Jl. Bung Karno No.22-28, Mataram Tim., Kec. Mataram, Kota Mataram, Nusa Tenggara Bar. 83127, Indonesia</t>
  </si>
  <si>
    <t>Jl. Yos Sudarso No.2, Pejeruk, Kec. Ampenan, Kota Mataram, Nusa Tenggara Bar. 83112, Indonesia</t>
  </si>
  <si>
    <t>Jl. Panji Tilar Negara No.99, Kekalik Jaya, Kec. Sekarbela, Kota Mataram, Nusa Tenggara Bar. 83115, Indonesia</t>
  </si>
  <si>
    <t>Z7RJBCA</t>
  </si>
  <si>
    <t>BCA CAKRANEGARA CRM 9</t>
  </si>
  <si>
    <t>Z7RHBCA</t>
  </si>
  <si>
    <t>BCA CAKRANEGARA CRM 8</t>
  </si>
  <si>
    <t>Jl. Pejanggik No.20-22, Cakranegara Bar., Kec. Cakranegara, Kota Mataram, Nusa Tenggara Bar. 83239, Indonesia</t>
  </si>
  <si>
    <t>Jl. Pejanggik No.24a, Cakranegara Bar., Kec. Cakranegara, Kota Mataram, Nusa Tenggara Bar. 83239, Indonesia</t>
  </si>
  <si>
    <t>Jl. Pejanggik No.65a, Cilinaya, Kec. Mataram, Kota Mataram, Nusa Tenggara Bar. 83239, Indonesia</t>
  </si>
  <si>
    <t>No, Jl. Pejanggik No.24, Cilinaya, Kec. Cakranegara, Kota Mataram, Nusa Tenggara Bar. 83239, Indonesia</t>
  </si>
  <si>
    <t>Z1ZABCA</t>
  </si>
  <si>
    <t>BCA GBI MATRAMAN</t>
  </si>
  <si>
    <t>JL IGK JELINTIK GOSA NO 23 GEBANG MATRAMAN NTB</t>
  </si>
  <si>
    <t>Kab. Lombok Barat</t>
  </si>
  <si>
    <t>Jl. TGH. Faesal, Bengkel, Kec. Labuapi, Kabupaten Lombok Barat, Nusa Tenggara Bar. 83361, Indonesia</t>
  </si>
  <si>
    <t>00CZBCA</t>
  </si>
  <si>
    <t>BCA ALFA RAYA BELEKA</t>
  </si>
  <si>
    <t>JL RAYA BELEKA GERUNG LOMBOK BARAT</t>
  </si>
  <si>
    <t>F3W3+6V5, Batu Layar, West Lombok Regency, West Nusa Tenggara, Indonesia</t>
  </si>
  <si>
    <t>ZRM5BCA</t>
  </si>
  <si>
    <t>BCA IDM LEMBAR LOMBOK BARAT</t>
  </si>
  <si>
    <t>73FG+J5Q, Jl. Pelabuhan Lembar, Lembar, Kec. Lembar, Kabupaten Lombok Barat, Nusa Tenggara Bar. 83364, Indonesia</t>
  </si>
  <si>
    <t>Kab. Lombok Tengah</t>
  </si>
  <si>
    <t>634JBCA</t>
  </si>
  <si>
    <t>BCA ATM ALFAMART PUYUNG LOMBOK</t>
  </si>
  <si>
    <t>PUYUNG, KEC. JONGGAT, KAB. LOMBOK TENGAH</t>
  </si>
  <si>
    <t>692ABCA</t>
  </si>
  <si>
    <t>BCA ALFAMART RAYA KOPANG</t>
  </si>
  <si>
    <t>JL RAYA TIMUR MONTONG GAMANG, RT 2, MONTONG GAMANG II, MONTONG GAMANG, KOPANG, KOPANG REMBIGA, PRAYA, KABUPATEN LOMBOK TENGAH, NUSA TENGGARA BAR. 83553, INDONESIA</t>
  </si>
  <si>
    <t>633JBCA</t>
  </si>
  <si>
    <t>BCA INDOMARET BY PASS BILL</t>
  </si>
  <si>
    <t>JL. BY PASS BILL NO 4 BATUJAI LOMBOK TENGAH</t>
  </si>
  <si>
    <t>ZLN2BCA</t>
  </si>
  <si>
    <t>BCA ALFA MANTANG</t>
  </si>
  <si>
    <t>JL RAYA MANTANG MANTANG BATUKLIANG LOMBOK TENGAH</t>
  </si>
  <si>
    <t>ZRE5BCA</t>
  </si>
  <si>
    <t>BCA IDM S PARMAN LOMBOK TGH</t>
  </si>
  <si>
    <t>JL S PARMAN, PRAYA, LOMBOK TENGAH, LOMBOK</t>
  </si>
  <si>
    <t>ZRN5BCA</t>
  </si>
  <si>
    <t>BCA IDM KUTA LOMBOK TENGAH</t>
  </si>
  <si>
    <t>JL PARIWISATA, KUTA, PUJUT, LOMBOK TENGAH</t>
  </si>
  <si>
    <t>Kota Bima</t>
  </si>
  <si>
    <t>Z23CBCA</t>
  </si>
  <si>
    <t>BCA Alfa Rabangodu Utara</t>
  </si>
  <si>
    <t>Jl Soekarno Hatta, Rabangodu Utara, Raba  84115</t>
  </si>
  <si>
    <t>Kab. Lombok Timur</t>
  </si>
  <si>
    <t>JL. TGH ZAINUDDIN ABDUL MADJID 19 KEC SELONG KEL PANCOR KAB LOMBOK</t>
  </si>
  <si>
    <t>653MBCA</t>
  </si>
  <si>
    <t>BCA PLAZA BANGUNAN</t>
  </si>
  <si>
    <t>JL RAYA SIKUR TERARA LOMBOK TIMUR</t>
  </si>
  <si>
    <t>494NBCA</t>
  </si>
  <si>
    <t>BCA INDOMARET KELAYU LOMBOK TIMUR</t>
  </si>
  <si>
    <t>JL TGH UMAR KELAYU SELONG LOMBOK TIMUR</t>
  </si>
  <si>
    <t>00C9BCA</t>
  </si>
  <si>
    <t>BCA IDM LABUHAN LOMBOK</t>
  </si>
  <si>
    <t>JL RAYA LABUHAN LOMBOK NO 16, KEC. PRINGGABAYA, KAB. LOMBOK TIMUR, NUSA TENGGARA BARAT</t>
  </si>
  <si>
    <t>BCA SPBU SAKRA</t>
  </si>
  <si>
    <t>JL HASANUDDIN, RUMBUK, SAKRA, LOMBOK TIMUR</t>
  </si>
  <si>
    <t>Kab. Sumbawa</t>
  </si>
  <si>
    <t>MRR</t>
  </si>
  <si>
    <t>00DNBCA</t>
  </si>
  <si>
    <t>BCA YAMAHA SUMBAWA</t>
  </si>
  <si>
    <t>JL GARUDA NO 228, LEMPEH, SUMBAWA</t>
  </si>
  <si>
    <t>492WBCA</t>
  </si>
  <si>
    <t>BCA HOTEL AMARIS KUPANG</t>
  </si>
  <si>
    <t>RJRM+R2Q, Tuak Daun Merah, Oebobo, Kupang City, East Nusa Tenggara, Indonesia</t>
  </si>
  <si>
    <t>Kab. Kupang</t>
  </si>
  <si>
    <t>Timor</t>
  </si>
  <si>
    <t>Z2FBBCA</t>
  </si>
  <si>
    <t>BCA IDM OESAO</t>
  </si>
  <si>
    <t>JL TIMOR RAYA OESAO, KABUPATEN KUPANG</t>
  </si>
  <si>
    <t>Z0M6BCA</t>
  </si>
  <si>
    <t>BCA SPBU VALENTINE NAIBONAT</t>
  </si>
  <si>
    <t>JL TIMOR RAYA KEC KUPANG TIMUR NAIBONAT</t>
  </si>
  <si>
    <t>Jl. A. Yani No.15, Oeba, Kec. Kota Lama, Kota Kupang, Nusa Tenggara Tim., Indonesia</t>
  </si>
  <si>
    <t>Z10YBCA</t>
  </si>
  <si>
    <t>BCA KCU KUPANG</t>
  </si>
  <si>
    <t>Jl. Siliwangi No.2b, Solor, Kec. Kota Lama, Kota Kupang, Nusa Tenggara Tim., Indonesia</t>
  </si>
  <si>
    <t>Jl. Frans Seda, Fatululi, Kec. Oebobo, Kota Kupang, Nusa Tenggara Tim., Indonesia</t>
  </si>
  <si>
    <t>Kota Kupang</t>
  </si>
  <si>
    <t>Jl. Bund. PU No.12, Tuak Daun Merah, Kec. Oebobo, Kota Kupang, Nusa Tenggara Tim. 85228, Indonesia</t>
  </si>
  <si>
    <t>Jl. El Tari No.23, Oebobo, Kec. Oebobo, Kota Kupang, Nusa Tenggara Tim. 85111, Indonesia</t>
  </si>
  <si>
    <t>624TBCA</t>
  </si>
  <si>
    <t>BCA SPBU Tuak Daun Merah Kupang</t>
  </si>
  <si>
    <t>Jl Bundaran PU RT 21/ 007 Tuak Daun Merah Oebobo Kupang NTT</t>
  </si>
  <si>
    <t>RMJ8+CW9, Penfui, Maulafa, Kupang City, East Nusa Tenggara, Indonesia</t>
  </si>
  <si>
    <t>683FBCA</t>
  </si>
  <si>
    <t>BCA Alfa Kolhua</t>
  </si>
  <si>
    <t>Jl FetorFunay No 8 Kolhua Maulafa Koya Kupang</t>
  </si>
  <si>
    <t>Jl. Timor Raya No.km.6, Oesapa Bar., Kec. Klp. Lima, Kota Kupang, Nusa Tenggara Tim., Indonesia</t>
  </si>
  <si>
    <t>587CBCA</t>
  </si>
  <si>
    <t>BCA SPBU MITRA 01</t>
  </si>
  <si>
    <t>Jl.Sumatera, Fatubesi, Oeba, kota kupang</t>
  </si>
  <si>
    <t>ZTZ9BCA</t>
  </si>
  <si>
    <t>BCA IDM VETERAN KUPANG</t>
  </si>
  <si>
    <t>JL VETERAN, KELAPA LIMA, KUPANG</t>
  </si>
  <si>
    <t>BCA IDM H.R.KOROH</t>
  </si>
  <si>
    <t>JL. H. R KOROH RW NO. 33, OEPURA, KEC MAULAFA, KOTA KUPANG, NUSA TENGARA TIMUR</t>
  </si>
  <si>
    <t>00M6BCA</t>
  </si>
  <si>
    <t>BCA Tiara Mart</t>
  </si>
  <si>
    <t>Jl Piet A. Tallo, Oesapa Selatan, Kelapa Lima</t>
  </si>
  <si>
    <t>4108BCA</t>
  </si>
  <si>
    <t>BCA Ramayana Kupang</t>
  </si>
  <si>
    <t>RJG7+GCJ, Jl. W.J. Lalamentik, Oebufu, Kec. Oebobo, Kota Kupang, Nusa Tenggara Tim., Indonesia</t>
  </si>
  <si>
    <t>GV6W+CHC, Batu Cermin, Komodo, West Manggarai Regency, East Nusa Tenggara, Indonesia</t>
  </si>
  <si>
    <t>Kab. Ende</t>
  </si>
  <si>
    <t>9FM6+WJJ, Jl. Mongosidi, Pau, Kec. Langke Rembong, Kabupaten Manggarai, Nusa Tenggara Tim., Indonesia</t>
  </si>
  <si>
    <t>Kab. Manggarai</t>
  </si>
  <si>
    <t>Z0P8BCA</t>
  </si>
  <si>
    <t>BCA PT MSM</t>
  </si>
  <si>
    <t>JL. WAINGPAU MELOLO KM 45 WANGA 4</t>
  </si>
  <si>
    <t>Kab. Sumba Timur</t>
  </si>
  <si>
    <t>Kab. Belu</t>
  </si>
  <si>
    <t>Z0J9BCA</t>
  </si>
  <si>
    <t>BCA ALFAMART TENUKIIK</t>
  </si>
  <si>
    <t>WV4W+CG2, Jl. Marsda Adi Sucipto, Tenukiik, Kec. Kota Atambua, Kabupaten Belu, Nusa Tenggara Tim., Indonesia</t>
  </si>
  <si>
    <t>Tgl</t>
  </si>
  <si>
    <t>TRX</t>
  </si>
  <si>
    <t>Rendah</t>
  </si>
  <si>
    <t>Average</t>
  </si>
  <si>
    <t>Cukup Rendah</t>
  </si>
  <si>
    <t>Tinggi</t>
  </si>
  <si>
    <t>Sangat Tinggi</t>
  </si>
  <si>
    <t>None</t>
  </si>
  <si>
    <t>Status TRX</t>
  </si>
  <si>
    <t>ZC06BCA</t>
  </si>
  <si>
    <t>MEI</t>
  </si>
  <si>
    <t>APR</t>
  </si>
  <si>
    <t>MAR</t>
  </si>
  <si>
    <t>JAN</t>
  </si>
  <si>
    <t>FEB</t>
  </si>
  <si>
    <t>JUN</t>
  </si>
  <si>
    <t>ZC07BCA</t>
  </si>
  <si>
    <t>TGL</t>
  </si>
  <si>
    <t>ACTION FIX TYPE</t>
  </si>
  <si>
    <t>PART</t>
  </si>
  <si>
    <t>JUL</t>
  </si>
  <si>
    <t>HW TOTAL</t>
  </si>
  <si>
    <t>Engineer</t>
  </si>
  <si>
    <t>Tipe CRM</t>
  </si>
  <si>
    <t>AGUS</t>
  </si>
  <si>
    <t>04-Denpasar</t>
  </si>
  <si>
    <t>B</t>
  </si>
  <si>
    <t xml:space="preserve">MON-SUN </t>
  </si>
  <si>
    <t>(00:00 - 23:59)</t>
  </si>
  <si>
    <t>tercapai</t>
  </si>
  <si>
    <t>tidak tercapai</t>
  </si>
  <si>
    <t>64</t>
  </si>
  <si>
    <t>74</t>
  </si>
  <si>
    <t>80</t>
  </si>
  <si>
    <t>81</t>
  </si>
  <si>
    <t>181</t>
  </si>
  <si>
    <t>298</t>
  </si>
  <si>
    <t>344</t>
  </si>
  <si>
    <t>(06:00 - 23:00)</t>
  </si>
  <si>
    <t>(07:00 - 22:00)</t>
  </si>
  <si>
    <t>586</t>
  </si>
  <si>
    <t>(09:00 - 22:00)</t>
  </si>
  <si>
    <t>882</t>
  </si>
  <si>
    <t>(09:00 - 21:00)</t>
  </si>
  <si>
    <t>1340</t>
  </si>
  <si>
    <t>1409</t>
  </si>
  <si>
    <t>1410</t>
  </si>
  <si>
    <t>1411</t>
  </si>
  <si>
    <t>1412</t>
  </si>
  <si>
    <t>1413</t>
  </si>
  <si>
    <t>1414</t>
  </si>
  <si>
    <t>1429</t>
  </si>
  <si>
    <t>1805</t>
  </si>
  <si>
    <t>(06:00 - 22:00)</t>
  </si>
  <si>
    <t>2606</t>
  </si>
  <si>
    <t>2620</t>
  </si>
  <si>
    <t>2770</t>
  </si>
  <si>
    <t>(08:00 - 21:00)</t>
  </si>
  <si>
    <t>(07:00 - 23:00)</t>
  </si>
  <si>
    <t>(07:00 - 21:00)</t>
  </si>
  <si>
    <t>ADVANTAGE SURABAYA</t>
  </si>
  <si>
    <t>ABACUS SURABAYA</t>
  </si>
  <si>
    <t>29</t>
  </si>
  <si>
    <t>006S</t>
  </si>
  <si>
    <t>DepoB Denpasar</t>
  </si>
  <si>
    <t>30</t>
  </si>
  <si>
    <t>0072</t>
  </si>
  <si>
    <t>Bandara Intl Lombok</t>
  </si>
  <si>
    <t>(06:00 - 20:00)</t>
  </si>
  <si>
    <t>ANDALAN SURABAYA</t>
  </si>
  <si>
    <t>00AN</t>
  </si>
  <si>
    <t>Solaluna Mart Amed</t>
  </si>
  <si>
    <t>ABACUS SIDOARJO</t>
  </si>
  <si>
    <t>00B7</t>
  </si>
  <si>
    <t>IDM Penatahan</t>
  </si>
  <si>
    <t>(08:00 - 22:00)</t>
  </si>
  <si>
    <t>00BH</t>
  </si>
  <si>
    <t>Alfa Kaliakah</t>
  </si>
  <si>
    <t>00BJ</t>
  </si>
  <si>
    <t>Alfa Yeh Embang Mendo</t>
  </si>
  <si>
    <t>96</t>
  </si>
  <si>
    <t>99</t>
  </si>
  <si>
    <t>00C6</t>
  </si>
  <si>
    <t>IDM Laksamana</t>
  </si>
  <si>
    <t>00C9</t>
  </si>
  <si>
    <t>IDM Labuhan Lombok</t>
  </si>
  <si>
    <t>106</t>
  </si>
  <si>
    <t>00CH</t>
  </si>
  <si>
    <t>CK Munggu Tanah Lot</t>
  </si>
  <si>
    <t>117</t>
  </si>
  <si>
    <t>123</t>
  </si>
  <si>
    <t>00CZ</t>
  </si>
  <si>
    <t>Alfa Raya Beleka</t>
  </si>
  <si>
    <t>00D9</t>
  </si>
  <si>
    <t>IDM Sebatu Gianyar</t>
  </si>
  <si>
    <t>132</t>
  </si>
  <si>
    <t>133</t>
  </si>
  <si>
    <t>134</t>
  </si>
  <si>
    <t>00DM</t>
  </si>
  <si>
    <t>Alfa Segina Kertapura</t>
  </si>
  <si>
    <t>00DN</t>
  </si>
  <si>
    <t>Yamaha Sumbawa</t>
  </si>
  <si>
    <t>00DP</t>
  </si>
  <si>
    <t>SPBU Pagutan</t>
  </si>
  <si>
    <t>143</t>
  </si>
  <si>
    <t>144</t>
  </si>
  <si>
    <t>146</t>
  </si>
  <si>
    <t>00E2</t>
  </si>
  <si>
    <t>Shocked Dog Canggu</t>
  </si>
  <si>
    <t>00E3</t>
  </si>
  <si>
    <t>CK Wangaya</t>
  </si>
  <si>
    <t>00E5</t>
  </si>
  <si>
    <t>Pura Uluwatu</t>
  </si>
  <si>
    <t>170</t>
  </si>
  <si>
    <t>171</t>
  </si>
  <si>
    <t>00F5</t>
  </si>
  <si>
    <t>Hotel The Mansion Ubud</t>
  </si>
  <si>
    <t>182</t>
  </si>
  <si>
    <t>183</t>
  </si>
  <si>
    <t>184</t>
  </si>
  <si>
    <t>188</t>
  </si>
  <si>
    <t>189</t>
  </si>
  <si>
    <t>00FR</t>
  </si>
  <si>
    <t>Alfa Penatih Dangin Puri</t>
  </si>
  <si>
    <t>00FT</t>
  </si>
  <si>
    <t>IDM Lodtunduh</t>
  </si>
  <si>
    <t>00FU</t>
  </si>
  <si>
    <t>Kantor OJK NTB</t>
  </si>
  <si>
    <t>194</t>
  </si>
  <si>
    <t>195</t>
  </si>
  <si>
    <t>196</t>
  </si>
  <si>
    <t>00H1</t>
  </si>
  <si>
    <t>The Apurva Kempinski</t>
  </si>
  <si>
    <t>197</t>
  </si>
  <si>
    <t>198</t>
  </si>
  <si>
    <t>00H8</t>
  </si>
  <si>
    <t>CK Pecatu Utara</t>
  </si>
  <si>
    <t>00H9</t>
  </si>
  <si>
    <t>CK Kapal Badung</t>
  </si>
  <si>
    <t>00HC</t>
  </si>
  <si>
    <t>Alfa Pasir Panjang</t>
  </si>
  <si>
    <t>228</t>
  </si>
  <si>
    <t>229</t>
  </si>
  <si>
    <t>230</t>
  </si>
  <si>
    <t>231</t>
  </si>
  <si>
    <t>232</t>
  </si>
  <si>
    <t>00JK</t>
  </si>
  <si>
    <t>Beachwalk</t>
  </si>
  <si>
    <t>00JN</t>
  </si>
  <si>
    <t>Gogo Sedap Malam</t>
  </si>
  <si>
    <t>00JP</t>
  </si>
  <si>
    <t>Toko Wisma Tani Gelgel</t>
  </si>
  <si>
    <t>248</t>
  </si>
  <si>
    <t>249</t>
  </si>
  <si>
    <t>250</t>
  </si>
  <si>
    <t>251</t>
  </si>
  <si>
    <t>252</t>
  </si>
  <si>
    <t>253</t>
  </si>
  <si>
    <t>00KJ</t>
  </si>
  <si>
    <t>Alfa Merdeka Bangli</t>
  </si>
  <si>
    <t>00KK</t>
  </si>
  <si>
    <t>CK Saras Bedugul</t>
  </si>
  <si>
    <t>00KL</t>
  </si>
  <si>
    <t>Sari Limo Antasura</t>
  </si>
  <si>
    <t>00KP</t>
  </si>
  <si>
    <t>IDM Geopark Kintamani</t>
  </si>
  <si>
    <t>273</t>
  </si>
  <si>
    <t>274</t>
  </si>
  <si>
    <t>282</t>
  </si>
  <si>
    <t>283</t>
  </si>
  <si>
    <t>00LT</t>
  </si>
  <si>
    <t>Toko Harapan Jaya</t>
  </si>
  <si>
    <t>00M6</t>
  </si>
  <si>
    <t>Tiara Mart</t>
  </si>
  <si>
    <t>299</t>
  </si>
  <si>
    <t>00N4</t>
  </si>
  <si>
    <t>SPBU Dewi Sri</t>
  </si>
  <si>
    <t>340</t>
  </si>
  <si>
    <t>341</t>
  </si>
  <si>
    <t>345</t>
  </si>
  <si>
    <t>350</t>
  </si>
  <si>
    <t>351</t>
  </si>
  <si>
    <t>00R1</t>
  </si>
  <si>
    <t>IDM Pemuda Mataram</t>
  </si>
  <si>
    <t>356</t>
  </si>
  <si>
    <t>357</t>
  </si>
  <si>
    <t>358</t>
  </si>
  <si>
    <t>359</t>
  </si>
  <si>
    <t>00R9</t>
  </si>
  <si>
    <t>SPBU Sakra</t>
  </si>
  <si>
    <t>00RF</t>
  </si>
  <si>
    <t>Bandara Ngurah Rai Bali</t>
  </si>
  <si>
    <t>366</t>
  </si>
  <si>
    <t>367</t>
  </si>
  <si>
    <t>368</t>
  </si>
  <si>
    <t>00RN</t>
  </si>
  <si>
    <t>Kado Bajo</t>
  </si>
  <si>
    <t>00RR</t>
  </si>
  <si>
    <t>Park23</t>
  </si>
  <si>
    <t>374</t>
  </si>
  <si>
    <t>375</t>
  </si>
  <si>
    <t>376</t>
  </si>
  <si>
    <t>379</t>
  </si>
  <si>
    <t>380</t>
  </si>
  <si>
    <t>381</t>
  </si>
  <si>
    <t>00T3</t>
  </si>
  <si>
    <t>CK Pererenan</t>
  </si>
  <si>
    <t>00T4</t>
  </si>
  <si>
    <t>CK Renon 2 Bal 0294</t>
  </si>
  <si>
    <t>383</t>
  </si>
  <si>
    <t>384</t>
  </si>
  <si>
    <t>387</t>
  </si>
  <si>
    <t>388</t>
  </si>
  <si>
    <t>00TM</t>
  </si>
  <si>
    <t>IDM Kaliuntu</t>
  </si>
  <si>
    <t>00TR</t>
  </si>
  <si>
    <t>Alfa Hangtuah Barat</t>
  </si>
  <si>
    <t>393</t>
  </si>
  <si>
    <t>394</t>
  </si>
  <si>
    <t>00TY</t>
  </si>
  <si>
    <t>Coco Mart Sanggulan</t>
  </si>
  <si>
    <t>395</t>
  </si>
  <si>
    <t>00TZ</t>
  </si>
  <si>
    <t>Crystal Mart Lempuyang</t>
  </si>
  <si>
    <t>396</t>
  </si>
  <si>
    <t>397</t>
  </si>
  <si>
    <t>00U3</t>
  </si>
  <si>
    <t>IDM Nusa Kambangan</t>
  </si>
  <si>
    <t>400</t>
  </si>
  <si>
    <t>401</t>
  </si>
  <si>
    <t>402</t>
  </si>
  <si>
    <t>00UD</t>
  </si>
  <si>
    <t>CK Puja Mandala</t>
  </si>
  <si>
    <t>403</t>
  </si>
  <si>
    <t>404</t>
  </si>
  <si>
    <t>407</t>
  </si>
  <si>
    <t>408</t>
  </si>
  <si>
    <t>00UL</t>
  </si>
  <si>
    <t>Alfa Mahendradata Utara</t>
  </si>
  <si>
    <t>409</t>
  </si>
  <si>
    <t>00UM</t>
  </si>
  <si>
    <t>IDM Mahendradata Utara</t>
  </si>
  <si>
    <t>410</t>
  </si>
  <si>
    <t>411</t>
  </si>
  <si>
    <t>00UP</t>
  </si>
  <si>
    <t>SPBU Gajah Mada Mendoyo</t>
  </si>
  <si>
    <t>414</t>
  </si>
  <si>
    <t>415</t>
  </si>
  <si>
    <t>00UU</t>
  </si>
  <si>
    <t>Coco Mart Blahkiuh</t>
  </si>
  <si>
    <t>00UV</t>
  </si>
  <si>
    <t>Coco Mart Tebongkang</t>
  </si>
  <si>
    <t>00UX</t>
  </si>
  <si>
    <t>SPBU Anturan Singaraja</t>
  </si>
  <si>
    <t>00V8</t>
  </si>
  <si>
    <t>Coco Mart Nuansa Utama</t>
  </si>
  <si>
    <t>00V9</t>
  </si>
  <si>
    <t>Arys Mikro Celuk</t>
  </si>
  <si>
    <t>00VC</t>
  </si>
  <si>
    <t>Bandara Ngurah Rai ATM Ce</t>
  </si>
  <si>
    <t>00VH</t>
  </si>
  <si>
    <t>IDM Padangsambian Klod</t>
  </si>
  <si>
    <t>448</t>
  </si>
  <si>
    <t>449</t>
  </si>
  <si>
    <t>464</t>
  </si>
  <si>
    <t>465</t>
  </si>
  <si>
    <t>00X4</t>
  </si>
  <si>
    <t>CK Tegallalang</t>
  </si>
  <si>
    <t>466</t>
  </si>
  <si>
    <t>00Y3</t>
  </si>
  <si>
    <t>CK Pesanggaran</t>
  </si>
  <si>
    <t>00Y4</t>
  </si>
  <si>
    <t>CK Munggu Pererenan</t>
  </si>
  <si>
    <t>487</t>
  </si>
  <si>
    <t>488</t>
  </si>
  <si>
    <t>00ZB</t>
  </si>
  <si>
    <t>Arys Mikro Dukuh Tabanan</t>
  </si>
  <si>
    <t>521</t>
  </si>
  <si>
    <t>522</t>
  </si>
  <si>
    <t>523</t>
  </si>
  <si>
    <t>524</t>
  </si>
  <si>
    <t>525</t>
  </si>
  <si>
    <t>537</t>
  </si>
  <si>
    <t>538</t>
  </si>
  <si>
    <t>0118</t>
  </si>
  <si>
    <t>KFA 242 Raya Kuta</t>
  </si>
  <si>
    <t>011B</t>
  </si>
  <si>
    <t>Indogrosir Denpasar</t>
  </si>
  <si>
    <t>011C</t>
  </si>
  <si>
    <t>CK Gatsu Hook</t>
  </si>
  <si>
    <t>0127</t>
  </si>
  <si>
    <t>CK Padang Luwih</t>
  </si>
  <si>
    <t>(08:00 - 17:00)</t>
  </si>
  <si>
    <t>577</t>
  </si>
  <si>
    <t>578</t>
  </si>
  <si>
    <t>581</t>
  </si>
  <si>
    <t>582</t>
  </si>
  <si>
    <t>583</t>
  </si>
  <si>
    <t>584</t>
  </si>
  <si>
    <t>585</t>
  </si>
  <si>
    <t>587</t>
  </si>
  <si>
    <t>593</t>
  </si>
  <si>
    <t>594</t>
  </si>
  <si>
    <t>595</t>
  </si>
  <si>
    <t>596</t>
  </si>
  <si>
    <t>0169</t>
  </si>
  <si>
    <t>Club Med Hotel</t>
  </si>
  <si>
    <t>016M</t>
  </si>
  <si>
    <t>Eccos Plaza</t>
  </si>
  <si>
    <t>604</t>
  </si>
  <si>
    <t>016U</t>
  </si>
  <si>
    <t>IDM Tukad Badung Denpasar</t>
  </si>
  <si>
    <t>605</t>
  </si>
  <si>
    <t>016Y</t>
  </si>
  <si>
    <t>Coco Mart Sukawati</t>
  </si>
  <si>
    <t>0173</t>
  </si>
  <si>
    <t>SPBU Pendem Jembrana</t>
  </si>
  <si>
    <t>609</t>
  </si>
  <si>
    <t>610</t>
  </si>
  <si>
    <t>017N</t>
  </si>
  <si>
    <t>Alfa Antasura</t>
  </si>
  <si>
    <t>017P</t>
  </si>
  <si>
    <t>IDM Meranggi Tabanan</t>
  </si>
  <si>
    <t>017Q</t>
  </si>
  <si>
    <t>IDM Sibangkaja</t>
  </si>
  <si>
    <t>01AT</t>
  </si>
  <si>
    <t>IDM Point Gilimanuk</t>
  </si>
  <si>
    <t>01B2</t>
  </si>
  <si>
    <t>Alfa Mulawarman</t>
  </si>
  <si>
    <t>650</t>
  </si>
  <si>
    <t>651</t>
  </si>
  <si>
    <t>660</t>
  </si>
  <si>
    <t>661</t>
  </si>
  <si>
    <t>01CX</t>
  </si>
  <si>
    <t>Edie Arta Motor</t>
  </si>
  <si>
    <t>01DD</t>
  </si>
  <si>
    <t>CK Tukad Jinah</t>
  </si>
  <si>
    <t>717</t>
  </si>
  <si>
    <t>719</t>
  </si>
  <si>
    <t>721</t>
  </si>
  <si>
    <t>01H0</t>
  </si>
  <si>
    <t>Minimart Semer</t>
  </si>
  <si>
    <t>01H2</t>
  </si>
  <si>
    <t>Coco Mart Blahbatuh</t>
  </si>
  <si>
    <t>763</t>
  </si>
  <si>
    <t>765</t>
  </si>
  <si>
    <t>779</t>
  </si>
  <si>
    <t>781</t>
  </si>
  <si>
    <t>786</t>
  </si>
  <si>
    <t>788</t>
  </si>
  <si>
    <t>01JT</t>
  </si>
  <si>
    <t>RS Bali Internasional</t>
  </si>
  <si>
    <t>01KC</t>
  </si>
  <si>
    <t>Paradisus by Melia</t>
  </si>
  <si>
    <t>01KT</t>
  </si>
  <si>
    <t>Alfa Patih Nambi</t>
  </si>
  <si>
    <t>873</t>
  </si>
  <si>
    <t>875</t>
  </si>
  <si>
    <t>884</t>
  </si>
  <si>
    <t>895</t>
  </si>
  <si>
    <t>897</t>
  </si>
  <si>
    <t>01P2</t>
  </si>
  <si>
    <t>Alfa Dukuh Sari Sesetan</t>
  </si>
  <si>
    <t>01QY</t>
  </si>
  <si>
    <t>Alfa Patimura Denpasar</t>
  </si>
  <si>
    <t>936</t>
  </si>
  <si>
    <t>938</t>
  </si>
  <si>
    <t>031U</t>
  </si>
  <si>
    <t>Boga Swaha Supermarket</t>
  </si>
  <si>
    <t>031V</t>
  </si>
  <si>
    <t>Seminyak Square</t>
  </si>
  <si>
    <t>032L</t>
  </si>
  <si>
    <t>Pialegong</t>
  </si>
  <si>
    <t>032O</t>
  </si>
  <si>
    <t>Tuna Long Line Indonesia</t>
  </si>
  <si>
    <t>032Q</t>
  </si>
  <si>
    <t>Muaya Cafe 19</t>
  </si>
  <si>
    <t>037W</t>
  </si>
  <si>
    <t>Sinar Bangunan Kupang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</si>
  <si>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</si>
  <si>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</si>
  <si>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</si>
  <si>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</si>
  <si>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</si>
  <si>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</si>
  <si>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</si>
  <si>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</si>
  <si>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</si>
  <si>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</si>
  <si>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</si>
  <si>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</si>
  <si>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1004</t>
  </si>
  <si>
    <t>1005</t>
  </si>
  <si>
    <t>051F</t>
  </si>
  <si>
    <t>The One Legian</t>
  </si>
  <si>
    <t>1017</t>
  </si>
  <si>
    <t>066J</t>
  </si>
  <si>
    <t>CK CK171 BAL0168 Kubu A</t>
  </si>
  <si>
    <t>1042</t>
  </si>
  <si>
    <t>066L</t>
  </si>
  <si>
    <t>CK CK102 BAL0139 Toyani</t>
  </si>
  <si>
    <t>1043</t>
  </si>
  <si>
    <t>066P</t>
  </si>
  <si>
    <t>CK CK154 BAL0251 Ketewe</t>
  </si>
  <si>
    <t>1044</t>
  </si>
  <si>
    <t>067E</t>
  </si>
  <si>
    <t>IDM WR Supratman Denpasar</t>
  </si>
  <si>
    <t>1046</t>
  </si>
  <si>
    <t>1047</t>
  </si>
  <si>
    <t>068W</t>
  </si>
  <si>
    <t>Alfa Q004 Banjar Anyar</t>
  </si>
  <si>
    <t>068Y</t>
  </si>
  <si>
    <t>Alfa Q229 WR Supratman II</t>
  </si>
  <si>
    <t>SSI SURABAYA</t>
  </si>
  <si>
    <t>074Z</t>
  </si>
  <si>
    <t>Canggu Plaza 1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</si>
  <si>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</si>
  <si>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</si>
  <si>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</si>
  <si>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</si>
  <si>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</si>
  <si>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</si>
  <si>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</si>
  <si>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</si>
  <si>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</si>
  <si>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</si>
  <si>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</si>
  <si>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</si>
  <si>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</si>
  <si>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093U</t>
  </si>
  <si>
    <t>Bali Palm Resort</t>
  </si>
  <si>
    <t>1084</t>
  </si>
  <si>
    <t>1085</t>
  </si>
  <si>
    <t>1086</t>
  </si>
  <si>
    <t>1089</t>
  </si>
  <si>
    <t>1090</t>
  </si>
  <si>
    <t>United Indo Bali Kuta</t>
  </si>
  <si>
    <t>1091</t>
  </si>
  <si>
    <t>1093</t>
  </si>
  <si>
    <t>1094</t>
  </si>
  <si>
    <t>1110</t>
  </si>
  <si>
    <t>1111</t>
  </si>
  <si>
    <t>1112</t>
  </si>
  <si>
    <t>1114</t>
  </si>
  <si>
    <t>1115</t>
  </si>
  <si>
    <t>1117</t>
  </si>
  <si>
    <t>1118</t>
  </si>
  <si>
    <t>1119</t>
  </si>
  <si>
    <t>1121</t>
  </si>
  <si>
    <t>1122</t>
  </si>
  <si>
    <t>1197</t>
  </si>
  <si>
    <t>1250</t>
  </si>
  <si>
    <t>135A</t>
  </si>
  <si>
    <t>CK 0252 Letda Made Putra</t>
  </si>
  <si>
    <t>1381</t>
  </si>
  <si>
    <t>139P</t>
  </si>
  <si>
    <t>CK CK0109 Melasti</t>
  </si>
  <si>
    <t>139T</t>
  </si>
  <si>
    <t>CK CK0136 Br Semer</t>
  </si>
  <si>
    <t>139U</t>
  </si>
  <si>
    <t>CK CK0137 Nusa Dua Tragia</t>
  </si>
  <si>
    <t>142Z</t>
  </si>
  <si>
    <t>CK CK0190 Petitenget</t>
  </si>
  <si>
    <t>143J</t>
  </si>
  <si>
    <t>CK CK0226 WR Supratman</t>
  </si>
  <si>
    <t>144Z</t>
  </si>
  <si>
    <t>Yamaha Ngurah Rai</t>
  </si>
  <si>
    <t>1184</t>
  </si>
  <si>
    <t>1185</t>
  </si>
  <si>
    <t>1186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</si>
  <si>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</si>
  <si>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</si>
  <si>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</si>
  <si>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</si>
  <si>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</si>
  <si>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</si>
  <si>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</si>
  <si>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</si>
  <si>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</si>
  <si>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1198</t>
  </si>
  <si>
    <t>1199</t>
  </si>
  <si>
    <t>1200</t>
  </si>
  <si>
    <t>1201</t>
  </si>
  <si>
    <t>1602</t>
  </si>
  <si>
    <t>1202</t>
  </si>
  <si>
    <t>1203</t>
  </si>
  <si>
    <t>1642</t>
  </si>
  <si>
    <t>164B</t>
  </si>
  <si>
    <t>Alfa Goa Gajah Gianyar</t>
  </si>
  <si>
    <t>164E</t>
  </si>
  <si>
    <t>Papaya Fresh Gallery</t>
  </si>
  <si>
    <t>164R</t>
  </si>
  <si>
    <t>SPBU Mitra Kupang</t>
  </si>
  <si>
    <t>1228</t>
  </si>
  <si>
    <t>1229</t>
  </si>
  <si>
    <t>1230</t>
  </si>
  <si>
    <t>1231</t>
  </si>
  <si>
    <t>1232</t>
  </si>
  <si>
    <t>175C</t>
  </si>
  <si>
    <t>Padang Padang in</t>
  </si>
  <si>
    <t>1233</t>
  </si>
  <si>
    <t>1234</t>
  </si>
  <si>
    <t>1850</t>
  </si>
  <si>
    <t>RS Surya Husada</t>
  </si>
  <si>
    <t>1870</t>
  </si>
  <si>
    <t>194Y</t>
  </si>
  <si>
    <t>Pelabuhan Padang Bai</t>
  </si>
  <si>
    <t>1251</t>
  </si>
  <si>
    <t>1252</t>
  </si>
  <si>
    <t>1254</t>
  </si>
  <si>
    <t>1985</t>
  </si>
  <si>
    <t>1991</t>
  </si>
  <si>
    <t>1263</t>
  </si>
  <si>
    <t>2045</t>
  </si>
  <si>
    <t>Klinik Tiara Husada Tuban</t>
  </si>
  <si>
    <t>1264</t>
  </si>
  <si>
    <t>1265</t>
  </si>
  <si>
    <t>205H</t>
  </si>
  <si>
    <t>Krisna Oleh Oleh Tuban</t>
  </si>
  <si>
    <t>1267</t>
  </si>
  <si>
    <t>1268</t>
  </si>
  <si>
    <t>1269</t>
  </si>
  <si>
    <t>1270</t>
  </si>
  <si>
    <t>1272</t>
  </si>
  <si>
    <t>1280</t>
  </si>
  <si>
    <t>1281</t>
  </si>
  <si>
    <t>1282</t>
  </si>
  <si>
    <t>1283</t>
  </si>
  <si>
    <t>1284</t>
  </si>
  <si>
    <t>1286</t>
  </si>
  <si>
    <t>2240</t>
  </si>
  <si>
    <t>226K</t>
  </si>
  <si>
    <t>Dapur Lebih Gianyar</t>
  </si>
  <si>
    <t>226L</t>
  </si>
  <si>
    <t>Boshe Club</t>
  </si>
  <si>
    <t>2302</t>
  </si>
  <si>
    <t>2358</t>
  </si>
  <si>
    <t>1315</t>
  </si>
  <si>
    <t>1316</t>
  </si>
  <si>
    <t>2374</t>
  </si>
  <si>
    <t>1317</t>
  </si>
  <si>
    <t>1318</t>
  </si>
  <si>
    <t>1319</t>
  </si>
  <si>
    <t>1320</t>
  </si>
  <si>
    <t>238X</t>
  </si>
  <si>
    <t>Hotel Cendana</t>
  </si>
  <si>
    <t>2392</t>
  </si>
  <si>
    <t>2394</t>
  </si>
  <si>
    <t>2400</t>
  </si>
  <si>
    <t>1338</t>
  </si>
  <si>
    <t>1339</t>
  </si>
  <si>
    <t>1342</t>
  </si>
  <si>
    <t>253H</t>
  </si>
  <si>
    <t>Hotel Adi Asri</t>
  </si>
  <si>
    <t>2556</t>
  </si>
  <si>
    <t>2574</t>
  </si>
  <si>
    <t>CK 151 Pulau Bungin</t>
  </si>
  <si>
    <t>2577</t>
  </si>
  <si>
    <t>2578</t>
  </si>
  <si>
    <t>Toko Sepatu Surabaya</t>
  </si>
  <si>
    <t>1372</t>
  </si>
  <si>
    <t>1373</t>
  </si>
  <si>
    <t>2611</t>
  </si>
  <si>
    <t>1374</t>
  </si>
  <si>
    <t>2612</t>
  </si>
  <si>
    <t>1376</t>
  </si>
  <si>
    <t>262R</t>
  </si>
  <si>
    <t>SPBU Bengkel</t>
  </si>
  <si>
    <t>263L</t>
  </si>
  <si>
    <t>Circle K 113 Bal 0227 Waturenggong</t>
  </si>
  <si>
    <t>1380</t>
  </si>
  <si>
    <t>1382</t>
  </si>
  <si>
    <t>1383</t>
  </si>
  <si>
    <t>1384</t>
  </si>
  <si>
    <t>1385</t>
  </si>
  <si>
    <t>2709</t>
  </si>
  <si>
    <t>1391</t>
  </si>
  <si>
    <t>1392</t>
  </si>
  <si>
    <t>1393</t>
  </si>
  <si>
    <t>1394</t>
  </si>
  <si>
    <t>273J</t>
  </si>
  <si>
    <t>Minimarket Udayana</t>
  </si>
  <si>
    <t>1395</t>
  </si>
  <si>
    <t>273K</t>
  </si>
  <si>
    <t>Pepito Express Uluwatu</t>
  </si>
  <si>
    <t>1396</t>
  </si>
  <si>
    <t>273M</t>
  </si>
  <si>
    <t>Minimarket Pantai Kuta ( JLP III )</t>
  </si>
  <si>
    <t>1397</t>
  </si>
  <si>
    <t>2765</t>
  </si>
  <si>
    <t>2794</t>
  </si>
  <si>
    <t>2820</t>
  </si>
  <si>
    <t>285L</t>
  </si>
  <si>
    <t>Bandara Eltari Kupang</t>
  </si>
  <si>
    <t>(04:00 - 23:00)</t>
  </si>
  <si>
    <t>2900</t>
  </si>
  <si>
    <t>Ryosi Japanese Restaurant</t>
  </si>
  <si>
    <t>2902</t>
  </si>
  <si>
    <t>2907</t>
  </si>
  <si>
    <t>1427</t>
  </si>
  <si>
    <t>2928</t>
  </si>
  <si>
    <t>1436</t>
  </si>
  <si>
    <t>1438</t>
  </si>
  <si>
    <t>2980</t>
  </si>
  <si>
    <t>LotteM Denpasar</t>
  </si>
  <si>
    <t>1462</t>
  </si>
  <si>
    <t>1464</t>
  </si>
  <si>
    <t>305P</t>
  </si>
  <si>
    <t>CK 0244 Gunung Sanghyang</t>
  </si>
  <si>
    <t>305Q</t>
  </si>
  <si>
    <t>CK 0405 Munggu Mengwi</t>
  </si>
  <si>
    <t>1487</t>
  </si>
  <si>
    <t>1488</t>
  </si>
  <si>
    <t>1489</t>
  </si>
  <si>
    <t>1490</t>
  </si>
  <si>
    <t>315E</t>
  </si>
  <si>
    <t>Alfa Uluwatu V</t>
  </si>
  <si>
    <t>1524</t>
  </si>
  <si>
    <t>1526</t>
  </si>
  <si>
    <t>320T</t>
  </si>
  <si>
    <t>Ayana Resort Spa Bali</t>
  </si>
  <si>
    <t>1541</t>
  </si>
  <si>
    <t>1543</t>
  </si>
  <si>
    <t>334R</t>
  </si>
  <si>
    <t>Pepito Express Pecatu</t>
  </si>
  <si>
    <t>334U</t>
  </si>
  <si>
    <t>Pepito Petitenget</t>
  </si>
  <si>
    <t>334V</t>
  </si>
  <si>
    <t>Minimart Sanur</t>
  </si>
  <si>
    <t>334Z</t>
  </si>
  <si>
    <t>Minimart By Pass Jimbaran</t>
  </si>
  <si>
    <t>3353</t>
  </si>
  <si>
    <t>Pepito Supermarket</t>
  </si>
  <si>
    <t>1600</t>
  </si>
  <si>
    <t>1601</t>
  </si>
  <si>
    <t>1603</t>
  </si>
  <si>
    <t>1604</t>
  </si>
  <si>
    <t>1605</t>
  </si>
  <si>
    <t>1606</t>
  </si>
  <si>
    <t>345R</t>
  </si>
  <si>
    <t>Alfa M Yamin Selong</t>
  </si>
  <si>
    <t>1640</t>
  </si>
  <si>
    <t>1641</t>
  </si>
  <si>
    <t>1643</t>
  </si>
  <si>
    <t>353D</t>
  </si>
  <si>
    <t>Bank Indonesia Denpasar</t>
  </si>
  <si>
    <t>1676</t>
  </si>
  <si>
    <t>1677</t>
  </si>
  <si>
    <t>1678</t>
  </si>
  <si>
    <t>1679</t>
  </si>
  <si>
    <t>355T</t>
  </si>
  <si>
    <t>Alfa Q073 Canggu</t>
  </si>
  <si>
    <t>355U</t>
  </si>
  <si>
    <t>Alfa Q215 Teuku Umar Brt</t>
  </si>
  <si>
    <t>355V</t>
  </si>
  <si>
    <t>Alfa Q231 Mambal</t>
  </si>
  <si>
    <t>355X</t>
  </si>
  <si>
    <t>Alfa Q290 Darmasaba</t>
  </si>
  <si>
    <t>355Z</t>
  </si>
  <si>
    <t>Alfa Q312 Pejeng</t>
  </si>
  <si>
    <t>356A</t>
  </si>
  <si>
    <t>Alfa Q318 Tibung Sari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</si>
  <si>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</si>
  <si>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</si>
  <si>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</si>
  <si>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</si>
  <si>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</si>
  <si>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</si>
  <si>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</si>
  <si>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</si>
  <si>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</si>
  <si>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365K</t>
  </si>
  <si>
    <t>IDM Dewi Sartika Bali</t>
  </si>
  <si>
    <t>365L</t>
  </si>
  <si>
    <t>IDM Mertanadi Badung</t>
  </si>
  <si>
    <t>365N</t>
  </si>
  <si>
    <t>IDM Tukad Pakerisan Bali</t>
  </si>
  <si>
    <t>1720</t>
  </si>
  <si>
    <t>1721</t>
  </si>
  <si>
    <t>1722</t>
  </si>
  <si>
    <t>1723</t>
  </si>
  <si>
    <t>1724</t>
  </si>
  <si>
    <t>1725</t>
  </si>
  <si>
    <t>371X</t>
  </si>
  <si>
    <t>Alfa Q243 Gunung Agung</t>
  </si>
  <si>
    <t>1736</t>
  </si>
  <si>
    <t>1737</t>
  </si>
  <si>
    <t>1739</t>
  </si>
  <si>
    <t>374T</t>
  </si>
  <si>
    <t>IDM Ir Soekarno Bali</t>
  </si>
  <si>
    <t>1746</t>
  </si>
  <si>
    <t>1747</t>
  </si>
  <si>
    <t>1749</t>
  </si>
  <si>
    <t>383P</t>
  </si>
  <si>
    <t>Coco Mart Goa Gong</t>
  </si>
  <si>
    <t>383Q</t>
  </si>
  <si>
    <t>Coco Mart Mumbul</t>
  </si>
  <si>
    <t>383T</t>
  </si>
  <si>
    <t>Coco Mart Taman Giri</t>
  </si>
  <si>
    <t>1768</t>
  </si>
  <si>
    <t>1769</t>
  </si>
  <si>
    <t>1770</t>
  </si>
  <si>
    <t>1771</t>
  </si>
  <si>
    <t>1772</t>
  </si>
  <si>
    <t>1773</t>
  </si>
  <si>
    <t>391N</t>
  </si>
  <si>
    <t>CK98 Pakerisan BAL0218</t>
  </si>
  <si>
    <t>1786</t>
  </si>
  <si>
    <t>1787</t>
  </si>
  <si>
    <t>1789</t>
  </si>
  <si>
    <t>401D</t>
  </si>
  <si>
    <t>Krisna Oleh Oleh Sgrj</t>
  </si>
  <si>
    <t>1798</t>
  </si>
  <si>
    <t>405F</t>
  </si>
  <si>
    <t>Koperasi Mitra Karya</t>
  </si>
  <si>
    <t>1799</t>
  </si>
  <si>
    <t>1801</t>
  </si>
  <si>
    <t>1806</t>
  </si>
  <si>
    <t>1808</t>
  </si>
  <si>
    <t>4078</t>
  </si>
  <si>
    <t>Delta Dewata</t>
  </si>
  <si>
    <t>4079</t>
  </si>
  <si>
    <t>Gosha</t>
  </si>
  <si>
    <t>407D</t>
  </si>
  <si>
    <t>Four Season Ubud</t>
  </si>
  <si>
    <t>4081</t>
  </si>
  <si>
    <t>Bandung Collection Kedonganan</t>
  </si>
  <si>
    <t>1814</t>
  </si>
  <si>
    <t>1815</t>
  </si>
  <si>
    <t>1816</t>
  </si>
  <si>
    <t>1817</t>
  </si>
  <si>
    <t>1818</t>
  </si>
  <si>
    <t>1819</t>
  </si>
  <si>
    <t>4102</t>
  </si>
  <si>
    <t>CV Mita Nusa Dua</t>
  </si>
  <si>
    <t>1820</t>
  </si>
  <si>
    <t>4108</t>
  </si>
  <si>
    <t>Ramayana Kupang</t>
  </si>
  <si>
    <t>1821</t>
  </si>
  <si>
    <t>1824</t>
  </si>
  <si>
    <t>1825</t>
  </si>
  <si>
    <t>1826</t>
  </si>
  <si>
    <t>1827</t>
  </si>
  <si>
    <t>1828</t>
  </si>
  <si>
    <t>418P</t>
  </si>
  <si>
    <t>CK 238 Siligita BAL0412</t>
  </si>
  <si>
    <t>418Q</t>
  </si>
  <si>
    <t>Melaya Gilimanuk</t>
  </si>
  <si>
    <t>1834</t>
  </si>
  <si>
    <t>1835</t>
  </si>
  <si>
    <t>1836</t>
  </si>
  <si>
    <t>1837</t>
  </si>
  <si>
    <t>1838</t>
  </si>
  <si>
    <t>431L</t>
  </si>
  <si>
    <t>IDM Tkd Balian Momi Bali</t>
  </si>
  <si>
    <t>1851</t>
  </si>
  <si>
    <t>1852</t>
  </si>
  <si>
    <t>1853</t>
  </si>
  <si>
    <t>439K</t>
  </si>
  <si>
    <t>IDM F26U Dalung II</t>
  </si>
  <si>
    <t>1862</t>
  </si>
  <si>
    <t>1863</t>
  </si>
  <si>
    <t>444B</t>
  </si>
  <si>
    <t>Alfa Kebo Iwa II</t>
  </si>
  <si>
    <t>1864</t>
  </si>
  <si>
    <t>1865</t>
  </si>
  <si>
    <t>1867</t>
  </si>
  <si>
    <t>1868</t>
  </si>
  <si>
    <t>1869</t>
  </si>
  <si>
    <t>454Q</t>
  </si>
  <si>
    <t>IDM Paok Motong Lbk Timur</t>
  </si>
  <si>
    <t>1898</t>
  </si>
  <si>
    <t>1899</t>
  </si>
  <si>
    <t>1900</t>
  </si>
  <si>
    <t>1901</t>
  </si>
  <si>
    <t>470E</t>
  </si>
  <si>
    <t>Minimart Kampial</t>
  </si>
  <si>
    <t>1931</t>
  </si>
  <si>
    <t>1932</t>
  </si>
  <si>
    <t>1933</t>
  </si>
  <si>
    <t>472Y</t>
  </si>
  <si>
    <t>CK Beraban Kuta</t>
  </si>
  <si>
    <t>1934</t>
  </si>
  <si>
    <t>1937</t>
  </si>
  <si>
    <t>1938</t>
  </si>
  <si>
    <t>1939</t>
  </si>
  <si>
    <t>1940</t>
  </si>
  <si>
    <t>492W</t>
  </si>
  <si>
    <t>Hotel Amaris Kupang</t>
  </si>
  <si>
    <t>494J</t>
  </si>
  <si>
    <t>Garuda Wisnu Kencana</t>
  </si>
  <si>
    <t>1979</t>
  </si>
  <si>
    <t>494N</t>
  </si>
  <si>
    <t>IDM Kelayu Lombok Timur</t>
  </si>
  <si>
    <t>1980</t>
  </si>
  <si>
    <t>1981</t>
  </si>
  <si>
    <t>1982</t>
  </si>
  <si>
    <t>1983</t>
  </si>
  <si>
    <t>1984</t>
  </si>
  <si>
    <t>1986</t>
  </si>
  <si>
    <t>497F</t>
  </si>
  <si>
    <t>CK Tjok Agung Tresna</t>
  </si>
  <si>
    <t>1990</t>
  </si>
  <si>
    <t>498T</t>
  </si>
  <si>
    <t>Secret Garden Village</t>
  </si>
  <si>
    <t>1992</t>
  </si>
  <si>
    <t>1993</t>
  </si>
  <si>
    <t>1995</t>
  </si>
  <si>
    <t>1996</t>
  </si>
  <si>
    <t>1997</t>
  </si>
  <si>
    <t>1998</t>
  </si>
  <si>
    <t>5015</t>
  </si>
  <si>
    <t>Mitra 10 ByPass NgurahRai</t>
  </si>
  <si>
    <t>5022</t>
  </si>
  <si>
    <t>CK 131 Tukad Yeh Aya</t>
  </si>
  <si>
    <t>5029</t>
  </si>
  <si>
    <t>CK 108 Kopi Bali Sanur</t>
  </si>
  <si>
    <t>2004</t>
  </si>
  <si>
    <t>2005</t>
  </si>
  <si>
    <t>2006</t>
  </si>
  <si>
    <t>2007</t>
  </si>
  <si>
    <t>2008</t>
  </si>
  <si>
    <t>2009</t>
  </si>
  <si>
    <t>2010</t>
  </si>
  <si>
    <t>5059</t>
  </si>
  <si>
    <t>CK 100 Cokro Aminoto</t>
  </si>
  <si>
    <t>513N</t>
  </si>
  <si>
    <t>Alfa Brawijaya Mataram</t>
  </si>
  <si>
    <t>2046</t>
  </si>
  <si>
    <t>2047</t>
  </si>
  <si>
    <t>2048</t>
  </si>
  <si>
    <t>2049</t>
  </si>
  <si>
    <t>516M</t>
  </si>
  <si>
    <t>Citraland Waterpark</t>
  </si>
  <si>
    <t>2056</t>
  </si>
  <si>
    <t>2057</t>
  </si>
  <si>
    <t>2058</t>
  </si>
  <si>
    <t>5174</t>
  </si>
  <si>
    <t>Pusat Kesenian Lovina 2</t>
  </si>
  <si>
    <t>2059</t>
  </si>
  <si>
    <t>2060</t>
  </si>
  <si>
    <t>2061</t>
  </si>
  <si>
    <t>2062</t>
  </si>
  <si>
    <t>519C</t>
  </si>
  <si>
    <t>IDM Pandu Badung Kuta</t>
  </si>
  <si>
    <t>2067</t>
  </si>
  <si>
    <t>2068</t>
  </si>
  <si>
    <t>2069</t>
  </si>
  <si>
    <t>2070</t>
  </si>
  <si>
    <t>2112</t>
  </si>
  <si>
    <t>2113</t>
  </si>
  <si>
    <t>532D</t>
  </si>
  <si>
    <t>Alfa Suradipa</t>
  </si>
  <si>
    <t>2114</t>
  </si>
  <si>
    <t>2115</t>
  </si>
  <si>
    <t>2116</t>
  </si>
  <si>
    <t>2119</t>
  </si>
  <si>
    <t>2120</t>
  </si>
  <si>
    <t>536X</t>
  </si>
  <si>
    <t>CK BAL0416 Batu Belig II</t>
  </si>
  <si>
    <t>2121</t>
  </si>
  <si>
    <t>2122</t>
  </si>
  <si>
    <t>2123</t>
  </si>
  <si>
    <t>2130</t>
  </si>
  <si>
    <t>2131</t>
  </si>
  <si>
    <t>544D</t>
  </si>
  <si>
    <t>Plaza Renon 1</t>
  </si>
  <si>
    <t>2132</t>
  </si>
  <si>
    <t>2133</t>
  </si>
  <si>
    <t>2134</t>
  </si>
  <si>
    <t>2157</t>
  </si>
  <si>
    <t>2158</t>
  </si>
  <si>
    <t>2159</t>
  </si>
  <si>
    <t>2160</t>
  </si>
  <si>
    <t>2161</t>
  </si>
  <si>
    <t>554H</t>
  </si>
  <si>
    <t>Bale Udang Ubud 1</t>
  </si>
  <si>
    <t>2162</t>
  </si>
  <si>
    <t>2163</t>
  </si>
  <si>
    <t>2164</t>
  </si>
  <si>
    <t>2165</t>
  </si>
  <si>
    <t>556E</t>
  </si>
  <si>
    <t>CK Batu Bolong Badung</t>
  </si>
  <si>
    <t>2178</t>
  </si>
  <si>
    <t>2179</t>
  </si>
  <si>
    <t>2180</t>
  </si>
  <si>
    <t>2181</t>
  </si>
  <si>
    <t>2182</t>
  </si>
  <si>
    <t>561J</t>
  </si>
  <si>
    <t>Samasta Jimbaran 1</t>
  </si>
  <si>
    <t>2212</t>
  </si>
  <si>
    <t>2213</t>
  </si>
  <si>
    <t>2214</t>
  </si>
  <si>
    <t>2215</t>
  </si>
  <si>
    <t>2216</t>
  </si>
  <si>
    <t>2217</t>
  </si>
  <si>
    <t>2218</t>
  </si>
  <si>
    <t>5753</t>
  </si>
  <si>
    <t>Super Ekonomi Malboro</t>
  </si>
  <si>
    <t>2219</t>
  </si>
  <si>
    <t>5762</t>
  </si>
  <si>
    <t>CK Uluwatu</t>
  </si>
  <si>
    <t>2237</t>
  </si>
  <si>
    <t>2238</t>
  </si>
  <si>
    <t>2239</t>
  </si>
  <si>
    <t>2241</t>
  </si>
  <si>
    <t>2242</t>
  </si>
  <si>
    <t>2243</t>
  </si>
  <si>
    <t>2244</t>
  </si>
  <si>
    <t>2245</t>
  </si>
  <si>
    <t>5867</t>
  </si>
  <si>
    <t>Pertokoan Delta Mas</t>
  </si>
  <si>
    <t>2246</t>
  </si>
  <si>
    <t>5874</t>
  </si>
  <si>
    <t>CK Sanur</t>
  </si>
  <si>
    <t>2247</t>
  </si>
  <si>
    <t>2248</t>
  </si>
  <si>
    <t>587C</t>
  </si>
  <si>
    <t>SPBU Mitra 01</t>
  </si>
  <si>
    <t>5918</t>
  </si>
  <si>
    <t>RS Bersalin Tresna Mtrm</t>
  </si>
  <si>
    <t>2278</t>
  </si>
  <si>
    <t>2279</t>
  </si>
  <si>
    <t>2280</t>
  </si>
  <si>
    <t>2281</t>
  </si>
  <si>
    <t>2282</t>
  </si>
  <si>
    <t>2283</t>
  </si>
  <si>
    <t>2284</t>
  </si>
  <si>
    <t>602U</t>
  </si>
  <si>
    <t>Alfa Gerokgak</t>
  </si>
  <si>
    <t>602Y</t>
  </si>
  <si>
    <t>Prima Medika Hospital</t>
  </si>
  <si>
    <t>602Z</t>
  </si>
  <si>
    <t>Toko Ayu Denpasar Bali 1</t>
  </si>
  <si>
    <t>2301</t>
  </si>
  <si>
    <t>2303</t>
  </si>
  <si>
    <t>2304</t>
  </si>
  <si>
    <t>2305</t>
  </si>
  <si>
    <t>2306</t>
  </si>
  <si>
    <t>2307</t>
  </si>
  <si>
    <t>2308</t>
  </si>
  <si>
    <t>2309</t>
  </si>
  <si>
    <t>2310</t>
  </si>
  <si>
    <t>607B</t>
  </si>
  <si>
    <t>IDM Hayam Wuruk Denpasar</t>
  </si>
  <si>
    <t>609W</t>
  </si>
  <si>
    <t>IDM Raya Senggigi Lombok</t>
  </si>
  <si>
    <t>2316</t>
  </si>
  <si>
    <t>2317</t>
  </si>
  <si>
    <t>2318</t>
  </si>
  <si>
    <t>2319</t>
  </si>
  <si>
    <t>2320</t>
  </si>
  <si>
    <t>611Z</t>
  </si>
  <si>
    <t>Alfa Kerobokan III</t>
  </si>
  <si>
    <t>2328</t>
  </si>
  <si>
    <t>2329</t>
  </si>
  <si>
    <t>2330</t>
  </si>
  <si>
    <t>2331</t>
  </si>
  <si>
    <t>2332</t>
  </si>
  <si>
    <t>614Y</t>
  </si>
  <si>
    <t>CK Kamboja BAL0270</t>
  </si>
  <si>
    <t>2339</t>
  </si>
  <si>
    <t>2340</t>
  </si>
  <si>
    <t>2341</t>
  </si>
  <si>
    <t>2342</t>
  </si>
  <si>
    <t>2343</t>
  </si>
  <si>
    <t>2344</t>
  </si>
  <si>
    <t>2346</t>
  </si>
  <si>
    <t>2347</t>
  </si>
  <si>
    <t>2348</t>
  </si>
  <si>
    <t>2349</t>
  </si>
  <si>
    <t>617B</t>
  </si>
  <si>
    <t>SPBU 5483508 bypas BIL</t>
  </si>
  <si>
    <t>2350</t>
  </si>
  <si>
    <t>617C</t>
  </si>
  <si>
    <t>RM Taliwang II Pemenang</t>
  </si>
  <si>
    <t>2351</t>
  </si>
  <si>
    <t>2353</t>
  </si>
  <si>
    <t>2354</t>
  </si>
  <si>
    <t>2355</t>
  </si>
  <si>
    <t>2356</t>
  </si>
  <si>
    <t>2357</t>
  </si>
  <si>
    <t>619A</t>
  </si>
  <si>
    <t>Taman Rama Jimbaran</t>
  </si>
  <si>
    <t>619E</t>
  </si>
  <si>
    <t>Minimarket Kembar Artha</t>
  </si>
  <si>
    <t>2359</t>
  </si>
  <si>
    <t>2360</t>
  </si>
  <si>
    <t>2361</t>
  </si>
  <si>
    <t>2362</t>
  </si>
  <si>
    <t>621J</t>
  </si>
  <si>
    <t>IDM Sidakarya Denpasar</t>
  </si>
  <si>
    <t>2367</t>
  </si>
  <si>
    <t>2368</t>
  </si>
  <si>
    <t>2369</t>
  </si>
  <si>
    <t>622H</t>
  </si>
  <si>
    <t>IDM Pulau Saelus Denpasar</t>
  </si>
  <si>
    <t>2370</t>
  </si>
  <si>
    <t>2371</t>
  </si>
  <si>
    <t>2372</t>
  </si>
  <si>
    <t>2373</t>
  </si>
  <si>
    <t>2375</t>
  </si>
  <si>
    <t>2376</t>
  </si>
  <si>
    <t>2377</t>
  </si>
  <si>
    <t>2378</t>
  </si>
  <si>
    <t>624F</t>
  </si>
  <si>
    <t>Minimart Kediri III Bdg</t>
  </si>
  <si>
    <t>624T</t>
  </si>
  <si>
    <t>SPBU TuakDaunMerah Kupang</t>
  </si>
  <si>
    <t>625H</t>
  </si>
  <si>
    <t>Minimart TAB 3 Kediri Tbn</t>
  </si>
  <si>
    <t>2390</t>
  </si>
  <si>
    <t>2391</t>
  </si>
  <si>
    <t>2393</t>
  </si>
  <si>
    <t>2395</t>
  </si>
  <si>
    <t>2396</t>
  </si>
  <si>
    <t>2397</t>
  </si>
  <si>
    <t>2398</t>
  </si>
  <si>
    <t>2399</t>
  </si>
  <si>
    <t>2401</t>
  </si>
  <si>
    <t>2402</t>
  </si>
  <si>
    <t>630X</t>
  </si>
  <si>
    <t>Aston Inn Hotel Mataram</t>
  </si>
  <si>
    <t>2403</t>
  </si>
  <si>
    <t>2404</t>
  </si>
  <si>
    <t>633J</t>
  </si>
  <si>
    <t>IDM By Pass BIL IV</t>
  </si>
  <si>
    <t>634B</t>
  </si>
  <si>
    <t>Alfamart Jendral Sudirman</t>
  </si>
  <si>
    <t>634J</t>
  </si>
  <si>
    <t>Alfa Puyung Lombok</t>
  </si>
  <si>
    <t>2422</t>
  </si>
  <si>
    <t>2423</t>
  </si>
  <si>
    <t>2424</t>
  </si>
  <si>
    <t>2425</t>
  </si>
  <si>
    <t>2426</t>
  </si>
  <si>
    <t>639D</t>
  </si>
  <si>
    <t>RS Ari Canti Mas Ubud 1</t>
  </si>
  <si>
    <t>2464</t>
  </si>
  <si>
    <t>2465</t>
  </si>
  <si>
    <t>2466</t>
  </si>
  <si>
    <t>2467</t>
  </si>
  <si>
    <t>2468</t>
  </si>
  <si>
    <t>646W</t>
  </si>
  <si>
    <t>CK Padonan Canggu</t>
  </si>
  <si>
    <t>2488</t>
  </si>
  <si>
    <t>2489</t>
  </si>
  <si>
    <t>2490</t>
  </si>
  <si>
    <t>2491</t>
  </si>
  <si>
    <t>2492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</si>
  <si>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</si>
  <si>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</si>
  <si>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</si>
  <si>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</si>
  <si>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</si>
  <si>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</si>
  <si>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</si>
  <si>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</si>
  <si>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</si>
  <si>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</si>
  <si>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</si>
  <si>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649Y</t>
  </si>
  <si>
    <t>Alfa Batanghari 1</t>
  </si>
  <si>
    <t>2505</t>
  </si>
  <si>
    <t>2506</t>
  </si>
  <si>
    <t>2507</t>
  </si>
  <si>
    <t>2508</t>
  </si>
  <si>
    <t>2509</t>
  </si>
  <si>
    <t>2510</t>
  </si>
  <si>
    <t>650K</t>
  </si>
  <si>
    <t>OJK Denpasar 1</t>
  </si>
  <si>
    <t>2511</t>
  </si>
  <si>
    <t>2512</t>
  </si>
  <si>
    <t>2513</t>
  </si>
  <si>
    <t>2514</t>
  </si>
  <si>
    <t>6519</t>
  </si>
  <si>
    <t>Guntur Sport</t>
  </si>
  <si>
    <t>2515</t>
  </si>
  <si>
    <t>2516</t>
  </si>
  <si>
    <t>2517</t>
  </si>
  <si>
    <t>2518</t>
  </si>
  <si>
    <t>651H</t>
  </si>
  <si>
    <t>CK Imam Bonjol Denpasar</t>
  </si>
  <si>
    <t>2519</t>
  </si>
  <si>
    <t>651J</t>
  </si>
  <si>
    <t>CK 129 Bal 0236 Gatsu</t>
  </si>
  <si>
    <t>2520</t>
  </si>
  <si>
    <t>651L</t>
  </si>
  <si>
    <t>CK 109 Bal 0244 TeukuUmar</t>
  </si>
  <si>
    <t>651M</t>
  </si>
  <si>
    <t>CK 111 Bal 0225 Tohpati</t>
  </si>
  <si>
    <t>651Q</t>
  </si>
  <si>
    <t>CK 73 Bal0207 Teuku Umar</t>
  </si>
  <si>
    <t>2527</t>
  </si>
  <si>
    <t>6520</t>
  </si>
  <si>
    <t>ST Regis</t>
  </si>
  <si>
    <t>2528</t>
  </si>
  <si>
    <t>6521</t>
  </si>
  <si>
    <t>Mitra 10 Denpasar</t>
  </si>
  <si>
    <t>2529</t>
  </si>
  <si>
    <t>2530</t>
  </si>
  <si>
    <t>2531</t>
  </si>
  <si>
    <t>2532</t>
  </si>
  <si>
    <t>652H</t>
  </si>
  <si>
    <t>Alfa Mudhita Tukad Barito</t>
  </si>
  <si>
    <t>2533</t>
  </si>
  <si>
    <t>653K</t>
  </si>
  <si>
    <t>LotteM Mataram</t>
  </si>
  <si>
    <t>653L</t>
  </si>
  <si>
    <t>Minimarket Pagi</t>
  </si>
  <si>
    <t>653M</t>
  </si>
  <si>
    <t>Plaza Bangunan</t>
  </si>
  <si>
    <t>2553</t>
  </si>
  <si>
    <t>2554</t>
  </si>
  <si>
    <t>2555</t>
  </si>
  <si>
    <t>2557</t>
  </si>
  <si>
    <t>2558</t>
  </si>
  <si>
    <t>2559</t>
  </si>
  <si>
    <t>2560</t>
  </si>
  <si>
    <t>2561</t>
  </si>
  <si>
    <t>656C</t>
  </si>
  <si>
    <t>CK Kunti Textile BAL0483</t>
  </si>
  <si>
    <t>657F</t>
  </si>
  <si>
    <t>CK Uluwatu Square</t>
  </si>
  <si>
    <t>2575</t>
  </si>
  <si>
    <t>2576</t>
  </si>
  <si>
    <t>660D</t>
  </si>
  <si>
    <t>Bali Zoo 1</t>
  </si>
  <si>
    <t>2599</t>
  </si>
  <si>
    <t>2600</t>
  </si>
  <si>
    <t>2601</t>
  </si>
  <si>
    <t>2602</t>
  </si>
  <si>
    <t>2603</t>
  </si>
  <si>
    <t>2605</t>
  </si>
  <si>
    <t>2607</t>
  </si>
  <si>
    <t>2608</t>
  </si>
  <si>
    <t>2609</t>
  </si>
  <si>
    <t>2613</t>
  </si>
  <si>
    <t>2614</t>
  </si>
  <si>
    <t>2615</t>
  </si>
  <si>
    <t>663N</t>
  </si>
  <si>
    <t>CK 304 Nakula Timur</t>
  </si>
  <si>
    <t>2618</t>
  </si>
  <si>
    <t>2619</t>
  </si>
  <si>
    <t>2621</t>
  </si>
  <si>
    <t>2622</t>
  </si>
  <si>
    <t>664B</t>
  </si>
  <si>
    <t>6651</t>
  </si>
  <si>
    <t>Hotel Taman Suci</t>
  </si>
  <si>
    <t>665M</t>
  </si>
  <si>
    <t>Toko Ayu Pulau Galang 1</t>
  </si>
  <si>
    <t>2693</t>
  </si>
  <si>
    <t>2694</t>
  </si>
  <si>
    <t>2695</t>
  </si>
  <si>
    <t>2696</t>
  </si>
  <si>
    <t>2697</t>
  </si>
  <si>
    <t>2698</t>
  </si>
  <si>
    <t>2707</t>
  </si>
  <si>
    <t>2708</t>
  </si>
  <si>
    <t>2710</t>
  </si>
  <si>
    <t>2711</t>
  </si>
  <si>
    <t>6736</t>
  </si>
  <si>
    <t>Hard Rock Hotel Denpasar</t>
  </si>
  <si>
    <t>6738</t>
  </si>
  <si>
    <t>RSUP Sanglah</t>
  </si>
  <si>
    <t>676Q</t>
  </si>
  <si>
    <t>Golden Palace Hotel</t>
  </si>
  <si>
    <t>2766</t>
  </si>
  <si>
    <t>2767</t>
  </si>
  <si>
    <t>2768</t>
  </si>
  <si>
    <t>2769</t>
  </si>
  <si>
    <t>2782</t>
  </si>
  <si>
    <t>2783</t>
  </si>
  <si>
    <t>2784</t>
  </si>
  <si>
    <t>2785</t>
  </si>
  <si>
    <t>2786</t>
  </si>
  <si>
    <t>681W</t>
  </si>
  <si>
    <t>IDM Intan Mart</t>
  </si>
  <si>
    <t>2790</t>
  </si>
  <si>
    <t>681Z</t>
  </si>
  <si>
    <t>The RitzCarlton Hotel</t>
  </si>
  <si>
    <t>2791</t>
  </si>
  <si>
    <t>2792</t>
  </si>
  <si>
    <t>2793</t>
  </si>
  <si>
    <t>2800</t>
  </si>
  <si>
    <t>2801</t>
  </si>
  <si>
    <t>2802</t>
  </si>
  <si>
    <t>2803</t>
  </si>
  <si>
    <t>2804</t>
  </si>
  <si>
    <t>2805</t>
  </si>
  <si>
    <t>2806</t>
  </si>
  <si>
    <t>683F</t>
  </si>
  <si>
    <t>Alfa Kolhua</t>
  </si>
  <si>
    <t>2814</t>
  </si>
  <si>
    <t>683X</t>
  </si>
  <si>
    <t>Koperasi 163 Mart</t>
  </si>
  <si>
    <t>2815</t>
  </si>
  <si>
    <t>2816</t>
  </si>
  <si>
    <t>2817</t>
  </si>
  <si>
    <t>2818</t>
  </si>
  <si>
    <t>2819</t>
  </si>
  <si>
    <t>2821</t>
  </si>
  <si>
    <t>2822</t>
  </si>
  <si>
    <t>2823</t>
  </si>
  <si>
    <t>2824</t>
  </si>
  <si>
    <t>685B</t>
  </si>
  <si>
    <t>IDM Raya Sangeh</t>
  </si>
  <si>
    <t>2825</t>
  </si>
  <si>
    <t>2826</t>
  </si>
  <si>
    <t>685E</t>
  </si>
  <si>
    <t>Pepito Primaloka Kutuh</t>
  </si>
  <si>
    <t>2827</t>
  </si>
  <si>
    <t>2828</t>
  </si>
  <si>
    <t>2833</t>
  </si>
  <si>
    <t>2834</t>
  </si>
  <si>
    <t>2835</t>
  </si>
  <si>
    <t>2836</t>
  </si>
  <si>
    <t>2837</t>
  </si>
  <si>
    <t>686H</t>
  </si>
  <si>
    <t>IDM Kembang Mertha</t>
  </si>
  <si>
    <t>2840</t>
  </si>
  <si>
    <t>2841</t>
  </si>
  <si>
    <t>686M</t>
  </si>
  <si>
    <t>CK Tridaya Canggu</t>
  </si>
  <si>
    <t>2842</t>
  </si>
  <si>
    <t>2843</t>
  </si>
  <si>
    <t>686R</t>
  </si>
  <si>
    <t>Alfa Wida Bali</t>
  </si>
  <si>
    <t>2844</t>
  </si>
  <si>
    <t>2845</t>
  </si>
  <si>
    <t>2846</t>
  </si>
  <si>
    <t>686V</t>
  </si>
  <si>
    <t>RS Murni Teguh</t>
  </si>
  <si>
    <t>2847</t>
  </si>
  <si>
    <t>2848</t>
  </si>
  <si>
    <t>6873</t>
  </si>
  <si>
    <t>SPBU CO 5180130 Dps</t>
  </si>
  <si>
    <t>2849</t>
  </si>
  <si>
    <t>6878</t>
  </si>
  <si>
    <t>Royal</t>
  </si>
  <si>
    <t>2850</t>
  </si>
  <si>
    <t>2851</t>
  </si>
  <si>
    <t>2852</t>
  </si>
  <si>
    <t>2853</t>
  </si>
  <si>
    <t>2854</t>
  </si>
  <si>
    <t>687L</t>
  </si>
  <si>
    <t>Teten Mart Desa Adat</t>
  </si>
  <si>
    <t>2862</t>
  </si>
  <si>
    <t>2863</t>
  </si>
  <si>
    <t>2864</t>
  </si>
  <si>
    <t>2865</t>
  </si>
  <si>
    <t>2866</t>
  </si>
  <si>
    <t>687Z</t>
  </si>
  <si>
    <t>Toko Bali Dewata Penatih</t>
  </si>
  <si>
    <t>2867</t>
  </si>
  <si>
    <t>2868</t>
  </si>
  <si>
    <t>2869</t>
  </si>
  <si>
    <t>2870</t>
  </si>
  <si>
    <t>688A</t>
  </si>
  <si>
    <t>CK Toko Frozen Dalung</t>
  </si>
  <si>
    <t>2871</t>
  </si>
  <si>
    <t>688B</t>
  </si>
  <si>
    <t>IDM Andong II Gianyar</t>
  </si>
  <si>
    <t>2872</t>
  </si>
  <si>
    <t>2873</t>
  </si>
  <si>
    <t>688D</t>
  </si>
  <si>
    <t>CK Dapur Express Renon</t>
  </si>
  <si>
    <t>688J</t>
  </si>
  <si>
    <t>Alfa Adisucipto Mataram</t>
  </si>
  <si>
    <t>688K</t>
  </si>
  <si>
    <t>IDM Imam Bonjol</t>
  </si>
  <si>
    <t>2879</t>
  </si>
  <si>
    <t>2880</t>
  </si>
  <si>
    <t>2881</t>
  </si>
  <si>
    <t>2882</t>
  </si>
  <si>
    <t>2883</t>
  </si>
  <si>
    <t>2884</t>
  </si>
  <si>
    <t>2889</t>
  </si>
  <si>
    <t>689D</t>
  </si>
  <si>
    <t>IDM Palapa</t>
  </si>
  <si>
    <t>2890</t>
  </si>
  <si>
    <t>2891</t>
  </si>
  <si>
    <t>2892</t>
  </si>
  <si>
    <t>689H</t>
  </si>
  <si>
    <t>Luigis Hot Pizza Bali</t>
  </si>
  <si>
    <t>2893</t>
  </si>
  <si>
    <t>2894</t>
  </si>
  <si>
    <t>2895</t>
  </si>
  <si>
    <t>2896</t>
  </si>
  <si>
    <t>689M</t>
  </si>
  <si>
    <t>Grand Lucky Sanur Bali</t>
  </si>
  <si>
    <t>2897</t>
  </si>
  <si>
    <t>2898</t>
  </si>
  <si>
    <t>2899</t>
  </si>
  <si>
    <t>2901</t>
  </si>
  <si>
    <t>2903</t>
  </si>
  <si>
    <t>2904</t>
  </si>
  <si>
    <t>2905</t>
  </si>
  <si>
    <t>2906</t>
  </si>
  <si>
    <t>691X</t>
  </si>
  <si>
    <t>Arys Mikro Batuyang</t>
  </si>
  <si>
    <t>692A</t>
  </si>
  <si>
    <t>Alfa Raya Kopang</t>
  </si>
  <si>
    <t>2908</t>
  </si>
  <si>
    <t>2909</t>
  </si>
  <si>
    <t>2910</t>
  </si>
  <si>
    <t>2913</t>
  </si>
  <si>
    <t>2914</t>
  </si>
  <si>
    <t>2915</t>
  </si>
  <si>
    <t>2916</t>
  </si>
  <si>
    <t>2917</t>
  </si>
  <si>
    <t>692Q</t>
  </si>
  <si>
    <t>Arys Mikro Singapadu</t>
  </si>
  <si>
    <t>694F</t>
  </si>
  <si>
    <t>Bvlgari Resort Bali</t>
  </si>
  <si>
    <t>694K</t>
  </si>
  <si>
    <t>Hotel Conrad Bali</t>
  </si>
  <si>
    <t>694M</t>
  </si>
  <si>
    <t>CK Kadewatan</t>
  </si>
  <si>
    <t>694Q</t>
  </si>
  <si>
    <t>IDM Tanah Lot Tabanan</t>
  </si>
  <si>
    <t>2927</t>
  </si>
  <si>
    <t>694R</t>
  </si>
  <si>
    <t>IDM Bantas Tabanan</t>
  </si>
  <si>
    <t>2929</t>
  </si>
  <si>
    <t>2930</t>
  </si>
  <si>
    <t>2931</t>
  </si>
  <si>
    <t>695F</t>
  </si>
  <si>
    <t>RS Puri Bunda</t>
  </si>
  <si>
    <t>695J</t>
  </si>
  <si>
    <t>Alfa Pantai Senggigi</t>
  </si>
  <si>
    <t>695K</t>
  </si>
  <si>
    <t>IDM Terong Tawah</t>
  </si>
  <si>
    <t>695L</t>
  </si>
  <si>
    <t>CK Bali Kiddy</t>
  </si>
  <si>
    <t>2943</t>
  </si>
  <si>
    <t>695Y</t>
  </si>
  <si>
    <t>IDM I Bagus Mantra 119</t>
  </si>
  <si>
    <t>2944</t>
  </si>
  <si>
    <t>2945</t>
  </si>
  <si>
    <t>2946</t>
  </si>
  <si>
    <t>2947</t>
  </si>
  <si>
    <t>2948</t>
  </si>
  <si>
    <t>2949</t>
  </si>
  <si>
    <t>697W</t>
  </si>
  <si>
    <t>SPBU Buluh Indah</t>
  </si>
  <si>
    <t>699B</t>
  </si>
  <si>
    <t>IDM Angantaka</t>
  </si>
  <si>
    <t>699C</t>
  </si>
  <si>
    <t>Alfa Tukad Irawadi</t>
  </si>
  <si>
    <t>SLA. SURABAYA</t>
  </si>
  <si>
    <t>Muhammad Ngainun Najib</t>
  </si>
  <si>
    <t>SISA DURASI ( JAM )</t>
  </si>
  <si>
    <t>OPH</t>
  </si>
  <si>
    <t>Menit</t>
  </si>
  <si>
    <t>Jam</t>
  </si>
  <si>
    <t>RATA-RATA DURASI/PROBLEM</t>
  </si>
  <si>
    <t>Id Tidak Tercapai</t>
  </si>
  <si>
    <t>UPTIME CRM BCA SULAMPUA 1 : TANGGAL 1 -9 agutus 2026</t>
  </si>
  <si>
    <t>UPTIME CRM BCA SULAMPUA 1 : TANGGAL 1 - 9 agutus 2026</t>
  </si>
  <si>
    <t>UPTIME ATM BCA SULAMPUA 1 : TANGGAL 1 - 9 agutus 2026</t>
  </si>
  <si>
    <t>UPTIME CRM BCA SULAMPUA 2 : TANGGAL 1 - 9 AGUSTUS 2026</t>
  </si>
  <si>
    <t>UPTIME ATM BCA SULAMPUA 2 : TANGGAL 1 - 9 AGUSTUS 2026</t>
  </si>
  <si>
    <t>8/17/2026 12:00:00 AM</t>
  </si>
  <si>
    <t>UPTIME CRM BCA JATIM 2 : TANGGAL 1 - 17 AGUSTUS 2026</t>
  </si>
  <si>
    <t>UPTIME CRM BCA JATIM 2 : TANGGAL 17 AGUSTUS 2026</t>
  </si>
  <si>
    <t>UPTIME ATM BCA JATIM 2 : TANGGAL 1 - 17 AGUSTUS 2026</t>
  </si>
  <si>
    <t>UPTIME CRM BCA JATIM 1 : TANGGAL 1 - 17 AGUSTUS 2026</t>
  </si>
  <si>
    <t>UPTIME CRM BCA JATIM 1 : TANGGAL 17 AGUSTUS 2026</t>
  </si>
  <si>
    <t>PENGELOLA</t>
  </si>
  <si>
    <t>ENGINEER</t>
  </si>
  <si>
    <t>8/31/2026 12:00:00 AM</t>
  </si>
  <si>
    <t xml:space="preserve">MON-FRI </t>
  </si>
  <si>
    <t>9/2/2026 12:00:00 AM</t>
  </si>
  <si>
    <t>9/1/2026 12:00:00 AM</t>
  </si>
  <si>
    <t>SEPT</t>
  </si>
  <si>
    <t>9/3/2026 12:00:00 AM</t>
  </si>
  <si>
    <t>01TY</t>
  </si>
  <si>
    <t>Alfa Kalimutu</t>
  </si>
  <si>
    <t>9/6/2026 12:00:00 AM</t>
  </si>
  <si>
    <t>9/4/2026 12:00:00 AM</t>
  </si>
  <si>
    <t>9/5/2026 12:00:00 AM</t>
  </si>
  <si>
    <t>9/7/2026 12:00:00 AM</t>
  </si>
  <si>
    <t>9/8/2026 12:00:00 AM</t>
  </si>
  <si>
    <t>01RD</t>
  </si>
  <si>
    <t>Pepito Market Mandalika</t>
  </si>
  <si>
    <t>9/9/2026 12:00:00 AM</t>
  </si>
  <si>
    <t>9/10/2026 12:00:00 AM</t>
  </si>
  <si>
    <t>9/11/2026 12:00:00 AM</t>
  </si>
  <si>
    <t>9/12/2026 12:00:00 AM</t>
  </si>
  <si>
    <t>9/13/2026 12:00:00 AM</t>
  </si>
  <si>
    <t>9/14/2026 12:00:00 AM</t>
  </si>
  <si>
    <t>9/16/2026 12:00:00 AM</t>
  </si>
  <si>
    <t>9/15/2026 12:00:00 AM</t>
  </si>
  <si>
    <t>9/18/2026 12:00:00 AM</t>
  </si>
  <si>
    <t>9/19/2026 12:00:00 AM</t>
  </si>
  <si>
    <t>9/20/2026 12:00:00 AM</t>
  </si>
  <si>
    <t>9/21/2026 12:00:00 AM</t>
  </si>
  <si>
    <t>9/22/2026 12:00:00 AM</t>
  </si>
  <si>
    <t>YO27</t>
  </si>
  <si>
    <t>YR20</t>
  </si>
  <si>
    <t>YO98</t>
  </si>
  <si>
    <t>YR21</t>
  </si>
  <si>
    <t>YN23</t>
  </si>
  <si>
    <t>YH98</t>
  </si>
  <si>
    <t>YK19</t>
  </si>
  <si>
    <t>9/24/2026 12:00:00 AM</t>
  </si>
  <si>
    <t>9/23/2026 12:00:00 AM</t>
  </si>
  <si>
    <t>9/25/2026 12:00:00 AM</t>
  </si>
  <si>
    <t>9/26/2026 12:00:00 AM</t>
  </si>
  <si>
    <t>9/27/2026 12:00:00 AM</t>
  </si>
  <si>
    <t>9/28/2026 12:00:00 AM</t>
  </si>
  <si>
    <t>N-SUNolaluna Mart Amed</t>
  </si>
  <si>
    <t>9/29/2026 12:00:00 AM</t>
  </si>
  <si>
    <t>9/30/2026 12:00:00 AM</t>
  </si>
  <si>
    <t>ztr4</t>
  </si>
  <si>
    <t>OKT</t>
  </si>
  <si>
    <t>UPTIME CRM BALI NUSRA SULAMPUA JATIM 2: TANGGAL 1 - 30 OKTOBER 2026</t>
  </si>
  <si>
    <t>UPTIME CRML BCA : TANGGAL 1 - 30 OKTOBER 2026</t>
  </si>
  <si>
    <t>UPTIME CRMS BCA : TANGGAL 1 - 30 OKTOBER 2026</t>
  </si>
  <si>
    <t>UPTIME CRM ALL BCA : TANGGAL 1 - 30 OKTOBER 2026</t>
  </si>
  <si>
    <t>UPTIME ATM ALL BCA : TANGGAL 1 - 30 OKTOBER 2026</t>
  </si>
  <si>
    <t>UPTIME ATM ALL BCA PROVINSI: TANGGAL 1 - 30 OKTOBER 2026</t>
  </si>
  <si>
    <t>UPTIME CRM ALL BCA PROVINSI: TANGGAL 1 - OKTOBER 2026</t>
  </si>
  <si>
    <t>UPTIME ATM ALL BCA SERVICE AREA : TANGGAL 1 - OKTOBER 2026</t>
  </si>
  <si>
    <t>UPTIME CRM ALL BCA SERVICE AREA : TANGGAL 1 - OKTOBER 2026</t>
  </si>
  <si>
    <t>UPTIME DAILY CRM BCA : OKTOBER 2026</t>
  </si>
  <si>
    <t>UPTIME CRM BCA BALI NUSRA BY SN : TANGGAL 1 - 30 OKTOBER 2026</t>
  </si>
  <si>
    <t>UPTIME CRM BCA BALI NUSRA BY PKT : TANGGAL 1 - 30 OKTOBER 2026</t>
  </si>
  <si>
    <t>UPTIME ATM BCA BALI NUSRA : TANGGAL 1 - OKTOBER 2026</t>
  </si>
  <si>
    <t>UPTIME CRM BCA BALI NUSRA PKT ALL TIPE MESIN: TANGGAL 1 - 30 OKTOBER 2026</t>
  </si>
  <si>
    <t>UPTIME CRML BY PKT BCA : TANGGAL 1 - 30 OKTOBER 2026</t>
  </si>
  <si>
    <t>UPTIME CRMS BY PKT BCA : TANGGAL 1 - 30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</si>
</sst>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409]d\-mmm\-yyyy;@"/>
  </numFmts>
  <fonts count="31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1"/>
      <color rgb="FF000000"/>
      <name val="Calibri"/>
      <family val="2"/>
    </font>
    <font>
      <b/>
      <u/>
      <sz val="16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sz val="10"/>
      <name val="Arial"/>
      <family val="2"/>
    </font>
    <font>
      <sz val="11"/>
      <name val="Calibri"/>
      <family val="2"/>
      <charset val="1"/>
    </font>
    <font>
      <b/>
      <sz val="8"/>
      <name val="Arial"/>
      <family val="2"/>
      <charset val="1"/>
    </font>
    <font>
      <sz val="8"/>
      <name val="Arial"/>
      <family val="2"/>
      <charset val="1"/>
    </font>
    <font>
      <b/>
      <sz val="16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strike/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b/>
      <sz val="14"/>
      <color rgb="FF000000"/>
      <name val="Calibri"/>
      <family val="2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  <charset val="1"/>
    </font>
    <font>
      <b/>
      <sz val="8"/>
      <color rgb="FF0070C0"/>
      <name val="Arial"/>
      <family val="2"/>
    </font>
    <font>
      <sz val="1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color rgb="FF0070C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charset val="1"/>
    </font>
    <font>
      <sz val="11"/>
      <name val="Calibri"/>
      <family val="2"/>
    </font>
    <font>
      <b/>
      <i/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E6E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DF2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</fills>
  <borders count="35">
    <border>
      <left/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/>
      <top/>
      <bottom style="double">
        <color auto="1"/>
      </bottom>
      <diagonal/>
    </border>
    <border>
      <left style="hair">
        <color auto="1"/>
      </left>
      <right style="hair">
        <color auto="1"/>
      </right>
      <top/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</borders>
  <cellStyleXfs count="5">
    <xf numFmtId="0" fontId="0" fillId="0" borderId="0" applyNumberFormat="0" applyFill="0" applyAlignment="0" applyProtection="0"/>
    <xf numFmtId="0" fontId="1" fillId="0" borderId="0"/>
    <xf numFmtId="0" fontId="2" fillId="0" borderId="0" applyNumberFormat="0" applyFill="0" applyAlignment="0" applyProtection="0"/>
    <xf numFmtId="0" fontId="2" fillId="0" borderId="0" applyNumberFormat="0" applyFill="0" applyAlignment="0" applyProtection="0"/>
    <xf numFmtId="164" fontId="2" fillId="0" borderId="0" applyFont="0" applyFill="0" applyBorder="0" applyAlignment="0" applyProtection="0"/>
  </cellStyleXfs>
  <cellXfs count="210">
    <xf numFmtId="0" fontId="0" fillId="0" borderId="0" xfId="0"/>
    <xf numFmtId="0" fontId="3" fillId="0" borderId="0" xfId="0" applyFont="1" applyAlignment="1"/>
    <xf numFmtId="2" fontId="0" fillId="0" borderId="0" xfId="0" applyNumberFormat="1"/>
    <xf numFmtId="0" fontId="0" fillId="0" borderId="7" xfId="0" applyBorder="1"/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0" xfId="2" applyFont="1" applyAlignment="1">
      <alignment horizontal="left" vertical="center"/>
    </xf>
    <xf numFmtId="4" fontId="7" fillId="0" borderId="0" xfId="2" applyNumberFormat="1" applyFont="1" applyAlignment="1">
      <alignment vertical="center"/>
    </xf>
    <xf numFmtId="3" fontId="8" fillId="0" borderId="0" xfId="2" applyNumberFormat="1" applyFont="1" applyAlignment="1">
      <alignment vertical="center"/>
    </xf>
    <xf numFmtId="3" fontId="6" fillId="0" borderId="0" xfId="2" applyNumberFormat="1" applyFont="1" applyAlignment="1">
      <alignment vertical="center"/>
    </xf>
    <xf numFmtId="0" fontId="2" fillId="0" borderId="0" xfId="2" applyAlignment="1">
      <alignment vertical="center"/>
    </xf>
    <xf numFmtId="0" fontId="4" fillId="0" borderId="0" xfId="2" applyFont="1" applyAlignment="1">
      <alignment vertical="center"/>
    </xf>
    <xf numFmtId="0" fontId="2" fillId="0" borderId="0" xfId="3" applyAlignment="1">
      <alignment vertical="center"/>
    </xf>
    <xf numFmtId="0" fontId="2" fillId="0" borderId="0" xfId="3" applyAlignment="1">
      <alignment horizontal="center" vertical="center"/>
    </xf>
    <xf numFmtId="0" fontId="9" fillId="0" borderId="0" xfId="2" applyFont="1" applyAlignment="1">
      <alignment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" fillId="0" borderId="0" xfId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14" fillId="0" borderId="0" xfId="1" applyFont="1"/>
    <xf numFmtId="0" fontId="15" fillId="0" borderId="0" xfId="0" applyFont="1"/>
    <xf numFmtId="0" fontId="0" fillId="4" borderId="7" xfId="0" applyFill="1" applyBorder="1"/>
    <xf numFmtId="0" fontId="0" fillId="5" borderId="7" xfId="0" applyFill="1" applyBorder="1"/>
    <xf numFmtId="0" fontId="0" fillId="5" borderId="7" xfId="0" applyFill="1" applyBorder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4" borderId="0" xfId="0" applyFill="1"/>
    <xf numFmtId="0" fontId="0" fillId="4" borderId="7" xfId="0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0" fontId="0" fillId="6" borderId="0" xfId="0" applyFill="1"/>
    <xf numFmtId="0" fontId="0" fillId="4" borderId="8" xfId="0" applyFill="1" applyBorder="1" applyAlignment="1">
      <alignment horizontal="center"/>
    </xf>
    <xf numFmtId="2" fontId="0" fillId="4" borderId="9" xfId="0" applyNumberFormat="1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2" fontId="0" fillId="5" borderId="14" xfId="0" applyNumberFormat="1" applyFill="1" applyBorder="1" applyAlignment="1">
      <alignment horizontal="center"/>
    </xf>
    <xf numFmtId="2" fontId="0" fillId="5" borderId="15" xfId="0" applyNumberFormat="1" applyFill="1" applyBorder="1" applyAlignment="1">
      <alignment horizontal="center"/>
    </xf>
    <xf numFmtId="0" fontId="10" fillId="0" borderId="6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4" xfId="2" applyFont="1" applyBorder="1" applyAlignment="1">
      <alignment horizontal="center" vertical="center"/>
    </xf>
    <xf numFmtId="0" fontId="0" fillId="7" borderId="0" xfId="0" applyFill="1"/>
    <xf numFmtId="0" fontId="0" fillId="8" borderId="0" xfId="0" applyFill="1"/>
    <xf numFmtId="0" fontId="16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/>
    </xf>
    <xf numFmtId="0" fontId="16" fillId="2" borderId="12" xfId="0" applyFont="1" applyFill="1" applyBorder="1" applyAlignment="1">
      <alignment horizontal="center"/>
    </xf>
    <xf numFmtId="0" fontId="0" fillId="3" borderId="0" xfId="0" applyFill="1"/>
    <xf numFmtId="0" fontId="0" fillId="9" borderId="7" xfId="0" applyFill="1" applyBorder="1" applyAlignment="1">
      <alignment horizontal="center"/>
    </xf>
    <xf numFmtId="0" fontId="0" fillId="9" borderId="7" xfId="0" applyFill="1" applyBorder="1"/>
    <xf numFmtId="0" fontId="0" fillId="9" borderId="8" xfId="0" applyFill="1" applyBorder="1" applyAlignment="1">
      <alignment horizontal="center"/>
    </xf>
    <xf numFmtId="2" fontId="0" fillId="9" borderId="7" xfId="0" applyNumberFormat="1" applyFill="1" applyBorder="1" applyAlignment="1">
      <alignment horizontal="center"/>
    </xf>
    <xf numFmtId="2" fontId="13" fillId="9" borderId="7" xfId="0" applyNumberFormat="1" applyFont="1" applyFill="1" applyBorder="1" applyAlignment="1">
      <alignment horizontal="center"/>
    </xf>
    <xf numFmtId="2" fontId="0" fillId="9" borderId="9" xfId="0" applyNumberFormat="1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0" fillId="10" borderId="8" xfId="0" applyFill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0" fillId="10" borderId="9" xfId="0" applyNumberFormat="1" applyFill="1" applyBorder="1" applyAlignment="1">
      <alignment horizontal="center"/>
    </xf>
    <xf numFmtId="2" fontId="13" fillId="10" borderId="7" xfId="0" applyNumberFormat="1" applyFont="1" applyFill="1" applyBorder="1" applyAlignment="1">
      <alignment horizont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/>
    </xf>
    <xf numFmtId="2" fontId="13" fillId="0" borderId="16" xfId="0" applyNumberFormat="1" applyFont="1" applyBorder="1" applyAlignment="1">
      <alignment horizontal="center"/>
    </xf>
    <xf numFmtId="2" fontId="4" fillId="0" borderId="16" xfId="0" applyNumberFormat="1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12" borderId="0" xfId="0" applyFill="1"/>
    <xf numFmtId="2" fontId="13" fillId="4" borderId="7" xfId="0" applyNumberFormat="1" applyFont="1" applyFill="1" applyBorder="1" applyAlignment="1">
      <alignment horizontal="center"/>
    </xf>
    <xf numFmtId="0" fontId="0" fillId="2" borderId="19" xfId="0" applyFill="1" applyBorder="1"/>
    <xf numFmtId="0" fontId="4" fillId="8" borderId="7" xfId="0" applyFont="1" applyFill="1" applyBorder="1"/>
    <xf numFmtId="0" fontId="0" fillId="11" borderId="7" xfId="0" applyFill="1" applyBorder="1"/>
    <xf numFmtId="0" fontId="0" fillId="11" borderId="7" xfId="0" applyFill="1" applyBorder="1" applyAlignment="1">
      <alignment horizontal="center"/>
    </xf>
    <xf numFmtId="2" fontId="0" fillId="11" borderId="7" xfId="0" applyNumberFormat="1" applyFill="1" applyBorder="1" applyAlignment="1">
      <alignment horizontal="center"/>
    </xf>
    <xf numFmtId="2" fontId="4" fillId="4" borderId="7" xfId="0" applyNumberFormat="1" applyFont="1" applyFill="1" applyBorder="1" applyAlignment="1">
      <alignment horizontal="center"/>
    </xf>
    <xf numFmtId="2" fontId="4" fillId="11" borderId="7" xfId="0" applyNumberFormat="1" applyFont="1" applyFill="1" applyBorder="1" applyAlignment="1">
      <alignment horizontal="center"/>
    </xf>
    <xf numFmtId="22" fontId="0" fillId="0" borderId="0" xfId="0" applyNumberFormat="1"/>
    <xf numFmtId="0" fontId="0" fillId="0" borderId="0" xfId="0" applyAlignment="1">
      <alignment wrapText="1"/>
    </xf>
    <xf numFmtId="0" fontId="4" fillId="6" borderId="0" xfId="0" applyFont="1" applyFill="1"/>
    <xf numFmtId="0" fontId="0" fillId="0" borderId="25" xfId="0" applyBorder="1"/>
    <xf numFmtId="0" fontId="0" fillId="0" borderId="26" xfId="0" applyBorder="1"/>
    <xf numFmtId="0" fontId="4" fillId="15" borderId="15" xfId="0" applyFont="1" applyFill="1" applyBorder="1"/>
    <xf numFmtId="0" fontId="4" fillId="16" borderId="16" xfId="0" applyFont="1" applyFill="1" applyBorder="1"/>
    <xf numFmtId="0" fontId="0" fillId="16" borderId="0" xfId="0" applyFill="1"/>
    <xf numFmtId="0" fontId="0" fillId="13" borderId="0" xfId="0" applyFill="1"/>
    <xf numFmtId="0" fontId="20" fillId="0" borderId="0" xfId="2" applyFont="1" applyAlignment="1">
      <alignment vertical="center"/>
    </xf>
    <xf numFmtId="0" fontId="0" fillId="3" borderId="0" xfId="0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21" fillId="0" borderId="0" xfId="0" quotePrefix="1" applyFont="1"/>
    <xf numFmtId="14" fontId="21" fillId="0" borderId="0" xfId="0" applyNumberFormat="1" applyFont="1"/>
    <xf numFmtId="0" fontId="21" fillId="0" borderId="0" xfId="0" applyFont="1"/>
    <xf numFmtId="0" fontId="22" fillId="0" borderId="0" xfId="0" applyFont="1"/>
    <xf numFmtId="0" fontId="4" fillId="4" borderId="7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0" borderId="29" xfId="0" applyBorder="1"/>
    <xf numFmtId="164" fontId="0" fillId="0" borderId="0" xfId="4" applyFont="1"/>
    <xf numFmtId="0" fontId="4" fillId="3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4" fillId="0" borderId="22" xfId="0" applyFont="1" applyBorder="1"/>
    <xf numFmtId="0" fontId="24" fillId="0" borderId="23" xfId="0" applyFont="1" applyBorder="1"/>
    <xf numFmtId="0" fontId="24" fillId="0" borderId="0" xfId="0" applyFont="1"/>
    <xf numFmtId="0" fontId="6" fillId="0" borderId="30" xfId="2" applyFont="1" applyBorder="1" applyAlignment="1">
      <alignment horizontal="center" vertical="center"/>
    </xf>
    <xf numFmtId="0" fontId="6" fillId="0" borderId="31" xfId="2" applyFont="1" applyBorder="1" applyAlignment="1">
      <alignment horizontal="center" vertical="center"/>
    </xf>
    <xf numFmtId="0" fontId="10" fillId="0" borderId="32" xfId="0" applyFont="1" applyBorder="1" applyAlignment="1">
      <alignment horizontal="left" vertical="center"/>
    </xf>
    <xf numFmtId="0" fontId="11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25" fillId="0" borderId="0" xfId="1" applyFont="1"/>
    <xf numFmtId="3" fontId="22" fillId="0" borderId="0" xfId="0" applyNumberFormat="1" applyFont="1"/>
    <xf numFmtId="164" fontId="4" fillId="0" borderId="29" xfId="4" applyFont="1" applyBorder="1" applyAlignment="1">
      <alignment horizontal="center"/>
    </xf>
    <xf numFmtId="164" fontId="4" fillId="0" borderId="7" xfId="4" applyFont="1" applyBorder="1" applyAlignment="1">
      <alignment horizontal="center"/>
    </xf>
    <xf numFmtId="164" fontId="4" fillId="2" borderId="29" xfId="4" applyFont="1" applyFill="1" applyBorder="1" applyAlignment="1">
      <alignment horizontal="center"/>
    </xf>
    <xf numFmtId="0" fontId="4" fillId="3" borderId="0" xfId="0" applyFont="1" applyFill="1" applyAlignment="1">
      <alignment vertical="center"/>
    </xf>
    <xf numFmtId="0" fontId="4" fillId="5" borderId="7" xfId="0" applyFont="1" applyFill="1" applyBorder="1" applyAlignment="1">
      <alignment horizontal="center"/>
    </xf>
    <xf numFmtId="164" fontId="4" fillId="5" borderId="29" xfId="4" applyFont="1" applyFill="1" applyBorder="1" applyAlignment="1">
      <alignment horizontal="center"/>
    </xf>
    <xf numFmtId="164" fontId="4" fillId="5" borderId="7" xfId="0" applyNumberFormat="1" applyFont="1" applyFill="1" applyBorder="1" applyAlignment="1">
      <alignment horizontal="center"/>
    </xf>
    <xf numFmtId="0" fontId="23" fillId="0" borderId="17" xfId="0" applyFont="1" applyBorder="1"/>
    <xf numFmtId="0" fontId="10" fillId="0" borderId="3" xfId="2" applyFont="1" applyBorder="1" applyAlignment="1">
      <alignment horizontal="center" vertical="center"/>
    </xf>
    <xf numFmtId="0" fontId="10" fillId="0" borderId="2" xfId="2" applyFont="1" applyBorder="1" applyAlignment="1">
      <alignment horizontal="center" vertical="center"/>
    </xf>
    <xf numFmtId="0" fontId="16" fillId="2" borderId="29" xfId="0" applyFont="1" applyFill="1" applyBorder="1" applyAlignment="1">
      <alignment horizontal="center"/>
    </xf>
    <xf numFmtId="2" fontId="0" fillId="4" borderId="29" xfId="0" applyNumberFormat="1" applyFill="1" applyBorder="1" applyAlignment="1">
      <alignment horizontal="center"/>
    </xf>
    <xf numFmtId="2" fontId="0" fillId="5" borderId="29" xfId="0" applyNumberFormat="1" applyFill="1" applyBorder="1" applyAlignment="1">
      <alignment horizontal="center"/>
    </xf>
    <xf numFmtId="0" fontId="24" fillId="3" borderId="0" xfId="0" applyFont="1" applyFill="1"/>
    <xf numFmtId="2" fontId="4" fillId="4" borderId="29" xfId="0" applyNumberFormat="1" applyFont="1" applyFill="1" applyBorder="1" applyAlignment="1">
      <alignment horizontal="center"/>
    </xf>
    <xf numFmtId="2" fontId="4" fillId="5" borderId="29" xfId="0" applyNumberFormat="1" applyFont="1" applyFill="1" applyBorder="1" applyAlignment="1">
      <alignment horizontal="center"/>
    </xf>
    <xf numFmtId="2" fontId="4" fillId="4" borderId="9" xfId="0" applyNumberFormat="1" applyFont="1" applyFill="1" applyBorder="1" applyAlignment="1">
      <alignment horizontal="center"/>
    </xf>
    <xf numFmtId="2" fontId="4" fillId="5" borderId="15" xfId="0" applyNumberFormat="1" applyFont="1" applyFill="1" applyBorder="1" applyAlignment="1">
      <alignment horizontal="center"/>
    </xf>
    <xf numFmtId="165" fontId="16" fillId="3" borderId="9" xfId="0" applyNumberFormat="1" applyFont="1" applyFill="1" applyBorder="1"/>
    <xf numFmtId="0" fontId="16" fillId="3" borderId="24" xfId="0" applyFont="1" applyFill="1" applyBorder="1"/>
    <xf numFmtId="0" fontId="16" fillId="3" borderId="21" xfId="0" applyFont="1" applyFill="1" applyBorder="1"/>
    <xf numFmtId="14" fontId="23" fillId="0" borderId="29" xfId="0" applyNumberFormat="1" applyFont="1" applyBorder="1" applyAlignment="1">
      <alignment horizontal="center"/>
    </xf>
    <xf numFmtId="0" fontId="10" fillId="0" borderId="33" xfId="2" applyFont="1" applyBorder="1" applyAlignment="1">
      <alignment horizontal="center" vertical="center"/>
    </xf>
    <xf numFmtId="0" fontId="10" fillId="0" borderId="33" xfId="3" applyFont="1" applyBorder="1" applyAlignment="1">
      <alignment horizontal="center" vertical="center"/>
    </xf>
    <xf numFmtId="0" fontId="10" fillId="0" borderId="34" xfId="2" applyFont="1" applyBorder="1" applyAlignment="1">
      <alignment horizontal="center" vertical="center"/>
    </xf>
    <xf numFmtId="0" fontId="26" fillId="0" borderId="11" xfId="0" applyFont="1" applyBorder="1"/>
    <xf numFmtId="0" fontId="26" fillId="0" borderId="29" xfId="0" applyFont="1" applyBorder="1"/>
    <xf numFmtId="0" fontId="4" fillId="16" borderId="17" xfId="0" applyFont="1" applyFill="1" applyBorder="1" applyAlignment="1">
      <alignment horizontal="center"/>
    </xf>
    <xf numFmtId="0" fontId="4" fillId="16" borderId="16" xfId="0" applyFont="1" applyFill="1" applyBorder="1" applyAlignment="1">
      <alignment horizontal="center"/>
    </xf>
    <xf numFmtId="0" fontId="4" fillId="16" borderId="27" xfId="0" applyFont="1" applyFill="1" applyBorder="1" applyAlignment="1">
      <alignment horizontal="center"/>
    </xf>
    <xf numFmtId="14" fontId="0" fillId="16" borderId="0" xfId="4" applyNumberFormat="1" applyFont="1" applyFill="1"/>
    <xf numFmtId="0" fontId="0" fillId="11" borderId="0" xfId="0" applyFill="1"/>
    <xf numFmtId="0" fontId="16" fillId="3" borderId="16" xfId="0" applyFont="1" applyFill="1" applyBorder="1"/>
    <xf numFmtId="0" fontId="0" fillId="9" borderId="0" xfId="0" applyFill="1"/>
    <xf numFmtId="0" fontId="4" fillId="0" borderId="29" xfId="0" applyFont="1" applyBorder="1"/>
    <xf numFmtId="0" fontId="28" fillId="0" borderId="0" xfId="0" applyFont="1"/>
    <xf numFmtId="0" fontId="10" fillId="13" borderId="3" xfId="2" applyFont="1" applyFill="1" applyBorder="1" applyAlignment="1">
      <alignment horizontal="center" vertical="center"/>
    </xf>
    <xf numFmtId="0" fontId="10" fillId="13" borderId="2" xfId="2" applyFont="1" applyFill="1" applyBorder="1" applyAlignment="1">
      <alignment horizontal="center" vertical="center"/>
    </xf>
    <xf numFmtId="0" fontId="10" fillId="13" borderId="1" xfId="2" applyFont="1" applyFill="1" applyBorder="1" applyAlignment="1">
      <alignment horizontal="center" vertical="center"/>
    </xf>
    <xf numFmtId="0" fontId="16" fillId="4" borderId="7" xfId="0" applyFont="1" applyFill="1" applyBorder="1"/>
    <xf numFmtId="0" fontId="13" fillId="4" borderId="7" xfId="0" applyFont="1" applyFill="1" applyBorder="1"/>
    <xf numFmtId="0" fontId="4" fillId="4" borderId="7" xfId="0" applyFont="1" applyFill="1" applyBorder="1"/>
    <xf numFmtId="0" fontId="18" fillId="4" borderId="7" xfId="0" applyFont="1" applyFill="1" applyBorder="1"/>
    <xf numFmtId="0" fontId="19" fillId="4" borderId="7" xfId="0" applyFont="1" applyFill="1" applyBorder="1"/>
    <xf numFmtId="0" fontId="27" fillId="4" borderId="7" xfId="0" applyFont="1" applyFill="1" applyBorder="1"/>
    <xf numFmtId="0" fontId="4" fillId="5" borderId="11" xfId="0" applyFont="1" applyFill="1" applyBorder="1"/>
    <xf numFmtId="0" fontId="0" fillId="5" borderId="11" xfId="0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12" fillId="6" borderId="0" xfId="0" applyFont="1" applyFill="1" applyAlignment="1">
      <alignment vertical="center"/>
    </xf>
    <xf numFmtId="0" fontId="21" fillId="4" borderId="0" xfId="0" applyFont="1" applyFill="1"/>
    <xf numFmtId="0" fontId="4" fillId="0" borderId="25" xfId="0" applyFont="1" applyBorder="1"/>
    <xf numFmtId="0" fontId="4" fillId="0" borderId="26" xfId="0" applyFont="1" applyBorder="1"/>
    <xf numFmtId="164" fontId="4" fillId="0" borderId="24" xfId="4" applyFont="1" applyBorder="1"/>
    <xf numFmtId="39" fontId="4" fillId="0" borderId="25" xfId="4" applyNumberFormat="1" applyFont="1" applyBorder="1"/>
    <xf numFmtId="0" fontId="19" fillId="0" borderId="0" xfId="0" applyFont="1"/>
    <xf numFmtId="0" fontId="4" fillId="5" borderId="7" xfId="0" applyFont="1" applyFill="1" applyBorder="1"/>
    <xf numFmtId="164" fontId="4" fillId="5" borderId="14" xfId="0" applyNumberFormat="1" applyFont="1" applyFill="1" applyBorder="1" applyAlignment="1">
      <alignment horizontal="center"/>
    </xf>
    <xf numFmtId="2" fontId="19" fillId="5" borderId="29" xfId="0" applyNumberFormat="1" applyFont="1" applyFill="1" applyBorder="1" applyAlignment="1">
      <alignment horizontal="center"/>
    </xf>
    <xf numFmtId="2" fontId="19" fillId="4" borderId="29" xfId="0" applyNumberFormat="1" applyFont="1" applyFill="1" applyBorder="1" applyAlignment="1">
      <alignment horizontal="center"/>
    </xf>
    <xf numFmtId="0" fontId="16" fillId="4" borderId="29" xfId="0" applyFont="1" applyFill="1" applyBorder="1"/>
    <xf numFmtId="0" fontId="16" fillId="9" borderId="7" xfId="0" applyFont="1" applyFill="1" applyBorder="1"/>
    <xf numFmtId="0" fontId="4" fillId="9" borderId="7" xfId="0" applyFont="1" applyFill="1" applyBorder="1" applyAlignment="1">
      <alignment horizontal="center"/>
    </xf>
    <xf numFmtId="0" fontId="0" fillId="9" borderId="29" xfId="0" applyFill="1" applyBorder="1"/>
    <xf numFmtId="0" fontId="29" fillId="0" borderId="0" xfId="0" applyFont="1"/>
    <xf numFmtId="0" fontId="27" fillId="0" borderId="0" xfId="0" applyFont="1" applyAlignment="1">
      <alignment horizontal="center"/>
    </xf>
    <xf numFmtId="0" fontId="27" fillId="0" borderId="0" xfId="0" applyFont="1"/>
    <xf numFmtId="0" fontId="27" fillId="3" borderId="29" xfId="0" applyFont="1" applyFill="1" applyBorder="1"/>
    <xf numFmtId="0" fontId="27" fillId="3" borderId="0" xfId="0" applyFont="1" applyFill="1"/>
    <xf numFmtId="0" fontId="30" fillId="0" borderId="0" xfId="0" applyFont="1"/>
    <xf numFmtId="0" fontId="17" fillId="3" borderId="0" xfId="0" applyFont="1" applyFill="1" applyAlignment="1">
      <alignment horizontal="center" vertical="center"/>
    </xf>
    <xf numFmtId="164" fontId="0" fillId="3" borderId="0" xfId="4" applyFont="1" applyFill="1"/>
    <xf numFmtId="0" fontId="12" fillId="1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27" fillId="0" borderId="29" xfId="0" applyFont="1" applyBorder="1" applyAlignment="1">
      <alignment horizontal="center"/>
    </xf>
    <xf numFmtId="0" fontId="12" fillId="8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2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4" fillId="17" borderId="18" xfId="0" applyFont="1" applyFill="1" applyBorder="1" applyAlignment="1">
      <alignment horizontal="center" vertical="center"/>
    </xf>
    <xf numFmtId="0" fontId="4" fillId="17" borderId="19" xfId="0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0" fillId="11" borderId="16" xfId="0" applyFont="1" applyFill="1" applyBorder="1" applyAlignment="1">
      <alignment horizontal="center" vertical="center"/>
    </xf>
    <xf numFmtId="0" fontId="4" fillId="16" borderId="27" xfId="0" applyFont="1" applyFill="1" applyBorder="1" applyAlignment="1">
      <alignment horizontal="center"/>
    </xf>
    <xf numFmtId="0" fontId="4" fillId="16" borderId="28" xfId="0" applyFont="1" applyFill="1" applyBorder="1" applyAlignment="1">
      <alignment horizontal="center"/>
    </xf>
    <xf numFmtId="0" fontId="4" fillId="16" borderId="17" xfId="0" applyFont="1" applyFill="1" applyBorder="1" applyAlignment="1">
      <alignment horizontal="center"/>
    </xf>
    <xf numFmtId="0" fontId="10" fillId="11" borderId="17" xfId="0" applyFont="1" applyFill="1" applyBorder="1" applyAlignment="1">
      <alignment horizontal="center" vertical="center"/>
    </xf>
    <xf numFmtId="0" fontId="10" fillId="11" borderId="27" xfId="0" applyFont="1" applyFill="1" applyBorder="1" applyAlignment="1">
      <alignment horizontal="center" vertical="center"/>
    </xf>
    <xf numFmtId="0" fontId="4" fillId="15" borderId="27" xfId="0" applyFont="1" applyFill="1" applyBorder="1" applyAlignment="1">
      <alignment horizontal="center"/>
    </xf>
    <xf numFmtId="0" fontId="4" fillId="15" borderId="28" xfId="0" applyFont="1" applyFill="1" applyBorder="1" applyAlignment="1">
      <alignment horizontal="center"/>
    </xf>
    <xf numFmtId="0" fontId="4" fillId="15" borderId="17" xfId="0" applyFont="1" applyFill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25" xfId="0" applyNumberFormat="1" applyFont="1" applyBorder="1" applyAlignment="1">
      <alignment horizontal="center"/>
    </xf>
    <xf numFmtId="2" fontId="4" fillId="0" borderId="26" xfId="0" applyNumberFormat="1" applyFont="1" applyBorder="1" applyAlignment="1">
      <alignment horizontal="center"/>
    </xf>
    <xf numFmtId="0" fontId="4" fillId="18" borderId="27" xfId="0" applyFont="1" applyFill="1" applyBorder="1" applyAlignment="1">
      <alignment horizontal="center"/>
    </xf>
    <xf numFmtId="0" fontId="4" fillId="18" borderId="28" xfId="0" applyFont="1" applyFill="1" applyBorder="1" applyAlignment="1">
      <alignment horizontal="center"/>
    </xf>
    <xf numFmtId="0" fontId="4" fillId="18" borderId="17" xfId="0" applyFont="1" applyFill="1" applyBorder="1" applyAlignment="1">
      <alignment horizontal="center"/>
    </xf>
  </cellXfs>
  <cellStyles count="5">
    <cellStyle name="Comma" xfId="4" builtinId="3"/>
    <cellStyle name="Normal" xfId="0" builtinId="0"/>
    <cellStyle name="Normal 14 3 2 2 2 2 2 2 2 2 2 2 2 2 2 2 2 2 3 2 2 3 2 2 2 2 2 2 2 2 2 3 2 2 2 2 2 2 2 2 2 2 3 2 2 3 2 2 2 2 3 3 2 3 2 2 2 2 2 2 2 2 2 2 3 2 2 2 2 2 2 2 2 2 2 2 2 2 2 2 2 2 2 2 2 2 2 2 2 2 2 2 2 2 2 2 2 2 2 2 2 2 2 2 2 2 2 2 2 2 2 2 2 2 2 2 2 2 2 2 2 2 3 2" xfId="1" xr:uid="{00000000-0005-0000-0000-000001000000}"/>
    <cellStyle name="Normal 2 2" xfId="2" xr:uid="{00000000-0005-0000-0000-000002000000}"/>
    <cellStyle name="Normal 3" xfId="3" xr:uid="{00000000-0005-0000-0000-000003000000}"/>
  </cellStyles>
  <dxfs count="24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0"/>
        </patternFill>
      </fill>
    </dxf>
    <dxf>
      <font>
        <color theme="3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5" tint="0.79998168889431442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99CC"/>
      <color rgb="FFFF0066"/>
      <color rgb="FFEAE6E2"/>
      <color rgb="FFCDF2FF"/>
      <color rgb="FFFED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8F8667-42A1-420E-9B48-E6B08388EA74}" name="Table1" displayName="Table1" ref="G3:I8" totalsRowShown="0" headerRowDxfId="247" headerRowBorderDxfId="246" tableBorderDxfId="245" totalsRowBorderDxfId="244">
  <autoFilter ref="G3:I8" xr:uid="{338F8667-42A1-420E-9B48-E6B08388EA74}"/>
  <tableColumns count="3">
    <tableColumn id="1" xr3:uid="{4D617C7F-1733-44FE-9E3B-62FE87BB3204}" name="Target UT" dataDxfId="243"/>
    <tableColumn id="2" xr3:uid="{9152B38D-3EF8-459D-9083-59445DB461D6}" name="Achieve UT" dataDxfId="242">
      <calculatedColumnFormula>100-I4</calculatedColumnFormula>
    </tableColumn>
    <tableColumn id="3" xr3:uid="{A9B3C587-67EA-44BA-95DC-2364B346C4D1}" name="DT" dataDxfId="241">
      <calculatedColumnFormula>(E4/F4)*100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8CA1A-F03F-4286-8173-8505F3AFEDF5}" name="Table14" displayName="Table14" ref="G14:I22" totalsRowShown="0" headerRowDxfId="240" headerRowBorderDxfId="239" tableBorderDxfId="238" totalsRowBorderDxfId="237">
  <autoFilter ref="G14:I22" xr:uid="{3E78CA1A-F03F-4286-8173-8505F3AFEDF5}"/>
  <tableColumns count="3">
    <tableColumn id="1" xr3:uid="{E5211B23-134C-4E23-B8C3-F8697D8E4631}" name="Target UT" dataDxfId="236"/>
    <tableColumn id="2" xr3:uid="{D7108E07-82CC-433E-B35A-3B96E97A2C18}" name="Achieve UT" dataDxfId="235">
      <calculatedColumnFormula>100-I15</calculatedColumnFormula>
    </tableColumn>
    <tableColumn id="3" xr3:uid="{B5B2433B-34F9-4F1C-8C0A-6FDCAB182B98}" name="DT" dataDxfId="234">
      <calculatedColumnFormula>(E15/F15)*100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D5F283-0AAA-4079-AD73-85B5661C1BEB}" name="Table145" displayName="Table145" ref="G27:I34" totalsRowShown="0" headerRowDxfId="233" headerRowBorderDxfId="232" tableBorderDxfId="231" totalsRowBorderDxfId="230">
  <autoFilter ref="G27:I34" xr:uid="{43D5F283-0AAA-4079-AD73-85B5661C1BEB}"/>
  <tableColumns count="3">
    <tableColumn id="1" xr3:uid="{074A0AE6-A12A-4060-94CC-BA2834D92EBB}" name="Target UT" dataDxfId="229"/>
    <tableColumn id="2" xr3:uid="{574B721A-D3B4-48C0-8DCB-B34DDB038177}" name="Achieve UT" dataDxfId="228">
      <calculatedColumnFormula>100-I28</calculatedColumnFormula>
    </tableColumn>
    <tableColumn id="3" xr3:uid="{891BA296-098F-4D48-8C7E-0E820617C92A}" name="DT" dataDxfId="227">
      <calculatedColumnFormula>(E28/F28)*100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BB2501D-F613-4056-9AAE-9FB03F2450B7}" name="Table18" displayName="Table18" ref="G39:J45" totalsRowShown="0" headerRowDxfId="226" headerRowBorderDxfId="225" tableBorderDxfId="224" totalsRowBorderDxfId="223">
  <autoFilter ref="G39:J45" xr:uid="{FBB2501D-F613-4056-9AAE-9FB03F2450B7}"/>
  <tableColumns count="4">
    <tableColumn id="1" xr3:uid="{AE47E114-091B-4EA7-91B6-79DCE738ACB9}" name="Target UT" dataDxfId="222"/>
    <tableColumn id="2" xr3:uid="{3FACE64A-2D62-421F-9287-0B1BC1E42313}" name="Achieve UT" dataDxfId="221">
      <calculatedColumnFormula>100-I40</calculatedColumnFormula>
    </tableColumn>
    <tableColumn id="3" xr3:uid="{B1A7672F-37A9-446B-A6B1-7D8A7B100A98}" name="DT" dataDxfId="220">
      <calculatedColumnFormula>(E40/F40)*100</calculatedColumnFormula>
    </tableColumn>
    <tableColumn id="4" xr3:uid="{D6F6C976-6BE9-4956-A6C2-B198490226AB}" name="Column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72AFCF2-3F58-49A3-BE2C-8CE3522299B0}" name="Table149" displayName="Table149" ref="G51:I58" totalsRowShown="0" headerRowDxfId="219" headerRowBorderDxfId="218" tableBorderDxfId="217" totalsRowBorderDxfId="216">
  <autoFilter ref="G51:I58" xr:uid="{A72AFCF2-3F58-49A3-BE2C-8CE3522299B0}"/>
  <tableColumns count="3">
    <tableColumn id="1" xr3:uid="{BA2B825F-D1A4-448D-BDBD-E7628BD11E8D}" name="Target UT" dataDxfId="215"/>
    <tableColumn id="2" xr3:uid="{7687B62C-466E-4577-81FB-28E3457928A0}" name="Achieve UT" dataDxfId="214">
      <calculatedColumnFormula>100-I52</calculatedColumnFormula>
    </tableColumn>
    <tableColumn id="3" xr3:uid="{62D19461-9CE5-40D2-9092-0CCB3A661CA4}" name="DT" dataDxfId="213">
      <calculatedColumnFormula>(E52/F52)*100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73356C5-7054-4BF2-9E62-C76941E867A8}" name="Table14510" displayName="Table14510" ref="G63:I69" totalsRowShown="0" headerRowDxfId="212" dataDxfId="210" headerRowBorderDxfId="211" tableBorderDxfId="209" totalsRowBorderDxfId="208">
  <autoFilter ref="G63:I69" xr:uid="{173356C5-7054-4BF2-9E62-C76941E867A8}"/>
  <tableColumns count="3">
    <tableColumn id="1" xr3:uid="{28F11A84-65F1-4AC8-B455-8CC6DA035B89}" name="Target UT" dataDxfId="207"/>
    <tableColumn id="2" xr3:uid="{B5856A59-6ADF-4215-BB1F-F8CB479EE7B0}" name="Achieve UT" dataDxfId="206">
      <calculatedColumnFormula>100-I64</calculatedColumnFormula>
    </tableColumn>
    <tableColumn id="3" xr3:uid="{C7F1E54B-B9E6-453C-85CE-1B2C32B8EDFF}" name="DT" dataDxfId="205">
      <calculatedColumnFormula>(E64/F64)*100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60D8A72-7E87-49EE-879F-AB4D2834E6E4}" name="Table1811" displayName="Table1811" ref="G76:I82" totalsRowShown="0" headerRowDxfId="204" headerRowBorderDxfId="203" tableBorderDxfId="202" totalsRowBorderDxfId="201">
  <autoFilter ref="G76:I82" xr:uid="{A60D8A72-7E87-49EE-879F-AB4D2834E6E4}"/>
  <tableColumns count="3">
    <tableColumn id="1" xr3:uid="{CD0A7DD8-0260-47E0-9D59-957766CBE1FA}" name="Target UT" dataDxfId="200"/>
    <tableColumn id="2" xr3:uid="{A324E35D-F9FE-4170-ACB0-1FF5F7E6FA69}" name="Achieve UT" dataDxfId="199">
      <calculatedColumnFormula>100-I77</calculatedColumnFormula>
    </tableColumn>
    <tableColumn id="3" xr3:uid="{4EFBED2E-1A0F-45A3-8088-513F4D7A2D82}" name="DT" dataDxfId="198">
      <calculatedColumnFormula>(E77/F77)*100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9110F6F-8895-4ACB-A9EC-36A694953BC4}" name="Table14912" displayName="Table14912" ref="G88:I96" totalsRowShown="0" headerRowDxfId="197" headerRowBorderDxfId="196" tableBorderDxfId="195" totalsRowBorderDxfId="194">
  <autoFilter ref="G88:I96" xr:uid="{B9110F6F-8895-4ACB-A9EC-36A694953BC4}"/>
  <tableColumns count="3">
    <tableColumn id="1" xr3:uid="{F750490B-7830-4749-9D2F-3E38D8EABAE3}" name="Target UT" dataDxfId="193"/>
    <tableColumn id="2" xr3:uid="{FCB3A666-317C-462C-88E1-436D29791B8C}" name="Achieve UT" dataDxfId="192">
      <calculatedColumnFormula>100-I89</calculatedColumnFormula>
    </tableColumn>
    <tableColumn id="3" xr3:uid="{9D149136-3432-4C09-A066-2A70D9AD1285}" name="DT" dataDxfId="191">
      <calculatedColumnFormula>(E89/F89)*100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ECF2F83-7E7C-43CD-B251-FEEB68A8E16E}" name="Table1451013" displayName="Table1451013" ref="G101:I104" totalsRowShown="0" headerRowDxfId="190" headerRowBorderDxfId="189" tableBorderDxfId="188" totalsRowBorderDxfId="187">
  <autoFilter ref="G101:I104" xr:uid="{AECF2F83-7E7C-43CD-B251-FEEB68A8E16E}"/>
  <tableColumns count="3">
    <tableColumn id="1" xr3:uid="{5A18849A-519F-4031-BAF9-8752E030B4D3}" name="Target UT" dataDxfId="186"/>
    <tableColumn id="2" xr3:uid="{2EB66695-77FC-402A-BDD2-41B051881C17}" name="Achieve UT" dataDxfId="185">
      <calculatedColumnFormula>100-I102</calculatedColumnFormula>
    </tableColumn>
    <tableColumn id="3" xr3:uid="{DA0F948F-1FBA-40E5-8F90-682FC9583435}" name="DT" dataDxfId="184">
      <calculatedColumnFormula>(E102/F102)*100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D05A51-BD6A-4D03-8C63-537476E3567B}" name="Table18113" displayName="Table18113" ref="G114:I121" totalsRowShown="0" headerRowDxfId="183" headerRowBorderDxfId="182" tableBorderDxfId="181" totalsRowBorderDxfId="180">
  <autoFilter ref="G114:I121" xr:uid="{18D05A51-BD6A-4D03-8C63-537476E3567B}"/>
  <tableColumns count="3">
    <tableColumn id="1" xr3:uid="{9894FBF0-FFAC-4D79-8967-35D93714FCEA}" name="Target UT" dataDxfId="179"/>
    <tableColumn id="2" xr3:uid="{C494B9AC-405B-4A08-B7F1-DAFA5A1561D3}" name="Achieve UT" dataDxfId="178">
      <calculatedColumnFormula>100-I115</calculatedColumnFormula>
    </tableColumn>
    <tableColumn id="3" xr3:uid="{2FDD9356-3BA9-4F66-8BBD-E7E7E9673380}" name="DT" dataDxfId="177">
      <calculatedColumnFormula>(E115/F115)*100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A81365-6446-496E-A7E0-76B2828AED43}" name="Table149126" displayName="Table149126" ref="G127:I137" totalsRowShown="0" headerRowDxfId="176" headerRowBorderDxfId="175" tableBorderDxfId="174" totalsRowBorderDxfId="173">
  <autoFilter ref="G127:I137" xr:uid="{D2A81365-6446-496E-A7E0-76B2828AED43}"/>
  <tableColumns count="3">
    <tableColumn id="1" xr3:uid="{97E94960-460E-4F6E-ABCD-99E7F2CAC552}" name="Target UT" dataDxfId="172"/>
    <tableColumn id="2" xr3:uid="{81CA33A0-5CCF-4AFA-BCCA-9DD99653A2E6}" name="Achieve UT" dataDxfId="171">
      <calculatedColumnFormula>100-I128</calculatedColumnFormula>
    </tableColumn>
    <tableColumn id="3" xr3:uid="{6655F825-AEC0-49E7-9A00-D09E1B5E9CD0}" name="DT" dataDxfId="170">
      <calculatedColumnFormula>(E128/F128)*100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3B4C64-8615-482A-9E8E-04D02E1BA9D4}" name="Table14510137" displayName="Table14510137" ref="G142:I145" totalsRowShown="0" headerRowDxfId="169" dataDxfId="167" headerRowBorderDxfId="168" tableBorderDxfId="166" totalsRowBorderDxfId="165">
  <autoFilter ref="G142:I145" xr:uid="{893B4C64-8615-482A-9E8E-04D02E1BA9D4}"/>
  <tableColumns count="3">
    <tableColumn id="1" xr3:uid="{9715FDB4-D61C-4A9F-BC83-D821BF0B4464}" name="Target UT" dataDxfId="164"/>
    <tableColumn id="2" xr3:uid="{647FE500-C643-4A8A-953B-3A6C446F1D37}" name="Achieve UT" dataDxfId="163">
      <calculatedColumnFormula>100-I143</calculatedColumnFormula>
    </tableColumn>
    <tableColumn id="3" xr3:uid="{852C33C2-5699-46AE-A0EB-02FF1FD56B70}" name="DT" dataDxfId="162">
      <calculatedColumnFormula>(E143/F143)*100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C580734-DCC3-4E91-89F0-CD509FAEF395}" name="Table1811315" displayName="Table1811315" ref="G157:I163" totalsRowShown="0" headerRowDxfId="161" headerRowBorderDxfId="160" tableBorderDxfId="159" totalsRowBorderDxfId="158">
  <autoFilter ref="G157:I163" xr:uid="{BC580734-DCC3-4E91-89F0-CD509FAEF395}"/>
  <tableColumns count="3">
    <tableColumn id="1" xr3:uid="{CA8D5ED5-0479-42BA-9530-E2442740D12C}" name="Target UT" dataDxfId="157"/>
    <tableColumn id="2" xr3:uid="{CEB04D64-CA29-4E20-A68A-4CEEFC2833F6}" name="Achieve UT" dataDxfId="156">
      <calculatedColumnFormula>100-I158</calculatedColumnFormula>
    </tableColumn>
    <tableColumn id="3" xr3:uid="{99B9F53C-7CBD-448C-AB79-0A17378D5BBE}" name="DT" dataDxfId="155">
      <calculatedColumnFormula>(E158/F158)*100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1624B8E-D274-493E-8A10-FE045C30A72D}" name="Table14912616" displayName="Table14912616" ref="G169:I177" totalsRowShown="0" headerRowDxfId="154" headerRowBorderDxfId="153" tableBorderDxfId="152" totalsRowBorderDxfId="151">
  <autoFilter ref="G169:I177" xr:uid="{81624B8E-D274-493E-8A10-FE045C30A72D}"/>
  <tableColumns count="3">
    <tableColumn id="1" xr3:uid="{59683E36-DF6F-40E8-BAD2-CB5E22572A65}" name="Target UT" dataDxfId="150"/>
    <tableColumn id="2" xr3:uid="{58719160-F809-4421-93BF-9ED585BE6FFE}" name="Achieve UT" dataDxfId="149">
      <calculatedColumnFormula>100-I170</calculatedColumnFormula>
    </tableColumn>
    <tableColumn id="3" xr3:uid="{AF63AC55-0AAA-4218-A3FE-BB4599B3FABC}" name="DT" dataDxfId="148">
      <calculatedColumnFormula>(E170/F170)*100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CFF2B28-CE84-4F99-8D02-295E502AF72A}" name="Table1451013717" displayName="Table1451013717" ref="G182:I185" totalsRowShown="0" headerRowDxfId="147" dataDxfId="145" headerRowBorderDxfId="146" tableBorderDxfId="144" totalsRowBorderDxfId="143">
  <autoFilter ref="G182:I185" xr:uid="{9CFF2B28-CE84-4F99-8D02-295E502AF72A}"/>
  <tableColumns count="3">
    <tableColumn id="1" xr3:uid="{A04F656F-EAAD-4661-A827-8C49B15303A9}" name="Target UT" dataDxfId="142"/>
    <tableColumn id="2" xr3:uid="{CC69F0D8-AF27-450F-8830-A1B402055D39}" name="Achieve UT" dataDxfId="141">
      <calculatedColumnFormula>100-I183</calculatedColumnFormula>
    </tableColumn>
    <tableColumn id="3" xr3:uid="{D17D7CE7-F0D0-4AD2-9236-CCE90A3367BB}" name="DT" dataDxfId="140">
      <calculatedColumnFormula>(E183/F183)*100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D22A434-7703-49D9-A727-DEA14E02ADFC}" name="Table1414" displayName="Table1414" ref="G3:I11" totalsRowShown="0" headerRowDxfId="139" headerRowBorderDxfId="138" tableBorderDxfId="137" totalsRowBorderDxfId="136">
  <autoFilter ref="G3:I11" xr:uid="{AD22A434-7703-49D9-A727-DEA14E02ADFC}"/>
  <tableColumns count="3">
    <tableColumn id="1" xr3:uid="{EF82D991-175D-48AB-98F6-3F55A589A6B2}" name="Target UT" dataDxfId="135"/>
    <tableColumn id="2" xr3:uid="{1099FDA1-0E97-433F-9955-18F75C6A0CA2}" name="Achieve UT" dataDxfId="134">
      <calculatedColumnFormula>100-I4</calculatedColumnFormula>
    </tableColumn>
    <tableColumn id="3" xr3:uid="{2DC1C360-BB29-4D29-8A04-5E5D1A8E1D4B}" name="DT" dataDxfId="133">
      <calculatedColumnFormula>(E4/F4)*100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I155"/>
  <sheetViews>
    <sheetView tabSelected="1" topLeftCell="A130" zoomScale="66" zoomScaleNormal="66" workbookViewId="0">
      <selection activeCell="B143" sqref="B143:I143"/>
    </sheetView>
  </sheetViews>
  <sheetFormatPr defaultRowHeight="14.5" x14ac:dyDescent="0.35"/>
  <cols>
    <col min="1" max="1" width="8.26953125" customWidth="1"/>
    <col min="2" max="2" width="34.1796875" customWidth="1"/>
    <col min="3" max="3" width="11.1796875" customWidth="1"/>
    <col min="5" max="5" width="13" customWidth="1"/>
    <col min="6" max="6" width="10.08984375" customWidth="1"/>
    <col min="8" max="8" width="12.26953125" customWidth="1"/>
  </cols>
  <sheetData>
    <row r="1" spans="1:9" ht="21" x14ac:dyDescent="0.35">
      <c r="B1" s="181" t="s">
        <v>3442</v>
      </c>
      <c r="C1" s="181"/>
      <c r="D1" s="181"/>
      <c r="E1" s="181"/>
      <c r="F1" s="181"/>
      <c r="G1" s="181"/>
      <c r="H1" s="181"/>
      <c r="I1" s="181"/>
    </row>
    <row r="3" spans="1:9" x14ac:dyDescent="0.35">
      <c r="A3" s="24" t="s">
        <v>26</v>
      </c>
      <c r="B3" s="24" t="s">
        <v>562</v>
      </c>
      <c r="C3" s="24" t="s">
        <v>39</v>
      </c>
      <c r="D3" s="24" t="s">
        <v>27</v>
      </c>
      <c r="E3" s="24" t="s">
        <v>28</v>
      </c>
      <c r="F3" s="24" t="s">
        <v>29</v>
      </c>
      <c r="G3" s="24" t="s">
        <v>30</v>
      </c>
      <c r="H3" s="24" t="s">
        <v>31</v>
      </c>
      <c r="I3" s="24" t="s">
        <v>32</v>
      </c>
    </row>
    <row r="4" spans="1:9" x14ac:dyDescent="0.35">
      <c r="A4" s="32">
        <v>1</v>
      </c>
      <c r="B4" s="27" t="s">
        <v>68</v>
      </c>
      <c r="C4" s="32">
        <f>COUNTIFS('atm total'!K:K,B4,'atm total'!AM:AM,"CRM")</f>
        <v>0</v>
      </c>
      <c r="D4" s="32">
        <f>SUMIFS('atm total'!N:N,'atm total'!K:K,B4,'atm total'!AM:AM,"CRM")</f>
        <v>0</v>
      </c>
      <c r="E4" s="32">
        <f>SUMIFS('atm total'!O:O,'atm total'!K:K,B4,'atm total'!AM:AM,"CRM")</f>
        <v>0</v>
      </c>
      <c r="F4" s="32">
        <f>SUMIFS('atm total'!Q:Q,'atm total'!K:K,B4,'atm total'!AM:AM,"CRM")</f>
        <v>0</v>
      </c>
      <c r="G4" s="32">
        <v>99.2</v>
      </c>
      <c r="H4" s="33" t="e">
        <f t="shared" ref="H4" si="0">100-I4</f>
        <v>#DIV/0!</v>
      </c>
      <c r="I4" s="75" t="e">
        <f t="shared" ref="I4" si="1">(E4/F4)*100</f>
        <v>#DIV/0!</v>
      </c>
    </row>
    <row r="5" spans="1:9" x14ac:dyDescent="0.35">
      <c r="A5" s="32">
        <v>2</v>
      </c>
      <c r="B5" s="27" t="s">
        <v>65</v>
      </c>
      <c r="C5" s="32">
        <f>COUNTIFS('atm total'!K:K,B5,'atm total'!AM:AM,"CRM")</f>
        <v>0</v>
      </c>
      <c r="D5" s="32">
        <f>SUMIFS('atm total'!N:N,'atm total'!K:K,B5,'atm total'!AM:AM,"CRM")</f>
        <v>0</v>
      </c>
      <c r="E5" s="32">
        <f>SUMIFS('atm total'!O:O,'atm total'!K:K,B5,'atm total'!AM:AM,"CRM")</f>
        <v>0</v>
      </c>
      <c r="F5" s="32">
        <f>SUMIFS('atm total'!Q:Q,'atm total'!K:K,B5,'atm total'!AM:AM,"CRM")</f>
        <v>0</v>
      </c>
      <c r="G5" s="32">
        <v>99.2</v>
      </c>
      <c r="H5" s="33" t="e">
        <f t="shared" ref="H5:H8" si="2">100-I5</f>
        <v>#DIV/0!</v>
      </c>
      <c r="I5" s="75" t="e">
        <f t="shared" ref="I5:I8" si="3">(E5/F5)*100</f>
        <v>#DIV/0!</v>
      </c>
    </row>
    <row r="6" spans="1:9" x14ac:dyDescent="0.35">
      <c r="A6" s="32">
        <v>3</v>
      </c>
      <c r="B6" s="27" t="s">
        <v>62</v>
      </c>
      <c r="C6" s="32">
        <f>COUNTIFS('atm total'!K:K,B6,'atm total'!AM:AM,"CRM")</f>
        <v>0</v>
      </c>
      <c r="D6" s="32">
        <f>SUMIFS('atm total'!N:N,'atm total'!K:K,B6,'atm total'!AM:AM,"CRM")</f>
        <v>0</v>
      </c>
      <c r="E6" s="32">
        <f>SUMIFS('atm total'!O:O,'atm total'!K:K,B6,'atm total'!AM:AM,"CRM")</f>
        <v>0</v>
      </c>
      <c r="F6" s="32">
        <f>SUMIFS('atm total'!Q:Q,'atm total'!K:K,B6,'atm total'!AM:AM,"CRM")</f>
        <v>0</v>
      </c>
      <c r="G6" s="32">
        <v>99.2</v>
      </c>
      <c r="H6" s="33" t="e">
        <f t="shared" ref="H6" si="4">100-I6</f>
        <v>#DIV/0!</v>
      </c>
      <c r="I6" s="75" t="e">
        <f t="shared" ref="I6" si="5">(E6/F6)*100</f>
        <v>#DIV/0!</v>
      </c>
    </row>
    <row r="7" spans="1:9" x14ac:dyDescent="0.35">
      <c r="A7" s="32">
        <v>4</v>
      </c>
      <c r="B7" s="27" t="s">
        <v>63</v>
      </c>
      <c r="C7" s="32">
        <f>COUNTIFS('atm total'!K:K,B7,'atm total'!AM:AM,"CRM")</f>
        <v>0</v>
      </c>
      <c r="D7" s="32">
        <f>SUMIFS('atm total'!N:N,'atm total'!K:K,B7,'atm total'!AM:AM,"CRM")</f>
        <v>0</v>
      </c>
      <c r="E7" s="32">
        <f>SUMIFS('atm total'!O:O,'atm total'!K:K,B7,'atm total'!AM:AM,"CRM")</f>
        <v>0</v>
      </c>
      <c r="F7" s="32">
        <f>SUMIFS('atm total'!Q:Q,'atm total'!K:K,B7,'atm total'!AM:AM,"CRM")</f>
        <v>0</v>
      </c>
      <c r="G7" s="32">
        <v>99.2</v>
      </c>
      <c r="H7" s="33" t="e">
        <f t="shared" si="2"/>
        <v>#DIV/0!</v>
      </c>
      <c r="I7" s="75" t="e">
        <f t="shared" si="3"/>
        <v>#DIV/0!</v>
      </c>
    </row>
    <row r="8" spans="1:9" x14ac:dyDescent="0.35">
      <c r="A8" s="32">
        <v>5</v>
      </c>
      <c r="B8" s="27" t="s">
        <v>42</v>
      </c>
      <c r="C8" s="32">
        <f>COUNTIFS('atm total'!K:K,B8,'atm total'!AM:AM,"CRM")</f>
        <v>0</v>
      </c>
      <c r="D8" s="32">
        <f>SUMIFS('atm total'!N:N,'atm total'!K:K,B8,'atm total'!AM:AM,"CRM")</f>
        <v>0</v>
      </c>
      <c r="E8" s="32">
        <f>SUMIFS('atm total'!O:O,'atm total'!K:K,B8,'atm total'!AM:AM,"CRM")</f>
        <v>0</v>
      </c>
      <c r="F8" s="32">
        <f>SUMIFS('atm total'!Q:Q,'atm total'!K:K,B8,'atm total'!AM:AM,"CRM")</f>
        <v>0</v>
      </c>
      <c r="G8" s="32">
        <v>99.2</v>
      </c>
      <c r="H8" s="33" t="e">
        <f t="shared" si="2"/>
        <v>#DIV/0!</v>
      </c>
      <c r="I8" s="75" t="e">
        <f t="shared" si="3"/>
        <v>#DIV/0!</v>
      </c>
    </row>
    <row r="9" spans="1:9" x14ac:dyDescent="0.35">
      <c r="A9" s="4"/>
      <c r="B9" s="72" t="s">
        <v>33</v>
      </c>
      <c r="C9" s="73">
        <f>SUM(C4:C7)</f>
        <v>0</v>
      </c>
      <c r="D9" s="73">
        <f>SUM(D4:D7)</f>
        <v>0</v>
      </c>
      <c r="E9" s="73">
        <f>SUM(E4:E7)</f>
        <v>0</v>
      </c>
      <c r="F9" s="73">
        <f>SUM(F4:F7)</f>
        <v>0</v>
      </c>
      <c r="G9" s="73">
        <v>99.5</v>
      </c>
      <c r="H9" s="74" t="e">
        <f>100-I9</f>
        <v>#DIV/0!</v>
      </c>
      <c r="I9" s="76" t="e">
        <f>(E9/F9)*100</f>
        <v>#DIV/0!</v>
      </c>
    </row>
    <row r="14" spans="1:9" x14ac:dyDescent="0.35">
      <c r="H14" s="2"/>
      <c r="I14" s="2"/>
    </row>
    <row r="15" spans="1:9" ht="21" customHeight="1" x14ac:dyDescent="0.35">
      <c r="A15" s="145" t="e" cm="1">
        <f t="array" ref="A15">+A15:I46B140A15:I55A15:I53B140A15:I55A15:I60B140AA15:I84</f>
        <v>#NAME?</v>
      </c>
      <c r="B15" s="182" t="s">
        <v>3443</v>
      </c>
      <c r="C15" s="182"/>
      <c r="D15" s="182"/>
      <c r="E15" s="182"/>
      <c r="F15" s="182"/>
      <c r="G15" s="182"/>
      <c r="H15" s="182"/>
      <c r="I15" s="182"/>
    </row>
    <row r="17" spans="1:9" x14ac:dyDescent="0.35">
      <c r="A17" s="24" t="s">
        <v>26</v>
      </c>
      <c r="B17" s="24" t="s">
        <v>34</v>
      </c>
      <c r="C17" s="24" t="s">
        <v>35</v>
      </c>
      <c r="D17" s="24" t="s">
        <v>27</v>
      </c>
      <c r="E17" s="24" t="s">
        <v>28</v>
      </c>
      <c r="F17" s="24" t="s">
        <v>29</v>
      </c>
      <c r="G17" s="24" t="s">
        <v>30</v>
      </c>
      <c r="H17" s="24" t="s">
        <v>31</v>
      </c>
      <c r="I17" s="24" t="s">
        <v>32</v>
      </c>
    </row>
    <row r="18" spans="1:9" x14ac:dyDescent="0.35">
      <c r="A18" s="32">
        <v>1</v>
      </c>
      <c r="B18" s="154" t="s">
        <v>237</v>
      </c>
      <c r="C18" s="32">
        <f>COUNTIFS('atm total'!C:C,B18,'atm total'!I:I,"CRML")</f>
        <v>0</v>
      </c>
      <c r="D18" s="32">
        <f>SUMIFS('atm total'!N:N,'atm total'!C:C,B18,'atm total'!I:I,"CRML")</f>
        <v>0</v>
      </c>
      <c r="E18" s="32">
        <f>SUMIFS('atm total'!O:O,'atm total'!C:C,B18,'atm total'!I:I,"CRML")</f>
        <v>0</v>
      </c>
      <c r="F18" s="32">
        <f>SUMIFS('atm total'!Q:Q,'atm total'!C:C,B18,'atm total'!I:I,"CRML")</f>
        <v>0</v>
      </c>
      <c r="G18" s="32">
        <v>99.2</v>
      </c>
      <c r="H18" s="33" t="e">
        <f>100-I18</f>
        <v>#DIV/0!</v>
      </c>
      <c r="I18" s="33" t="e">
        <f>(E18/F18)*100</f>
        <v>#DIV/0!</v>
      </c>
    </row>
    <row r="19" spans="1:9" x14ac:dyDescent="0.35">
      <c r="A19" s="32">
        <v>2</v>
      </c>
      <c r="B19" s="154" t="s">
        <v>86</v>
      </c>
      <c r="C19" s="32">
        <f>COUNTIFS('atm total'!C:C,B19,'atm total'!I:I,"CRML")</f>
        <v>0</v>
      </c>
      <c r="D19" s="32">
        <f>SUMIFS('atm total'!N:N,'atm total'!C:C,B19,'atm total'!I:I,"CRML")</f>
        <v>0</v>
      </c>
      <c r="E19" s="32">
        <f>SUMIFS('atm total'!O:O,'atm total'!C:C,B19,'atm total'!I:I,"CRML")</f>
        <v>0</v>
      </c>
      <c r="F19" s="32">
        <f>SUMIFS('atm total'!Q:Q,'atm total'!C:C,B19,'atm total'!I:I,"CRML")</f>
        <v>0</v>
      </c>
      <c r="G19" s="32">
        <v>99.2</v>
      </c>
      <c r="H19" s="33" t="e">
        <f t="shared" ref="H19:H34" si="6">100-I19</f>
        <v>#DIV/0!</v>
      </c>
      <c r="I19" s="33" t="e">
        <f t="shared" ref="I19:I34" si="7">(E19/F19)*100</f>
        <v>#DIV/0!</v>
      </c>
    </row>
    <row r="20" spans="1:9" x14ac:dyDescent="0.35">
      <c r="A20" s="32">
        <v>3</v>
      </c>
      <c r="B20" s="154" t="s">
        <v>102</v>
      </c>
      <c r="C20" s="32">
        <f>COUNTIFS('atm total'!C:C,B20,'atm total'!I:I,"CRML")</f>
        <v>0</v>
      </c>
      <c r="D20" s="32">
        <f>SUMIFS('atm total'!N:N,'atm total'!C:C,B20,'atm total'!I:I,"CRML")</f>
        <v>0</v>
      </c>
      <c r="E20" s="32">
        <f>SUMIFS('atm total'!O:O,'atm total'!C:C,B20,'atm total'!I:I,"CRML")</f>
        <v>0</v>
      </c>
      <c r="F20" s="32">
        <f>SUMIFS('atm total'!Q:Q,'atm total'!C:C,B20,'atm total'!I:I,"CRML")</f>
        <v>0</v>
      </c>
      <c r="G20" s="32">
        <v>99.2</v>
      </c>
      <c r="H20" s="33" t="e">
        <f t="shared" si="6"/>
        <v>#DIV/0!</v>
      </c>
      <c r="I20" s="33" t="e">
        <f t="shared" si="7"/>
        <v>#DIV/0!</v>
      </c>
    </row>
    <row r="21" spans="1:9" x14ac:dyDescent="0.35">
      <c r="A21" s="32">
        <v>4</v>
      </c>
      <c r="B21" s="154" t="s">
        <v>92</v>
      </c>
      <c r="C21" s="32">
        <f>COUNTIFS('atm total'!C:C,B21,'atm total'!I:I,"CRML")</f>
        <v>0</v>
      </c>
      <c r="D21" s="32">
        <f>SUMIFS('atm total'!N:N,'atm total'!C:C,B21,'atm total'!I:I,"CRML")</f>
        <v>0</v>
      </c>
      <c r="E21" s="32">
        <f>SUMIFS('atm total'!O:O,'atm total'!C:C,B21,'atm total'!I:I,"CRML")</f>
        <v>0</v>
      </c>
      <c r="F21" s="32">
        <f>SUMIFS('atm total'!Q:Q,'atm total'!C:C,B21,'atm total'!I:I,"CRML")</f>
        <v>0</v>
      </c>
      <c r="G21" s="32">
        <v>99.2</v>
      </c>
      <c r="H21" s="33" t="e">
        <f t="shared" si="6"/>
        <v>#DIV/0!</v>
      </c>
      <c r="I21" s="33" t="e">
        <f t="shared" si="7"/>
        <v>#DIV/0!</v>
      </c>
    </row>
    <row r="22" spans="1:9" x14ac:dyDescent="0.35">
      <c r="A22" s="32">
        <v>5</v>
      </c>
      <c r="B22" s="154" t="s">
        <v>78</v>
      </c>
      <c r="C22" s="32">
        <f>COUNTIFS('atm total'!C:C,B22,'atm total'!I:I,"CRML")</f>
        <v>0</v>
      </c>
      <c r="D22" s="32">
        <f>SUMIFS('atm total'!N:N,'atm total'!C:C,B22,'atm total'!I:I,"CRML")</f>
        <v>0</v>
      </c>
      <c r="E22" s="32">
        <f>SUMIFS('atm total'!O:O,'atm total'!C:C,B22,'atm total'!I:I,"CRML")</f>
        <v>0</v>
      </c>
      <c r="F22" s="32">
        <f>SUMIFS('atm total'!Q:Q,'atm total'!C:C,B22,'atm total'!I:I,"CRML")</f>
        <v>0</v>
      </c>
      <c r="G22" s="32">
        <v>99.2</v>
      </c>
      <c r="H22" s="33" t="e">
        <f t="shared" si="6"/>
        <v>#DIV/0!</v>
      </c>
      <c r="I22" s="33" t="e">
        <f t="shared" si="7"/>
        <v>#DIV/0!</v>
      </c>
    </row>
    <row r="23" spans="1:9" x14ac:dyDescent="0.35">
      <c r="A23" s="32">
        <v>6</v>
      </c>
      <c r="B23" s="154" t="s">
        <v>76</v>
      </c>
      <c r="C23" s="32">
        <f>COUNTIFS('atm total'!C:C,B23,'atm total'!I:I,"CRML")</f>
        <v>0</v>
      </c>
      <c r="D23" s="32">
        <f>SUMIFS('atm total'!N:N,'atm total'!C:C,B23,'atm total'!I:I,"CRML")</f>
        <v>0</v>
      </c>
      <c r="E23" s="32">
        <f>SUMIFS('atm total'!O:O,'atm total'!C:C,B23,'atm total'!I:I,"CRML")</f>
        <v>0</v>
      </c>
      <c r="F23" s="32">
        <f>SUMIFS('atm total'!Q:Q,'atm total'!C:C,B23,'atm total'!I:I,"CRML")</f>
        <v>0</v>
      </c>
      <c r="G23" s="32">
        <v>99.2</v>
      </c>
      <c r="H23" s="33" t="e">
        <f t="shared" si="6"/>
        <v>#DIV/0!</v>
      </c>
      <c r="I23" s="33" t="e">
        <f t="shared" si="7"/>
        <v>#DIV/0!</v>
      </c>
    </row>
    <row r="24" spans="1:9" x14ac:dyDescent="0.35">
      <c r="A24" s="32">
        <v>7</v>
      </c>
      <c r="B24" s="154" t="s">
        <v>94</v>
      </c>
      <c r="C24" s="32">
        <f>COUNTIFS('atm total'!C:C,B24,'atm total'!I:I,"CRML")</f>
        <v>0</v>
      </c>
      <c r="D24" s="32">
        <f>SUMIFS('atm total'!N:N,'atm total'!C:C,B24,'atm total'!I:I,"CRML")</f>
        <v>0</v>
      </c>
      <c r="E24" s="32">
        <f>SUMIFS('atm total'!O:O,'atm total'!C:C,B24,'atm total'!I:I,"CRML")</f>
        <v>0</v>
      </c>
      <c r="F24" s="32">
        <f>SUMIFS('atm total'!Q:Q,'atm total'!C:C,B24,'atm total'!I:I,"CRML")</f>
        <v>0</v>
      </c>
      <c r="G24" s="32">
        <v>99.2</v>
      </c>
      <c r="H24" s="33" t="e">
        <f t="shared" si="6"/>
        <v>#DIV/0!</v>
      </c>
      <c r="I24" s="33" t="e">
        <f t="shared" si="7"/>
        <v>#DIV/0!</v>
      </c>
    </row>
    <row r="25" spans="1:9" x14ac:dyDescent="0.35">
      <c r="A25" s="32">
        <v>8</v>
      </c>
      <c r="B25" s="154" t="s">
        <v>117</v>
      </c>
      <c r="C25" s="32">
        <f>COUNTIFS('atm total'!C:C,B25,'atm total'!I:I,"CRML")</f>
        <v>0</v>
      </c>
      <c r="D25" s="32">
        <f>SUMIFS('atm total'!N:N,'atm total'!C:C,B25,'atm total'!I:I,"CRML")</f>
        <v>0</v>
      </c>
      <c r="E25" s="32">
        <f>SUMIFS('atm total'!O:O,'atm total'!C:C,B25,'atm total'!I:I,"CRML")</f>
        <v>0</v>
      </c>
      <c r="F25" s="32">
        <f>SUMIFS('atm total'!Q:Q,'atm total'!C:C,B25,'atm total'!I:I,"CRML")</f>
        <v>0</v>
      </c>
      <c r="G25" s="32">
        <v>99.2</v>
      </c>
      <c r="H25" s="33" t="e">
        <f t="shared" si="6"/>
        <v>#DIV/0!</v>
      </c>
      <c r="I25" s="33" t="e">
        <f t="shared" si="7"/>
        <v>#DIV/0!</v>
      </c>
    </row>
    <row r="26" spans="1:9" x14ac:dyDescent="0.35">
      <c r="A26" s="32">
        <v>9</v>
      </c>
      <c r="B26" s="154" t="s">
        <v>71</v>
      </c>
      <c r="C26" s="32">
        <f>COUNTIFS('atm total'!C:C,B26,'atm total'!I:I,"CRML")</f>
        <v>0</v>
      </c>
      <c r="D26" s="32">
        <f>SUMIFS('atm total'!N:N,'atm total'!C:C,B26,'atm total'!I:I,"CRML")</f>
        <v>0</v>
      </c>
      <c r="E26" s="32">
        <f>SUMIFS('atm total'!O:O,'atm total'!C:C,B26,'atm total'!I:I,"CRML")</f>
        <v>0</v>
      </c>
      <c r="F26" s="32">
        <f>SUMIFS('atm total'!Q:Q,'atm total'!C:C,B26,'atm total'!I:I,"CRML")</f>
        <v>0</v>
      </c>
      <c r="G26" s="32">
        <v>99.2</v>
      </c>
      <c r="H26" s="33" t="e">
        <f t="shared" si="6"/>
        <v>#DIV/0!</v>
      </c>
      <c r="I26" s="33" t="e">
        <f t="shared" si="7"/>
        <v>#DIV/0!</v>
      </c>
    </row>
    <row r="27" spans="1:9" x14ac:dyDescent="0.35">
      <c r="A27" s="32">
        <v>10</v>
      </c>
      <c r="B27" s="154" t="s">
        <v>128</v>
      </c>
      <c r="C27" s="32">
        <f>COUNTIFS('atm total'!C:C,B27,'atm total'!I:I,"CRML")</f>
        <v>0</v>
      </c>
      <c r="D27" s="32">
        <f>SUMIFS('atm total'!N:N,'atm total'!C:C,B27,'atm total'!I:I,"CRML")</f>
        <v>0</v>
      </c>
      <c r="E27" s="32">
        <f>SUMIFS('atm total'!O:O,'atm total'!C:C,B27,'atm total'!I:I,"CRML")</f>
        <v>0</v>
      </c>
      <c r="F27" s="32">
        <f>SUMIFS('atm total'!Q:Q,'atm total'!C:C,B27,'atm total'!I:I,"CRML")</f>
        <v>0</v>
      </c>
      <c r="G27" s="32">
        <v>99.2</v>
      </c>
      <c r="H27" s="33" t="e">
        <f t="shared" si="6"/>
        <v>#DIV/0!</v>
      </c>
      <c r="I27" s="33" t="e">
        <f t="shared" si="7"/>
        <v>#DIV/0!</v>
      </c>
    </row>
    <row r="28" spans="1:9" x14ac:dyDescent="0.35">
      <c r="A28" s="32">
        <v>11</v>
      </c>
      <c r="B28" s="150" t="s">
        <v>565</v>
      </c>
      <c r="C28" s="32">
        <f>COUNTIFS('atm total'!C:C,B28,'atm total'!I:I,"CRML")</f>
        <v>0</v>
      </c>
      <c r="D28" s="32">
        <f>SUMIFS('atm total'!N:N,'atm total'!C:C,B28,'atm total'!I:I,"CRML")</f>
        <v>0</v>
      </c>
      <c r="E28" s="32">
        <f>SUMIFS('atm total'!O:O,'atm total'!C:C,B28,'atm total'!I:I,"CRML")</f>
        <v>0</v>
      </c>
      <c r="F28" s="32">
        <f>SUMIFS('atm total'!Q:Q,'atm total'!C:C,B28,'atm total'!I:I,"CRML")</f>
        <v>0</v>
      </c>
      <c r="G28" s="32">
        <v>99.2</v>
      </c>
      <c r="H28" s="33" t="e">
        <f t="shared" ref="H28" si="8">100-I28</f>
        <v>#DIV/0!</v>
      </c>
      <c r="I28" s="33" t="e">
        <f t="shared" ref="I28" si="9">(E28/F28)*100</f>
        <v>#DIV/0!</v>
      </c>
    </row>
    <row r="29" spans="1:9" x14ac:dyDescent="0.35">
      <c r="A29" s="32">
        <v>12</v>
      </c>
      <c r="B29" s="150" t="s">
        <v>1515</v>
      </c>
      <c r="C29" s="32">
        <f>COUNTIFS('atm total'!C:C,B29,'atm total'!I:I,"CRML")</f>
        <v>0</v>
      </c>
      <c r="D29" s="32">
        <f>SUMIFS('atm total'!N:N,'atm total'!C:C,B29,'atm total'!I:I,"CRML")</f>
        <v>0</v>
      </c>
      <c r="E29" s="32">
        <f>SUMIFS('atm total'!O:O,'atm total'!C:C,B29,'atm total'!I:I,"CRML")</f>
        <v>0</v>
      </c>
      <c r="F29" s="32">
        <f>SUMIFS('atm total'!Q:Q,'atm total'!C:C,B29,'atm total'!I:I,"CRML")</f>
        <v>0</v>
      </c>
      <c r="G29" s="32">
        <v>99.2</v>
      </c>
      <c r="H29" s="33" t="e">
        <f t="shared" ref="H29" si="10">100-I29</f>
        <v>#DIV/0!</v>
      </c>
      <c r="I29" s="33" t="e">
        <f t="shared" ref="I29" si="11">(E29/F29)*100</f>
        <v>#DIV/0!</v>
      </c>
    </row>
    <row r="30" spans="1:9" x14ac:dyDescent="0.35">
      <c r="A30" s="32">
        <v>13</v>
      </c>
      <c r="B30" s="149" t="s">
        <v>100</v>
      </c>
      <c r="C30" s="32">
        <f>COUNTIFS('atm total'!C:C,B30,'atm total'!I:I,"CRML")</f>
        <v>0</v>
      </c>
      <c r="D30" s="32">
        <f>SUMIFS('atm total'!N:N,'atm total'!C:C,B30,'atm total'!I:I,"CRML")</f>
        <v>0</v>
      </c>
      <c r="E30" s="32">
        <f>SUMIFS('atm total'!O:O,'atm total'!C:C,B30,'atm total'!I:I,"CRML")</f>
        <v>0</v>
      </c>
      <c r="F30" s="32">
        <f>SUMIFS('atm total'!Q:Q,'atm total'!C:C,B30,'atm total'!I:I,"CRML")</f>
        <v>0</v>
      </c>
      <c r="G30" s="32">
        <v>99.2</v>
      </c>
      <c r="H30" s="33" t="e">
        <f t="shared" si="6"/>
        <v>#DIV/0!</v>
      </c>
      <c r="I30" s="33" t="e">
        <f t="shared" si="7"/>
        <v>#DIV/0!</v>
      </c>
    </row>
    <row r="31" spans="1:9" x14ac:dyDescent="0.35">
      <c r="A31" s="32">
        <v>14</v>
      </c>
      <c r="B31" s="149" t="s">
        <v>81</v>
      </c>
      <c r="C31" s="32">
        <f>COUNTIFS('atm total'!C:C,B31,'atm total'!I:I,"CRML")</f>
        <v>0</v>
      </c>
      <c r="D31" s="32">
        <f>SUMIFS('atm total'!N:N,'atm total'!C:C,B31,'atm total'!I:I,"CRML")</f>
        <v>0</v>
      </c>
      <c r="E31" s="32">
        <f>SUMIFS('atm total'!O:O,'atm total'!C:C,B31,'atm total'!I:I,"CRML")</f>
        <v>0</v>
      </c>
      <c r="F31" s="32">
        <f>SUMIFS('atm total'!Q:Q,'atm total'!C:C,B31,'atm total'!I:I,"CRML")</f>
        <v>0</v>
      </c>
      <c r="G31" s="32">
        <v>99.2</v>
      </c>
      <c r="H31" s="33" t="e">
        <f t="shared" si="6"/>
        <v>#DIV/0!</v>
      </c>
      <c r="I31" s="33" t="e">
        <f t="shared" si="7"/>
        <v>#DIV/0!</v>
      </c>
    </row>
    <row r="32" spans="1:9" x14ac:dyDescent="0.35">
      <c r="A32" s="32">
        <v>15</v>
      </c>
      <c r="B32" s="149" t="s">
        <v>66</v>
      </c>
      <c r="C32" s="32">
        <f>COUNTIFS('atm total'!C:C,B32,'atm total'!I:I,"CRML")</f>
        <v>0</v>
      </c>
      <c r="D32" s="32">
        <f>SUMIFS('atm total'!N:N,'atm total'!C:C,B32,'atm total'!I:I,"CRML")</f>
        <v>0</v>
      </c>
      <c r="E32" s="32">
        <f>SUMIFS('atm total'!O:O,'atm total'!C:C,B32,'atm total'!I:I,"CRML")</f>
        <v>0</v>
      </c>
      <c r="F32" s="32">
        <f>SUMIFS('atm total'!Q:Q,'atm total'!C:C,B32,'atm total'!I:I,"CRML")</f>
        <v>0</v>
      </c>
      <c r="G32" s="32">
        <v>99.2</v>
      </c>
      <c r="H32" s="33" t="e">
        <f t="shared" si="6"/>
        <v>#DIV/0!</v>
      </c>
      <c r="I32" s="33" t="e">
        <f t="shared" si="7"/>
        <v>#DIV/0!</v>
      </c>
    </row>
    <row r="33" spans="1:9" x14ac:dyDescent="0.35">
      <c r="A33" s="32">
        <v>16</v>
      </c>
      <c r="B33" s="150" t="s">
        <v>135</v>
      </c>
      <c r="C33" s="32">
        <f>COUNTIFS('atm total'!C:C,B33,'atm total'!I:I,"CRML")</f>
        <v>0</v>
      </c>
      <c r="D33" s="32">
        <f>SUMIFS('atm total'!N:N,'atm total'!C:C,B33,'atm total'!I:I,"CRML")</f>
        <v>0</v>
      </c>
      <c r="E33" s="32">
        <f>SUMIFS('atm total'!O:O,'atm total'!C:C,B33,'atm total'!I:I,"CRML")</f>
        <v>0</v>
      </c>
      <c r="F33" s="32">
        <f>SUMIFS('atm total'!Q:Q,'atm total'!C:C,B33,'atm total'!I:I,"CRML")</f>
        <v>0</v>
      </c>
      <c r="G33" s="32">
        <v>99.2</v>
      </c>
      <c r="H33" s="33" t="e">
        <f t="shared" si="6"/>
        <v>#DIV/0!</v>
      </c>
      <c r="I33" s="33" t="e">
        <f t="shared" si="7"/>
        <v>#DIV/0!</v>
      </c>
    </row>
    <row r="34" spans="1:9" x14ac:dyDescent="0.35">
      <c r="A34" s="32">
        <v>17</v>
      </c>
      <c r="B34" s="149" t="s">
        <v>111</v>
      </c>
      <c r="C34" s="32">
        <f>COUNTIFS('atm total'!C:C,B34,'atm total'!I:I,"CRML")</f>
        <v>0</v>
      </c>
      <c r="D34" s="32">
        <f>SUMIFS('atm total'!N:N,'atm total'!C:C,B34,'atm total'!I:I,"CRML")</f>
        <v>0</v>
      </c>
      <c r="E34" s="32">
        <f>SUMIFS('atm total'!O:O,'atm total'!C:C,B34,'atm total'!I:I,"CRML")</f>
        <v>0</v>
      </c>
      <c r="F34" s="32">
        <f>SUMIFS('atm total'!Q:Q,'atm total'!C:C,B34,'atm total'!I:I,"CRML")</f>
        <v>0</v>
      </c>
      <c r="G34" s="32">
        <v>99.2</v>
      </c>
      <c r="H34" s="33" t="e">
        <f t="shared" si="6"/>
        <v>#DIV/0!</v>
      </c>
      <c r="I34" s="33" t="e">
        <f t="shared" si="7"/>
        <v>#DIV/0!</v>
      </c>
    </row>
    <row r="35" spans="1:9" x14ac:dyDescent="0.35">
      <c r="B35" s="3"/>
      <c r="C35" s="4"/>
      <c r="D35" s="4"/>
      <c r="E35" s="4"/>
      <c r="F35" s="4"/>
      <c r="G35" s="4"/>
      <c r="H35" s="5"/>
      <c r="I35" s="5"/>
    </row>
    <row r="36" spans="1:9" x14ac:dyDescent="0.35">
      <c r="B36" s="28" t="s">
        <v>33</v>
      </c>
      <c r="C36" s="29">
        <f>SUM(C18:C35)</f>
        <v>0</v>
      </c>
      <c r="D36" s="29">
        <f>SUM(D18:D35)</f>
        <v>0</v>
      </c>
      <c r="E36" s="29">
        <f>SUM(E18:E34)</f>
        <v>0</v>
      </c>
      <c r="F36" s="29">
        <f>SUM(F18:F34)</f>
        <v>0</v>
      </c>
      <c r="G36" s="29">
        <v>99.2</v>
      </c>
      <c r="H36" s="30" t="e">
        <f>100-I36</f>
        <v>#DIV/0!</v>
      </c>
      <c r="I36" s="30" t="e">
        <f>(E36/F36)*100</f>
        <v>#DIV/0!</v>
      </c>
    </row>
    <row r="38" spans="1:9" ht="21" x14ac:dyDescent="0.35">
      <c r="A38" s="158"/>
      <c r="B38" s="182" t="s">
        <v>3444</v>
      </c>
      <c r="C38" s="182"/>
      <c r="D38" s="182"/>
      <c r="E38" s="182"/>
      <c r="F38" s="182"/>
      <c r="G38" s="182"/>
      <c r="H38" s="182"/>
      <c r="I38" s="182"/>
    </row>
    <row r="40" spans="1:9" x14ac:dyDescent="0.35">
      <c r="A40" s="24" t="s">
        <v>26</v>
      </c>
      <c r="B40" s="24" t="s">
        <v>34</v>
      </c>
      <c r="C40" s="24" t="s">
        <v>37</v>
      </c>
      <c r="D40" s="24" t="s">
        <v>27</v>
      </c>
      <c r="E40" s="24" t="s">
        <v>28</v>
      </c>
      <c r="F40" s="24" t="s">
        <v>29</v>
      </c>
      <c r="G40" s="24" t="s">
        <v>30</v>
      </c>
      <c r="H40" s="24" t="s">
        <v>31</v>
      </c>
      <c r="I40" s="24" t="s">
        <v>32</v>
      </c>
    </row>
    <row r="41" spans="1:9" x14ac:dyDescent="0.35">
      <c r="A41" s="32">
        <v>1</v>
      </c>
      <c r="B41" s="149" t="s">
        <v>237</v>
      </c>
      <c r="C41" s="32">
        <f>COUNTIFS('atm total'!C:C,B41,'atm total'!I:I,"CRMS")</f>
        <v>0</v>
      </c>
      <c r="D41" s="32">
        <f>SUMIFS('atm total'!N:N,'atm total'!C:C,B41,'atm total'!I:I,"CRMS")</f>
        <v>0</v>
      </c>
      <c r="E41" s="32">
        <f>SUMIFS('atm total'!O:O,'atm total'!C:C,B41,'atm total'!I:I,"CRMS")</f>
        <v>0</v>
      </c>
      <c r="F41" s="32">
        <f>SUMIFS('atm total'!Q:Q,'atm total'!C:C,B41,'atm total'!I:I,"CRMS")</f>
        <v>0</v>
      </c>
      <c r="G41" s="32">
        <v>99.2</v>
      </c>
      <c r="H41" s="33" t="e">
        <f>100-I41</f>
        <v>#DIV/0!</v>
      </c>
      <c r="I41" s="33" t="e">
        <f>(E41/F41)*100</f>
        <v>#DIV/0!</v>
      </c>
    </row>
    <row r="42" spans="1:9" x14ac:dyDescent="0.35">
      <c r="A42" s="32">
        <v>2</v>
      </c>
      <c r="B42" s="150" t="s">
        <v>86</v>
      </c>
      <c r="C42" s="32">
        <f>COUNTIFS('atm total'!C:C,B42,'atm total'!I:I,"CRMS")</f>
        <v>0</v>
      </c>
      <c r="D42" s="32">
        <f>SUMIFS('atm total'!N:N,'atm total'!C:C,B42,'atm total'!I:I,"CRMS")</f>
        <v>0</v>
      </c>
      <c r="E42" s="32">
        <f>SUMIFS('atm total'!O:O,'atm total'!C:C,B42,'atm total'!I:I,"CRMS")</f>
        <v>0</v>
      </c>
      <c r="F42" s="32">
        <f>SUMIFS('atm total'!Q:Q,'atm total'!C:C,B42,'atm total'!I:I,"CRMS")</f>
        <v>0</v>
      </c>
      <c r="G42" s="32">
        <v>99.2</v>
      </c>
      <c r="H42" s="33" t="e">
        <f t="shared" ref="H42:H57" si="12">100-I42</f>
        <v>#DIV/0!</v>
      </c>
      <c r="I42" s="33" t="e">
        <f t="shared" ref="I42:I57" si="13">(E42/F42)*100</f>
        <v>#DIV/0!</v>
      </c>
    </row>
    <row r="43" spans="1:9" x14ac:dyDescent="0.35">
      <c r="A43" s="32">
        <v>3</v>
      </c>
      <c r="B43" s="149" t="s">
        <v>102</v>
      </c>
      <c r="C43" s="32">
        <f>COUNTIFS('atm total'!C:C,B43,'atm total'!I:I,"CRMS")</f>
        <v>0</v>
      </c>
      <c r="D43" s="32">
        <f>SUMIFS('atm total'!N:N,'atm total'!C:C,B43,'atm total'!I:I,"CRMS")</f>
        <v>0</v>
      </c>
      <c r="E43" s="32">
        <f>SUMIFS('atm total'!O:O,'atm total'!C:C,B43,'atm total'!I:I,"CRMS")</f>
        <v>0</v>
      </c>
      <c r="F43" s="32">
        <f>SUMIFS('atm total'!Q:Q,'atm total'!C:C,B43,'atm total'!I:I,"CRMS")</f>
        <v>0</v>
      </c>
      <c r="G43" s="32">
        <v>99.2</v>
      </c>
      <c r="H43" s="33" t="e">
        <f t="shared" si="12"/>
        <v>#DIV/0!</v>
      </c>
      <c r="I43" s="33" t="e">
        <f t="shared" si="13"/>
        <v>#DIV/0!</v>
      </c>
    </row>
    <row r="44" spans="1:9" x14ac:dyDescent="0.35">
      <c r="A44" s="32">
        <v>4</v>
      </c>
      <c r="B44" s="149" t="s">
        <v>92</v>
      </c>
      <c r="C44" s="32">
        <f>COUNTIFS('atm total'!C:C,B44,'atm total'!I:I,"CRMS")</f>
        <v>0</v>
      </c>
      <c r="D44" s="32">
        <f>SUMIFS('atm total'!N:N,'atm total'!C:C,B44,'atm total'!I:I,"CRMS")</f>
        <v>0</v>
      </c>
      <c r="E44" s="32">
        <f>SUMIFS('atm total'!O:O,'atm total'!C:C,B44,'atm total'!I:I,"CRMS")</f>
        <v>0</v>
      </c>
      <c r="F44" s="32">
        <f>SUMIFS('atm total'!Q:Q,'atm total'!C:C,B44,'atm total'!I:I,"CRMS")</f>
        <v>0</v>
      </c>
      <c r="G44" s="32">
        <v>99.2</v>
      </c>
      <c r="H44" s="33" t="e">
        <f t="shared" si="12"/>
        <v>#DIV/0!</v>
      </c>
      <c r="I44" s="33" t="e">
        <f t="shared" si="13"/>
        <v>#DIV/0!</v>
      </c>
    </row>
    <row r="45" spans="1:9" x14ac:dyDescent="0.35">
      <c r="A45" s="32">
        <v>5</v>
      </c>
      <c r="B45" s="149" t="s">
        <v>78</v>
      </c>
      <c r="C45" s="32">
        <f>COUNTIFS('atm total'!C:C,B45,'atm total'!I:I,"CRMS")</f>
        <v>0</v>
      </c>
      <c r="D45" s="32">
        <f>SUMIFS('atm total'!N:N,'atm total'!C:C,B45,'atm total'!I:I,"CRMS")</f>
        <v>0</v>
      </c>
      <c r="E45" s="32">
        <f>SUMIFS('atm total'!O:O,'atm total'!C:C,B45,'atm total'!I:I,"CRMS")</f>
        <v>0</v>
      </c>
      <c r="F45" s="32">
        <f>SUMIFS('atm total'!Q:Q,'atm total'!C:C,B45,'atm total'!I:I,"CRMS")</f>
        <v>0</v>
      </c>
      <c r="G45" s="32">
        <v>99.2</v>
      </c>
      <c r="H45" s="33" t="e">
        <f t="shared" si="12"/>
        <v>#DIV/0!</v>
      </c>
      <c r="I45" s="33" t="e">
        <f t="shared" si="13"/>
        <v>#DIV/0!</v>
      </c>
    </row>
    <row r="46" spans="1:9" x14ac:dyDescent="0.35">
      <c r="A46" s="32">
        <v>6</v>
      </c>
      <c r="B46" s="150" t="s">
        <v>76</v>
      </c>
      <c r="C46" s="32">
        <f>COUNTIFS('atm total'!C:C,B46,'atm total'!I:I,"CRMS")</f>
        <v>0</v>
      </c>
      <c r="D46" s="32">
        <f>SUMIFS('atm total'!N:N,'atm total'!C:C,B46,'atm total'!I:I,"CRMS")</f>
        <v>0</v>
      </c>
      <c r="E46" s="32">
        <f>SUMIFS('atm total'!O:O,'atm total'!C:C,B46,'atm total'!I:I,"CRMS")</f>
        <v>0</v>
      </c>
      <c r="F46" s="32">
        <f>SUMIFS('atm total'!Q:Q,'atm total'!C:C,B46,'atm total'!I:I,"CRMS")</f>
        <v>0</v>
      </c>
      <c r="G46" s="32">
        <v>99.2</v>
      </c>
      <c r="H46" s="69" t="e">
        <f t="shared" si="12"/>
        <v>#DIV/0!</v>
      </c>
      <c r="I46" s="33" t="e">
        <f t="shared" si="13"/>
        <v>#DIV/0!</v>
      </c>
    </row>
    <row r="47" spans="1:9" x14ac:dyDescent="0.35">
      <c r="A47" s="32">
        <v>7</v>
      </c>
      <c r="B47" s="150" t="s">
        <v>117</v>
      </c>
      <c r="C47" s="32">
        <f>COUNTIFS('atm total'!C:C,B47,'atm total'!I:I,"CRMS")</f>
        <v>0</v>
      </c>
      <c r="D47" s="32">
        <f>SUMIFS('atm total'!N:N,'atm total'!C:C,B47,'atm total'!I:I,"CRMS")</f>
        <v>0</v>
      </c>
      <c r="E47" s="32">
        <f>SUMIFS('atm total'!O:O,'atm total'!C:C,B47,'atm total'!I:I,"CRMS")</f>
        <v>0</v>
      </c>
      <c r="F47" s="32">
        <f>SUMIFS('atm total'!Q:Q,'atm total'!C:C,B47,'atm total'!I:I,"CRMS")</f>
        <v>0</v>
      </c>
      <c r="G47" s="32">
        <v>99.2</v>
      </c>
      <c r="H47" s="33" t="e">
        <f t="shared" si="12"/>
        <v>#DIV/0!</v>
      </c>
      <c r="I47" s="33" t="e">
        <f t="shared" si="13"/>
        <v>#DIV/0!</v>
      </c>
    </row>
    <row r="48" spans="1:9" x14ac:dyDescent="0.35">
      <c r="A48" s="32">
        <v>8</v>
      </c>
      <c r="B48" s="150" t="s">
        <v>71</v>
      </c>
      <c r="C48" s="32">
        <f>COUNTIFS('atm total'!C:C,B48,'atm total'!I:I,"CRMS")</f>
        <v>0</v>
      </c>
      <c r="D48" s="32">
        <f>SUMIFS('atm total'!N:N,'atm total'!C:C,B48,'atm total'!I:I,"CRMS")</f>
        <v>0</v>
      </c>
      <c r="E48" s="32">
        <f>SUMIFS('atm total'!O:O,'atm total'!C:C,B48,'atm total'!I:I,"CRMS")</f>
        <v>0</v>
      </c>
      <c r="F48" s="32">
        <f>SUMIFS('atm total'!Q:Q,'atm total'!C:C,B48,'atm total'!I:I,"CRMS")</f>
        <v>0</v>
      </c>
      <c r="G48" s="32">
        <v>99.2</v>
      </c>
      <c r="H48" s="33" t="e">
        <f t="shared" si="12"/>
        <v>#DIV/0!</v>
      </c>
      <c r="I48" s="33" t="e">
        <f t="shared" si="13"/>
        <v>#DIV/0!</v>
      </c>
    </row>
    <row r="49" spans="1:9" x14ac:dyDescent="0.35">
      <c r="A49" s="32">
        <v>9</v>
      </c>
      <c r="B49" s="150" t="s">
        <v>128</v>
      </c>
      <c r="C49" s="32">
        <f>COUNTIFS('atm total'!C:C,B49,'atm total'!I:I,"CRMS")</f>
        <v>0</v>
      </c>
      <c r="D49" s="32">
        <f>SUMIFS('atm total'!N:N,'atm total'!C:C,B49,'atm total'!I:I,"CRMS")</f>
        <v>0</v>
      </c>
      <c r="E49" s="32">
        <f>SUMIFS('atm total'!O:O,'atm total'!C:C,B49,'atm total'!I:I,"CRMS")</f>
        <v>0</v>
      </c>
      <c r="F49" s="32">
        <f>SUMIFS('atm total'!Q:Q,'atm total'!C:C,B49,'atm total'!I:I,"CRMS")</f>
        <v>0</v>
      </c>
      <c r="G49" s="32">
        <v>99.2</v>
      </c>
      <c r="H49" s="33" t="e">
        <f t="shared" si="12"/>
        <v>#DIV/0!</v>
      </c>
      <c r="I49" s="33" t="e">
        <f t="shared" si="13"/>
        <v>#DIV/0!</v>
      </c>
    </row>
    <row r="50" spans="1:9" x14ac:dyDescent="0.35">
      <c r="A50" s="32">
        <v>10</v>
      </c>
      <c r="B50" s="150" t="s">
        <v>820</v>
      </c>
      <c r="C50" s="32">
        <f>COUNTIFS('atm total'!C:C,B50,'atm total'!I:I,"CRMS")</f>
        <v>0</v>
      </c>
      <c r="D50" s="32">
        <f>SUMIFS('atm total'!N:N,'atm total'!C:C,B50,'atm total'!I:I,"CRMS")</f>
        <v>0</v>
      </c>
      <c r="E50" s="32">
        <f>SUMIFS('atm total'!O:O,'atm total'!C:C,B50,'atm total'!I:I,"CRMS")</f>
        <v>0</v>
      </c>
      <c r="F50" s="32">
        <f>SUMIFS('atm total'!Q:Q,'atm total'!C:C,B50,'atm total'!I:I,"CRMS")</f>
        <v>0</v>
      </c>
      <c r="G50" s="32">
        <v>99.2</v>
      </c>
      <c r="H50" s="33" t="e">
        <f t="shared" ref="H50" si="14">100-I50</f>
        <v>#DIV/0!</v>
      </c>
      <c r="I50" s="33" t="e">
        <f t="shared" ref="I50" si="15">(E50/F50)*100</f>
        <v>#DIV/0!</v>
      </c>
    </row>
    <row r="51" spans="1:9" x14ac:dyDescent="0.35">
      <c r="A51" s="32">
        <v>11</v>
      </c>
      <c r="B51" s="150" t="s">
        <v>565</v>
      </c>
      <c r="C51" s="32">
        <f>COUNTIFS('atm total'!C:C,B51,'atm total'!I:I,"CRMS")</f>
        <v>0</v>
      </c>
      <c r="D51" s="32">
        <f>SUMIFS('atm total'!N:N,'atm total'!C:C,B51,'atm total'!I:I,"CRMS")</f>
        <v>0</v>
      </c>
      <c r="E51" s="32">
        <f>SUMIFS('atm total'!O:O,'atm total'!C:C,B51,'atm total'!I:I,"CRMS")</f>
        <v>0</v>
      </c>
      <c r="F51" s="32">
        <f>SUMIFS('atm total'!Q:Q,'atm total'!C:C,B51,'atm total'!I:I,"CRMS")</f>
        <v>0</v>
      </c>
      <c r="G51" s="32">
        <v>99.2</v>
      </c>
      <c r="H51" s="33" t="e">
        <f t="shared" ref="H51" si="16">100-I51</f>
        <v>#DIV/0!</v>
      </c>
      <c r="I51" s="33" t="e">
        <f t="shared" ref="I51" si="17">(E51/F51)*100</f>
        <v>#DIV/0!</v>
      </c>
    </row>
    <row r="52" spans="1:9" x14ac:dyDescent="0.35">
      <c r="A52" s="32">
        <v>12</v>
      </c>
      <c r="B52" s="149" t="s">
        <v>3376</v>
      </c>
      <c r="C52" s="32">
        <f>COUNTIFS('atm total'!C:C,B52,'atm total'!I:I,"CRMS")</f>
        <v>0</v>
      </c>
      <c r="D52" s="32">
        <f>SUMIFS('atm total'!N:N,'atm total'!C:C,B52,'atm total'!I:I,"CRMS")</f>
        <v>0</v>
      </c>
      <c r="E52" s="32">
        <f>SUMIFS('atm total'!O:O,'atm total'!C:C,B52,'atm total'!I:I,"CRMS")</f>
        <v>0</v>
      </c>
      <c r="F52" s="32">
        <f>SUMIFS('atm total'!Q:Q,'atm total'!C:C,B52,'atm total'!I:I,"CRMS")</f>
        <v>0</v>
      </c>
      <c r="G52" s="32">
        <v>99.2</v>
      </c>
      <c r="H52" s="33" t="e">
        <f t="shared" ref="H52" si="18">100-I52</f>
        <v>#DIV/0!</v>
      </c>
      <c r="I52" s="33" t="e">
        <f t="shared" ref="I52" si="19">(E52/F52)*100</f>
        <v>#DIV/0!</v>
      </c>
    </row>
    <row r="53" spans="1:9" x14ac:dyDescent="0.35">
      <c r="A53" s="32">
        <v>13</v>
      </c>
      <c r="B53" s="150" t="s">
        <v>100</v>
      </c>
      <c r="C53" s="32">
        <f>COUNTIFS('atm total'!C:C,B53,'atm total'!I:I,"CRMS")</f>
        <v>0</v>
      </c>
      <c r="D53" s="32">
        <f>SUMIFS('atm total'!N:N,'atm total'!C:C,B53,'atm total'!I:I,"CRMS")</f>
        <v>0</v>
      </c>
      <c r="E53" s="32">
        <f>SUMIFS('atm total'!O:O,'atm total'!C:C,B53,'atm total'!I:I,"CRMS")</f>
        <v>0</v>
      </c>
      <c r="F53" s="32">
        <f>SUMIFS('atm total'!Q:Q,'atm total'!C:C,B53,'atm total'!I:I,"CRMS")</f>
        <v>0</v>
      </c>
      <c r="G53" s="32">
        <v>99.2</v>
      </c>
      <c r="H53" s="33" t="e">
        <f t="shared" si="12"/>
        <v>#DIV/0!</v>
      </c>
      <c r="I53" s="33" t="e">
        <f t="shared" si="13"/>
        <v>#DIV/0!</v>
      </c>
    </row>
    <row r="54" spans="1:9" x14ac:dyDescent="0.35">
      <c r="A54" s="32">
        <v>14</v>
      </c>
      <c r="B54" s="150" t="s">
        <v>81</v>
      </c>
      <c r="C54" s="32">
        <f>COUNTIFS('atm total'!C:C,B54,'atm total'!I:I,"CRMS")</f>
        <v>0</v>
      </c>
      <c r="D54" s="32">
        <f>SUMIFS('atm total'!N:N,'atm total'!C:C,B54,'atm total'!I:I,"CRMS")</f>
        <v>0</v>
      </c>
      <c r="E54" s="32">
        <f>SUMIFS('atm total'!O:O,'atm total'!C:C,B54,'atm total'!I:I,"CRMS")</f>
        <v>0</v>
      </c>
      <c r="F54" s="32">
        <f>SUMIFS('atm total'!Q:Q,'atm total'!C:C,B54,'atm total'!I:I,"CRMS")</f>
        <v>0</v>
      </c>
      <c r="G54" s="32">
        <v>99.2</v>
      </c>
      <c r="H54" s="33" t="e">
        <f t="shared" si="12"/>
        <v>#DIV/0!</v>
      </c>
      <c r="I54" s="33" t="e">
        <f t="shared" si="13"/>
        <v>#DIV/0!</v>
      </c>
    </row>
    <row r="55" spans="1:9" x14ac:dyDescent="0.35">
      <c r="A55" s="32">
        <v>15</v>
      </c>
      <c r="B55" s="149" t="s">
        <v>66</v>
      </c>
      <c r="C55" s="32">
        <f>COUNTIFS('atm total'!C:C,B55,'atm total'!I:I,"CRMS")</f>
        <v>0</v>
      </c>
      <c r="D55" s="32">
        <f>SUMIFS('atm total'!N:N,'atm total'!C:C,B55,'atm total'!I:I,"CRMS")</f>
        <v>0</v>
      </c>
      <c r="E55" s="32">
        <f>SUMIFS('atm total'!O:O,'atm total'!C:C,B55,'atm total'!I:I,"CRMS")</f>
        <v>0</v>
      </c>
      <c r="F55" s="32">
        <f>SUMIFS('atm total'!Q:Q,'atm total'!C:C,B55,'atm total'!I:I,"CRMS")</f>
        <v>0</v>
      </c>
      <c r="G55" s="32">
        <v>99.2</v>
      </c>
      <c r="H55" s="33" t="e">
        <f t="shared" si="12"/>
        <v>#DIV/0!</v>
      </c>
      <c r="I55" s="33" t="e">
        <f t="shared" si="13"/>
        <v>#DIV/0!</v>
      </c>
    </row>
    <row r="56" spans="1:9" x14ac:dyDescent="0.35">
      <c r="A56" s="32">
        <v>16</v>
      </c>
      <c r="B56" s="150" t="s">
        <v>135</v>
      </c>
      <c r="C56" s="32">
        <f>COUNTIFS('atm total'!C:C,B56,'atm total'!I:I,"CRMS")</f>
        <v>0</v>
      </c>
      <c r="D56" s="32">
        <f>SUMIFS('atm total'!N:N,'atm total'!C:C,B56,'atm total'!I:I,"CRMS")</f>
        <v>0</v>
      </c>
      <c r="E56" s="32">
        <f>SUMIFS('atm total'!O:O,'atm total'!C:C,B56,'atm total'!I:I,"CRMS")</f>
        <v>0</v>
      </c>
      <c r="F56" s="32">
        <f>SUMIFS('atm total'!Q:Q,'atm total'!C:C,B56,'atm total'!I:I,"CRMS")</f>
        <v>0</v>
      </c>
      <c r="G56" s="32">
        <v>99.2</v>
      </c>
      <c r="H56" s="33" t="e">
        <f t="shared" si="12"/>
        <v>#DIV/0!</v>
      </c>
      <c r="I56" s="33" t="e">
        <f t="shared" si="13"/>
        <v>#DIV/0!</v>
      </c>
    </row>
    <row r="57" spans="1:9" x14ac:dyDescent="0.35">
      <c r="A57" s="32">
        <v>17</v>
      </c>
      <c r="B57" s="150" t="s">
        <v>111</v>
      </c>
      <c r="C57" s="32">
        <f>COUNTIFS('atm total'!C:C,B57,'atm total'!I:I,"CRMS")</f>
        <v>0</v>
      </c>
      <c r="D57" s="32">
        <f>SUMIFS('atm total'!N:N,'atm total'!C:C,B57,'atm total'!I:I,"CRMS")</f>
        <v>0</v>
      </c>
      <c r="E57" s="32">
        <f>SUMIFS('atm total'!O:O,'atm total'!C:C,B57,'atm total'!I:I,"CRMS")</f>
        <v>0</v>
      </c>
      <c r="F57" s="32">
        <f>SUMIFS('atm total'!Q:Q,'atm total'!C:C,B57,'atm total'!I:I,"CRMS")</f>
        <v>0</v>
      </c>
      <c r="G57" s="32">
        <v>99.2</v>
      </c>
      <c r="H57" s="33" t="e">
        <f t="shared" si="12"/>
        <v>#DIV/0!</v>
      </c>
      <c r="I57" s="33" t="e">
        <f t="shared" si="13"/>
        <v>#DIV/0!</v>
      </c>
    </row>
    <row r="58" spans="1:9" x14ac:dyDescent="0.35">
      <c r="B58" s="3"/>
      <c r="C58" s="4"/>
      <c r="D58" s="4"/>
      <c r="E58" s="4"/>
      <c r="F58" s="4"/>
      <c r="G58" s="4"/>
      <c r="H58" s="5"/>
      <c r="I58" s="5"/>
    </row>
    <row r="59" spans="1:9" x14ac:dyDescent="0.35">
      <c r="B59" s="28" t="s">
        <v>33</v>
      </c>
      <c r="C59" s="29">
        <f>SUM(C41:C57)</f>
        <v>0</v>
      </c>
      <c r="D59" s="29">
        <f>SUM(D41:D57)</f>
        <v>0</v>
      </c>
      <c r="E59" s="29">
        <f>SUM(E41:E57)</f>
        <v>0</v>
      </c>
      <c r="F59" s="29">
        <f>SUM(F41:F57)</f>
        <v>0</v>
      </c>
      <c r="G59" s="29">
        <v>99.2</v>
      </c>
      <c r="H59" s="30" t="e">
        <f>100-I59</f>
        <v>#DIV/0!</v>
      </c>
      <c r="I59" s="30" t="e">
        <f>(E59/F59)*100</f>
        <v>#DIV/0!</v>
      </c>
    </row>
    <row r="60" spans="1:9" x14ac:dyDescent="0.35">
      <c r="C60" s="22"/>
      <c r="D60" s="22"/>
      <c r="E60" s="22"/>
      <c r="F60" s="22"/>
      <c r="G60" s="22"/>
      <c r="H60" s="23"/>
      <c r="I60" s="23"/>
    </row>
    <row r="61" spans="1:9" ht="21" x14ac:dyDescent="0.35">
      <c r="A61" s="182" t="s">
        <v>3445</v>
      </c>
      <c r="B61" s="182"/>
      <c r="C61" s="182"/>
      <c r="D61" s="182"/>
      <c r="E61" s="182"/>
      <c r="F61" s="182"/>
      <c r="G61" s="182"/>
      <c r="H61" s="182"/>
      <c r="I61" s="182"/>
    </row>
    <row r="63" spans="1:9" x14ac:dyDescent="0.35">
      <c r="A63" s="24" t="s">
        <v>26</v>
      </c>
      <c r="B63" s="24" t="s">
        <v>34</v>
      </c>
      <c r="C63" s="24" t="s">
        <v>39</v>
      </c>
      <c r="D63" s="24" t="s">
        <v>27</v>
      </c>
      <c r="E63" s="24" t="s">
        <v>28</v>
      </c>
      <c r="F63" s="24" t="s">
        <v>29</v>
      </c>
      <c r="G63" s="24" t="s">
        <v>30</v>
      </c>
      <c r="H63" s="24" t="s">
        <v>31</v>
      </c>
      <c r="I63" s="24" t="s">
        <v>32</v>
      </c>
    </row>
    <row r="64" spans="1:9" x14ac:dyDescent="0.35">
      <c r="A64" s="32">
        <v>1</v>
      </c>
      <c r="B64" s="149" t="s">
        <v>237</v>
      </c>
      <c r="C64" s="32">
        <f>COUNTIFS('atm total'!C:C,B64,'atm total'!AM:AM,"CRM")</f>
        <v>0</v>
      </c>
      <c r="D64" s="32">
        <f>SUMIFS('atm total'!N:N,'atm total'!C:C,B64,'atm total'!AM:AM,"CRM")</f>
        <v>0</v>
      </c>
      <c r="E64" s="32">
        <f>SUMIFS('atm total'!O:O,'atm total'!C:C,B64,'atm total'!AM:AM,"CRM")</f>
        <v>0</v>
      </c>
      <c r="F64" s="32">
        <f>SUMIFS('atm total'!Q:Q,'atm total'!C:C,B64,'atm total'!AM:AM,"CRM")</f>
        <v>0</v>
      </c>
      <c r="G64" s="32">
        <v>99.2</v>
      </c>
      <c r="H64" s="33" t="e">
        <f t="shared" ref="H64:H82" si="20">100-I64</f>
        <v>#DIV/0!</v>
      </c>
      <c r="I64" s="33" t="e">
        <f t="shared" ref="I64:I82" si="21">(E64/F64)*100</f>
        <v>#DIV/0!</v>
      </c>
    </row>
    <row r="65" spans="1:9" x14ac:dyDescent="0.35">
      <c r="A65" s="32">
        <v>2</v>
      </c>
      <c r="B65" s="149" t="s">
        <v>86</v>
      </c>
      <c r="C65" s="32">
        <f>COUNTIFS('atm total'!C:C,B65,'atm total'!AM:AM,"CRM")</f>
        <v>0</v>
      </c>
      <c r="D65" s="32">
        <f>SUMIFS('atm total'!N:N,'atm total'!C:C,B65,'atm total'!AM:AM,"CRM")</f>
        <v>0</v>
      </c>
      <c r="E65" s="32">
        <f>SUMIFS('atm total'!O:O,'atm total'!C:C,B65,'atm total'!AM:AM,"CRM")</f>
        <v>0</v>
      </c>
      <c r="F65" s="32">
        <f>SUMIFS('atm total'!Q:Q,'atm total'!C:C,B65,'atm total'!AM:AM,"CRM")</f>
        <v>0</v>
      </c>
      <c r="G65" s="32">
        <v>99.2</v>
      </c>
      <c r="H65" s="33" t="e">
        <f t="shared" si="20"/>
        <v>#DIV/0!</v>
      </c>
      <c r="I65" s="33" t="e">
        <f t="shared" si="21"/>
        <v>#DIV/0!</v>
      </c>
    </row>
    <row r="66" spans="1:9" x14ac:dyDescent="0.35">
      <c r="A66" s="32">
        <v>3</v>
      </c>
      <c r="B66" s="149" t="s">
        <v>102</v>
      </c>
      <c r="C66" s="32">
        <f>COUNTIFS('atm total'!C:C,B66,'atm total'!AM:AM,"CRM")</f>
        <v>0</v>
      </c>
      <c r="D66" s="32">
        <f>SUMIFS('atm total'!N:N,'atm total'!C:C,B66,'atm total'!AM:AM,"CRM")</f>
        <v>0</v>
      </c>
      <c r="E66" s="32">
        <f>SUMIFS('atm total'!O:O,'atm total'!C:C,B66,'atm total'!AM:AM,"CRM")</f>
        <v>0</v>
      </c>
      <c r="F66" s="32">
        <f>SUMIFS('atm total'!Q:Q,'atm total'!C:C,B66,'atm total'!AM:AM,"CRM")</f>
        <v>0</v>
      </c>
      <c r="G66" s="32">
        <v>99.2</v>
      </c>
      <c r="H66" s="33" t="e">
        <f t="shared" si="20"/>
        <v>#DIV/0!</v>
      </c>
      <c r="I66" s="33" t="e">
        <f t="shared" si="21"/>
        <v>#DIV/0!</v>
      </c>
    </row>
    <row r="67" spans="1:9" x14ac:dyDescent="0.35">
      <c r="A67" s="32">
        <v>4</v>
      </c>
      <c r="B67" s="149" t="s">
        <v>92</v>
      </c>
      <c r="C67" s="32">
        <f>COUNTIFS('atm total'!C:C,B67,'atm total'!AM:AM,"CRM")</f>
        <v>0</v>
      </c>
      <c r="D67" s="32">
        <f>SUMIFS('atm total'!N:N,'atm total'!C:C,B67,'atm total'!AM:AM,"CRM")</f>
        <v>0</v>
      </c>
      <c r="E67" s="32">
        <f>SUMIFS('atm total'!O:O,'atm total'!C:C,B67,'atm total'!AM:AM,"CRM")</f>
        <v>0</v>
      </c>
      <c r="F67" s="32">
        <f>SUMIFS('atm total'!Q:Q,'atm total'!C:C,B67,'atm total'!AM:AM,"CRM")</f>
        <v>0</v>
      </c>
      <c r="G67" s="32">
        <v>99.2</v>
      </c>
      <c r="H67" s="33" t="e">
        <f t="shared" si="20"/>
        <v>#DIV/0!</v>
      </c>
      <c r="I67" s="33" t="e">
        <f t="shared" si="21"/>
        <v>#DIV/0!</v>
      </c>
    </row>
    <row r="68" spans="1:9" x14ac:dyDescent="0.35">
      <c r="A68" s="32">
        <v>5</v>
      </c>
      <c r="B68" s="149" t="s">
        <v>78</v>
      </c>
      <c r="C68" s="32">
        <f>COUNTIFS('atm total'!C:C,B68,'atm total'!AM:AM,"CRM")</f>
        <v>0</v>
      </c>
      <c r="D68" s="32">
        <f>SUMIFS('atm total'!N:N,'atm total'!C:C,B68,'atm total'!AM:AM,"CRM")</f>
        <v>0</v>
      </c>
      <c r="E68" s="32">
        <f>SUMIFS('atm total'!O:O,'atm total'!C:C,B68,'atm total'!AM:AM,"CRM")</f>
        <v>0</v>
      </c>
      <c r="F68" s="32">
        <f>SUMIFS('atm total'!Q:Q,'atm total'!C:C,B68,'atm total'!AM:AM,"CRM")</f>
        <v>0</v>
      </c>
      <c r="G68" s="32">
        <v>99.2</v>
      </c>
      <c r="H68" s="33" t="e">
        <f t="shared" si="20"/>
        <v>#DIV/0!</v>
      </c>
      <c r="I68" s="33" t="e">
        <f t="shared" si="21"/>
        <v>#DIV/0!</v>
      </c>
    </row>
    <row r="69" spans="1:9" x14ac:dyDescent="0.35">
      <c r="A69" s="32">
        <v>6</v>
      </c>
      <c r="B69" s="150" t="s">
        <v>76</v>
      </c>
      <c r="C69" s="32">
        <f>COUNTIFS('atm total'!C:C,B69,'atm total'!AM:AM,"CRM")</f>
        <v>0</v>
      </c>
      <c r="D69" s="32">
        <f>SUMIFS('atm total'!N:N,'atm total'!C:C,B69,'atm total'!AM:AM,"CRM")</f>
        <v>0</v>
      </c>
      <c r="E69" s="32">
        <f>SUMIFS('atm total'!O:O,'atm total'!C:C,B69,'atm total'!AM:AM,"CRM")</f>
        <v>0</v>
      </c>
      <c r="F69" s="32">
        <f>SUMIFS('atm total'!Q:Q,'atm total'!C:C,B69,'atm total'!AM:AM,"CRM")</f>
        <v>0</v>
      </c>
      <c r="G69" s="32">
        <v>99.2</v>
      </c>
      <c r="H69" s="33" t="e">
        <f t="shared" si="20"/>
        <v>#DIV/0!</v>
      </c>
      <c r="I69" s="33" t="e">
        <f t="shared" si="21"/>
        <v>#DIV/0!</v>
      </c>
    </row>
    <row r="70" spans="1:9" x14ac:dyDescent="0.35">
      <c r="A70" s="32">
        <v>7</v>
      </c>
      <c r="B70" s="149" t="s">
        <v>94</v>
      </c>
      <c r="C70" s="32">
        <f>COUNTIFS('atm total'!C:C,B70,'atm total'!AM:AM,"CRM")</f>
        <v>0</v>
      </c>
      <c r="D70" s="32">
        <f>SUMIFS('atm total'!N:N,'atm total'!C:C,B70,'atm total'!AM:AM,"CRM")</f>
        <v>0</v>
      </c>
      <c r="E70" s="32">
        <f>SUMIFS('atm total'!O:O,'atm total'!C:C,B70,'atm total'!AM:AM,"CRM")</f>
        <v>0</v>
      </c>
      <c r="F70" s="32">
        <f>SUMIFS('atm total'!Q:Q,'atm total'!C:C,B70,'atm total'!AM:AM,"CRM")</f>
        <v>0</v>
      </c>
      <c r="G70" s="32">
        <v>99.2</v>
      </c>
      <c r="H70" s="33" t="e">
        <f t="shared" si="20"/>
        <v>#DIV/0!</v>
      </c>
      <c r="I70" s="33" t="e">
        <f t="shared" si="21"/>
        <v>#DIV/0!</v>
      </c>
    </row>
    <row r="71" spans="1:9" x14ac:dyDescent="0.35">
      <c r="A71" s="32">
        <v>8</v>
      </c>
      <c r="B71" s="149" t="s">
        <v>117</v>
      </c>
      <c r="C71" s="32">
        <f>COUNTIFS('atm total'!C:C,B71,'atm total'!AM:AM,"CRM")</f>
        <v>0</v>
      </c>
      <c r="D71" s="32">
        <f>SUMIFS('atm total'!N:N,'atm total'!C:C,B71,'atm total'!AM:AM,"CRM")</f>
        <v>0</v>
      </c>
      <c r="E71" s="32">
        <f>SUMIFS('atm total'!O:O,'atm total'!C:C,B71,'atm total'!AM:AM,"CRM")</f>
        <v>0</v>
      </c>
      <c r="F71" s="32">
        <f>SUMIFS('atm total'!Q:Q,'atm total'!C:C,B71,'atm total'!AM:AM,"CRM")</f>
        <v>0</v>
      </c>
      <c r="G71" s="32">
        <v>99.2</v>
      </c>
      <c r="H71" s="33" t="e">
        <f t="shared" si="20"/>
        <v>#DIV/0!</v>
      </c>
      <c r="I71" s="33" t="e">
        <f t="shared" si="21"/>
        <v>#DIV/0!</v>
      </c>
    </row>
    <row r="72" spans="1:9" x14ac:dyDescent="0.35">
      <c r="A72" s="32">
        <v>9</v>
      </c>
      <c r="B72" s="150" t="s">
        <v>71</v>
      </c>
      <c r="C72" s="32">
        <f>COUNTIFS('atm total'!C:C,B72,'atm total'!AM:AM,"CRM")</f>
        <v>0</v>
      </c>
      <c r="D72" s="32">
        <f>SUMIFS('atm total'!N:N,'atm total'!C:C,B72,'atm total'!AM:AM,"CRM")</f>
        <v>0</v>
      </c>
      <c r="E72" s="32">
        <f>SUMIFS('atm total'!O:O,'atm total'!C:C,B72,'atm total'!AM:AM,"CRM")</f>
        <v>0</v>
      </c>
      <c r="F72" s="32">
        <f>SUMIFS('atm total'!Q:Q,'atm total'!C:C,B72,'atm total'!AM:AM,"CRM")</f>
        <v>0</v>
      </c>
      <c r="G72" s="32">
        <v>99.2</v>
      </c>
      <c r="H72" s="33" t="e">
        <f t="shared" si="20"/>
        <v>#DIV/0!</v>
      </c>
      <c r="I72" s="33" t="e">
        <f t="shared" si="21"/>
        <v>#DIV/0!</v>
      </c>
    </row>
    <row r="73" spans="1:9" x14ac:dyDescent="0.35">
      <c r="A73" s="32">
        <v>10</v>
      </c>
      <c r="B73" s="150" t="s">
        <v>128</v>
      </c>
      <c r="C73" s="32">
        <f>COUNTIFS('atm total'!C:C,B73,'atm total'!AM:AM,"CRM")</f>
        <v>0</v>
      </c>
      <c r="D73" s="32">
        <f>SUMIFS('atm total'!N:N,'atm total'!C:C,B73,'atm total'!AM:AM,"CRM")</f>
        <v>0</v>
      </c>
      <c r="E73" s="32">
        <f>SUMIFS('atm total'!O:O,'atm total'!C:C,B73,'atm total'!AM:AM,"CRM")</f>
        <v>0</v>
      </c>
      <c r="F73" s="32">
        <f>SUMIFS('atm total'!Q:Q,'atm total'!C:C,B73,'atm total'!AM:AM,"CRM")</f>
        <v>0</v>
      </c>
      <c r="G73" s="32">
        <v>99.2</v>
      </c>
      <c r="H73" s="33" t="e">
        <f t="shared" si="20"/>
        <v>#DIV/0!</v>
      </c>
      <c r="I73" s="33" t="e">
        <f t="shared" si="21"/>
        <v>#DIV/0!</v>
      </c>
    </row>
    <row r="74" spans="1:9" s="48" customFormat="1" x14ac:dyDescent="0.35">
      <c r="A74" s="32">
        <v>11</v>
      </c>
      <c r="B74" s="150" t="s">
        <v>565</v>
      </c>
      <c r="C74" s="32">
        <f>COUNTIFS('atm total'!C:C,B74,'atm total'!AM:AM,"CRM")</f>
        <v>0</v>
      </c>
      <c r="D74" s="32">
        <f>SUMIFS('atm total'!N:N,'atm total'!C:C,B74,'atm total'!AM:AM,"CRM")</f>
        <v>0</v>
      </c>
      <c r="E74" s="32">
        <f>SUMIFS('atm total'!O:O,'atm total'!C:C,B74,'atm total'!AM:AM,"CRM")</f>
        <v>0</v>
      </c>
      <c r="F74" s="32">
        <f>SUMIFS('atm total'!Q:Q,'atm total'!C:C,B74,'atm total'!AM:AM,"CRM")</f>
        <v>0</v>
      </c>
      <c r="G74" s="32">
        <v>99.2</v>
      </c>
      <c r="H74" s="33" t="e">
        <f t="shared" si="20"/>
        <v>#DIV/0!</v>
      </c>
      <c r="I74" s="33" t="e">
        <f t="shared" si="21"/>
        <v>#DIV/0!</v>
      </c>
    </row>
    <row r="75" spans="1:9" s="48" customFormat="1" x14ac:dyDescent="0.35">
      <c r="A75" s="32">
        <v>12</v>
      </c>
      <c r="B75" s="150" t="s">
        <v>820</v>
      </c>
      <c r="C75" s="32">
        <f>COUNTIFS('atm total'!C:C,B75,'atm total'!AM:AM,"CRM")</f>
        <v>0</v>
      </c>
      <c r="D75" s="32">
        <f>SUMIFS('atm total'!N:N,'atm total'!C:C,B75,'atm total'!AM:AM,"CRM")</f>
        <v>0</v>
      </c>
      <c r="E75" s="32">
        <f>SUMIFS('atm total'!O:O,'atm total'!C:C,B75,'atm total'!AM:AM,"CRM")</f>
        <v>0</v>
      </c>
      <c r="F75" s="32">
        <f>SUMIFS('atm total'!Q:Q,'atm total'!C:C,B75,'atm total'!AM:AM,"CRM")</f>
        <v>0</v>
      </c>
      <c r="G75" s="32">
        <v>99.2</v>
      </c>
      <c r="H75" s="33" t="e">
        <f t="shared" ref="H75" si="22">100-I75</f>
        <v>#DIV/0!</v>
      </c>
      <c r="I75" s="33" t="e">
        <f t="shared" ref="I75" si="23">(E75/F75)*100</f>
        <v>#DIV/0!</v>
      </c>
    </row>
    <row r="76" spans="1:9" s="48" customFormat="1" x14ac:dyDescent="0.35">
      <c r="A76" s="32">
        <v>13</v>
      </c>
      <c r="B76" s="149" t="s">
        <v>3376</v>
      </c>
      <c r="C76" s="32">
        <f>COUNTIFS('atm total'!C:C,B76,'atm total'!AM:AM,"CRM")</f>
        <v>0</v>
      </c>
      <c r="D76" s="32">
        <f>SUMIFS('atm total'!N:N,'atm total'!C:C,B76,'atm total'!AM:AM,"CRM")</f>
        <v>0</v>
      </c>
      <c r="E76" s="32">
        <f>SUMIFS('atm total'!O:O,'atm total'!C:C,B76,'atm total'!AM:AM,"CRM")</f>
        <v>0</v>
      </c>
      <c r="F76" s="32">
        <f>SUMIFS('atm total'!Q:Q,'atm total'!C:C,B76,'atm total'!AM:AM,"CRM")</f>
        <v>0</v>
      </c>
      <c r="G76" s="32">
        <v>99.2</v>
      </c>
      <c r="H76" s="33" t="e">
        <f t="shared" ref="H76" si="24">100-I76</f>
        <v>#DIV/0!</v>
      </c>
      <c r="I76" s="33" t="e">
        <f t="shared" ref="I76" si="25">(E76/F76)*100</f>
        <v>#DIV/0!</v>
      </c>
    </row>
    <row r="77" spans="1:9" s="48" customFormat="1" x14ac:dyDescent="0.35">
      <c r="A77" s="32">
        <v>14</v>
      </c>
      <c r="B77" s="150" t="s">
        <v>1515</v>
      </c>
      <c r="C77" s="32">
        <f>COUNTIFS('atm total'!C:C,B77,'atm total'!AM:AM,"CRM")</f>
        <v>0</v>
      </c>
      <c r="D77" s="32">
        <f>SUMIFS('atm total'!N:N,'atm total'!C:C,B77,'atm total'!AM:AM,"CRM")</f>
        <v>0</v>
      </c>
      <c r="E77" s="32">
        <f>SUMIFS('atm total'!O:O,'atm total'!C:C,B77,'atm total'!AM:AM,"CRM")</f>
        <v>0</v>
      </c>
      <c r="F77" s="32">
        <f>SUMIFS('atm total'!Q:Q,'atm total'!C:C,B77,'atm total'!AM:AM,"CRM")</f>
        <v>0</v>
      </c>
      <c r="G77" s="32">
        <v>99.2</v>
      </c>
      <c r="H77" s="33" t="e">
        <f t="shared" ref="H77" si="26">100-I77</f>
        <v>#DIV/0!</v>
      </c>
      <c r="I77" s="33" t="e">
        <f t="shared" ref="I77" si="27">(E77/F77)*100</f>
        <v>#DIV/0!</v>
      </c>
    </row>
    <row r="78" spans="1:9" x14ac:dyDescent="0.35">
      <c r="A78" s="32">
        <v>15</v>
      </c>
      <c r="B78" s="149" t="s">
        <v>100</v>
      </c>
      <c r="C78" s="32">
        <f>COUNTIFS('atm total'!C:C,B78,'atm total'!AM:AM,"CRM")</f>
        <v>0</v>
      </c>
      <c r="D78" s="32">
        <f>SUMIFS('atm total'!N:N,'atm total'!C:C,B78,'atm total'!AM:AM,"CRM")</f>
        <v>0</v>
      </c>
      <c r="E78" s="32">
        <f>SUMIFS('atm total'!O:O,'atm total'!C:C,B78,'atm total'!AM:AM,"CRM")</f>
        <v>0</v>
      </c>
      <c r="F78" s="32">
        <f>SUMIFS('atm total'!Q:Q,'atm total'!C:C,B78,'atm total'!AM:AM,"CRM")</f>
        <v>0</v>
      </c>
      <c r="G78" s="32">
        <v>99.2</v>
      </c>
      <c r="H78" s="33" t="e">
        <f t="shared" si="20"/>
        <v>#DIV/0!</v>
      </c>
      <c r="I78" s="33" t="e">
        <f t="shared" si="21"/>
        <v>#DIV/0!</v>
      </c>
    </row>
    <row r="79" spans="1:9" x14ac:dyDescent="0.35">
      <c r="A79" s="32">
        <v>16</v>
      </c>
      <c r="B79" s="149" t="s">
        <v>81</v>
      </c>
      <c r="C79" s="32">
        <f>COUNTIFS('atm total'!C:C,B79,'atm total'!AM:AM,"CRM")</f>
        <v>0</v>
      </c>
      <c r="D79" s="32">
        <f>SUMIFS('atm total'!N:N,'atm total'!C:C,B79,'atm total'!AM:AM,"CRM")</f>
        <v>0</v>
      </c>
      <c r="E79" s="32">
        <f>SUMIFS('atm total'!O:O,'atm total'!C:C,B79,'atm total'!AM:AM,"CRM")</f>
        <v>0</v>
      </c>
      <c r="F79" s="32">
        <f>SUMIFS('atm total'!Q:Q,'atm total'!C:C,B79,'atm total'!AM:AM,"CRM")</f>
        <v>0</v>
      </c>
      <c r="G79" s="32">
        <v>99.2</v>
      </c>
      <c r="H79" s="33" t="e">
        <f t="shared" si="20"/>
        <v>#DIV/0!</v>
      </c>
      <c r="I79" s="33" t="e">
        <f t="shared" si="21"/>
        <v>#DIV/0!</v>
      </c>
    </row>
    <row r="80" spans="1:9" x14ac:dyDescent="0.35">
      <c r="A80" s="32">
        <v>17</v>
      </c>
      <c r="B80" s="149" t="s">
        <v>66</v>
      </c>
      <c r="C80" s="32">
        <f>COUNTIFS('atm total'!C:C,B80,'atm total'!AM:AM,"CRM")</f>
        <v>0</v>
      </c>
      <c r="D80" s="32">
        <f>SUMIFS('atm total'!N:N,'atm total'!C:C,B80,'atm total'!AM:AM,"CRM")</f>
        <v>0</v>
      </c>
      <c r="E80" s="32">
        <f>SUMIFS('atm total'!O:O,'atm total'!C:C,B80,'atm total'!AM:AM,"CRM")</f>
        <v>0</v>
      </c>
      <c r="F80" s="32">
        <f>SUMIFS('atm total'!Q:Q,'atm total'!C:C,B80,'atm total'!AM:AM,"CRM")</f>
        <v>0</v>
      </c>
      <c r="G80" s="32">
        <v>99.2</v>
      </c>
      <c r="H80" s="33" t="e">
        <f t="shared" si="20"/>
        <v>#DIV/0!</v>
      </c>
      <c r="I80" s="33" t="e">
        <f t="shared" si="21"/>
        <v>#DIV/0!</v>
      </c>
    </row>
    <row r="81" spans="1:9" x14ac:dyDescent="0.35">
      <c r="A81" s="32">
        <v>18</v>
      </c>
      <c r="B81" s="150" t="s">
        <v>135</v>
      </c>
      <c r="C81" s="32">
        <f>COUNTIFS('atm total'!C:C,B81,'atm total'!AM:AM,"CRM")</f>
        <v>0</v>
      </c>
      <c r="D81" s="32">
        <f>SUMIFS('atm total'!N:N,'atm total'!C:C,B81,'atm total'!AM:AM,"CRM")</f>
        <v>0</v>
      </c>
      <c r="E81" s="32">
        <f>SUMIFS('atm total'!O:O,'atm total'!C:C,B81,'atm total'!AM:AM,"CRM")</f>
        <v>0</v>
      </c>
      <c r="F81" s="32">
        <f>SUMIFS('atm total'!Q:Q,'atm total'!C:C,B81,'atm total'!AM:AM,"CRM")</f>
        <v>0</v>
      </c>
      <c r="G81" s="32">
        <v>99.2</v>
      </c>
      <c r="H81" s="33" t="e">
        <f t="shared" si="20"/>
        <v>#DIV/0!</v>
      </c>
      <c r="I81" s="33" t="e">
        <f t="shared" si="21"/>
        <v>#DIV/0!</v>
      </c>
    </row>
    <row r="82" spans="1:9" x14ac:dyDescent="0.35">
      <c r="A82" s="32">
        <v>19</v>
      </c>
      <c r="B82" s="149" t="s">
        <v>111</v>
      </c>
      <c r="C82" s="32">
        <f>COUNTIFS('atm total'!C:C,B82,'atm total'!AM:AM,"CRM")</f>
        <v>0</v>
      </c>
      <c r="D82" s="32">
        <f>SUMIFS('atm total'!N:N,'atm total'!C:C,B82,'atm total'!AM:AM,"CRM")</f>
        <v>0</v>
      </c>
      <c r="E82" s="32">
        <f>SUMIFS('atm total'!O:O,'atm total'!C:C,B82,'atm total'!AM:AM,"CRM")</f>
        <v>0</v>
      </c>
      <c r="F82" s="32">
        <f>SUMIFS('atm total'!Q:Q,'atm total'!C:C,B82,'atm total'!AM:AM,"CRM")</f>
        <v>0</v>
      </c>
      <c r="G82" s="32">
        <v>99.2</v>
      </c>
      <c r="H82" s="33" t="e">
        <f t="shared" si="20"/>
        <v>#DIV/0!</v>
      </c>
      <c r="I82" s="33" t="e">
        <f t="shared" si="21"/>
        <v>#DIV/0!</v>
      </c>
    </row>
    <row r="83" spans="1:9" x14ac:dyDescent="0.35">
      <c r="B83" s="3"/>
      <c r="C83" s="4"/>
      <c r="D83" s="4"/>
      <c r="E83" s="4"/>
      <c r="F83" s="4"/>
      <c r="G83" s="4"/>
      <c r="H83" s="5"/>
      <c r="I83" s="5"/>
    </row>
    <row r="84" spans="1:9" x14ac:dyDescent="0.35">
      <c r="B84" s="28" t="s">
        <v>33</v>
      </c>
      <c r="C84" s="29">
        <f>SUM(C64:C82)</f>
        <v>0</v>
      </c>
      <c r="D84" s="29">
        <f>SUM(D64:D82)</f>
        <v>0</v>
      </c>
      <c r="E84" s="29">
        <f>SUM(E64:E82)</f>
        <v>0</v>
      </c>
      <c r="F84" s="29">
        <f>SUM(F64:F82)</f>
        <v>0</v>
      </c>
      <c r="G84" s="29">
        <v>99.2</v>
      </c>
      <c r="H84" s="30" t="e">
        <f>100-I84</f>
        <v>#DIV/0!</v>
      </c>
      <c r="I84" s="30" t="e">
        <f>(E84/F84)*100</f>
        <v>#DIV/0!</v>
      </c>
    </row>
    <row r="86" spans="1:9" ht="21" x14ac:dyDescent="0.35">
      <c r="A86" s="182" t="s">
        <v>3446</v>
      </c>
      <c r="B86" s="182"/>
      <c r="C86" s="182"/>
      <c r="D86" s="182"/>
      <c r="E86" s="182"/>
      <c r="F86" s="182"/>
      <c r="G86" s="182"/>
      <c r="H86" s="182"/>
      <c r="I86" s="182"/>
    </row>
    <row r="88" spans="1:9" x14ac:dyDescent="0.35">
      <c r="A88" s="24" t="s">
        <v>26</v>
      </c>
      <c r="B88" s="24" t="s">
        <v>34</v>
      </c>
      <c r="C88" s="24" t="s">
        <v>36</v>
      </c>
      <c r="D88" s="24" t="s">
        <v>27</v>
      </c>
      <c r="E88" s="24" t="s">
        <v>28</v>
      </c>
      <c r="F88" s="24" t="s">
        <v>29</v>
      </c>
      <c r="G88" s="24" t="s">
        <v>30</v>
      </c>
      <c r="H88" s="24" t="s">
        <v>31</v>
      </c>
      <c r="I88" s="24" t="s">
        <v>32</v>
      </c>
    </row>
    <row r="89" spans="1:9" x14ac:dyDescent="0.35">
      <c r="A89" s="32">
        <v>1</v>
      </c>
      <c r="B89" s="149" t="s">
        <v>237</v>
      </c>
      <c r="C89" s="32">
        <f>COUNTIFS('atm total'!C:C,B89,'atm total'!I:I,"ATMS")</f>
        <v>0</v>
      </c>
      <c r="D89" s="32">
        <f>SUMIFS('atm total'!N:N,'atm total'!C:C,B89,'atm total'!I:I,"ATMS")</f>
        <v>0</v>
      </c>
      <c r="E89" s="32">
        <f>SUMIFS('atm total'!O:O,'atm total'!C:C,B89,'atm total'!I:I,"ATMS")</f>
        <v>0</v>
      </c>
      <c r="F89" s="32">
        <f>SUMIFS('atm total'!Q:Q,'atm total'!C:C,B89,'atm total'!I:I,"ATMS")</f>
        <v>0</v>
      </c>
      <c r="G89" s="32">
        <v>99.75</v>
      </c>
      <c r="H89" s="33" t="e">
        <f>100-I89</f>
        <v>#DIV/0!</v>
      </c>
      <c r="I89" s="33" t="e">
        <f>(E89/F89)*100</f>
        <v>#DIV/0!</v>
      </c>
    </row>
    <row r="90" spans="1:9" x14ac:dyDescent="0.35">
      <c r="A90" s="32">
        <v>2</v>
      </c>
      <c r="B90" s="149" t="s">
        <v>86</v>
      </c>
      <c r="C90" s="32">
        <f>COUNTIFS('atm total'!C:C,B90,'atm total'!I:I,"ATMS")</f>
        <v>0</v>
      </c>
      <c r="D90" s="32">
        <f>SUMIFS('atm total'!N:N,'atm total'!C:C,B90,'atm total'!I:I,"ATMS")</f>
        <v>0</v>
      </c>
      <c r="E90" s="32">
        <f>SUMIFS('atm total'!O:O,'atm total'!C:C,B90,'atm total'!I:I,"ATMS")</f>
        <v>0</v>
      </c>
      <c r="F90" s="32">
        <f>SUMIFS('atm total'!Q:Q,'atm total'!C:C,B90,'atm total'!I:I,"ATMS")</f>
        <v>0</v>
      </c>
      <c r="G90" s="32">
        <v>99.75</v>
      </c>
      <c r="H90" s="33" t="e">
        <f t="shared" ref="H90:H106" si="28">100-I90</f>
        <v>#DIV/0!</v>
      </c>
      <c r="I90" s="33" t="e">
        <f t="shared" ref="I90:I106" si="29">(E90/F90)*100</f>
        <v>#DIV/0!</v>
      </c>
    </row>
    <row r="91" spans="1:9" x14ac:dyDescent="0.35">
      <c r="A91" s="32">
        <v>3</v>
      </c>
      <c r="B91" s="149" t="s">
        <v>102</v>
      </c>
      <c r="C91" s="32">
        <f>COUNTIFS('atm total'!C:C,B91,'atm total'!I:I,"ATMS")</f>
        <v>0</v>
      </c>
      <c r="D91" s="32">
        <f>SUMIFS('atm total'!N:N,'atm total'!C:C,B91,'atm total'!I:I,"ATMS")</f>
        <v>0</v>
      </c>
      <c r="E91" s="32">
        <f>SUMIFS('atm total'!O:O,'atm total'!C:C,B91,'atm total'!I:I,"ATMS")</f>
        <v>0</v>
      </c>
      <c r="F91" s="32">
        <f>SUMIFS('atm total'!Q:Q,'atm total'!C:C,B91,'atm total'!I:I,"ATMS")</f>
        <v>0</v>
      </c>
      <c r="G91" s="32">
        <v>99.75</v>
      </c>
      <c r="H91" s="33" t="e">
        <f t="shared" si="28"/>
        <v>#DIV/0!</v>
      </c>
      <c r="I91" s="33" t="e">
        <f t="shared" si="29"/>
        <v>#DIV/0!</v>
      </c>
    </row>
    <row r="92" spans="1:9" x14ac:dyDescent="0.35">
      <c r="A92" s="32">
        <v>4</v>
      </c>
      <c r="B92" s="151" t="s">
        <v>92</v>
      </c>
      <c r="C92" s="32">
        <f>COUNTIFS('atm total'!C:C,B92,'atm total'!I:I,"ATMS")</f>
        <v>0</v>
      </c>
      <c r="D92" s="32">
        <f>SUMIFS('atm total'!N:N,'atm total'!C:C,B92,'atm total'!I:I,"ATMS")</f>
        <v>0</v>
      </c>
      <c r="E92" s="32">
        <f>SUMIFS('atm total'!O:O,'atm total'!C:C,B92,'atm total'!I:I,"ATMS")</f>
        <v>0</v>
      </c>
      <c r="F92" s="32">
        <f>SUMIFS('atm total'!Q:Q,'atm total'!C:C,B92,'atm total'!I:I,"ATMS")</f>
        <v>0</v>
      </c>
      <c r="G92" s="32">
        <v>99.75</v>
      </c>
      <c r="H92" s="33" t="e">
        <f t="shared" si="28"/>
        <v>#DIV/0!</v>
      </c>
      <c r="I92" s="33" t="e">
        <f t="shared" si="29"/>
        <v>#DIV/0!</v>
      </c>
    </row>
    <row r="93" spans="1:9" x14ac:dyDescent="0.35">
      <c r="A93" s="32">
        <v>5</v>
      </c>
      <c r="B93" s="149" t="s">
        <v>78</v>
      </c>
      <c r="C93" s="32">
        <f>COUNTIFS('atm total'!C:C,B93,'atm total'!I:I,"ATMS")</f>
        <v>0</v>
      </c>
      <c r="D93" s="32">
        <f>SUMIFS('atm total'!N:N,'atm total'!C:C,B93,'atm total'!I:I,"ATMS")</f>
        <v>0</v>
      </c>
      <c r="E93" s="32">
        <f>SUMIFS('atm total'!O:O,'atm total'!C:C,B93,'atm total'!I:I,"ATMS")</f>
        <v>0</v>
      </c>
      <c r="F93" s="32">
        <f>SUMIFS('atm total'!Q:Q,'atm total'!C:C,B93,'atm total'!I:I,"ATMS")</f>
        <v>0</v>
      </c>
      <c r="G93" s="32">
        <v>99.75</v>
      </c>
      <c r="H93" s="33" t="e">
        <f t="shared" si="28"/>
        <v>#DIV/0!</v>
      </c>
      <c r="I93" s="33" t="e">
        <f t="shared" si="29"/>
        <v>#DIV/0!</v>
      </c>
    </row>
    <row r="94" spans="1:9" x14ac:dyDescent="0.35">
      <c r="A94" s="32">
        <v>6</v>
      </c>
      <c r="B94" s="150" t="s">
        <v>76</v>
      </c>
      <c r="C94" s="32">
        <f>COUNTIFS('atm total'!C:C,B94,'atm total'!I:I,"ATMS")</f>
        <v>0</v>
      </c>
      <c r="D94" s="32">
        <f>SUMIFS('atm total'!N:N,'atm total'!C:C,B94,'atm total'!I:I,"ATMS")</f>
        <v>0</v>
      </c>
      <c r="E94" s="32">
        <f>SUMIFS('atm total'!O:O,'atm total'!C:C,B94,'atm total'!I:I,"ATMS")</f>
        <v>0</v>
      </c>
      <c r="F94" s="32">
        <f>SUMIFS('atm total'!Q:Q,'atm total'!C:C,B94,'atm total'!I:I,"ATMS")</f>
        <v>0</v>
      </c>
      <c r="G94" s="32">
        <v>99.75</v>
      </c>
      <c r="H94" s="33" t="e">
        <f t="shared" si="28"/>
        <v>#DIV/0!</v>
      </c>
      <c r="I94" s="33" t="e">
        <f t="shared" si="29"/>
        <v>#DIV/0!</v>
      </c>
    </row>
    <row r="95" spans="1:9" x14ac:dyDescent="0.35">
      <c r="A95" s="32">
        <v>7</v>
      </c>
      <c r="B95" s="149" t="s">
        <v>1515</v>
      </c>
      <c r="C95" s="32">
        <f>COUNTIFS('atm total'!C:C,B95,'atm total'!I:I,"ATMS")</f>
        <v>0</v>
      </c>
      <c r="D95" s="32">
        <f>SUMIFS('atm total'!N:N,'atm total'!C:C,B95,'atm total'!I:I,"ATMS")</f>
        <v>0</v>
      </c>
      <c r="E95" s="32">
        <f>SUMIFS('atm total'!O:O,'atm total'!C:C,B95,'atm total'!I:I,"ATMS")</f>
        <v>0</v>
      </c>
      <c r="F95" s="32">
        <f>SUMIFS('atm total'!Q:Q,'atm total'!C:C,B95,'atm total'!I:I,"ATMS")</f>
        <v>0</v>
      </c>
      <c r="G95" s="32">
        <v>99.75</v>
      </c>
      <c r="H95" s="33" t="e">
        <f t="shared" si="28"/>
        <v>#DIV/0!</v>
      </c>
      <c r="I95" s="33" t="e">
        <f t="shared" si="29"/>
        <v>#DIV/0!</v>
      </c>
    </row>
    <row r="96" spans="1:9" x14ac:dyDescent="0.35">
      <c r="A96" s="32">
        <v>8</v>
      </c>
      <c r="B96" s="151" t="s">
        <v>117</v>
      </c>
      <c r="C96" s="32">
        <f>COUNTIFS('atm total'!C:C,B96,'atm total'!I:I,"ATMS")</f>
        <v>0</v>
      </c>
      <c r="D96" s="32">
        <f>SUMIFS('atm total'!N:N,'atm total'!C:C,B96,'atm total'!I:I,"ATMS")</f>
        <v>0</v>
      </c>
      <c r="E96" s="32">
        <f>SUMIFS('atm total'!O:O,'atm total'!C:C,B96,'atm total'!I:I,"ATMS")</f>
        <v>0</v>
      </c>
      <c r="F96" s="32">
        <f>SUMIFS('atm total'!Q:Q,'atm total'!C:C,B96,'atm total'!I:I,"ATMS")</f>
        <v>0</v>
      </c>
      <c r="G96" s="32">
        <v>99.75</v>
      </c>
      <c r="H96" s="33" t="e">
        <f t="shared" si="28"/>
        <v>#DIV/0!</v>
      </c>
      <c r="I96" s="33" t="e">
        <f t="shared" si="29"/>
        <v>#DIV/0!</v>
      </c>
    </row>
    <row r="97" spans="1:9" x14ac:dyDescent="0.35">
      <c r="A97" s="32">
        <v>9</v>
      </c>
      <c r="B97" s="150" t="s">
        <v>71</v>
      </c>
      <c r="C97" s="32">
        <f>COUNTIFS('atm total'!C:C,B97,'atm total'!I:I,"ATMS")</f>
        <v>0</v>
      </c>
      <c r="D97" s="32">
        <f>SUMIFS('atm total'!N:N,'atm total'!C:C,B97,'atm total'!I:I,"ATMS")</f>
        <v>0</v>
      </c>
      <c r="E97" s="32">
        <f>SUMIFS('atm total'!O:O,'atm total'!C:C,B97,'atm total'!I:I,"ATMS")</f>
        <v>0</v>
      </c>
      <c r="F97" s="32">
        <f>SUMIFS('atm total'!Q:Q,'atm total'!C:C,B97,'atm total'!I:I,"ATMS")</f>
        <v>0</v>
      </c>
      <c r="G97" s="32">
        <v>99.75</v>
      </c>
      <c r="H97" s="33" t="e">
        <f t="shared" si="28"/>
        <v>#DIV/0!</v>
      </c>
      <c r="I97" s="33" t="e">
        <f t="shared" si="29"/>
        <v>#DIV/0!</v>
      </c>
    </row>
    <row r="98" spans="1:9" x14ac:dyDescent="0.35">
      <c r="A98" s="32">
        <v>10</v>
      </c>
      <c r="B98" s="149" t="s">
        <v>128</v>
      </c>
      <c r="C98" s="32">
        <f>COUNTIFS('atm total'!C:C,B98,'atm total'!I:I,"ATMS")</f>
        <v>0</v>
      </c>
      <c r="D98" s="32">
        <f>SUMIFS('atm total'!N:N,'atm total'!C:C,B98,'atm total'!I:I,"ATMS")</f>
        <v>0</v>
      </c>
      <c r="E98" s="32">
        <f>SUMIFS('atm total'!O:O,'atm total'!C:C,B98,'atm total'!I:I,"ATMS")</f>
        <v>0</v>
      </c>
      <c r="F98" s="32">
        <f>SUMIFS('atm total'!Q:Q,'atm total'!C:C,B98,'atm total'!I:I,"ATMS")</f>
        <v>0</v>
      </c>
      <c r="G98" s="32">
        <v>99.75</v>
      </c>
      <c r="H98" s="69" t="e">
        <f t="shared" si="28"/>
        <v>#DIV/0!</v>
      </c>
      <c r="I98" s="33" t="e">
        <f t="shared" si="29"/>
        <v>#DIV/0!</v>
      </c>
    </row>
    <row r="99" spans="1:9" x14ac:dyDescent="0.35">
      <c r="A99" s="32">
        <v>11</v>
      </c>
      <c r="B99" s="150" t="s">
        <v>565</v>
      </c>
      <c r="C99" s="32">
        <f>COUNTIFS('atm total'!C:C,B99,'atm total'!I:I,"ATMS")</f>
        <v>0</v>
      </c>
      <c r="D99" s="32">
        <f>SUMIFS('atm total'!N:N,'atm total'!C:C,B99,'atm total'!I:I,"ATMS")</f>
        <v>0</v>
      </c>
      <c r="E99" s="32">
        <f>SUMIFS('atm total'!O:O,'atm total'!C:C,B99,'atm total'!I:I,"ATMS")</f>
        <v>0</v>
      </c>
      <c r="F99" s="32">
        <f>SUMIFS('atm total'!Q:Q,'atm total'!C:C,B99,'atm total'!I:I,"ATMS")</f>
        <v>0</v>
      </c>
      <c r="G99" s="32">
        <v>99.75</v>
      </c>
      <c r="H99" s="69" t="e">
        <f t="shared" ref="H99" si="30">100-I99</f>
        <v>#DIV/0!</v>
      </c>
      <c r="I99" s="33" t="e">
        <f t="shared" ref="I99" si="31">(E99/F99)*100</f>
        <v>#DIV/0!</v>
      </c>
    </row>
    <row r="100" spans="1:9" x14ac:dyDescent="0.35">
      <c r="A100" s="32">
        <v>12</v>
      </c>
      <c r="B100" s="149" t="s">
        <v>820</v>
      </c>
      <c r="C100" s="32">
        <f>COUNTIFS('atm total'!C:C,B100,'atm total'!I:I,"ATMS")</f>
        <v>0</v>
      </c>
      <c r="D100" s="32">
        <f>SUMIFS('atm total'!N:N,'atm total'!C:C,B100,'atm total'!I:I,"ATMS")</f>
        <v>0</v>
      </c>
      <c r="E100" s="32">
        <f>SUMIFS('atm total'!O:O,'atm total'!C:C,B100,'atm total'!I:I,"ATMS")</f>
        <v>0</v>
      </c>
      <c r="F100" s="32">
        <f>SUMIFS('atm total'!Q:Q,'atm total'!C:C,B100,'atm total'!I:I,"ATMS")</f>
        <v>0</v>
      </c>
      <c r="G100" s="32">
        <v>99.75</v>
      </c>
      <c r="H100" s="69" t="e">
        <f t="shared" ref="H100" si="32">100-I100</f>
        <v>#DIV/0!</v>
      </c>
      <c r="I100" s="33" t="e">
        <f t="shared" ref="I100" si="33">(E100/F100)*100</f>
        <v>#DIV/0!</v>
      </c>
    </row>
    <row r="101" spans="1:9" x14ac:dyDescent="0.35">
      <c r="A101" s="32">
        <v>13</v>
      </c>
      <c r="B101" s="169" t="s">
        <v>3376</v>
      </c>
      <c r="C101" s="32">
        <f>COUNTIFS('atm total'!C:C,B101,'atm total'!I:I,"ATMS")</f>
        <v>0</v>
      </c>
      <c r="D101" s="32">
        <f>SUMIFS('atm total'!N:N,'atm total'!C:C,B101,'atm total'!I:I,"ATMS")</f>
        <v>0</v>
      </c>
      <c r="E101" s="32">
        <f>SUMIFS('atm total'!O:O,'atm total'!C:C,B101,'atm total'!I:I,"ATMS")</f>
        <v>0</v>
      </c>
      <c r="F101" s="32">
        <f>SUMIFS('atm total'!Q:Q,'atm total'!C:C,B101,'atm total'!I:I,"ATMS")</f>
        <v>0</v>
      </c>
      <c r="G101" s="32">
        <v>99.75</v>
      </c>
      <c r="H101" s="69" t="e">
        <f t="shared" ref="H101" si="34">100-I101</f>
        <v>#DIV/0!</v>
      </c>
      <c r="I101" s="33" t="e">
        <f t="shared" ref="I101" si="35">(E101/F101)*100</f>
        <v>#DIV/0!</v>
      </c>
    </row>
    <row r="102" spans="1:9" x14ac:dyDescent="0.35">
      <c r="A102" s="32">
        <v>14</v>
      </c>
      <c r="B102" s="149" t="s">
        <v>100</v>
      </c>
      <c r="C102" s="32">
        <f>COUNTIFS('atm total'!C:C,B102,'atm total'!I:I,"ATMS")</f>
        <v>0</v>
      </c>
      <c r="D102" s="32">
        <f>SUMIFS('atm total'!N:N,'atm total'!C:C,B102,'atm total'!I:I,"ATMS")</f>
        <v>0</v>
      </c>
      <c r="E102" s="32">
        <f>SUMIFS('atm total'!O:O,'atm total'!C:C,B102,'atm total'!I:I,"ATMS")</f>
        <v>0</v>
      </c>
      <c r="F102" s="32">
        <f>SUMIFS('atm total'!Q:Q,'atm total'!C:C,B102,'atm total'!I:I,"ATMS")</f>
        <v>0</v>
      </c>
      <c r="G102" s="32">
        <v>99.75</v>
      </c>
      <c r="H102" s="33" t="e">
        <f t="shared" si="28"/>
        <v>#DIV/0!</v>
      </c>
      <c r="I102" s="33" t="e">
        <f t="shared" si="29"/>
        <v>#DIV/0!</v>
      </c>
    </row>
    <row r="103" spans="1:9" x14ac:dyDescent="0.35">
      <c r="A103" s="32">
        <v>15</v>
      </c>
      <c r="B103" s="149" t="s">
        <v>81</v>
      </c>
      <c r="C103" s="32">
        <f>COUNTIFS('atm total'!C:C,B103,'atm total'!I:I,"ATMS")</f>
        <v>0</v>
      </c>
      <c r="D103" s="32">
        <f>SUMIFS('atm total'!N:N,'atm total'!C:C,B103,'atm total'!I:I,"ATMS")</f>
        <v>0</v>
      </c>
      <c r="E103" s="32">
        <f>SUMIFS('atm total'!O:O,'atm total'!C:C,B103,'atm total'!I:I,"ATMS")</f>
        <v>0</v>
      </c>
      <c r="F103" s="32">
        <f>SUMIFS('atm total'!Q:Q,'atm total'!C:C,B103,'atm total'!I:I,"ATMS")</f>
        <v>0</v>
      </c>
      <c r="G103" s="32">
        <v>99.75</v>
      </c>
      <c r="H103" s="33" t="e">
        <f t="shared" si="28"/>
        <v>#DIV/0!</v>
      </c>
      <c r="I103" s="33" t="e">
        <f t="shared" si="29"/>
        <v>#DIV/0!</v>
      </c>
    </row>
    <row r="104" spans="1:9" x14ac:dyDescent="0.35">
      <c r="A104" s="32">
        <v>16</v>
      </c>
      <c r="B104" s="149" t="s">
        <v>66</v>
      </c>
      <c r="C104" s="32">
        <f>COUNTIFS('atm total'!C:C,B104,'atm total'!I:I,"ATMS")</f>
        <v>0</v>
      </c>
      <c r="D104" s="32">
        <f>SUMIFS('atm total'!N:N,'atm total'!C:C,B104,'atm total'!I:I,"ATMS")</f>
        <v>0</v>
      </c>
      <c r="E104" s="32">
        <f>SUMIFS('atm total'!O:O,'atm total'!C:C,B104,'atm total'!I:I,"ATMS")</f>
        <v>0</v>
      </c>
      <c r="F104" s="32">
        <f>SUMIFS('atm total'!Q:Q,'atm total'!C:C,B104,'atm total'!I:I,"ATMS")</f>
        <v>0</v>
      </c>
      <c r="G104" s="32">
        <v>99.75</v>
      </c>
      <c r="H104" s="33" t="e">
        <f t="shared" si="28"/>
        <v>#DIV/0!</v>
      </c>
      <c r="I104" s="33" t="e">
        <f t="shared" si="29"/>
        <v>#DIV/0!</v>
      </c>
    </row>
    <row r="105" spans="1:9" x14ac:dyDescent="0.35">
      <c r="A105" s="32">
        <v>17</v>
      </c>
      <c r="B105" s="150" t="s">
        <v>135</v>
      </c>
      <c r="C105" s="32">
        <f>COUNTIFS('atm total'!C:C,B105,'atm total'!I:I,"ATMS")</f>
        <v>0</v>
      </c>
      <c r="D105" s="32">
        <f>SUMIFS('atm total'!N:N,'atm total'!C:C,B105,'atm total'!I:I,"ATMS")</f>
        <v>0</v>
      </c>
      <c r="E105" s="32">
        <f>SUMIFS('atm total'!O:O,'atm total'!C:C,B105,'atm total'!I:I,"ATMS")</f>
        <v>0</v>
      </c>
      <c r="F105" s="32">
        <f>SUMIFS('atm total'!Q:Q,'atm total'!C:C,B105,'atm total'!I:I,"ATMS")</f>
        <v>0</v>
      </c>
      <c r="G105" s="32">
        <v>99.75</v>
      </c>
      <c r="H105" s="33" t="e">
        <f t="shared" si="28"/>
        <v>#DIV/0!</v>
      </c>
      <c r="I105" s="33" t="e">
        <f t="shared" si="29"/>
        <v>#DIV/0!</v>
      </c>
    </row>
    <row r="106" spans="1:9" x14ac:dyDescent="0.35">
      <c r="A106" s="32">
        <v>18</v>
      </c>
      <c r="B106" s="149" t="s">
        <v>111</v>
      </c>
      <c r="C106" s="32">
        <f>COUNTIFS('atm total'!C:C,B106,'atm total'!I:I,"ATMS")</f>
        <v>0</v>
      </c>
      <c r="D106" s="32">
        <f>SUMIFS('atm total'!N:N,'atm total'!C:C,B106,'atm total'!I:I,"ATMS")</f>
        <v>0</v>
      </c>
      <c r="E106" s="32">
        <f>SUMIFS('atm total'!O:O,'atm total'!C:C,B106,'atm total'!I:I,"ATMS")</f>
        <v>0</v>
      </c>
      <c r="F106" s="32">
        <f>SUMIFS('atm total'!Q:Q,'atm total'!C:C,B106,'atm total'!I:I,"ATMS")</f>
        <v>0</v>
      </c>
      <c r="G106" s="32">
        <v>99.75</v>
      </c>
      <c r="H106" s="33" t="e">
        <f t="shared" si="28"/>
        <v>#DIV/0!</v>
      </c>
      <c r="I106" s="33" t="e">
        <f t="shared" si="29"/>
        <v>#DIV/0!</v>
      </c>
    </row>
    <row r="107" spans="1:9" x14ac:dyDescent="0.35">
      <c r="B107" s="3"/>
      <c r="C107" s="4"/>
      <c r="D107" s="4"/>
      <c r="E107" s="4"/>
      <c r="F107" s="4"/>
      <c r="G107" s="4"/>
      <c r="H107" s="5"/>
      <c r="I107" s="5"/>
    </row>
    <row r="108" spans="1:9" x14ac:dyDescent="0.35">
      <c r="B108" s="28" t="s">
        <v>33</v>
      </c>
      <c r="C108" s="29">
        <f>SUM(C89:C106)</f>
        <v>0</v>
      </c>
      <c r="D108" s="29">
        <f>SUM(D89:D106)</f>
        <v>0</v>
      </c>
      <c r="E108" s="29">
        <f>SUM(E89:E106)</f>
        <v>0</v>
      </c>
      <c r="F108" s="29">
        <f>SUM(F89:F106)</f>
        <v>0</v>
      </c>
      <c r="G108" s="29">
        <v>99.75</v>
      </c>
      <c r="H108" s="30" t="e">
        <f>100-I108</f>
        <v>#DIV/0!</v>
      </c>
      <c r="I108" s="30" t="e">
        <f>(E108/F108)*100</f>
        <v>#DIV/0!</v>
      </c>
    </row>
    <row r="111" spans="1:9" ht="21" x14ac:dyDescent="0.35">
      <c r="B111" s="182" t="s">
        <v>3447</v>
      </c>
      <c r="C111" s="182"/>
      <c r="D111" s="182"/>
      <c r="E111" s="182"/>
      <c r="F111" s="182"/>
      <c r="G111" s="182"/>
      <c r="H111" s="182"/>
      <c r="I111" s="182"/>
    </row>
    <row r="113" spans="1:9" x14ac:dyDescent="0.35">
      <c r="A113" s="24" t="s">
        <v>26</v>
      </c>
      <c r="B113" s="24" t="s">
        <v>562</v>
      </c>
      <c r="C113" s="24" t="s">
        <v>40</v>
      </c>
      <c r="D113" s="24" t="s">
        <v>27</v>
      </c>
      <c r="E113" s="24" t="s">
        <v>28</v>
      </c>
      <c r="F113" s="24" t="s">
        <v>29</v>
      </c>
      <c r="G113" s="24" t="s">
        <v>30</v>
      </c>
      <c r="H113" s="24" t="s">
        <v>31</v>
      </c>
      <c r="I113" s="24" t="s">
        <v>32</v>
      </c>
    </row>
    <row r="114" spans="1:9" x14ac:dyDescent="0.35">
      <c r="A114" s="32">
        <v>1</v>
      </c>
      <c r="B114" s="27" t="s">
        <v>70</v>
      </c>
      <c r="C114" s="32">
        <f>COUNTIFS('atm total'!AL:AL,B114,'atm total'!AM:AM,"ATM")</f>
        <v>0</v>
      </c>
      <c r="D114" s="32">
        <f>SUMIFS('atm total'!N:N,'atm total'!AL:AL,B114,'atm total'!AM:AM,"ATM")</f>
        <v>0</v>
      </c>
      <c r="E114" s="32">
        <f>SUMIFS('atm total'!O:O,'atm total'!AL:AL,B114,'atm total'!AM:AM,"ATM")</f>
        <v>0</v>
      </c>
      <c r="F114" s="32">
        <f>SUMIFS('atm total'!Q:Q,'atm total'!AL:AL,B114,'atm total'!AM:AM,"ATM")</f>
        <v>0</v>
      </c>
      <c r="G114" s="32">
        <v>99.75</v>
      </c>
      <c r="H114" s="33" t="e">
        <f>100-I114</f>
        <v>#DIV/0!</v>
      </c>
      <c r="I114" s="33" t="e">
        <f>(E114/F114)*100</f>
        <v>#DIV/0!</v>
      </c>
    </row>
    <row r="115" spans="1:9" x14ac:dyDescent="0.35">
      <c r="A115" s="32">
        <v>2</v>
      </c>
      <c r="B115" s="27" t="s">
        <v>75</v>
      </c>
      <c r="C115" s="32">
        <f>COUNTIFS('atm total'!AL:AL,B115,'atm total'!AM:AM,"ATM")</f>
        <v>0</v>
      </c>
      <c r="D115" s="32">
        <f>SUMIFS('atm total'!N:N,'atm total'!AL:AL,B115,'atm total'!AM:AM,"ATM")</f>
        <v>0</v>
      </c>
      <c r="E115" s="32">
        <f>SUMIFS('atm total'!O:O,'atm total'!AL:AL,B115,'atm total'!AM:AM,"ATM")</f>
        <v>0</v>
      </c>
      <c r="F115" s="32">
        <f>SUMIFS('atm total'!Q:Q,'atm total'!AL:AL,B115,'atm total'!AM:AM,"ATM")</f>
        <v>0</v>
      </c>
      <c r="G115" s="32">
        <v>99.75</v>
      </c>
      <c r="H115" s="33" t="e">
        <f>100-I115</f>
        <v>#DIV/0!</v>
      </c>
      <c r="I115" s="33" t="e">
        <f>(E115/F115)*100</f>
        <v>#DIV/0!</v>
      </c>
    </row>
    <row r="116" spans="1:9" x14ac:dyDescent="0.35">
      <c r="A116" s="32">
        <v>3</v>
      </c>
      <c r="B116" s="27" t="s">
        <v>115</v>
      </c>
      <c r="C116" s="32">
        <f>COUNTIFS('atm total'!AL:AL,B116,'atm total'!AM:AM,"ATM")</f>
        <v>0</v>
      </c>
      <c r="D116" s="32">
        <f>SUMIFS('atm total'!N:N,'atm total'!AL:AL,B116,'atm total'!AM:AM,"ATM")</f>
        <v>0</v>
      </c>
      <c r="E116" s="32">
        <f>SUMIFS('atm total'!O:O,'atm total'!AL:AL,B116,'atm total'!AM:AM,"ATM")</f>
        <v>0</v>
      </c>
      <c r="F116" s="32">
        <f>SUMIFS('atm total'!Q:Q,'atm total'!AL:AL,B116,'atm total'!AM:AM,"ATM")</f>
        <v>0</v>
      </c>
      <c r="G116" s="32">
        <v>99.75</v>
      </c>
      <c r="H116" s="33" t="e">
        <f>100-I116</f>
        <v>#DIV/0!</v>
      </c>
      <c r="I116" s="33" t="e">
        <f>(E116/F116)*100</f>
        <v>#DIV/0!</v>
      </c>
    </row>
    <row r="117" spans="1:9" x14ac:dyDescent="0.35">
      <c r="B117" s="3"/>
      <c r="C117" s="4"/>
      <c r="D117" s="4"/>
      <c r="E117" s="4"/>
      <c r="F117" s="4"/>
      <c r="G117" s="4"/>
      <c r="H117" s="5"/>
      <c r="I117" s="5"/>
    </row>
    <row r="118" spans="1:9" x14ac:dyDescent="0.35">
      <c r="B118" s="28" t="s">
        <v>33</v>
      </c>
      <c r="C118" s="29">
        <f>SUM(C114:C116)</f>
        <v>0</v>
      </c>
      <c r="D118" s="29">
        <f>SUM(D114:D116)</f>
        <v>0</v>
      </c>
      <c r="E118" s="29">
        <f>SUM(E114:E116)</f>
        <v>0</v>
      </c>
      <c r="F118" s="29">
        <f>SUM(F114:F116)</f>
        <v>0</v>
      </c>
      <c r="G118" s="29">
        <v>99.75</v>
      </c>
      <c r="H118" s="30" t="e">
        <f>100-I118</f>
        <v>#DIV/0!</v>
      </c>
      <c r="I118" s="30" t="e">
        <f>(E118/F118)*100</f>
        <v>#DIV/0!</v>
      </c>
    </row>
    <row r="120" spans="1:9" ht="21" x14ac:dyDescent="0.35">
      <c r="B120" s="182" t="s">
        <v>3448</v>
      </c>
      <c r="C120" s="182"/>
      <c r="D120" s="182"/>
      <c r="E120" s="182"/>
      <c r="F120" s="182"/>
      <c r="G120" s="182"/>
      <c r="H120" s="182"/>
      <c r="I120" s="182"/>
    </row>
    <row r="122" spans="1:9" x14ac:dyDescent="0.35">
      <c r="A122" s="24" t="s">
        <v>26</v>
      </c>
      <c r="B122" s="24" t="s">
        <v>562</v>
      </c>
      <c r="C122" s="24" t="s">
        <v>39</v>
      </c>
      <c r="D122" s="24" t="s">
        <v>27</v>
      </c>
      <c r="E122" s="24" t="s">
        <v>28</v>
      </c>
      <c r="F122" s="24" t="s">
        <v>29</v>
      </c>
      <c r="G122" s="24" t="s">
        <v>30</v>
      </c>
      <c r="H122" s="24" t="s">
        <v>31</v>
      </c>
      <c r="I122" s="24" t="s">
        <v>32</v>
      </c>
    </row>
    <row r="123" spans="1:9" x14ac:dyDescent="0.35">
      <c r="A123" s="32">
        <v>1</v>
      </c>
      <c r="B123" s="152" t="s">
        <v>70</v>
      </c>
      <c r="C123" s="32">
        <f>COUNTIFS('atm total'!AL:AL,B123,'atm total'!AM:AM,"CRM")</f>
        <v>0</v>
      </c>
      <c r="D123" s="32">
        <f>SUMIFS('atm total'!N:N,'atm total'!AL:AL,B123,'atm total'!AM:AM,"CRM")</f>
        <v>0</v>
      </c>
      <c r="E123" s="32">
        <f>SUMIFS('atm total'!O:O,'atm total'!AL:AL,B123,'atm total'!AM:AM,"CRM")</f>
        <v>0</v>
      </c>
      <c r="F123" s="32">
        <f>SUMIFS('atm total'!Q:Q,'atm total'!AL:AL,B123,'atm total'!AM:AM,"CRM")</f>
        <v>0</v>
      </c>
      <c r="G123" s="32">
        <v>99.2</v>
      </c>
      <c r="H123" s="69" t="e">
        <f>100-I123</f>
        <v>#DIV/0!</v>
      </c>
      <c r="I123" s="33" t="e">
        <f>(E123/F123)*100</f>
        <v>#DIV/0!</v>
      </c>
    </row>
    <row r="124" spans="1:9" x14ac:dyDescent="0.35">
      <c r="A124" s="32">
        <v>2</v>
      </c>
      <c r="B124" s="152" t="s">
        <v>75</v>
      </c>
      <c r="C124" s="32">
        <f>COUNTIFS('atm total'!AL:AL,B124,'atm total'!AM:AM,"CRM")</f>
        <v>0</v>
      </c>
      <c r="D124" s="32">
        <f>SUMIFS('atm total'!N:N,'atm total'!AL:AL,B124,'atm total'!AM:AM,"CRM")</f>
        <v>0</v>
      </c>
      <c r="E124" s="32">
        <f>SUMIFS('atm total'!O:O,'atm total'!AL:AL,B124,'atm total'!AM:AM,"CRM")</f>
        <v>0</v>
      </c>
      <c r="F124" s="32">
        <f>SUMIFS('atm total'!Q:Q,'atm total'!AL:AL,B124,'atm total'!AM:AM,"CRM")</f>
        <v>0</v>
      </c>
      <c r="G124" s="32">
        <v>99.2</v>
      </c>
      <c r="H124" s="33" t="e">
        <f>100-I124</f>
        <v>#DIV/0!</v>
      </c>
      <c r="I124" s="33" t="e">
        <f>(E124/F124)*100</f>
        <v>#DIV/0!</v>
      </c>
    </row>
    <row r="125" spans="1:9" x14ac:dyDescent="0.35">
      <c r="A125" s="32">
        <v>3</v>
      </c>
      <c r="B125" s="152" t="s">
        <v>115</v>
      </c>
      <c r="C125" s="32">
        <f>COUNTIFS('atm total'!AL:AL,B125,'atm total'!AM:AM,"CRM")</f>
        <v>0</v>
      </c>
      <c r="D125" s="32">
        <f>SUMIFS('atm total'!N:N,'atm total'!AL:AL,B125,'atm total'!AM:AM,"CRM")</f>
        <v>0</v>
      </c>
      <c r="E125" s="32">
        <f>SUMIFS('atm total'!O:O,'atm total'!AL:AL,B125,'atm total'!AM:AM,"CRM")</f>
        <v>0</v>
      </c>
      <c r="F125" s="32">
        <f>SUMIFS('atm total'!Q:Q,'atm total'!AL:AL,B125,'atm total'!AM:AM,"CRM")</f>
        <v>0</v>
      </c>
      <c r="G125" s="32">
        <v>99.2</v>
      </c>
      <c r="H125" s="33" t="e">
        <f>100-I125</f>
        <v>#DIV/0!</v>
      </c>
      <c r="I125" s="33" t="e">
        <f>(E125/F125)*100</f>
        <v>#DIV/0!</v>
      </c>
    </row>
    <row r="126" spans="1:9" x14ac:dyDescent="0.35">
      <c r="A126" s="31"/>
      <c r="B126" s="27"/>
      <c r="C126" s="32"/>
      <c r="D126" s="32"/>
      <c r="E126" s="32"/>
      <c r="F126" s="32"/>
      <c r="G126" s="32"/>
      <c r="H126" s="33"/>
      <c r="I126" s="33"/>
    </row>
    <row r="127" spans="1:9" x14ac:dyDescent="0.35">
      <c r="A127" s="48"/>
      <c r="B127" s="28" t="s">
        <v>33</v>
      </c>
      <c r="C127" s="29">
        <f>SUM(C123:C125)</f>
        <v>0</v>
      </c>
      <c r="D127" s="29">
        <f>SUM(D123:D125)</f>
        <v>0</v>
      </c>
      <c r="E127" s="29">
        <f>SUM(E123:E125)</f>
        <v>0</v>
      </c>
      <c r="F127" s="29">
        <f>SUM(F123:F125)</f>
        <v>0</v>
      </c>
      <c r="G127" s="29">
        <v>99.5</v>
      </c>
      <c r="H127" s="30" t="e">
        <f>100-I127</f>
        <v>#DIV/0!</v>
      </c>
      <c r="I127" s="30" t="e">
        <f>(E127/F127)*100</f>
        <v>#DIV/0!</v>
      </c>
    </row>
    <row r="129" spans="1:9" ht="21" x14ac:dyDescent="0.35">
      <c r="B129" s="182" t="s">
        <v>3449</v>
      </c>
      <c r="C129" s="182"/>
      <c r="D129" s="182"/>
      <c r="E129" s="182"/>
      <c r="F129" s="182"/>
      <c r="G129" s="182"/>
      <c r="H129" s="182"/>
      <c r="I129" s="182"/>
    </row>
    <row r="131" spans="1:9" x14ac:dyDescent="0.35">
      <c r="A131" s="24" t="s">
        <v>26</v>
      </c>
      <c r="B131" s="24" t="s">
        <v>563</v>
      </c>
      <c r="C131" s="24" t="s">
        <v>566</v>
      </c>
      <c r="D131" s="24" t="s">
        <v>27</v>
      </c>
      <c r="E131" s="24" t="s">
        <v>28</v>
      </c>
      <c r="F131" s="24" t="s">
        <v>29</v>
      </c>
      <c r="G131" s="24" t="s">
        <v>30</v>
      </c>
      <c r="H131" s="24" t="s">
        <v>31</v>
      </c>
      <c r="I131" s="24" t="s">
        <v>32</v>
      </c>
    </row>
    <row r="132" spans="1:9" x14ac:dyDescent="0.35">
      <c r="A132" s="32">
        <v>1</v>
      </c>
      <c r="B132" s="27" t="s">
        <v>96</v>
      </c>
      <c r="C132" s="32">
        <f>COUNTIFS('atm total'!J:J,B132,'atm total'!AM:AM,"ATM")</f>
        <v>0</v>
      </c>
      <c r="D132" s="32">
        <f>SUMIFS('atm total'!N:N,'atm total'!J:J,B132,'atm total'!AM:AM,"ATM")</f>
        <v>0</v>
      </c>
      <c r="E132" s="32">
        <f>SUMIFS('atm total'!O:O,'atm total'!J:J,B132,'atm total'!AM:AM,"ATM")</f>
        <v>0</v>
      </c>
      <c r="F132" s="32">
        <f>SUMIFS('atm total'!Q:Q,'atm total'!J:J,B132,'atm total'!AM:AM,"ATM")</f>
        <v>0</v>
      </c>
      <c r="G132" s="32">
        <v>99.75</v>
      </c>
      <c r="H132" s="33" t="e">
        <f t="shared" ref="H132:H141" si="36">100-I132</f>
        <v>#DIV/0!</v>
      </c>
      <c r="I132" s="33" t="e">
        <f t="shared" ref="I132:I141" si="37">(E132/F132)*100</f>
        <v>#DIV/0!</v>
      </c>
    </row>
    <row r="133" spans="1:9" x14ac:dyDescent="0.35">
      <c r="A133" s="32">
        <v>2</v>
      </c>
      <c r="B133" s="27" t="s">
        <v>67</v>
      </c>
      <c r="C133" s="32">
        <f>COUNTIFS('atm total'!J:J,B133,'atm total'!AM:AM,"ATM")</f>
        <v>0</v>
      </c>
      <c r="D133" s="32">
        <f>SUMIFS('atm total'!N:N,'atm total'!J:J,B133,'atm total'!AM:AM,"ATM")</f>
        <v>0</v>
      </c>
      <c r="E133" s="32">
        <f>SUMIFS('atm total'!O:O,'atm total'!J:J,B133,'atm total'!AM:AM,"ATM")</f>
        <v>0</v>
      </c>
      <c r="F133" s="32">
        <f>SUMIFS('atm total'!Q:Q,'atm total'!J:J,B133,'atm total'!AM:AM,"ATM")</f>
        <v>0</v>
      </c>
      <c r="G133" s="32">
        <v>99.75</v>
      </c>
      <c r="H133" s="33" t="e">
        <f t="shared" si="36"/>
        <v>#DIV/0!</v>
      </c>
      <c r="I133" s="33" t="e">
        <f t="shared" si="37"/>
        <v>#DIV/0!</v>
      </c>
    </row>
    <row r="134" spans="1:9" x14ac:dyDescent="0.35">
      <c r="A134" s="32">
        <v>3</v>
      </c>
      <c r="B134" s="153" t="s">
        <v>137</v>
      </c>
      <c r="C134" s="32">
        <f>COUNTIFS('atm total'!J:J,B134,'atm total'!AM:AM,"ATM")</f>
        <v>0</v>
      </c>
      <c r="D134" s="32">
        <f>SUMIFS('atm total'!N:N,'atm total'!J:J,B134,'atm total'!AM:AM,"ATM")</f>
        <v>0</v>
      </c>
      <c r="E134" s="32">
        <f>SUMIFS('atm total'!O:O,'atm total'!J:J,B134,'atm total'!AM:AM,"ATM")</f>
        <v>0</v>
      </c>
      <c r="F134" s="32">
        <f>SUMIFS('atm total'!Q:Q,'atm total'!J:J,B134,'atm total'!AM:AM,"ATM")</f>
        <v>0</v>
      </c>
      <c r="G134" s="32">
        <v>99.75</v>
      </c>
      <c r="H134" s="33" t="e">
        <f t="shared" si="36"/>
        <v>#DIV/0!</v>
      </c>
      <c r="I134" s="33" t="e">
        <f t="shared" si="37"/>
        <v>#DIV/0!</v>
      </c>
    </row>
    <row r="135" spans="1:9" x14ac:dyDescent="0.35">
      <c r="A135" s="32">
        <v>4</v>
      </c>
      <c r="B135" s="27" t="s">
        <v>113</v>
      </c>
      <c r="C135" s="32">
        <f>COUNTIFS('atm total'!J:J,B135,'atm total'!AM:AM,"ATM")</f>
        <v>0</v>
      </c>
      <c r="D135" s="32">
        <f>SUMIFS('atm total'!N:N,'atm total'!J:J,B135,'atm total'!AM:AM,"ATM")</f>
        <v>0</v>
      </c>
      <c r="E135" s="32">
        <f>SUMIFS('atm total'!O:O,'atm total'!J:J,B135,'atm total'!AM:AM,"ATM")</f>
        <v>0</v>
      </c>
      <c r="F135" s="32">
        <f>SUMIFS('atm total'!Q:Q,'atm total'!J:J,B135,'atm total'!AM:AM,"ATM")</f>
        <v>0</v>
      </c>
      <c r="G135" s="32">
        <v>99.75</v>
      </c>
      <c r="H135" s="33" t="e">
        <f t="shared" si="36"/>
        <v>#DIV/0!</v>
      </c>
      <c r="I135" s="33" t="e">
        <f t="shared" si="37"/>
        <v>#DIV/0!</v>
      </c>
    </row>
    <row r="136" spans="1:9" x14ac:dyDescent="0.35">
      <c r="A136" s="32">
        <v>5</v>
      </c>
      <c r="B136" s="27" t="s">
        <v>73</v>
      </c>
      <c r="C136" s="32">
        <f>COUNTIFS('atm total'!J:J,B136,'atm total'!AM:AM,"ATM")</f>
        <v>0</v>
      </c>
      <c r="D136" s="32">
        <f>SUMIFS('atm total'!N:N,'atm total'!J:J,B136,'atm total'!AM:AM,"ATM")</f>
        <v>0</v>
      </c>
      <c r="E136" s="32">
        <f>SUMIFS('atm total'!O:O,'atm total'!J:J,B136,'atm total'!AM:AM,"ATM")</f>
        <v>0</v>
      </c>
      <c r="F136" s="32">
        <f>SUMIFS('atm total'!Q:Q,'atm total'!J:J,B136,'atm total'!AM:AM,"ATM")</f>
        <v>0</v>
      </c>
      <c r="G136" s="32">
        <v>99.75</v>
      </c>
      <c r="H136" s="33" t="e">
        <f t="shared" si="36"/>
        <v>#DIV/0!</v>
      </c>
      <c r="I136" s="33" t="e">
        <f t="shared" si="37"/>
        <v>#DIV/0!</v>
      </c>
    </row>
    <row r="137" spans="1:9" x14ac:dyDescent="0.35">
      <c r="A137" s="32">
        <v>6</v>
      </c>
      <c r="B137" s="27" t="s">
        <v>427</v>
      </c>
      <c r="C137" s="32">
        <f>COUNTIFS('atm total'!J:J,B137,'atm total'!AM:AM,"ATM")</f>
        <v>0</v>
      </c>
      <c r="D137" s="32">
        <f>SUMIFS('atm total'!N:N,'atm total'!J:J,B137,'atm total'!AM:AM,"ATM")</f>
        <v>0</v>
      </c>
      <c r="E137" s="32">
        <f>SUMIFS('atm total'!O:O,'atm total'!J:J,B137,'atm total'!AM:AM,"ATM")</f>
        <v>0</v>
      </c>
      <c r="F137" s="32">
        <f>SUMIFS('atm total'!Q:Q,'atm total'!J:J,B137,'atm total'!AM:AM,"ATM")</f>
        <v>0</v>
      </c>
      <c r="G137" s="32">
        <v>99.75</v>
      </c>
      <c r="H137" s="33" t="e">
        <f t="shared" ref="H137:H138" si="38">100-I137</f>
        <v>#DIV/0!</v>
      </c>
      <c r="I137" s="33" t="e">
        <f t="shared" ref="I137:I138" si="39">(E137/F137)*100</f>
        <v>#DIV/0!</v>
      </c>
    </row>
    <row r="138" spans="1:9" x14ac:dyDescent="0.35">
      <c r="A138" s="32">
        <v>7</v>
      </c>
      <c r="B138" s="27" t="s">
        <v>424</v>
      </c>
      <c r="C138" s="32">
        <f>COUNTIFS('atm total'!J:J,B138,'atm total'!AM:AM,"ATM")</f>
        <v>0</v>
      </c>
      <c r="D138" s="32">
        <f>SUMIFS('atm total'!N:N,'atm total'!J:J,B138,'atm total'!AM:AM,"ATM")</f>
        <v>0</v>
      </c>
      <c r="E138" s="32">
        <f>SUMIFS('atm total'!O:O,'atm total'!J:J,B138,'atm total'!AM:AM,"ATM")</f>
        <v>0</v>
      </c>
      <c r="F138" s="32">
        <f>SUMIFS('atm total'!Q:Q,'atm total'!J:J,B138,'atm total'!AM:AM,"ATM")</f>
        <v>0</v>
      </c>
      <c r="G138" s="32">
        <v>99.75</v>
      </c>
      <c r="H138" s="33" t="e">
        <f t="shared" si="38"/>
        <v>#DIV/0!</v>
      </c>
      <c r="I138" s="33" t="e">
        <f t="shared" si="39"/>
        <v>#DIV/0!</v>
      </c>
    </row>
    <row r="139" spans="1:9" x14ac:dyDescent="0.35">
      <c r="A139" s="32">
        <v>8</v>
      </c>
      <c r="B139" s="27" t="s">
        <v>82</v>
      </c>
      <c r="C139" s="32">
        <f>COUNTIFS('atm total'!J:J,B139,'atm total'!AM:AM,"ATM")</f>
        <v>0</v>
      </c>
      <c r="D139" s="32">
        <f>SUMIFS('atm total'!N:N,'atm total'!J:J,B139,'atm total'!AM:AM,"ATM")</f>
        <v>0</v>
      </c>
      <c r="E139" s="32">
        <f>SUMIFS('atm total'!O:O,'atm total'!J:J,B139,'atm total'!AM:AM,"ATM")</f>
        <v>0</v>
      </c>
      <c r="F139" s="32">
        <f>SUMIFS('atm total'!Q:Q,'atm total'!J:J,B139,'atm total'!AM:AM,"ATM")</f>
        <v>0</v>
      </c>
      <c r="G139" s="32">
        <v>99.75</v>
      </c>
      <c r="H139" s="33" t="e">
        <f t="shared" si="36"/>
        <v>#DIV/0!</v>
      </c>
      <c r="I139" s="33" t="e">
        <f t="shared" si="37"/>
        <v>#DIV/0!</v>
      </c>
    </row>
    <row r="140" spans="1:9" x14ac:dyDescent="0.35">
      <c r="B140" s="3"/>
      <c r="C140" s="4"/>
      <c r="D140" s="4"/>
      <c r="E140" s="4"/>
      <c r="F140" s="4"/>
      <c r="G140" s="4"/>
      <c r="H140" s="5"/>
      <c r="I140" s="5"/>
    </row>
    <row r="141" spans="1:9" x14ac:dyDescent="0.35">
      <c r="B141" s="28" t="s">
        <v>33</v>
      </c>
      <c r="C141" s="29">
        <f>SUM(C132:C139)</f>
        <v>0</v>
      </c>
      <c r="D141" s="29">
        <f>SUM(D132:D139)</f>
        <v>0</v>
      </c>
      <c r="E141" s="29">
        <f>SUM(E132:E139)</f>
        <v>0</v>
      </c>
      <c r="F141" s="29">
        <f>SUM(F132:F139)</f>
        <v>0</v>
      </c>
      <c r="G141" s="29">
        <v>99.5</v>
      </c>
      <c r="H141" s="30" t="e">
        <f t="shared" si="36"/>
        <v>#DIV/0!</v>
      </c>
      <c r="I141" s="30" t="e">
        <f t="shared" si="37"/>
        <v>#DIV/0!</v>
      </c>
    </row>
    <row r="143" spans="1:9" ht="21" x14ac:dyDescent="0.35">
      <c r="B143" s="182" t="s">
        <v>3450</v>
      </c>
      <c r="C143" s="182"/>
      <c r="D143" s="182"/>
      <c r="E143" s="182"/>
      <c r="F143" s="182"/>
      <c r="G143" s="182"/>
      <c r="H143" s="182"/>
      <c r="I143" s="182"/>
    </row>
    <row r="145" spans="1:9" x14ac:dyDescent="0.35">
      <c r="A145" s="24" t="s">
        <v>26</v>
      </c>
      <c r="B145" s="24" t="s">
        <v>563</v>
      </c>
      <c r="C145" s="24" t="s">
        <v>39</v>
      </c>
      <c r="D145" s="24" t="s">
        <v>27</v>
      </c>
      <c r="E145" s="24" t="s">
        <v>28</v>
      </c>
      <c r="F145" s="24" t="s">
        <v>29</v>
      </c>
      <c r="G145" s="24" t="s">
        <v>30</v>
      </c>
      <c r="H145" s="24" t="s">
        <v>31</v>
      </c>
      <c r="I145" s="24" t="s">
        <v>32</v>
      </c>
    </row>
    <row r="146" spans="1:9" x14ac:dyDescent="0.35">
      <c r="A146" s="32">
        <v>1</v>
      </c>
      <c r="B146" s="154" t="s">
        <v>96</v>
      </c>
      <c r="C146" s="32">
        <f>COUNTIFS('atm total'!J:J,B146,'atm total'!AM:AM,"CRM")</f>
        <v>0</v>
      </c>
      <c r="D146" s="32">
        <f>SUMIFS('atm total'!N:N,'atm total'!J:J,B146,'atm total'!AM:AM,"CRM")</f>
        <v>0</v>
      </c>
      <c r="E146" s="32">
        <f>SUMIFS('atm total'!O:O,'atm total'!J:J,B146,'atm total'!AM:AM,"CRM")</f>
        <v>0</v>
      </c>
      <c r="F146" s="32">
        <f>SUMIFS('atm total'!Q:Q,'atm total'!J:J,B146,'atm total'!AM:AM,"CRM")</f>
        <v>0</v>
      </c>
      <c r="G146" s="32">
        <v>99.2</v>
      </c>
      <c r="H146" s="33" t="e">
        <f t="shared" ref="H146" si="40">100-I146</f>
        <v>#DIV/0!</v>
      </c>
      <c r="I146" s="33" t="e">
        <f t="shared" ref="I146" si="41">(E146/F146)*100</f>
        <v>#DIV/0!</v>
      </c>
    </row>
    <row r="147" spans="1:9" x14ac:dyDescent="0.35">
      <c r="A147" s="32">
        <v>2</v>
      </c>
      <c r="B147" s="149" t="s">
        <v>67</v>
      </c>
      <c r="C147" s="32">
        <f>COUNTIFS('atm total'!J:J,B147,'atm total'!AM:AM,"CRM")</f>
        <v>0</v>
      </c>
      <c r="D147" s="32">
        <f>SUMIFS('atm total'!N:N,'atm total'!J:J,B147,'atm total'!AM:AM,"CRM")</f>
        <v>0</v>
      </c>
      <c r="E147" s="32">
        <f>SUMIFS('atm total'!O:O,'atm total'!J:J,B147,'atm total'!AM:AM,"CRM")</f>
        <v>0</v>
      </c>
      <c r="F147" s="32">
        <f>SUMIFS('atm total'!Q:Q,'atm total'!J:J,B147,'atm total'!AM:AM,"CRM")</f>
        <v>0</v>
      </c>
      <c r="G147" s="32">
        <v>99.2</v>
      </c>
      <c r="H147" s="69" t="e">
        <f t="shared" ref="H147:H152" si="42">100-I147</f>
        <v>#DIV/0!</v>
      </c>
      <c r="I147" s="33" t="e">
        <f t="shared" ref="I147:I152" si="43">(E147/F147)*100</f>
        <v>#DIV/0!</v>
      </c>
    </row>
    <row r="148" spans="1:9" x14ac:dyDescent="0.35">
      <c r="A148" s="32">
        <v>3</v>
      </c>
      <c r="B148" s="150" t="s">
        <v>137</v>
      </c>
      <c r="C148" s="32">
        <f>COUNTIFS('atm total'!J:J,B148,'atm total'!AM:AM,"CRM")</f>
        <v>0</v>
      </c>
      <c r="D148" s="32">
        <f>SUMIFS('atm total'!N:N,'atm total'!J:J,B148,'atm total'!AM:AM,"CRM")</f>
        <v>0</v>
      </c>
      <c r="E148" s="32">
        <f>SUMIFS('atm total'!O:O,'atm total'!J:J,B148,'atm total'!AM:AM,"CRM")</f>
        <v>0</v>
      </c>
      <c r="F148" s="32">
        <f>SUMIFS('atm total'!Q:Q,'atm total'!J:J,B148,'atm total'!AM:AM,"CRM")</f>
        <v>0</v>
      </c>
      <c r="G148" s="32">
        <v>99.2</v>
      </c>
      <c r="H148" s="69" t="e">
        <f t="shared" si="42"/>
        <v>#DIV/0!</v>
      </c>
      <c r="I148" s="33" t="e">
        <f t="shared" si="43"/>
        <v>#DIV/0!</v>
      </c>
    </row>
    <row r="149" spans="1:9" x14ac:dyDescent="0.35">
      <c r="A149" s="32">
        <v>4</v>
      </c>
      <c r="B149" s="150" t="s">
        <v>113</v>
      </c>
      <c r="C149" s="32">
        <f>COUNTIFS('atm total'!J:J,B149,'atm total'!AM:AM,"CRM")</f>
        <v>0</v>
      </c>
      <c r="D149" s="32">
        <f>SUMIFS('atm total'!N:N,'atm total'!J:J,B149,'atm total'!AM:AM,"CRM")</f>
        <v>0</v>
      </c>
      <c r="E149" s="32">
        <f>SUMIFS('atm total'!O:O,'atm total'!J:J,B149,'atm total'!AM:AM,"CRM")</f>
        <v>0</v>
      </c>
      <c r="F149" s="32">
        <f>SUMIFS('atm total'!Q:Q,'atm total'!J:J,B149,'atm total'!AM:AM,"CRM")</f>
        <v>0</v>
      </c>
      <c r="G149" s="32">
        <v>99.2</v>
      </c>
      <c r="H149" s="33" t="e">
        <f t="shared" si="42"/>
        <v>#DIV/0!</v>
      </c>
      <c r="I149" s="33" t="e">
        <f t="shared" si="43"/>
        <v>#DIV/0!</v>
      </c>
    </row>
    <row r="150" spans="1:9" x14ac:dyDescent="0.35">
      <c r="A150" s="32">
        <v>5</v>
      </c>
      <c r="B150" s="150" t="s">
        <v>73</v>
      </c>
      <c r="C150" s="32">
        <f>COUNTIFS('atm total'!J:J,B150,'atm total'!AM:AM,"CRM")</f>
        <v>0</v>
      </c>
      <c r="D150" s="32">
        <f>SUMIFS('atm total'!N:N,'atm total'!J:J,B150,'atm total'!AM:AM,"CRM")</f>
        <v>0</v>
      </c>
      <c r="E150" s="32">
        <f>SUMIFS('atm total'!O:O,'atm total'!J:J,B150,'atm total'!AM:AM,"CRM")</f>
        <v>0</v>
      </c>
      <c r="F150" s="32">
        <f>SUMIFS('atm total'!Q:Q,'atm total'!J:J,B150,'atm total'!AM:AM,"CRM")</f>
        <v>0</v>
      </c>
      <c r="G150" s="32">
        <v>99.2</v>
      </c>
      <c r="H150" s="33" t="e">
        <f t="shared" si="42"/>
        <v>#DIV/0!</v>
      </c>
      <c r="I150" s="33" t="e">
        <f t="shared" si="43"/>
        <v>#DIV/0!</v>
      </c>
    </row>
    <row r="151" spans="1:9" x14ac:dyDescent="0.35">
      <c r="A151" s="32">
        <v>6</v>
      </c>
      <c r="B151" s="150" t="s">
        <v>427</v>
      </c>
      <c r="C151" s="32">
        <f>COUNTIFS('atm total'!J:J,B151,'atm total'!AM:AM,"CRM")</f>
        <v>0</v>
      </c>
      <c r="D151" s="32">
        <f>SUMIFS('atm total'!N:N,'atm total'!J:J,B151,'atm total'!AM:AM,"CRM")</f>
        <v>0</v>
      </c>
      <c r="E151" s="32">
        <f>SUMIFS('atm total'!O:O,'atm total'!J:J,B151,'atm total'!AM:AM,"CRM")</f>
        <v>0</v>
      </c>
      <c r="F151" s="32">
        <f>SUMIFS('atm total'!Q:Q,'atm total'!J:J,B151,'atm total'!AM:AM,"CRM")</f>
        <v>0</v>
      </c>
      <c r="G151" s="32">
        <v>99.2</v>
      </c>
      <c r="H151" s="33" t="e">
        <f t="shared" si="42"/>
        <v>#DIV/0!</v>
      </c>
      <c r="I151" s="33" t="e">
        <f t="shared" ref="I151" si="44">(E151/F151)*100</f>
        <v>#DIV/0!</v>
      </c>
    </row>
    <row r="152" spans="1:9" x14ac:dyDescent="0.35">
      <c r="A152" s="32">
        <v>7</v>
      </c>
      <c r="B152" s="149" t="s">
        <v>82</v>
      </c>
      <c r="C152" s="32">
        <f>COUNTIFS('atm total'!J:J,B152,'atm total'!AM:AM,"CRM")</f>
        <v>0</v>
      </c>
      <c r="D152" s="32">
        <f>SUMIFS('atm total'!N:N,'atm total'!J:J,B152,'atm total'!AM:AM,"CRM")</f>
        <v>0</v>
      </c>
      <c r="E152" s="32">
        <f>SUMIFS('atm total'!O:O,'atm total'!J:J,B152,'atm total'!AM:AM,"CRM")</f>
        <v>0</v>
      </c>
      <c r="F152" s="32">
        <f>SUMIFS('atm total'!Q:Q,'atm total'!J:J,B152,'atm total'!AM:AM,"CRM")</f>
        <v>0</v>
      </c>
      <c r="G152" s="32">
        <v>99.2</v>
      </c>
      <c r="H152" s="33" t="e">
        <f t="shared" si="42"/>
        <v>#DIV/0!</v>
      </c>
      <c r="I152" s="33" t="e">
        <f t="shared" si="43"/>
        <v>#DIV/0!</v>
      </c>
    </row>
    <row r="153" spans="1:9" x14ac:dyDescent="0.35">
      <c r="A153" s="32">
        <v>8</v>
      </c>
      <c r="B153" s="150" t="s">
        <v>424</v>
      </c>
      <c r="C153" s="32">
        <f>COUNTIFS('atm total'!J:J,B153,'atm total'!AM:AM,"CRM")</f>
        <v>0</v>
      </c>
      <c r="D153" s="32">
        <f>SUMIFS('atm total'!N:N,'atm total'!J:J,B153,'atm total'!AM:AM,"CRM")</f>
        <v>0</v>
      </c>
      <c r="E153" s="32">
        <f>SUMIFS('atm total'!O:O,'atm total'!J:J,B153,'atm total'!AM:AM,"CRM")</f>
        <v>0</v>
      </c>
      <c r="F153" s="32">
        <f>SUMIFS('atm total'!Q:Q,'atm total'!J:J,B153,'atm total'!AM:AM,"CRM")</f>
        <v>0</v>
      </c>
      <c r="G153" s="32">
        <v>99.2</v>
      </c>
      <c r="H153" s="33" t="e">
        <f t="shared" ref="H153" si="45">100-I153</f>
        <v>#DIV/0!</v>
      </c>
      <c r="I153" s="33" t="e">
        <f t="shared" ref="I153" si="46">(E153/F153)*100</f>
        <v>#DIV/0!</v>
      </c>
    </row>
    <row r="154" spans="1:9" x14ac:dyDescent="0.35">
      <c r="A154" s="32">
        <v>9</v>
      </c>
      <c r="B154" s="150" t="s">
        <v>1516</v>
      </c>
      <c r="C154" s="32">
        <f>COUNTIFS('atm total'!J:J,B154,'atm total'!AM:AM,"CRM")</f>
        <v>0</v>
      </c>
      <c r="D154" s="32">
        <f>SUMIFS('atm total'!N:N,'atm total'!J:J,B154,'atm total'!AM:AM,"CRM")</f>
        <v>0</v>
      </c>
      <c r="E154" s="32">
        <f>SUMIFS('atm total'!O:O,'atm total'!J:J,B154,'atm total'!AM:AM,"CRM")</f>
        <v>0</v>
      </c>
      <c r="F154" s="32">
        <f>SUMIFS('atm total'!Q:Q,'atm total'!J:J,B154,'atm total'!AM:AM,"CRM")</f>
        <v>0</v>
      </c>
      <c r="G154" s="32">
        <v>99.2</v>
      </c>
      <c r="H154" s="33" t="e">
        <f t="shared" ref="H154" si="47">100-I154</f>
        <v>#DIV/0!</v>
      </c>
      <c r="I154" s="33" t="e">
        <f t="shared" ref="I154" si="48">(E154/F154)*100</f>
        <v>#DIV/0!</v>
      </c>
    </row>
    <row r="155" spans="1:9" x14ac:dyDescent="0.35">
      <c r="B155" s="155" t="s">
        <v>33</v>
      </c>
      <c r="C155" s="156">
        <f>SUM(C146:C154)</f>
        <v>0</v>
      </c>
      <c r="D155" s="156">
        <f>SUM(D146:D154)</f>
        <v>0</v>
      </c>
      <c r="E155" s="156">
        <f>SUM(E146:E154)</f>
        <v>0</v>
      </c>
      <c r="F155" s="156">
        <f>SUM(F146:F154)</f>
        <v>0</v>
      </c>
      <c r="G155" s="156">
        <v>99.2</v>
      </c>
      <c r="H155" s="157" t="e">
        <f>100-I155</f>
        <v>#DIV/0!</v>
      </c>
      <c r="I155" s="157" t="e">
        <f>(E155/F155)*100</f>
        <v>#DIV/0!</v>
      </c>
    </row>
  </sheetData>
  <sortState xmlns:xlrd2="http://schemas.microsoft.com/office/spreadsheetml/2017/richdata2" ref="A64:I82">
    <sortCondition ref="A64:A82"/>
  </sortState>
  <mergeCells count="9">
    <mergeCell ref="B1:I1"/>
    <mergeCell ref="B111:I111"/>
    <mergeCell ref="B120:I120"/>
    <mergeCell ref="B129:I129"/>
    <mergeCell ref="B143:I143"/>
    <mergeCell ref="A86:I86"/>
    <mergeCell ref="A61:I61"/>
    <mergeCell ref="B15:I15"/>
    <mergeCell ref="B38:I38"/>
  </mergeCells>
  <conditionalFormatting sqref="H4:H9">
    <cfRule type="cellIs" dxfId="132" priority="12" operator="between">
      <formula>99.2</formula>
      <formula>100</formula>
    </cfRule>
    <cfRule type="cellIs" dxfId="131" priority="13" operator="between">
      <formula>99.2</formula>
      <formula>0</formula>
    </cfRule>
  </conditionalFormatting>
  <conditionalFormatting sqref="H18:H36">
    <cfRule type="cellIs" dxfId="130" priority="26" operator="between">
      <formula>99.2</formula>
      <formula>100</formula>
    </cfRule>
    <cfRule type="cellIs" dxfId="129" priority="27" operator="between">
      <formula>99.2</formula>
      <formula>0</formula>
    </cfRule>
  </conditionalFormatting>
  <conditionalFormatting sqref="H41:H60">
    <cfRule type="cellIs" dxfId="128" priority="24" operator="between">
      <formula>99.2</formula>
      <formula>100</formula>
    </cfRule>
    <cfRule type="cellIs" dxfId="127" priority="25" operator="between">
      <formula>99.19</formula>
      <formula>0</formula>
    </cfRule>
  </conditionalFormatting>
  <conditionalFormatting sqref="H64:H84">
    <cfRule type="cellIs" dxfId="126" priority="22" operator="between">
      <formula>99.2</formula>
      <formula>100</formula>
    </cfRule>
    <cfRule type="cellIs" dxfId="125" priority="23" operator="between">
      <formula>99.19</formula>
      <formula>0</formula>
    </cfRule>
  </conditionalFormatting>
  <conditionalFormatting sqref="H89:H108">
    <cfRule type="cellIs" dxfId="124" priority="20" operator="between">
      <formula>99.75</formula>
      <formula>100</formula>
    </cfRule>
    <cfRule type="cellIs" dxfId="123" priority="21" operator="between">
      <formula>99.75</formula>
      <formula>0</formula>
    </cfRule>
  </conditionalFormatting>
  <conditionalFormatting sqref="H114:H118 H123:H127">
    <cfRule type="cellIs" dxfId="122" priority="48" operator="between">
      <formula>99.2</formula>
      <formula>100</formula>
    </cfRule>
    <cfRule type="cellIs" dxfId="121" priority="49" operator="between">
      <formula>99.19</formula>
      <formula>0</formula>
    </cfRule>
  </conditionalFormatting>
  <conditionalFormatting sqref="H132:H141">
    <cfRule type="cellIs" dxfId="120" priority="16" operator="between">
      <formula>99.75</formula>
      <formula>100</formula>
    </cfRule>
    <cfRule type="cellIs" dxfId="119" priority="17" operator="between">
      <formula>99.74</formula>
      <formula>0</formula>
    </cfRule>
  </conditionalFormatting>
  <conditionalFormatting sqref="H146:H155">
    <cfRule type="cellIs" dxfId="118" priority="18" operator="between">
      <formula>99.2</formula>
      <formula>100</formula>
    </cfRule>
    <cfRule type="cellIs" dxfId="117" priority="19" operator="between">
      <formula>99.19</formula>
      <formula>0</formula>
    </cfRule>
  </conditionalFormatting>
  <conditionalFormatting sqref="I4:I9">
    <cfRule type="cellIs" dxfId="116" priority="11" operator="greaterThan">
      <formula>0.8</formula>
    </cfRule>
  </conditionalFormatting>
  <conditionalFormatting sqref="I18:I34 I36">
    <cfRule type="cellIs" dxfId="115" priority="9" operator="greaterThan">
      <formula>0.8</formula>
    </cfRule>
    <cfRule type="cellIs" dxfId="114" priority="10" operator="lessThan">
      <formula>0.8</formula>
    </cfRule>
  </conditionalFormatting>
  <conditionalFormatting sqref="I41:I57 I59">
    <cfRule type="cellIs" dxfId="113" priority="7" operator="greaterThan">
      <formula>0.8</formula>
    </cfRule>
    <cfRule type="cellIs" dxfId="112" priority="8" operator="lessThan">
      <formula>0.8</formula>
    </cfRule>
  </conditionalFormatting>
  <conditionalFormatting sqref="I64:I82 I84">
    <cfRule type="cellIs" dxfId="111" priority="5" operator="greaterThan">
      <formula>0.8</formula>
    </cfRule>
    <cfRule type="cellIs" dxfId="110" priority="6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70B1-6B9B-4A65-A3E4-9710C27491AF}">
  <sheetPr>
    <tabColor rgb="FF7030A0"/>
  </sheetPr>
  <dimension ref="A1:AR38"/>
  <sheetViews>
    <sheetView zoomScale="80" zoomScaleNormal="80" workbookViewId="0">
      <pane xSplit="13" topLeftCell="N1" activePane="topRight" state="frozen"/>
      <selection pane="topRight" activeCell="L6" sqref="L6"/>
    </sheetView>
  </sheetViews>
  <sheetFormatPr defaultRowHeight="14.5" x14ac:dyDescent="0.35"/>
  <cols>
    <col min="1" max="1" width="3.7265625" bestFit="1" customWidth="1"/>
    <col min="2" max="2" width="26.08984375" customWidth="1"/>
    <col min="3" max="3" width="5" bestFit="1" customWidth="1"/>
    <col min="4" max="6" width="9.81640625" hidden="1" customWidth="1"/>
    <col min="7" max="7" width="8.08984375" hidden="1" customWidth="1"/>
    <col min="8" max="8" width="7" hidden="1" customWidth="1"/>
    <col min="9" max="9" width="10.36328125" hidden="1" customWidth="1"/>
    <col min="10" max="23" width="8.08984375" customWidth="1"/>
    <col min="24" max="27" width="8.08984375" bestFit="1" customWidth="1"/>
  </cols>
  <sheetData>
    <row r="1" spans="1:44" ht="18.5" customHeight="1" x14ac:dyDescent="0.35">
      <c r="A1" s="183" t="s">
        <v>3451</v>
      </c>
      <c r="B1" s="183"/>
      <c r="C1" s="183"/>
      <c r="D1" s="183"/>
      <c r="E1" s="183"/>
      <c r="F1" s="183"/>
      <c r="G1" s="183"/>
      <c r="H1" s="183"/>
      <c r="I1" s="183"/>
      <c r="J1" s="113"/>
      <c r="K1" s="113"/>
      <c r="L1" s="113"/>
      <c r="M1" s="113"/>
      <c r="N1" s="113"/>
    </row>
    <row r="2" spans="1:44" x14ac:dyDescent="0.35">
      <c r="A2" s="183"/>
      <c r="B2" s="183"/>
      <c r="C2" s="183"/>
      <c r="D2" s="183"/>
      <c r="E2" s="183"/>
      <c r="F2" s="183"/>
      <c r="G2" s="183"/>
      <c r="H2" s="183"/>
      <c r="I2" s="183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V2" s="96"/>
    </row>
    <row r="3" spans="1:44" s="48" customFormat="1" ht="18.5" x14ac:dyDescent="0.35">
      <c r="A3" s="179"/>
      <c r="B3" s="178" t="s">
        <v>3395</v>
      </c>
      <c r="C3" s="179"/>
      <c r="D3" s="179"/>
      <c r="E3" s="179"/>
      <c r="F3" s="179"/>
      <c r="G3" s="179"/>
      <c r="H3" s="179"/>
      <c r="I3" s="179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V3" s="180"/>
    </row>
    <row r="4" spans="1:44" x14ac:dyDescent="0.35">
      <c r="A4" s="92"/>
      <c r="B4" s="123" t="s">
        <v>52</v>
      </c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109"/>
      <c r="O4" s="92"/>
      <c r="P4" s="92"/>
      <c r="Q4" s="92"/>
      <c r="R4" s="92"/>
      <c r="S4" s="92"/>
      <c r="T4" s="92"/>
    </row>
    <row r="5" spans="1:44" x14ac:dyDescent="0.35">
      <c r="A5" s="24" t="s">
        <v>26</v>
      </c>
      <c r="B5" s="24" t="s">
        <v>34</v>
      </c>
      <c r="C5" s="94" t="s">
        <v>38</v>
      </c>
      <c r="D5" s="94" t="s">
        <v>2038</v>
      </c>
      <c r="E5" s="112" t="s">
        <v>2039</v>
      </c>
      <c r="F5" s="94" t="s">
        <v>2037</v>
      </c>
      <c r="G5" s="94" t="s">
        <v>2036</v>
      </c>
      <c r="H5" s="94" t="s">
        <v>2035</v>
      </c>
      <c r="I5" s="94" t="s">
        <v>2040</v>
      </c>
      <c r="J5" s="94" t="s">
        <v>2045</v>
      </c>
      <c r="K5" s="94" t="s">
        <v>2049</v>
      </c>
      <c r="L5" s="94" t="s">
        <v>3400</v>
      </c>
      <c r="M5" s="94" t="s">
        <v>3441</v>
      </c>
      <c r="N5" s="93">
        <v>1</v>
      </c>
      <c r="O5" s="93">
        <v>2</v>
      </c>
      <c r="P5" s="93">
        <v>3</v>
      </c>
      <c r="Q5" s="93">
        <v>4</v>
      </c>
      <c r="R5" s="93">
        <v>5</v>
      </c>
      <c r="S5" s="93">
        <v>6</v>
      </c>
      <c r="T5" s="93">
        <v>7</v>
      </c>
      <c r="U5" s="93">
        <v>8</v>
      </c>
      <c r="V5" s="93">
        <v>9</v>
      </c>
      <c r="W5" s="93">
        <v>10</v>
      </c>
      <c r="X5" s="93">
        <v>11</v>
      </c>
      <c r="Y5" s="93">
        <v>12</v>
      </c>
      <c r="Z5" s="93">
        <v>13</v>
      </c>
      <c r="AA5" s="93">
        <v>14</v>
      </c>
      <c r="AB5" s="93">
        <v>15</v>
      </c>
      <c r="AC5" s="93">
        <v>16</v>
      </c>
      <c r="AD5" s="93">
        <v>17</v>
      </c>
      <c r="AE5" s="93">
        <v>18</v>
      </c>
      <c r="AF5" s="93">
        <v>19</v>
      </c>
      <c r="AG5" s="93">
        <v>20</v>
      </c>
      <c r="AH5" s="93">
        <v>21</v>
      </c>
      <c r="AI5" s="93">
        <v>22</v>
      </c>
      <c r="AJ5" s="93">
        <v>23</v>
      </c>
      <c r="AK5" s="93">
        <v>24</v>
      </c>
      <c r="AL5" s="93">
        <v>25</v>
      </c>
      <c r="AM5" s="93">
        <v>26</v>
      </c>
      <c r="AN5" s="93">
        <v>27</v>
      </c>
      <c r="AO5" s="93">
        <v>28</v>
      </c>
      <c r="AP5" s="93">
        <v>29</v>
      </c>
      <c r="AQ5" s="93">
        <v>30</v>
      </c>
      <c r="AR5" s="93">
        <v>31</v>
      </c>
    </row>
    <row r="6" spans="1:44" x14ac:dyDescent="0.35">
      <c r="A6" s="49">
        <v>1</v>
      </c>
      <c r="B6" s="170" t="s">
        <v>237</v>
      </c>
      <c r="C6" s="171">
        <f>COUNTIFS('atm total'!C:C,B6,'atm total'!AM:AM,"CRM")</f>
        <v>0</v>
      </c>
      <c r="D6" s="110">
        <v>99.238799283154123</v>
      </c>
      <c r="E6" s="110">
        <v>99.292658730158735</v>
      </c>
      <c r="F6" s="110">
        <v>99.015979689366787</v>
      </c>
      <c r="G6" s="110">
        <v>98.737808641975306</v>
      </c>
      <c r="H6" s="110">
        <v>99.392174432497015</v>
      </c>
      <c r="I6" s="110">
        <v>99.21404320987655</v>
      </c>
      <c r="J6" s="110">
        <v>99.395908004778974</v>
      </c>
      <c r="K6" s="110">
        <v>99.013142174432502</v>
      </c>
      <c r="L6" s="110">
        <v>99.497993827160499</v>
      </c>
      <c r="M6" s="110" t="e">
        <f>VLOOKUP(B6,'BALI NUSRA'!B64:H64,7,0)</f>
        <v>#DIV/0!</v>
      </c>
      <c r="N6" s="111" t="e">
        <f>AVERAGEIFS('1'!AJ:AJ,'1'!C:C,'UPTIME HARIAN'!B6,'1'!I:I,"CRM")</f>
        <v>#DIV/0!</v>
      </c>
      <c r="O6" s="111" t="e">
        <f>AVERAGEIFS('2'!AJ:AJ,'2'!C:C,'UPTIME HARIAN'!B6,'2'!I:I,"CRM")</f>
        <v>#DIV/0!</v>
      </c>
      <c r="P6" s="111" t="e">
        <f>AVERAGEIFS('3'!AJ:AJ,'3'!C:C,'UPTIME HARIAN'!B6,'3'!I:I,"CRM")</f>
        <v>#DIV/0!</v>
      </c>
      <c r="Q6" s="111" t="e">
        <f>AVERAGEIFS('4'!AJ:AJ,'4'!C:C,'UPTIME HARIAN'!B6,'4'!I:I,"CRM")</f>
        <v>#DIV/0!</v>
      </c>
      <c r="R6" s="111" t="e">
        <f>AVERAGEIFS('5'!AJ:AJ,'5'!C:C,'UPTIME HARIAN'!B6,'5'!I:I,"CRM")</f>
        <v>#DIV/0!</v>
      </c>
      <c r="S6" s="111" t="e">
        <f>AVERAGEIFS('6'!AJ:AJ,'6'!C:C,'UPTIME HARIAN'!B6,'6'!I:I,"CRM")</f>
        <v>#DIV/0!</v>
      </c>
      <c r="T6" s="111" t="e">
        <f>AVERAGEIFS('7'!AJ:AJ,'7'!C:C,'UPTIME HARIAN'!B6,'7'!I:I,"CRM")</f>
        <v>#DIV/0!</v>
      </c>
      <c r="U6" s="111" t="e">
        <f>AVERAGEIFS('8'!AJ:AJ,'8'!C:C,'UPTIME HARIAN'!B6,'8'!I:I,"CRM")</f>
        <v>#DIV/0!</v>
      </c>
      <c r="V6" s="111" t="e">
        <f>AVERAGEIFS('9'!AJ:AJ,'9'!C:C,'UPTIME HARIAN'!B6,'9'!I:I,"CRM")</f>
        <v>#DIV/0!</v>
      </c>
      <c r="W6" s="111" t="e">
        <f>AVERAGEIFS('10'!AJ:AJ,'10'!C:C,'UPTIME HARIAN'!B6,'10'!I:I,"CRM")</f>
        <v>#DIV/0!</v>
      </c>
      <c r="X6" s="111" t="e">
        <f>AVERAGEIFS('11'!AJ:AJ,'11'!C:C,'UPTIME HARIAN'!B6,'11'!I:I,"CRM")</f>
        <v>#DIV/0!</v>
      </c>
      <c r="Y6" s="111" t="e">
        <f>AVERAGEIFS('12'!AJ:AJ,'12'!C:C,'UPTIME HARIAN'!B6,'12'!I:I,"CRM")</f>
        <v>#DIV/0!</v>
      </c>
      <c r="Z6" s="111" t="e">
        <f>AVERAGEIFS('13'!AJ:AJ,'13'!C:C,'UPTIME HARIAN'!B6,'13'!I:I,"CRM")</f>
        <v>#DIV/0!</v>
      </c>
      <c r="AA6" s="111" t="e">
        <f>AVERAGEIFS('14'!AJ:AJ,'14'!C:C,'UPTIME HARIAN'!B6,'14'!I:I,"CRM")</f>
        <v>#DIV/0!</v>
      </c>
      <c r="AB6" s="111" t="e">
        <f>AVERAGEIFS('15'!AJ:AJ,'15'!C:C,'UPTIME HARIAN'!B6,'15'!I:I,"CRM")</f>
        <v>#DIV/0!</v>
      </c>
      <c r="AC6" s="111" t="e">
        <f>AVERAGEIFS('16'!AJ:AJ,'16'!C:C,'UPTIME HARIAN'!B6,'16'!I:I,"CRM")</f>
        <v>#DIV/0!</v>
      </c>
      <c r="AD6" s="111" t="e">
        <f>AVERAGEIFS('17'!AJ:AJ,'17'!C:C,'UPTIME HARIAN'!B6,'17'!I:I,"CRM")</f>
        <v>#DIV/0!</v>
      </c>
      <c r="AE6" s="111" t="e">
        <f>AVERAGEIFS('18'!AJ:AJ,'18'!C:C,'UPTIME HARIAN'!B6,'18'!I:I,"CRM")</f>
        <v>#DIV/0!</v>
      </c>
      <c r="AF6" s="111" t="e">
        <f>AVERAGEIFS('19'!AJ:AJ,'19'!C:C,'UPTIME HARIAN'!B6,'19'!I:I,"CRM")</f>
        <v>#DIV/0!</v>
      </c>
      <c r="AG6" s="111" t="e">
        <f>AVERAGEIFS('20'!AJ:AJ,'20'!C:C,'UPTIME HARIAN'!B6,'20'!I:I,"CRM")</f>
        <v>#DIV/0!</v>
      </c>
      <c r="AH6" s="111" t="e">
        <f>AVERAGEIFS('21'!AJ:AJ,'21'!C:C,'UPTIME HARIAN'!B6,'21'!I:I,"CRM")</f>
        <v>#DIV/0!</v>
      </c>
      <c r="AI6" s="111" t="e">
        <f>AVERAGEIFS('22'!AJ:AJ,'22'!C:C,'UPTIME HARIAN'!B6,'22'!I:I,"CRM")</f>
        <v>#DIV/0!</v>
      </c>
      <c r="AJ6" s="111" t="e">
        <f>AVERAGEIFS('23'!AJ:AJ,'23'!C:C,'UPTIME HARIAN'!B6,'23'!I:I,"CRM")</f>
        <v>#DIV/0!</v>
      </c>
      <c r="AK6" s="111" t="e">
        <f>AVERAGEIFS('24'!AJ:AJ,'24'!C:C,'UPTIME HARIAN'!B6,'24'!I:I,"CRM")</f>
        <v>#DIV/0!</v>
      </c>
      <c r="AL6" s="111" t="e">
        <f>AVERAGEIFS('25'!AJ:AJ,'25'!C:C,'UPTIME HARIAN'!B6,'25'!I:I,"CRM")</f>
        <v>#DIV/0!</v>
      </c>
      <c r="AM6" s="111" t="e">
        <f>AVERAGEIFS('26'!AJ:AJ,'26'!C:C,'UPTIME HARIAN'!B6,'26'!I:I,"CRM")</f>
        <v>#DIV/0!</v>
      </c>
      <c r="AN6" s="111" t="e">
        <f>AVERAGEIFS('27'!AJ:AJ,'27'!C:C,'UPTIME HARIAN'!B6,'27'!I:I,"CRM")</f>
        <v>#DIV/0!</v>
      </c>
      <c r="AO6" s="111" t="e">
        <f>AVERAGEIFS('28'!AJ:AJ,'28'!C:C,'UPTIME HARIAN'!B6,'28'!I:I,"CRM")</f>
        <v>#DIV/0!</v>
      </c>
      <c r="AP6" s="111" t="e">
        <f>AVERAGEIFS('29'!AJ:AJ,'29'!C:C,'UPTIME HARIAN'!B6,'29'!I:I,"CRM")</f>
        <v>#DIV/0!</v>
      </c>
      <c r="AQ6" s="111" t="e">
        <f>AVERAGEIFS('30'!AJ:AJ,'30'!C:C,'UPTIME HARIAN'!B6,'30'!I:I,"CRM")</f>
        <v>#DIV/0!</v>
      </c>
      <c r="AR6" s="111" t="e">
        <f>AVERAGEIFS('31'!AJ:AJ,'31'!C:C,'UPTIME HARIAN'!B6,'31'!I:I,"CRM")</f>
        <v>#DIV/0!</v>
      </c>
    </row>
    <row r="7" spans="1:44" x14ac:dyDescent="0.35">
      <c r="A7" s="49">
        <v>2</v>
      </c>
      <c r="B7" s="170" t="s">
        <v>86</v>
      </c>
      <c r="C7" s="171">
        <f>COUNTIFS('atm total'!C:C,B7,'atm total'!AM:AM,"CRM")</f>
        <v>0</v>
      </c>
      <c r="D7" s="110">
        <v>99.335565023331299</v>
      </c>
      <c r="E7" s="110">
        <v>98.712563641808927</v>
      </c>
      <c r="F7" s="110">
        <v>97.969162101846223</v>
      </c>
      <c r="G7" s="110">
        <v>99.263452131376653</v>
      </c>
      <c r="H7" s="110">
        <v>98.986609860012166</v>
      </c>
      <c r="I7" s="110">
        <v>99.083158630328441</v>
      </c>
      <c r="J7" s="110">
        <v>99.225333062825456</v>
      </c>
      <c r="K7" s="110">
        <v>99.302765943058091</v>
      </c>
      <c r="L7" s="110">
        <v>99.262753319357088</v>
      </c>
      <c r="M7" s="110" t="e">
        <f>VLOOKUP(B7,'BALI NUSRA'!B65:H65,7,0)</f>
        <v>#DIV/0!</v>
      </c>
      <c r="N7" s="111" t="e">
        <f>AVERAGEIFS('1'!AJ:AJ,'1'!C:C,'UPTIME HARIAN'!B7,'1'!I:I,"CRM")</f>
        <v>#DIV/0!</v>
      </c>
      <c r="O7" s="111" t="e">
        <f>AVERAGEIFS('2'!AJ:AJ,'2'!C:C,'UPTIME HARIAN'!B7,'2'!I:I,"CRM")</f>
        <v>#DIV/0!</v>
      </c>
      <c r="P7" s="111" t="e">
        <f>AVERAGEIFS('3'!AJ:AJ,'3'!C:C,'UPTIME HARIAN'!B7,'3'!I:I,"CRM")</f>
        <v>#DIV/0!</v>
      </c>
      <c r="Q7" s="111" t="e">
        <f>AVERAGEIFS('4'!AJ:AJ,'4'!C:C,'UPTIME HARIAN'!B7,'4'!I:I,"CRM")</f>
        <v>#DIV/0!</v>
      </c>
      <c r="R7" s="111" t="e">
        <f>AVERAGEIFS('5'!AJ:AJ,'5'!C:C,'UPTIME HARIAN'!B7,'5'!I:I,"CRM")</f>
        <v>#DIV/0!</v>
      </c>
      <c r="S7" s="111" t="e">
        <f>AVERAGEIFS('6'!AJ:AJ,'6'!C:C,'UPTIME HARIAN'!B7,'6'!I:I,"CRM")</f>
        <v>#DIV/0!</v>
      </c>
      <c r="T7" s="111" t="e">
        <f>AVERAGEIFS('7'!AJ:AJ,'7'!C:C,'UPTIME HARIAN'!B7,'7'!I:I,"CRM")</f>
        <v>#DIV/0!</v>
      </c>
      <c r="U7" s="111" t="e">
        <f>AVERAGEIFS('8'!AJ:AJ,'8'!C:C,'UPTIME HARIAN'!B7,'8'!I:I,"CRM")</f>
        <v>#DIV/0!</v>
      </c>
      <c r="V7" s="111" t="e">
        <f>AVERAGEIFS('9'!AJ:AJ,'9'!C:C,'UPTIME HARIAN'!B7,'9'!I:I,"CRM")</f>
        <v>#DIV/0!</v>
      </c>
      <c r="W7" s="111" t="e">
        <f>AVERAGEIFS('10'!AJ:AJ,'10'!C:C,'UPTIME HARIAN'!B7,'10'!I:I,"CRM")</f>
        <v>#DIV/0!</v>
      </c>
      <c r="X7" s="111" t="e">
        <f>AVERAGEIFS('11'!AJ:AJ,'11'!C:C,'UPTIME HARIAN'!B7,'11'!I:I,"CRM")</f>
        <v>#DIV/0!</v>
      </c>
      <c r="Y7" s="111" t="e">
        <f>AVERAGEIFS('12'!AJ:AJ,'12'!C:C,'UPTIME HARIAN'!B7,'12'!I:I,"CRM")</f>
        <v>#DIV/0!</v>
      </c>
      <c r="Z7" s="111" t="e">
        <f>AVERAGEIFS('13'!AJ:AJ,'13'!C:C,'UPTIME HARIAN'!B7,'13'!I:I,"CRM")</f>
        <v>#DIV/0!</v>
      </c>
      <c r="AA7" s="111" t="e">
        <f>AVERAGEIFS('14'!AJ:AJ,'14'!C:C,'UPTIME HARIAN'!B7,'14'!I:I,"CRM")</f>
        <v>#DIV/0!</v>
      </c>
      <c r="AB7" s="111" t="e">
        <f>AVERAGEIFS('15'!AJ:AJ,'15'!C:C,'UPTIME HARIAN'!B7,'15'!I:I,"CRM")</f>
        <v>#DIV/0!</v>
      </c>
      <c r="AC7" s="111" t="e">
        <f>AVERAGEIFS('16'!AJ:AJ,'16'!C:C,'UPTIME HARIAN'!B7,'16'!I:I,"CRM")</f>
        <v>#DIV/0!</v>
      </c>
      <c r="AD7" s="111" t="e">
        <f>AVERAGEIFS('17'!AJ:AJ,'17'!C:C,'UPTIME HARIAN'!B7,'17'!I:I,"CRM")</f>
        <v>#DIV/0!</v>
      </c>
      <c r="AE7" s="111" t="e">
        <f>AVERAGEIFS('18'!AJ:AJ,'18'!C:C,'UPTIME HARIAN'!B7,'18'!I:I,"CRM")</f>
        <v>#DIV/0!</v>
      </c>
      <c r="AF7" s="111" t="e">
        <f>AVERAGEIFS('19'!AJ:AJ,'19'!C:C,'UPTIME HARIAN'!B7,'19'!I:I,"CRM")</f>
        <v>#DIV/0!</v>
      </c>
      <c r="AG7" s="111" t="e">
        <f>AVERAGEIFS('20'!AJ:AJ,'20'!C:C,'UPTIME HARIAN'!B7,'20'!I:I,"CRM")</f>
        <v>#DIV/0!</v>
      </c>
      <c r="AH7" s="111" t="e">
        <f>AVERAGEIFS('21'!AJ:AJ,'21'!C:C,'UPTIME HARIAN'!B7,'21'!I:I,"CRM")</f>
        <v>#DIV/0!</v>
      </c>
      <c r="AI7" s="111" t="e">
        <f>AVERAGEIFS('22'!AJ:AJ,'22'!C:C,'UPTIME HARIAN'!B7,'22'!I:I,"CRM")</f>
        <v>#DIV/0!</v>
      </c>
      <c r="AJ7" s="111" t="e">
        <f>AVERAGEIFS('23'!AJ:AJ,'23'!C:C,'UPTIME HARIAN'!B7,'23'!I:I,"CRM")</f>
        <v>#DIV/0!</v>
      </c>
      <c r="AK7" s="111" t="e">
        <f>AVERAGEIFS('24'!AJ:AJ,'24'!C:C,'UPTIME HARIAN'!B7,'24'!I:I,"CRM")</f>
        <v>#DIV/0!</v>
      </c>
      <c r="AL7" s="111" t="e">
        <f>AVERAGEIFS('25'!AJ:AJ,'25'!C:C,'UPTIME HARIAN'!B7,'25'!I:I,"CRM")</f>
        <v>#DIV/0!</v>
      </c>
      <c r="AM7" s="111" t="e">
        <f>AVERAGEIFS('26'!AJ:AJ,'26'!C:C,'UPTIME HARIAN'!B7,'26'!I:I,"CRM")</f>
        <v>#DIV/0!</v>
      </c>
      <c r="AN7" s="111" t="e">
        <f>AVERAGEIFS('27'!AJ:AJ,'27'!C:C,'UPTIME HARIAN'!B7,'27'!I:I,"CRM")</f>
        <v>#DIV/0!</v>
      </c>
      <c r="AO7" s="111" t="e">
        <f>AVERAGEIFS('28'!AJ:AJ,'28'!C:C,'UPTIME HARIAN'!B7,'28'!I:I,"CRM")</f>
        <v>#DIV/0!</v>
      </c>
      <c r="AP7" s="111" t="e">
        <f>AVERAGEIFS('29'!AJ:AJ,'29'!C:C,'UPTIME HARIAN'!B7,'29'!I:I,"CRM")</f>
        <v>#DIV/0!</v>
      </c>
      <c r="AQ7" s="111" t="e">
        <f>AVERAGEIFS('30'!AJ:AJ,'30'!C:C,'UPTIME HARIAN'!B7,'30'!I:I,"CRM")</f>
        <v>#DIV/0!</v>
      </c>
      <c r="AR7" s="111" t="e">
        <f>AVERAGEIFS('31'!AJ:AJ,'31'!C:C,'UPTIME HARIAN'!B7,'31'!I:I,"CRM")</f>
        <v>#DIV/0!</v>
      </c>
    </row>
    <row r="8" spans="1:44" x14ac:dyDescent="0.35">
      <c r="A8" s="49">
        <v>3</v>
      </c>
      <c r="B8" s="170" t="s">
        <v>102</v>
      </c>
      <c r="C8" s="171">
        <f>COUNTIFS('atm total'!C:C,B8,'atm total'!AM:AM,"CRM")</f>
        <v>0</v>
      </c>
      <c r="D8" s="110">
        <v>98.697574826607081</v>
      </c>
      <c r="E8" s="110">
        <v>98.990929705215422</v>
      </c>
      <c r="F8" s="110">
        <v>98.978727365824142</v>
      </c>
      <c r="G8" s="110">
        <v>98.799903799903802</v>
      </c>
      <c r="H8" s="110">
        <v>99.131173486012202</v>
      </c>
      <c r="I8" s="110">
        <v>99.417989417989418</v>
      </c>
      <c r="J8" s="110">
        <v>99.33994321091096</v>
      </c>
      <c r="K8" s="110">
        <v>99.232034784652441</v>
      </c>
      <c r="L8" s="110">
        <v>99.596235579842144</v>
      </c>
      <c r="M8" s="110" t="e">
        <f>VLOOKUP(B8,'BALI NUSRA'!B66:H66,7,0)</f>
        <v>#DIV/0!</v>
      </c>
      <c r="N8" s="111" t="e">
        <f>AVERAGEIFS('1'!AJ:AJ,'1'!C:C,'UPTIME HARIAN'!B8,'1'!I:I,"CRM")</f>
        <v>#DIV/0!</v>
      </c>
      <c r="O8" s="111" t="e">
        <f>AVERAGEIFS('2'!AJ:AJ,'2'!C:C,'UPTIME HARIAN'!B8,'2'!I:I,"CRM")</f>
        <v>#DIV/0!</v>
      </c>
      <c r="P8" s="111" t="e">
        <f>AVERAGEIFS('3'!AJ:AJ,'3'!C:C,'UPTIME HARIAN'!B8,'3'!I:I,"CRM")</f>
        <v>#DIV/0!</v>
      </c>
      <c r="Q8" s="111" t="e">
        <f>AVERAGEIFS('4'!AJ:AJ,'4'!C:C,'UPTIME HARIAN'!B8,'4'!I:I,"CRM")</f>
        <v>#DIV/0!</v>
      </c>
      <c r="R8" s="111" t="e">
        <f>AVERAGEIFS('5'!AJ:AJ,'5'!C:C,'UPTIME HARIAN'!B8,'5'!I:I,"CRM")</f>
        <v>#DIV/0!</v>
      </c>
      <c r="S8" s="111" t="e">
        <f>AVERAGEIFS('6'!AJ:AJ,'6'!C:C,'UPTIME HARIAN'!B8,'6'!I:I,"CRM")</f>
        <v>#DIV/0!</v>
      </c>
      <c r="T8" s="111" t="e">
        <f>AVERAGEIFS('7'!AJ:AJ,'7'!C:C,'UPTIME HARIAN'!B8,'7'!I:I,"CRM")</f>
        <v>#DIV/0!</v>
      </c>
      <c r="U8" s="111" t="e">
        <f>AVERAGEIFS('8'!AJ:AJ,'8'!C:C,'UPTIME HARIAN'!B8,'8'!I:I,"CRM")</f>
        <v>#DIV/0!</v>
      </c>
      <c r="V8" s="111" t="e">
        <f>AVERAGEIFS('9'!AJ:AJ,'9'!C:C,'UPTIME HARIAN'!B8,'9'!I:I,"CRM")</f>
        <v>#DIV/0!</v>
      </c>
      <c r="W8" s="111" t="e">
        <f>AVERAGEIFS('10'!AJ:AJ,'10'!C:C,'UPTIME HARIAN'!B8,'10'!I:I,"CRM")</f>
        <v>#DIV/0!</v>
      </c>
      <c r="X8" s="111" t="e">
        <f>AVERAGEIFS('11'!AJ:AJ,'11'!C:C,'UPTIME HARIAN'!B8,'11'!I:I,"CRM")</f>
        <v>#DIV/0!</v>
      </c>
      <c r="Y8" s="111" t="e">
        <f>AVERAGEIFS('12'!AJ:AJ,'12'!C:C,'UPTIME HARIAN'!B8,'12'!I:I,"CRM")</f>
        <v>#DIV/0!</v>
      </c>
      <c r="Z8" s="111" t="e">
        <f>AVERAGEIFS('13'!AJ:AJ,'13'!C:C,'UPTIME HARIAN'!B8,'13'!I:I,"CRM")</f>
        <v>#DIV/0!</v>
      </c>
      <c r="AA8" s="111" t="e">
        <f>AVERAGEIFS('14'!AJ:AJ,'14'!C:C,'UPTIME HARIAN'!B8,'14'!I:I,"CRM")</f>
        <v>#DIV/0!</v>
      </c>
      <c r="AB8" s="111" t="e">
        <f>AVERAGEIFS('15'!AJ:AJ,'15'!C:C,'UPTIME HARIAN'!B8,'15'!I:I,"CRM")</f>
        <v>#DIV/0!</v>
      </c>
      <c r="AC8" s="111" t="e">
        <f>AVERAGEIFS('16'!AJ:AJ,'16'!C:C,'UPTIME HARIAN'!B8,'16'!I:I,"CRM")</f>
        <v>#DIV/0!</v>
      </c>
      <c r="AD8" s="111" t="e">
        <f>AVERAGEIFS('17'!AJ:AJ,'17'!C:C,'UPTIME HARIAN'!B8,'17'!I:I,"CRM")</f>
        <v>#DIV/0!</v>
      </c>
      <c r="AE8" s="111" t="e">
        <f>AVERAGEIFS('18'!AJ:AJ,'18'!C:C,'UPTIME HARIAN'!B8,'18'!I:I,"CRM")</f>
        <v>#DIV/0!</v>
      </c>
      <c r="AF8" s="111" t="e">
        <f>AVERAGEIFS('19'!AJ:AJ,'19'!C:C,'UPTIME HARIAN'!B8,'19'!I:I,"CRM")</f>
        <v>#DIV/0!</v>
      </c>
      <c r="AG8" s="111" t="e">
        <f>AVERAGEIFS('20'!AJ:AJ,'20'!C:C,'UPTIME HARIAN'!B8,'20'!I:I,"CRM")</f>
        <v>#DIV/0!</v>
      </c>
      <c r="AH8" s="111" t="e">
        <f>AVERAGEIFS('21'!AJ:AJ,'21'!C:C,'UPTIME HARIAN'!B8,'21'!I:I,"CRM")</f>
        <v>#DIV/0!</v>
      </c>
      <c r="AI8" s="111" t="e">
        <f>AVERAGEIFS('22'!AJ:AJ,'22'!C:C,'UPTIME HARIAN'!B8,'22'!I:I,"CRM")</f>
        <v>#DIV/0!</v>
      </c>
      <c r="AJ8" s="111" t="e">
        <f>AVERAGEIFS('23'!AJ:AJ,'23'!C:C,'UPTIME HARIAN'!B8,'23'!I:I,"CRM")</f>
        <v>#DIV/0!</v>
      </c>
      <c r="AK8" s="111" t="e">
        <f>AVERAGEIFS('24'!AJ:AJ,'24'!C:C,'UPTIME HARIAN'!B8,'24'!I:I,"CRM")</f>
        <v>#DIV/0!</v>
      </c>
      <c r="AL8" s="111" t="e">
        <f>AVERAGEIFS('25'!AJ:AJ,'25'!C:C,'UPTIME HARIAN'!B8,'25'!I:I,"CRM")</f>
        <v>#DIV/0!</v>
      </c>
      <c r="AM8" s="111" t="e">
        <f>AVERAGEIFS('26'!AJ:AJ,'26'!C:C,'UPTIME HARIAN'!B8,'26'!I:I,"CRM")</f>
        <v>#DIV/0!</v>
      </c>
      <c r="AN8" s="111" t="e">
        <f>AVERAGEIFS('27'!AJ:AJ,'27'!C:C,'UPTIME HARIAN'!B8,'27'!I:I,"CRM")</f>
        <v>#DIV/0!</v>
      </c>
      <c r="AO8" s="111" t="e">
        <f>AVERAGEIFS('28'!AJ:AJ,'28'!C:C,'UPTIME HARIAN'!B8,'28'!I:I,"CRM")</f>
        <v>#DIV/0!</v>
      </c>
      <c r="AP8" s="111" t="e">
        <f>AVERAGEIFS('29'!AJ:AJ,'29'!C:C,'UPTIME HARIAN'!B8,'29'!I:I,"CRM")</f>
        <v>#DIV/0!</v>
      </c>
      <c r="AQ8" s="111" t="e">
        <f>AVERAGEIFS('30'!AJ:AJ,'30'!C:C,'UPTIME HARIAN'!B8,'30'!I:I,"CRM")</f>
        <v>#DIV/0!</v>
      </c>
      <c r="AR8" s="111" t="e">
        <f>AVERAGEIFS('31'!AJ:AJ,'31'!C:C,'UPTIME HARIAN'!B8,'31'!I:I,"CRM")</f>
        <v>#DIV/0!</v>
      </c>
    </row>
    <row r="9" spans="1:44" x14ac:dyDescent="0.35">
      <c r="A9" s="49">
        <v>4</v>
      </c>
      <c r="B9" s="170" t="s">
        <v>92</v>
      </c>
      <c r="C9" s="171">
        <f>COUNTIFS('atm total'!C:C,B9,'atm total'!AM:AM,"CRM")</f>
        <v>0</v>
      </c>
      <c r="D9" s="110">
        <v>99.454962101181039</v>
      </c>
      <c r="E9" s="110">
        <v>99.114558938329424</v>
      </c>
      <c r="F9" s="110">
        <v>99.131852635289974</v>
      </c>
      <c r="G9" s="110">
        <v>99.259198542805095</v>
      </c>
      <c r="H9" s="110">
        <v>99.103825136612016</v>
      </c>
      <c r="I9" s="110">
        <v>99.103096539162109</v>
      </c>
      <c r="J9" s="110">
        <v>99.419002291556495</v>
      </c>
      <c r="K9" s="110">
        <v>99.395557905869907</v>
      </c>
      <c r="L9" s="110">
        <v>99.342622950819674</v>
      </c>
      <c r="M9" s="110" t="e">
        <f>VLOOKUP(B9,'BALI NUSRA'!B67:H67,7,0)</f>
        <v>#DIV/0!</v>
      </c>
      <c r="N9" s="111" t="e">
        <f>AVERAGEIFS('1'!AJ:AJ,'1'!C:C,'UPTIME HARIAN'!B9,'1'!I:I,"CRM")</f>
        <v>#DIV/0!</v>
      </c>
      <c r="O9" s="111" t="e">
        <f>AVERAGEIFS('2'!AJ:AJ,'2'!C:C,'UPTIME HARIAN'!B9,'2'!I:I,"CRM")</f>
        <v>#DIV/0!</v>
      </c>
      <c r="P9" s="111" t="e">
        <f>AVERAGEIFS('3'!AJ:AJ,'3'!C:C,'UPTIME HARIAN'!B9,'3'!I:I,"CRM")</f>
        <v>#DIV/0!</v>
      </c>
      <c r="Q9" s="111" t="e">
        <f>AVERAGEIFS('4'!AJ:AJ,'4'!C:C,'UPTIME HARIAN'!B9,'4'!I:I,"CRM")</f>
        <v>#DIV/0!</v>
      </c>
      <c r="R9" s="111" t="e">
        <f>AVERAGEIFS('5'!AJ:AJ,'5'!C:C,'UPTIME HARIAN'!B9,'5'!I:I,"CRM")</f>
        <v>#DIV/0!</v>
      </c>
      <c r="S9" s="111" t="e">
        <f>AVERAGEIFS('6'!AJ:AJ,'6'!C:C,'UPTIME HARIAN'!B9,'6'!I:I,"CRM")</f>
        <v>#DIV/0!</v>
      </c>
      <c r="T9" s="111" t="e">
        <f>AVERAGEIFS('7'!AJ:AJ,'7'!C:C,'UPTIME HARIAN'!B9,'7'!I:I,"CRM")</f>
        <v>#DIV/0!</v>
      </c>
      <c r="U9" s="111" t="e">
        <f>AVERAGEIFS('8'!AJ:AJ,'8'!C:C,'UPTIME HARIAN'!B9,'8'!I:I,"CRM")</f>
        <v>#DIV/0!</v>
      </c>
      <c r="V9" s="111" t="e">
        <f>AVERAGEIFS('9'!AJ:AJ,'9'!C:C,'UPTIME HARIAN'!B9,'9'!I:I,"CRM")</f>
        <v>#DIV/0!</v>
      </c>
      <c r="W9" s="111" t="e">
        <f>AVERAGEIFS('10'!AJ:AJ,'10'!C:C,'UPTIME HARIAN'!B9,'10'!I:I,"CRM")</f>
        <v>#DIV/0!</v>
      </c>
      <c r="X9" s="111" t="e">
        <f>AVERAGEIFS('11'!AJ:AJ,'11'!C:C,'UPTIME HARIAN'!B9,'11'!I:I,"CRM")</f>
        <v>#DIV/0!</v>
      </c>
      <c r="Y9" s="111" t="e">
        <f>AVERAGEIFS('12'!AJ:AJ,'12'!C:C,'UPTIME HARIAN'!B9,'12'!I:I,"CRM")</f>
        <v>#DIV/0!</v>
      </c>
      <c r="Z9" s="111" t="e">
        <f>AVERAGEIFS('13'!AJ:AJ,'13'!C:C,'UPTIME HARIAN'!B9,'13'!I:I,"CRM")</f>
        <v>#DIV/0!</v>
      </c>
      <c r="AA9" s="111" t="e">
        <f>AVERAGEIFS('14'!AJ:AJ,'14'!C:C,'UPTIME HARIAN'!B9,'14'!I:I,"CRM")</f>
        <v>#DIV/0!</v>
      </c>
      <c r="AB9" s="111" t="e">
        <f>AVERAGEIFS('15'!AJ:AJ,'15'!C:C,'UPTIME HARIAN'!B9,'15'!I:I,"CRM")</f>
        <v>#DIV/0!</v>
      </c>
      <c r="AC9" s="111" t="e">
        <f>AVERAGEIFS('16'!AJ:AJ,'16'!C:C,'UPTIME HARIAN'!B9,'16'!I:I,"CRM")</f>
        <v>#DIV/0!</v>
      </c>
      <c r="AD9" s="111" t="e">
        <f>AVERAGEIFS('17'!AJ:AJ,'17'!C:C,'UPTIME HARIAN'!B9,'17'!I:I,"CRM")</f>
        <v>#DIV/0!</v>
      </c>
      <c r="AE9" s="111" t="e">
        <f>AVERAGEIFS('18'!AJ:AJ,'18'!C:C,'UPTIME HARIAN'!B9,'18'!I:I,"CRM")</f>
        <v>#DIV/0!</v>
      </c>
      <c r="AF9" s="111" t="e">
        <f>AVERAGEIFS('19'!AJ:AJ,'19'!C:C,'UPTIME HARIAN'!B9,'19'!I:I,"CRM")</f>
        <v>#DIV/0!</v>
      </c>
      <c r="AG9" s="111" t="e">
        <f>AVERAGEIFS('20'!AJ:AJ,'20'!C:C,'UPTIME HARIAN'!B9,'20'!I:I,"CRM")</f>
        <v>#DIV/0!</v>
      </c>
      <c r="AH9" s="111" t="e">
        <f>AVERAGEIFS('21'!AJ:AJ,'21'!C:C,'UPTIME HARIAN'!B9,'21'!I:I,"CRM")</f>
        <v>#DIV/0!</v>
      </c>
      <c r="AI9" s="111" t="e">
        <f>AVERAGEIFS('22'!AJ:AJ,'22'!C:C,'UPTIME HARIAN'!B9,'22'!I:I,"CRM")</f>
        <v>#DIV/0!</v>
      </c>
      <c r="AJ9" s="111" t="e">
        <f>AVERAGEIFS('23'!AJ:AJ,'23'!C:C,'UPTIME HARIAN'!B9,'23'!I:I,"CRM")</f>
        <v>#DIV/0!</v>
      </c>
      <c r="AK9" s="111" t="e">
        <f>AVERAGEIFS('24'!AJ:AJ,'24'!C:C,'UPTIME HARIAN'!B9,'24'!I:I,"CRM")</f>
        <v>#DIV/0!</v>
      </c>
      <c r="AL9" s="111" t="e">
        <f>AVERAGEIFS('25'!AJ:AJ,'25'!C:C,'UPTIME HARIAN'!B9,'25'!I:I,"CRM")</f>
        <v>#DIV/0!</v>
      </c>
      <c r="AM9" s="111" t="e">
        <f>AVERAGEIFS('26'!AJ:AJ,'26'!C:C,'UPTIME HARIAN'!B9,'26'!I:I,"CRM")</f>
        <v>#DIV/0!</v>
      </c>
      <c r="AN9" s="111" t="e">
        <f>AVERAGEIFS('27'!AJ:AJ,'27'!C:C,'UPTIME HARIAN'!B9,'27'!I:I,"CRM")</f>
        <v>#DIV/0!</v>
      </c>
      <c r="AO9" s="111" t="e">
        <f>AVERAGEIFS('28'!AJ:AJ,'28'!C:C,'UPTIME HARIAN'!B9,'28'!I:I,"CRM")</f>
        <v>#DIV/0!</v>
      </c>
      <c r="AP9" s="111" t="e">
        <f>AVERAGEIFS('29'!AJ:AJ,'29'!C:C,'UPTIME HARIAN'!B9,'29'!I:I,"CRM")</f>
        <v>#DIV/0!</v>
      </c>
      <c r="AQ9" s="111" t="e">
        <f>AVERAGEIFS('30'!AJ:AJ,'30'!C:C,'UPTIME HARIAN'!B9,'30'!I:I,"CRM")</f>
        <v>#DIV/0!</v>
      </c>
      <c r="AR9" s="111" t="e">
        <f>AVERAGEIFS('31'!AJ:AJ,'31'!C:C,'UPTIME HARIAN'!B9,'31'!I:I,"CRM")</f>
        <v>#DIV/0!</v>
      </c>
    </row>
    <row r="10" spans="1:44" x14ac:dyDescent="0.35">
      <c r="A10" s="49">
        <v>5</v>
      </c>
      <c r="B10" s="170" t="s">
        <v>78</v>
      </c>
      <c r="C10" s="171">
        <f>COUNTIFS('atm total'!C:C,B10,'atm total'!AM:AM,"CRM")</f>
        <v>0</v>
      </c>
      <c r="D10" s="110">
        <v>98.412227577967286</v>
      </c>
      <c r="E10" s="110">
        <v>98.703703703703709</v>
      </c>
      <c r="F10" s="110">
        <v>98.64417253738722</v>
      </c>
      <c r="G10" s="110">
        <v>99.111749680715192</v>
      </c>
      <c r="H10" s="110">
        <v>98.834118716931215</v>
      </c>
      <c r="I10" s="110">
        <v>98.897190293742014</v>
      </c>
      <c r="J10" s="110">
        <v>99.027932270423932</v>
      </c>
      <c r="K10" s="110">
        <v>99.261113171013065</v>
      </c>
      <c r="L10" s="110">
        <v>99.297999148573865</v>
      </c>
      <c r="M10" s="110" t="e">
        <f>VLOOKUP(B10,'BALI NUSRA'!B68:H68,7,0)</f>
        <v>#DIV/0!</v>
      </c>
      <c r="N10" s="111" t="e">
        <f>AVERAGEIFS('1'!AJ:AJ,'1'!C:C,'UPTIME HARIAN'!B10,'1'!I:I,"CRM")</f>
        <v>#DIV/0!</v>
      </c>
      <c r="O10" s="111" t="e">
        <f>AVERAGEIFS('2'!AJ:AJ,'2'!C:C,'UPTIME HARIAN'!B10,'2'!I:I,"CRM")</f>
        <v>#DIV/0!</v>
      </c>
      <c r="P10" s="111" t="e">
        <f>AVERAGEIFS('3'!AJ:AJ,'3'!C:C,'UPTIME HARIAN'!B10,'3'!I:I,"CRM")</f>
        <v>#DIV/0!</v>
      </c>
      <c r="Q10" s="111" t="e">
        <f>AVERAGEIFS('4'!AJ:AJ,'4'!C:C,'UPTIME HARIAN'!B10,'4'!I:I,"CRM")</f>
        <v>#DIV/0!</v>
      </c>
      <c r="R10" s="111" t="e">
        <f>AVERAGEIFS('5'!AJ:AJ,'5'!C:C,'UPTIME HARIAN'!B10,'5'!I:I,"CRM")</f>
        <v>#DIV/0!</v>
      </c>
      <c r="S10" s="111" t="e">
        <f>AVERAGEIFS('6'!AJ:AJ,'6'!C:C,'UPTIME HARIAN'!B10,'6'!I:I,"CRM")</f>
        <v>#DIV/0!</v>
      </c>
      <c r="T10" s="111" t="e">
        <f>AVERAGEIFS('7'!AJ:AJ,'7'!C:C,'UPTIME HARIAN'!B10,'7'!I:I,"CRM")</f>
        <v>#DIV/0!</v>
      </c>
      <c r="U10" s="111" t="e">
        <f>AVERAGEIFS('8'!AJ:AJ,'8'!C:C,'UPTIME HARIAN'!B10,'8'!I:I,"CRM")</f>
        <v>#DIV/0!</v>
      </c>
      <c r="V10" s="111" t="e">
        <f>AVERAGEIFS('9'!AJ:AJ,'9'!C:C,'UPTIME HARIAN'!B10,'9'!I:I,"CRM")</f>
        <v>#DIV/0!</v>
      </c>
      <c r="W10" s="111" t="e">
        <f>AVERAGEIFS('10'!AJ:AJ,'10'!C:C,'UPTIME HARIAN'!B10,'10'!I:I,"CRM")</f>
        <v>#DIV/0!</v>
      </c>
      <c r="X10" s="111" t="e">
        <f>AVERAGEIFS('11'!AJ:AJ,'11'!C:C,'UPTIME HARIAN'!B10,'11'!I:I,"CRM")</f>
        <v>#DIV/0!</v>
      </c>
      <c r="Y10" s="111" t="e">
        <f>AVERAGEIFS('12'!AJ:AJ,'12'!C:C,'UPTIME HARIAN'!B10,'12'!I:I,"CRM")</f>
        <v>#DIV/0!</v>
      </c>
      <c r="Z10" s="111" t="e">
        <f>AVERAGEIFS('13'!AJ:AJ,'13'!C:C,'UPTIME HARIAN'!B10,'13'!I:I,"CRM")</f>
        <v>#DIV/0!</v>
      </c>
      <c r="AA10" s="111" t="e">
        <f>AVERAGEIFS('14'!AJ:AJ,'14'!C:C,'UPTIME HARIAN'!B10,'14'!I:I,"CRM")</f>
        <v>#DIV/0!</v>
      </c>
      <c r="AB10" s="111" t="e">
        <f>AVERAGEIFS('15'!AJ:AJ,'15'!C:C,'UPTIME HARIAN'!B10,'15'!I:I,"CRM")</f>
        <v>#DIV/0!</v>
      </c>
      <c r="AC10" s="111" t="e">
        <f>AVERAGEIFS('16'!AJ:AJ,'16'!C:C,'UPTIME HARIAN'!B10,'16'!I:I,"CRM")</f>
        <v>#DIV/0!</v>
      </c>
      <c r="AD10" s="111" t="e">
        <f>AVERAGEIFS('17'!AJ:AJ,'17'!C:C,'UPTIME HARIAN'!B10,'17'!I:I,"CRM")</f>
        <v>#DIV/0!</v>
      </c>
      <c r="AE10" s="111" t="e">
        <f>AVERAGEIFS('18'!AJ:AJ,'18'!C:C,'UPTIME HARIAN'!B10,'18'!I:I,"CRM")</f>
        <v>#DIV/0!</v>
      </c>
      <c r="AF10" s="111" t="e">
        <f>AVERAGEIFS('19'!AJ:AJ,'19'!C:C,'UPTIME HARIAN'!B10,'19'!I:I,"CRM")</f>
        <v>#DIV/0!</v>
      </c>
      <c r="AG10" s="111" t="e">
        <f>AVERAGEIFS('20'!AJ:AJ,'20'!C:C,'UPTIME HARIAN'!B10,'20'!I:I,"CRM")</f>
        <v>#DIV/0!</v>
      </c>
      <c r="AH10" s="111" t="e">
        <f>AVERAGEIFS('21'!AJ:AJ,'21'!C:C,'UPTIME HARIAN'!B10,'21'!I:I,"CRM")</f>
        <v>#DIV/0!</v>
      </c>
      <c r="AI10" s="111" t="e">
        <f>AVERAGEIFS('22'!AJ:AJ,'22'!C:C,'UPTIME HARIAN'!B10,'22'!I:I,"CRM")</f>
        <v>#DIV/0!</v>
      </c>
      <c r="AJ10" s="111" t="e">
        <f>AVERAGEIFS('23'!AJ:AJ,'23'!C:C,'UPTIME HARIAN'!B10,'23'!I:I,"CRM")</f>
        <v>#DIV/0!</v>
      </c>
      <c r="AK10" s="111" t="e">
        <f>AVERAGEIFS('24'!AJ:AJ,'24'!C:C,'UPTIME HARIAN'!B10,'24'!I:I,"CRM")</f>
        <v>#DIV/0!</v>
      </c>
      <c r="AL10" s="111" t="e">
        <f>AVERAGEIFS('25'!AJ:AJ,'25'!C:C,'UPTIME HARIAN'!B10,'25'!I:I,"CRM")</f>
        <v>#DIV/0!</v>
      </c>
      <c r="AM10" s="111" t="e">
        <f>AVERAGEIFS('26'!AJ:AJ,'26'!C:C,'UPTIME HARIAN'!B10,'26'!I:I,"CRM")</f>
        <v>#DIV/0!</v>
      </c>
      <c r="AN10" s="111" t="e">
        <f>AVERAGEIFS('27'!AJ:AJ,'27'!C:C,'UPTIME HARIAN'!B10,'27'!I:I,"CRM")</f>
        <v>#DIV/0!</v>
      </c>
      <c r="AO10" s="111" t="e">
        <f>AVERAGEIFS('28'!AJ:AJ,'28'!C:C,'UPTIME HARIAN'!B10,'28'!I:I,"CRM")</f>
        <v>#DIV/0!</v>
      </c>
      <c r="AP10" s="111" t="e">
        <f>AVERAGEIFS('29'!AJ:AJ,'29'!C:C,'UPTIME HARIAN'!B10,'29'!I:I,"CRM")</f>
        <v>#DIV/0!</v>
      </c>
      <c r="AQ10" s="111" t="e">
        <f>AVERAGEIFS('30'!AJ:AJ,'30'!C:C,'UPTIME HARIAN'!B10,'30'!I:I,"CRM")</f>
        <v>#DIV/0!</v>
      </c>
      <c r="AR10" s="111" t="e">
        <f>AVERAGEIFS('31'!AJ:AJ,'31'!C:C,'UPTIME HARIAN'!B10,'31'!I:I,"CRM")</f>
        <v>#DIV/0!</v>
      </c>
    </row>
    <row r="11" spans="1:44" x14ac:dyDescent="0.35">
      <c r="A11" s="49">
        <v>6</v>
      </c>
      <c r="B11" s="170" t="s">
        <v>76</v>
      </c>
      <c r="C11" s="171">
        <f>COUNTIFS('atm total'!C:C,B11,'atm total'!AM:AM,"CRM")</f>
        <v>0</v>
      </c>
      <c r="D11" s="110">
        <v>98.570128425523308</v>
      </c>
      <c r="E11" s="110">
        <v>98.854120017913118</v>
      </c>
      <c r="F11" s="110">
        <v>98.668722823339067</v>
      </c>
      <c r="G11" s="110">
        <v>98.678160919540232</v>
      </c>
      <c r="H11" s="110">
        <v>98.889506859473485</v>
      </c>
      <c r="I11" s="110">
        <v>98.994427028909783</v>
      </c>
      <c r="J11" s="110">
        <v>99.508544847810697</v>
      </c>
      <c r="K11" s="110">
        <v>99.120403141537736</v>
      </c>
      <c r="L11" s="110">
        <v>99.161093695576454</v>
      </c>
      <c r="M11" s="110" t="e">
        <f>VLOOKUP(B11,'BALI NUSRA'!B69:H69,7,0)</f>
        <v>#DIV/0!</v>
      </c>
      <c r="N11" s="111" t="e">
        <f>AVERAGEIFS('1'!AJ:AJ,'1'!C:C,'UPTIME HARIAN'!B11,'1'!I:I,"CRM")</f>
        <v>#DIV/0!</v>
      </c>
      <c r="O11" s="111" t="e">
        <f>AVERAGEIFS('2'!AJ:AJ,'2'!C:C,'UPTIME HARIAN'!B11,'2'!I:I,"CRM")</f>
        <v>#DIV/0!</v>
      </c>
      <c r="P11" s="111" t="e">
        <f>AVERAGEIFS('3'!AJ:AJ,'3'!C:C,'UPTIME HARIAN'!B11,'3'!I:I,"CRM")</f>
        <v>#DIV/0!</v>
      </c>
      <c r="Q11" s="111" t="e">
        <f>AVERAGEIFS('4'!AJ:AJ,'4'!C:C,'UPTIME HARIAN'!B11,'4'!I:I,"CRM")</f>
        <v>#DIV/0!</v>
      </c>
      <c r="R11" s="111" t="e">
        <f>AVERAGEIFS('5'!AJ:AJ,'5'!C:C,'UPTIME HARIAN'!B11,'5'!I:I,"CRM")</f>
        <v>#DIV/0!</v>
      </c>
      <c r="S11" s="111" t="e">
        <f>AVERAGEIFS('6'!AJ:AJ,'6'!C:C,'UPTIME HARIAN'!B11,'6'!I:I,"CRM")</f>
        <v>#DIV/0!</v>
      </c>
      <c r="T11" s="111" t="e">
        <f>AVERAGEIFS('7'!AJ:AJ,'7'!C:C,'UPTIME HARIAN'!B11,'7'!I:I,"CRM")</f>
        <v>#DIV/0!</v>
      </c>
      <c r="U11" s="111" t="e">
        <f>AVERAGEIFS('8'!AJ:AJ,'8'!C:C,'UPTIME HARIAN'!B11,'8'!I:I,"CRM")</f>
        <v>#DIV/0!</v>
      </c>
      <c r="V11" s="111" t="e">
        <f>AVERAGEIFS('9'!AJ:AJ,'9'!C:C,'UPTIME HARIAN'!B11,'9'!I:I,"CRM")</f>
        <v>#DIV/0!</v>
      </c>
      <c r="W11" s="111" t="e">
        <f>AVERAGEIFS('10'!AJ:AJ,'10'!C:C,'UPTIME HARIAN'!B11,'10'!I:I,"CRM")</f>
        <v>#DIV/0!</v>
      </c>
      <c r="X11" s="111" t="e">
        <f>AVERAGEIFS('11'!AJ:AJ,'11'!C:C,'UPTIME HARIAN'!B11,'11'!I:I,"CRM")</f>
        <v>#DIV/0!</v>
      </c>
      <c r="Y11" s="111" t="e">
        <f>AVERAGEIFS('12'!AJ:AJ,'12'!C:C,'UPTIME HARIAN'!B11,'12'!I:I,"CRM")</f>
        <v>#DIV/0!</v>
      </c>
      <c r="Z11" s="111" t="e">
        <f>AVERAGEIFS('13'!AJ:AJ,'13'!C:C,'UPTIME HARIAN'!B11,'13'!I:I,"CRM")</f>
        <v>#DIV/0!</v>
      </c>
      <c r="AA11" s="111" t="e">
        <f>AVERAGEIFS('14'!AJ:AJ,'14'!C:C,'UPTIME HARIAN'!B11,'14'!I:I,"CRM")</f>
        <v>#DIV/0!</v>
      </c>
      <c r="AB11" s="111" t="e">
        <f>AVERAGEIFS('15'!AJ:AJ,'15'!C:C,'UPTIME HARIAN'!B11,'15'!I:I,"CRM")</f>
        <v>#DIV/0!</v>
      </c>
      <c r="AC11" s="111" t="e">
        <f>AVERAGEIFS('16'!AJ:AJ,'16'!C:C,'UPTIME HARIAN'!B11,'16'!I:I,"CRM")</f>
        <v>#DIV/0!</v>
      </c>
      <c r="AD11" s="111" t="e">
        <f>AVERAGEIFS('17'!AJ:AJ,'17'!C:C,'UPTIME HARIAN'!B11,'17'!I:I,"CRM")</f>
        <v>#DIV/0!</v>
      </c>
      <c r="AE11" s="111" t="e">
        <f>AVERAGEIFS('18'!AJ:AJ,'18'!C:C,'UPTIME HARIAN'!B11,'18'!I:I,"CRM")</f>
        <v>#DIV/0!</v>
      </c>
      <c r="AF11" s="111" t="e">
        <f>AVERAGEIFS('19'!AJ:AJ,'19'!C:C,'UPTIME HARIAN'!B11,'19'!I:I,"CRM")</f>
        <v>#DIV/0!</v>
      </c>
      <c r="AG11" s="111" t="e">
        <f>AVERAGEIFS('20'!AJ:AJ,'20'!C:C,'UPTIME HARIAN'!B11,'20'!I:I,"CRM")</f>
        <v>#DIV/0!</v>
      </c>
      <c r="AH11" s="111" t="e">
        <f>AVERAGEIFS('21'!AJ:AJ,'21'!C:C,'UPTIME HARIAN'!B11,'21'!I:I,"CRM")</f>
        <v>#DIV/0!</v>
      </c>
      <c r="AI11" s="111" t="e">
        <f>AVERAGEIFS('22'!AJ:AJ,'22'!C:C,'UPTIME HARIAN'!B11,'22'!I:I,"CRM")</f>
        <v>#DIV/0!</v>
      </c>
      <c r="AJ11" s="111" t="e">
        <f>AVERAGEIFS('23'!AJ:AJ,'23'!C:C,'UPTIME HARIAN'!B11,'23'!I:I,"CRM")</f>
        <v>#DIV/0!</v>
      </c>
      <c r="AK11" s="111" t="e">
        <f>AVERAGEIFS('24'!AJ:AJ,'24'!C:C,'UPTIME HARIAN'!B11,'24'!I:I,"CRM")</f>
        <v>#DIV/0!</v>
      </c>
      <c r="AL11" s="111" t="e">
        <f>AVERAGEIFS('25'!AJ:AJ,'25'!C:C,'UPTIME HARIAN'!B11,'25'!I:I,"CRM")</f>
        <v>#DIV/0!</v>
      </c>
      <c r="AM11" s="111" t="e">
        <f>AVERAGEIFS('26'!AJ:AJ,'26'!C:C,'UPTIME HARIAN'!B11,'26'!I:I,"CRM")</f>
        <v>#DIV/0!</v>
      </c>
      <c r="AN11" s="111" t="e">
        <f>AVERAGEIFS('27'!AJ:AJ,'27'!C:C,'UPTIME HARIAN'!B11,'27'!I:I,"CRM")</f>
        <v>#DIV/0!</v>
      </c>
      <c r="AO11" s="111" t="e">
        <f>AVERAGEIFS('28'!AJ:AJ,'28'!C:C,'UPTIME HARIAN'!B11,'28'!I:I,"CRM")</f>
        <v>#DIV/0!</v>
      </c>
      <c r="AP11" s="111" t="e">
        <f>AVERAGEIFS('29'!AJ:AJ,'29'!C:C,'UPTIME HARIAN'!B11,'29'!I:I,"CRM")</f>
        <v>#DIV/0!</v>
      </c>
      <c r="AQ11" s="111" t="e">
        <f>AVERAGEIFS('30'!AJ:AJ,'30'!C:C,'UPTIME HARIAN'!B11,'30'!I:I,"CRM")</f>
        <v>#DIV/0!</v>
      </c>
      <c r="AR11" s="111" t="e">
        <f>AVERAGEIFS('31'!AJ:AJ,'31'!C:C,'UPTIME HARIAN'!B11,'31'!I:I,"CRM")</f>
        <v>#DIV/0!</v>
      </c>
    </row>
    <row r="12" spans="1:44" x14ac:dyDescent="0.35">
      <c r="A12" s="49">
        <v>7</v>
      </c>
      <c r="B12" s="170" t="s">
        <v>94</v>
      </c>
      <c r="C12" s="171">
        <f>COUNTIFS('atm total'!C:C,B12,'atm total'!AM:AM,"CRM")</f>
        <v>0</v>
      </c>
      <c r="D12" s="110">
        <v>99.056899641577061</v>
      </c>
      <c r="E12" s="110">
        <v>99.532903439153444</v>
      </c>
      <c r="F12" s="110">
        <v>100</v>
      </c>
      <c r="G12" s="110">
        <v>100</v>
      </c>
      <c r="H12" s="110">
        <v>99.948476702508955</v>
      </c>
      <c r="I12" s="110">
        <v>100</v>
      </c>
      <c r="J12" s="110">
        <v>100</v>
      </c>
      <c r="K12" s="110">
        <v>100</v>
      </c>
      <c r="L12" s="110">
        <v>99.837962962962962</v>
      </c>
      <c r="M12" s="110" t="e">
        <f>VLOOKUP(B12,'BALI NUSRA'!B70:H70,7,0)</f>
        <v>#DIV/0!</v>
      </c>
      <c r="N12" s="111" t="e">
        <f>AVERAGEIFS('1'!AJ:AJ,'1'!C:C,'UPTIME HARIAN'!B12,'1'!I:I,"CRM")</f>
        <v>#DIV/0!</v>
      </c>
      <c r="O12" s="111" t="e">
        <f>AVERAGEIFS('2'!AJ:AJ,'2'!C:C,'UPTIME HARIAN'!B12,'2'!I:I,"CRM")</f>
        <v>#DIV/0!</v>
      </c>
      <c r="P12" s="111" t="e">
        <f>AVERAGEIFS('3'!AJ:AJ,'3'!C:C,'UPTIME HARIAN'!B12,'3'!I:I,"CRM")</f>
        <v>#DIV/0!</v>
      </c>
      <c r="Q12" s="111" t="e">
        <f>AVERAGEIFS('4'!AJ:AJ,'4'!C:C,'UPTIME HARIAN'!B12,'4'!I:I,"CRM")</f>
        <v>#DIV/0!</v>
      </c>
      <c r="R12" s="111" t="e">
        <f>AVERAGEIFS('5'!AJ:AJ,'5'!C:C,'UPTIME HARIAN'!B12,'5'!I:I,"CRM")</f>
        <v>#DIV/0!</v>
      </c>
      <c r="S12" s="111" t="e">
        <f>AVERAGEIFS('6'!AJ:AJ,'6'!C:C,'UPTIME HARIAN'!B12,'6'!I:I,"CRM")</f>
        <v>#DIV/0!</v>
      </c>
      <c r="T12" s="111" t="e">
        <f>AVERAGEIFS('7'!AJ:AJ,'7'!C:C,'UPTIME HARIAN'!B12,'7'!I:I,"CRM")</f>
        <v>#DIV/0!</v>
      </c>
      <c r="U12" s="111" t="e">
        <f>AVERAGEIFS('8'!AJ:AJ,'8'!C:C,'UPTIME HARIAN'!B12,'8'!I:I,"CRM")</f>
        <v>#DIV/0!</v>
      </c>
      <c r="V12" s="111" t="e">
        <f>AVERAGEIFS('9'!AJ:AJ,'9'!C:C,'UPTIME HARIAN'!B12,'9'!I:I,"CRM")</f>
        <v>#DIV/0!</v>
      </c>
      <c r="W12" s="111" t="e">
        <f>AVERAGEIFS('10'!AJ:AJ,'10'!C:C,'UPTIME HARIAN'!B12,'10'!I:I,"CRM")</f>
        <v>#DIV/0!</v>
      </c>
      <c r="X12" s="111" t="e">
        <f>AVERAGEIFS('11'!AJ:AJ,'11'!C:C,'UPTIME HARIAN'!B12,'11'!I:I,"CRM")</f>
        <v>#DIV/0!</v>
      </c>
      <c r="Y12" s="111" t="e">
        <f>AVERAGEIFS('12'!AJ:AJ,'12'!C:C,'UPTIME HARIAN'!B12,'12'!I:I,"CRM")</f>
        <v>#DIV/0!</v>
      </c>
      <c r="Z12" s="111" t="e">
        <f>AVERAGEIFS('13'!AJ:AJ,'13'!C:C,'UPTIME HARIAN'!B12,'13'!I:I,"CRM")</f>
        <v>#DIV/0!</v>
      </c>
      <c r="AA12" s="111" t="e">
        <f>AVERAGEIFS('14'!AJ:AJ,'14'!C:C,'UPTIME HARIAN'!B12,'14'!I:I,"CRM")</f>
        <v>#DIV/0!</v>
      </c>
      <c r="AB12" s="111" t="e">
        <f>AVERAGEIFS('15'!AJ:AJ,'15'!C:C,'UPTIME HARIAN'!B12,'15'!I:I,"CRM")</f>
        <v>#DIV/0!</v>
      </c>
      <c r="AC12" s="111" t="e">
        <f>AVERAGEIFS('16'!AJ:AJ,'16'!C:C,'UPTIME HARIAN'!B12,'16'!I:I,"CRM")</f>
        <v>#DIV/0!</v>
      </c>
      <c r="AD12" s="111" t="e">
        <f>AVERAGEIFS('17'!AJ:AJ,'17'!C:C,'UPTIME HARIAN'!B12,'17'!I:I,"CRM")</f>
        <v>#DIV/0!</v>
      </c>
      <c r="AE12" s="111" t="e">
        <f>AVERAGEIFS('18'!AJ:AJ,'18'!C:C,'UPTIME HARIAN'!B12,'18'!I:I,"CRM")</f>
        <v>#DIV/0!</v>
      </c>
      <c r="AF12" s="111" t="e">
        <f>AVERAGEIFS('19'!AJ:AJ,'19'!C:C,'UPTIME HARIAN'!B12,'19'!I:I,"CRM")</f>
        <v>#DIV/0!</v>
      </c>
      <c r="AG12" s="111" t="e">
        <f>AVERAGEIFS('20'!AJ:AJ,'20'!C:C,'UPTIME HARIAN'!B12,'20'!I:I,"CRM")</f>
        <v>#DIV/0!</v>
      </c>
      <c r="AH12" s="111" t="e">
        <f>AVERAGEIFS('21'!AJ:AJ,'21'!C:C,'UPTIME HARIAN'!B12,'21'!I:I,"CRM")</f>
        <v>#DIV/0!</v>
      </c>
      <c r="AI12" s="111" t="e">
        <f>AVERAGEIFS('22'!AJ:AJ,'22'!C:C,'UPTIME HARIAN'!B12,'22'!I:I,"CRM")</f>
        <v>#DIV/0!</v>
      </c>
      <c r="AJ12" s="111" t="e">
        <f>AVERAGEIFS('23'!AJ:AJ,'23'!C:C,'UPTIME HARIAN'!B12,'23'!I:I,"CRM")</f>
        <v>#DIV/0!</v>
      </c>
      <c r="AK12" s="111" t="e">
        <f>AVERAGEIFS('24'!AJ:AJ,'24'!C:C,'UPTIME HARIAN'!B12,'24'!I:I,"CRM")</f>
        <v>#DIV/0!</v>
      </c>
      <c r="AL12" s="111" t="e">
        <f>AVERAGEIFS('25'!AJ:AJ,'25'!C:C,'UPTIME HARIAN'!B12,'25'!I:I,"CRM")</f>
        <v>#DIV/0!</v>
      </c>
      <c r="AM12" s="111" t="e">
        <f>AVERAGEIFS('26'!AJ:AJ,'26'!C:C,'UPTIME HARIAN'!B12,'26'!I:I,"CRM")</f>
        <v>#DIV/0!</v>
      </c>
      <c r="AN12" s="111" t="e">
        <f>AVERAGEIFS('27'!AJ:AJ,'27'!C:C,'UPTIME HARIAN'!B12,'27'!I:I,"CRM")</f>
        <v>#DIV/0!</v>
      </c>
      <c r="AO12" s="111" t="e">
        <f>AVERAGEIFS('28'!AJ:AJ,'28'!C:C,'UPTIME HARIAN'!B12,'28'!I:I,"CRM")</f>
        <v>#DIV/0!</v>
      </c>
      <c r="AP12" s="111" t="e">
        <f>AVERAGEIFS('29'!AJ:AJ,'29'!C:C,'UPTIME HARIAN'!B12,'29'!I:I,"CRM")</f>
        <v>#DIV/0!</v>
      </c>
      <c r="AQ12" s="111" t="e">
        <f>AVERAGEIFS('30'!AJ:AJ,'30'!C:C,'UPTIME HARIAN'!B12,'30'!I:I,"CRM")</f>
        <v>#DIV/0!</v>
      </c>
      <c r="AR12" s="111" t="e">
        <f>AVERAGEIFS('31'!AJ:AJ,'31'!C:C,'UPTIME HARIAN'!B12,'31'!I:I,"CRM")</f>
        <v>#DIV/0!</v>
      </c>
    </row>
    <row r="13" spans="1:44" x14ac:dyDescent="0.35">
      <c r="A13" s="49">
        <v>8</v>
      </c>
      <c r="B13" s="170" t="s">
        <v>117</v>
      </c>
      <c r="C13" s="171">
        <f>COUNTIFS('atm total'!C:C,B13,'atm total'!AM:AM,"CRM")</f>
        <v>0</v>
      </c>
      <c r="D13" s="110">
        <v>98.88245429309849</v>
      </c>
      <c r="E13" s="110">
        <v>99.218948707079278</v>
      </c>
      <c r="F13" s="110">
        <v>99.162119906831308</v>
      </c>
      <c r="G13" s="110">
        <v>99.291790306627107</v>
      </c>
      <c r="H13" s="110">
        <v>99.209342394945921</v>
      </c>
      <c r="I13" s="110">
        <v>99.252225519287833</v>
      </c>
      <c r="J13" s="110">
        <v>99.283845442072689</v>
      </c>
      <c r="K13" s="110">
        <v>98.996362592131717</v>
      </c>
      <c r="L13" s="110">
        <v>99.477909660402247</v>
      </c>
      <c r="M13" s="110" t="e">
        <f>VLOOKUP(B13,'BALI NUSRA'!B71:H71,7,0)</f>
        <v>#DIV/0!</v>
      </c>
      <c r="N13" s="111" t="e">
        <f>AVERAGEIFS('1'!AJ:AJ,'1'!C:C,'UPTIME HARIAN'!B13,'1'!I:I,"CRM")</f>
        <v>#DIV/0!</v>
      </c>
      <c r="O13" s="111" t="e">
        <f>AVERAGEIFS('2'!AJ:AJ,'2'!C:C,'UPTIME HARIAN'!B13,'2'!I:I,"CRM")</f>
        <v>#DIV/0!</v>
      </c>
      <c r="P13" s="111" t="e">
        <f>AVERAGEIFS('3'!AJ:AJ,'3'!C:C,'UPTIME HARIAN'!B13,'3'!I:I,"CRM")</f>
        <v>#DIV/0!</v>
      </c>
      <c r="Q13" s="111" t="e">
        <f>AVERAGEIFS('4'!AJ:AJ,'4'!C:C,'UPTIME HARIAN'!B13,'4'!I:I,"CRM")</f>
        <v>#DIV/0!</v>
      </c>
      <c r="R13" s="111" t="e">
        <f>AVERAGEIFS('5'!AJ:AJ,'5'!C:C,'UPTIME HARIAN'!B13,'5'!I:I,"CRM")</f>
        <v>#DIV/0!</v>
      </c>
      <c r="S13" s="111" t="e">
        <f>AVERAGEIFS('6'!AJ:AJ,'6'!C:C,'UPTIME HARIAN'!B13,'6'!I:I,"CRM")</f>
        <v>#DIV/0!</v>
      </c>
      <c r="T13" s="111" t="e">
        <f>AVERAGEIFS('7'!AJ:AJ,'7'!C:C,'UPTIME HARIAN'!B13,'7'!I:I,"CRM")</f>
        <v>#DIV/0!</v>
      </c>
      <c r="U13" s="111" t="e">
        <f>AVERAGEIFS('8'!AJ:AJ,'8'!C:C,'UPTIME HARIAN'!B13,'8'!I:I,"CRM")</f>
        <v>#DIV/0!</v>
      </c>
      <c r="V13" s="111" t="e">
        <f>AVERAGEIFS('9'!AJ:AJ,'9'!C:C,'UPTIME HARIAN'!B13,'9'!I:I,"CRM")</f>
        <v>#DIV/0!</v>
      </c>
      <c r="W13" s="111" t="e">
        <f>AVERAGEIFS('10'!AJ:AJ,'10'!C:C,'UPTIME HARIAN'!B13,'10'!I:I,"CRM")</f>
        <v>#DIV/0!</v>
      </c>
      <c r="X13" s="111" t="e">
        <f>AVERAGEIFS('11'!AJ:AJ,'11'!C:C,'UPTIME HARIAN'!B13,'11'!I:I,"CRM")</f>
        <v>#DIV/0!</v>
      </c>
      <c r="Y13" s="111" t="e">
        <f>AVERAGEIFS('12'!AJ:AJ,'12'!C:C,'UPTIME HARIAN'!B13,'12'!I:I,"CRM")</f>
        <v>#DIV/0!</v>
      </c>
      <c r="Z13" s="111" t="e">
        <f>AVERAGEIFS('13'!AJ:AJ,'13'!C:C,'UPTIME HARIAN'!B13,'13'!I:I,"CRM")</f>
        <v>#DIV/0!</v>
      </c>
      <c r="AA13" s="111" t="e">
        <f>AVERAGEIFS('14'!AJ:AJ,'14'!C:C,'UPTIME HARIAN'!B13,'14'!I:I,"CRM")</f>
        <v>#DIV/0!</v>
      </c>
      <c r="AB13" s="111" t="e">
        <f>AVERAGEIFS('15'!AJ:AJ,'15'!C:C,'UPTIME HARIAN'!B13,'15'!I:I,"CRM")</f>
        <v>#DIV/0!</v>
      </c>
      <c r="AC13" s="111" t="e">
        <f>AVERAGEIFS('16'!AJ:AJ,'16'!C:C,'UPTIME HARIAN'!B13,'16'!I:I,"CRM")</f>
        <v>#DIV/0!</v>
      </c>
      <c r="AD13" s="111" t="e">
        <f>AVERAGEIFS('17'!AJ:AJ,'17'!C:C,'UPTIME HARIAN'!B13,'17'!I:I,"CRM")</f>
        <v>#DIV/0!</v>
      </c>
      <c r="AE13" s="111" t="e">
        <f>AVERAGEIFS('18'!AJ:AJ,'18'!C:C,'UPTIME HARIAN'!B13,'18'!I:I,"CRM")</f>
        <v>#DIV/0!</v>
      </c>
      <c r="AF13" s="111" t="e">
        <f>AVERAGEIFS('19'!AJ:AJ,'19'!C:C,'UPTIME HARIAN'!B13,'19'!I:I,"CRM")</f>
        <v>#DIV/0!</v>
      </c>
      <c r="AG13" s="111" t="e">
        <f>AVERAGEIFS('20'!AJ:AJ,'20'!C:C,'UPTIME HARIAN'!B13,'20'!I:I,"CRM")</f>
        <v>#DIV/0!</v>
      </c>
      <c r="AH13" s="111" t="e">
        <f>AVERAGEIFS('21'!AJ:AJ,'21'!C:C,'UPTIME HARIAN'!B13,'21'!I:I,"CRM")</f>
        <v>#DIV/0!</v>
      </c>
      <c r="AI13" s="111" t="e">
        <f>AVERAGEIFS('22'!AJ:AJ,'22'!C:C,'UPTIME HARIAN'!B13,'22'!I:I,"CRM")</f>
        <v>#DIV/0!</v>
      </c>
      <c r="AJ13" s="111" t="e">
        <f>AVERAGEIFS('23'!AJ:AJ,'23'!C:C,'UPTIME HARIAN'!B13,'23'!I:I,"CRM")</f>
        <v>#DIV/0!</v>
      </c>
      <c r="AK13" s="111" t="e">
        <f>AVERAGEIFS('24'!AJ:AJ,'24'!C:C,'UPTIME HARIAN'!B13,'24'!I:I,"CRM")</f>
        <v>#DIV/0!</v>
      </c>
      <c r="AL13" s="111" t="e">
        <f>AVERAGEIFS('25'!AJ:AJ,'25'!C:C,'UPTIME HARIAN'!B13,'25'!I:I,"CRM")</f>
        <v>#DIV/0!</v>
      </c>
      <c r="AM13" s="111" t="e">
        <f>AVERAGEIFS('26'!AJ:AJ,'26'!C:C,'UPTIME HARIAN'!B13,'26'!I:I,"CRM")</f>
        <v>#DIV/0!</v>
      </c>
      <c r="AN13" s="111" t="e">
        <f>AVERAGEIFS('27'!AJ:AJ,'27'!C:C,'UPTIME HARIAN'!B13,'27'!I:I,"CRM")</f>
        <v>#DIV/0!</v>
      </c>
      <c r="AO13" s="111" t="e">
        <f>AVERAGEIFS('28'!AJ:AJ,'28'!C:C,'UPTIME HARIAN'!B13,'28'!I:I,"CRM")</f>
        <v>#DIV/0!</v>
      </c>
      <c r="AP13" s="111" t="e">
        <f>AVERAGEIFS('29'!AJ:AJ,'29'!C:C,'UPTIME HARIAN'!B13,'29'!I:I,"CRM")</f>
        <v>#DIV/0!</v>
      </c>
      <c r="AQ13" s="111" t="e">
        <f>AVERAGEIFS('30'!AJ:AJ,'30'!C:C,'UPTIME HARIAN'!B13,'30'!I:I,"CRM")</f>
        <v>#DIV/0!</v>
      </c>
      <c r="AR13" s="111" t="e">
        <f>AVERAGEIFS('31'!AJ:AJ,'31'!C:C,'UPTIME HARIAN'!B13,'31'!I:I,"CRM")</f>
        <v>#DIV/0!</v>
      </c>
    </row>
    <row r="14" spans="1:44" x14ac:dyDescent="0.35">
      <c r="A14" s="49">
        <v>9</v>
      </c>
      <c r="B14" s="170" t="s">
        <v>71</v>
      </c>
      <c r="C14" s="171">
        <f>COUNTIFS('atm total'!C:C,B14,'atm total'!AM:AM,"CRM")</f>
        <v>0</v>
      </c>
      <c r="D14" s="110">
        <v>98.958053315412187</v>
      </c>
      <c r="E14" s="110">
        <v>98.918340773809518</v>
      </c>
      <c r="F14" s="110">
        <v>98.8323252688172</v>
      </c>
      <c r="G14" s="110">
        <v>99.018229166666671</v>
      </c>
      <c r="H14" s="110">
        <v>98.593469982078858</v>
      </c>
      <c r="I14" s="110">
        <v>98.826967592592595</v>
      </c>
      <c r="J14" s="110">
        <v>99.246471774193552</v>
      </c>
      <c r="K14" s="110">
        <v>98.723118279569889</v>
      </c>
      <c r="L14" s="110">
        <v>99.106481481481481</v>
      </c>
      <c r="M14" s="110" t="e">
        <f>VLOOKUP(B14,'BALI NUSRA'!B72:H72,7,0)</f>
        <v>#DIV/0!</v>
      </c>
      <c r="N14" s="111" t="e">
        <f>AVERAGEIFS('1'!AJ:AJ,'1'!C:C,'UPTIME HARIAN'!B14,'1'!I:I,"CRM")</f>
        <v>#DIV/0!</v>
      </c>
      <c r="O14" s="111" t="e">
        <f>AVERAGEIFS('2'!AJ:AJ,'2'!C:C,'UPTIME HARIAN'!B14,'2'!I:I,"CRM")</f>
        <v>#DIV/0!</v>
      </c>
      <c r="P14" s="111" t="e">
        <f>AVERAGEIFS('3'!AJ:AJ,'3'!C:C,'UPTIME HARIAN'!B14,'3'!I:I,"CRM")</f>
        <v>#DIV/0!</v>
      </c>
      <c r="Q14" s="111" t="e">
        <f>AVERAGEIFS('4'!AJ:AJ,'4'!C:C,'UPTIME HARIAN'!B14,'4'!I:I,"CRM")</f>
        <v>#DIV/0!</v>
      </c>
      <c r="R14" s="111" t="e">
        <f>AVERAGEIFS('5'!AJ:AJ,'5'!C:C,'UPTIME HARIAN'!B14,'5'!I:I,"CRM")</f>
        <v>#DIV/0!</v>
      </c>
      <c r="S14" s="111" t="e">
        <f>AVERAGEIFS('6'!AJ:AJ,'6'!C:C,'UPTIME HARIAN'!B14,'6'!I:I,"CRM")</f>
        <v>#DIV/0!</v>
      </c>
      <c r="T14" s="111" t="e">
        <f>AVERAGEIFS('7'!AJ:AJ,'7'!C:C,'UPTIME HARIAN'!B14,'7'!I:I,"CRM")</f>
        <v>#DIV/0!</v>
      </c>
      <c r="U14" s="111" t="e">
        <f>AVERAGEIFS('8'!AJ:AJ,'8'!C:C,'UPTIME HARIAN'!B14,'8'!I:I,"CRM")</f>
        <v>#DIV/0!</v>
      </c>
      <c r="V14" s="111" t="e">
        <f>AVERAGEIFS('9'!AJ:AJ,'9'!C:C,'UPTIME HARIAN'!B14,'9'!I:I,"CRM")</f>
        <v>#DIV/0!</v>
      </c>
      <c r="W14" s="111" t="e">
        <f>AVERAGEIFS('10'!AJ:AJ,'10'!C:C,'UPTIME HARIAN'!B14,'10'!I:I,"CRM")</f>
        <v>#DIV/0!</v>
      </c>
      <c r="X14" s="111" t="e">
        <f>AVERAGEIFS('11'!AJ:AJ,'11'!C:C,'UPTIME HARIAN'!B14,'11'!I:I,"CRM")</f>
        <v>#DIV/0!</v>
      </c>
      <c r="Y14" s="111" t="e">
        <f>AVERAGEIFS('12'!AJ:AJ,'12'!C:C,'UPTIME HARIAN'!B14,'12'!I:I,"CRM")</f>
        <v>#DIV/0!</v>
      </c>
      <c r="Z14" s="111" t="e">
        <f>AVERAGEIFS('13'!AJ:AJ,'13'!C:C,'UPTIME HARIAN'!B14,'13'!I:I,"CRM")</f>
        <v>#DIV/0!</v>
      </c>
      <c r="AA14" s="111" t="e">
        <f>AVERAGEIFS('14'!AJ:AJ,'14'!C:C,'UPTIME HARIAN'!B14,'14'!I:I,"CRM")</f>
        <v>#DIV/0!</v>
      </c>
      <c r="AB14" s="111" t="e">
        <f>AVERAGEIFS('15'!AJ:AJ,'15'!C:C,'UPTIME HARIAN'!B14,'15'!I:I,"CRM")</f>
        <v>#DIV/0!</v>
      </c>
      <c r="AC14" s="111" t="e">
        <f>AVERAGEIFS('16'!AJ:AJ,'16'!C:C,'UPTIME HARIAN'!B14,'16'!I:I,"CRM")</f>
        <v>#DIV/0!</v>
      </c>
      <c r="AD14" s="111" t="e">
        <f>AVERAGEIFS('17'!AJ:AJ,'17'!C:C,'UPTIME HARIAN'!B14,'17'!I:I,"CRM")</f>
        <v>#DIV/0!</v>
      </c>
      <c r="AE14" s="111" t="e">
        <f>AVERAGEIFS('18'!AJ:AJ,'18'!C:C,'UPTIME HARIAN'!B14,'18'!I:I,"CRM")</f>
        <v>#DIV/0!</v>
      </c>
      <c r="AF14" s="111" t="e">
        <f>AVERAGEIFS('19'!AJ:AJ,'19'!C:C,'UPTIME HARIAN'!B14,'19'!I:I,"CRM")</f>
        <v>#DIV/0!</v>
      </c>
      <c r="AG14" s="111" t="e">
        <f>AVERAGEIFS('20'!AJ:AJ,'20'!C:C,'UPTIME HARIAN'!B14,'20'!I:I,"CRM")</f>
        <v>#DIV/0!</v>
      </c>
      <c r="AH14" s="111" t="e">
        <f>AVERAGEIFS('21'!AJ:AJ,'21'!C:C,'UPTIME HARIAN'!B14,'21'!I:I,"CRM")</f>
        <v>#DIV/0!</v>
      </c>
      <c r="AI14" s="111" t="e">
        <f>AVERAGEIFS('22'!AJ:AJ,'22'!C:C,'UPTIME HARIAN'!B14,'22'!I:I,"CRM")</f>
        <v>#DIV/0!</v>
      </c>
      <c r="AJ14" s="111" t="e">
        <f>AVERAGEIFS('23'!AJ:AJ,'23'!C:C,'UPTIME HARIAN'!B14,'23'!I:I,"CRM")</f>
        <v>#DIV/0!</v>
      </c>
      <c r="AK14" s="111" t="e">
        <f>AVERAGEIFS('24'!AJ:AJ,'24'!C:C,'UPTIME HARIAN'!B14,'24'!I:I,"CRM")</f>
        <v>#DIV/0!</v>
      </c>
      <c r="AL14" s="111" t="e">
        <f>AVERAGEIFS('25'!AJ:AJ,'25'!C:C,'UPTIME HARIAN'!B14,'25'!I:I,"CRM")</f>
        <v>#DIV/0!</v>
      </c>
      <c r="AM14" s="111" t="e">
        <f>AVERAGEIFS('26'!AJ:AJ,'26'!C:C,'UPTIME HARIAN'!B14,'26'!I:I,"CRM")</f>
        <v>#DIV/0!</v>
      </c>
      <c r="AN14" s="111" t="e">
        <f>AVERAGEIFS('27'!AJ:AJ,'27'!C:C,'UPTIME HARIAN'!B14,'27'!I:I,"CRM")</f>
        <v>#DIV/0!</v>
      </c>
      <c r="AO14" s="111" t="e">
        <f>AVERAGEIFS('28'!AJ:AJ,'28'!C:C,'UPTIME HARIAN'!B14,'28'!I:I,"CRM")</f>
        <v>#DIV/0!</v>
      </c>
      <c r="AP14" s="111" t="e">
        <f>AVERAGEIFS('29'!AJ:AJ,'29'!C:C,'UPTIME HARIAN'!B14,'29'!I:I,"CRM")</f>
        <v>#DIV/0!</v>
      </c>
      <c r="AQ14" s="111" t="e">
        <f>AVERAGEIFS('30'!AJ:AJ,'30'!C:C,'UPTIME HARIAN'!B14,'30'!I:I,"CRM")</f>
        <v>#DIV/0!</v>
      </c>
      <c r="AR14" s="111" t="e">
        <f>AVERAGEIFS('31'!AJ:AJ,'31'!C:C,'UPTIME HARIAN'!B14,'31'!I:I,"CRM")</f>
        <v>#DIV/0!</v>
      </c>
    </row>
    <row r="15" spans="1:44" x14ac:dyDescent="0.35">
      <c r="A15" s="49">
        <v>10</v>
      </c>
      <c r="B15" s="170" t="s">
        <v>128</v>
      </c>
      <c r="C15" s="171">
        <f>COUNTIFS('atm total'!C:C,B15,'atm total'!AM:AM,"CRM")</f>
        <v>0</v>
      </c>
      <c r="D15" s="110">
        <v>98.917667373047635</v>
      </c>
      <c r="E15" s="110">
        <v>97.784584636774412</v>
      </c>
      <c r="F15" s="110">
        <v>96.711796562279261</v>
      </c>
      <c r="G15" s="110">
        <v>97.452960259529604</v>
      </c>
      <c r="H15" s="110">
        <v>98.26701200847657</v>
      </c>
      <c r="I15" s="110">
        <v>96.396593673965938</v>
      </c>
      <c r="J15" s="110">
        <v>96.338591947256887</v>
      </c>
      <c r="K15" s="110">
        <v>96.769484341888386</v>
      </c>
      <c r="L15" s="110">
        <v>97.310218978102185</v>
      </c>
      <c r="M15" s="110" t="e">
        <f>VLOOKUP(B15,'BALI NUSRA'!B73:H73,7,0)</f>
        <v>#DIV/0!</v>
      </c>
      <c r="N15" s="111" t="e">
        <f>AVERAGEIFS('1'!AJ:AJ,'1'!C:C,'UPTIME HARIAN'!B15,'1'!I:I,"CRM")</f>
        <v>#DIV/0!</v>
      </c>
      <c r="O15" s="111" t="e">
        <f>AVERAGEIFS('2'!AJ:AJ,'2'!C:C,'UPTIME HARIAN'!B15,'2'!I:I,"CRM")</f>
        <v>#DIV/0!</v>
      </c>
      <c r="P15" s="111" t="e">
        <f>AVERAGEIFS('3'!AJ:AJ,'3'!C:C,'UPTIME HARIAN'!B15,'3'!I:I,"CRM")</f>
        <v>#DIV/0!</v>
      </c>
      <c r="Q15" s="111" t="e">
        <f>AVERAGEIFS('4'!AJ:AJ,'4'!C:C,'UPTIME HARIAN'!B15,'4'!I:I,"CRM")</f>
        <v>#DIV/0!</v>
      </c>
      <c r="R15" s="111" t="e">
        <f>AVERAGEIFS('5'!AJ:AJ,'5'!C:C,'UPTIME HARIAN'!B15,'5'!I:I,"CRM")</f>
        <v>#DIV/0!</v>
      </c>
      <c r="S15" s="111" t="e">
        <f>AVERAGEIFS('6'!AJ:AJ,'6'!C:C,'UPTIME HARIAN'!B15,'6'!I:I,"CRM")</f>
        <v>#DIV/0!</v>
      </c>
      <c r="T15" s="111" t="e">
        <f>AVERAGEIFS('7'!AJ:AJ,'7'!C:C,'UPTIME HARIAN'!B15,'7'!I:I,"CRM")</f>
        <v>#DIV/0!</v>
      </c>
      <c r="U15" s="111" t="e">
        <f>AVERAGEIFS('8'!AJ:AJ,'8'!C:C,'UPTIME HARIAN'!B15,'8'!I:I,"CRM")</f>
        <v>#DIV/0!</v>
      </c>
      <c r="V15" s="111" t="e">
        <f>AVERAGEIFS('9'!AJ:AJ,'9'!C:C,'UPTIME HARIAN'!B15,'9'!I:I,"CRM")</f>
        <v>#DIV/0!</v>
      </c>
      <c r="W15" s="111" t="e">
        <f>AVERAGEIFS('10'!AJ:AJ,'10'!C:C,'UPTIME HARIAN'!B15,'10'!I:I,"CRM")</f>
        <v>#DIV/0!</v>
      </c>
      <c r="X15" s="111" t="e">
        <f>AVERAGEIFS('11'!AJ:AJ,'11'!C:C,'UPTIME HARIAN'!B15,'11'!I:I,"CRM")</f>
        <v>#DIV/0!</v>
      </c>
      <c r="Y15" s="111" t="e">
        <f>AVERAGEIFS('12'!AJ:AJ,'12'!C:C,'UPTIME HARIAN'!B15,'12'!I:I,"CRM")</f>
        <v>#DIV/0!</v>
      </c>
      <c r="Z15" s="111" t="e">
        <f>AVERAGEIFS('13'!AJ:AJ,'13'!C:C,'UPTIME HARIAN'!B15,'13'!I:I,"CRM")</f>
        <v>#DIV/0!</v>
      </c>
      <c r="AA15" s="111" t="e">
        <f>AVERAGEIFS('14'!AJ:AJ,'14'!C:C,'UPTIME HARIAN'!B15,'14'!I:I,"CRM")</f>
        <v>#DIV/0!</v>
      </c>
      <c r="AB15" s="111" t="e">
        <f>AVERAGEIFS('15'!AJ:AJ,'15'!C:C,'UPTIME HARIAN'!B15,'15'!I:I,"CRM")</f>
        <v>#DIV/0!</v>
      </c>
      <c r="AC15" s="111" t="e">
        <f>AVERAGEIFS('16'!AJ:AJ,'16'!C:C,'UPTIME HARIAN'!B15,'16'!I:I,"CRM")</f>
        <v>#DIV/0!</v>
      </c>
      <c r="AD15" s="111" t="e">
        <f>AVERAGEIFS('17'!AJ:AJ,'17'!C:C,'UPTIME HARIAN'!B15,'17'!I:I,"CRM")</f>
        <v>#DIV/0!</v>
      </c>
      <c r="AE15" s="111" t="e">
        <f>AVERAGEIFS('18'!AJ:AJ,'18'!C:C,'UPTIME HARIAN'!B15,'18'!I:I,"CRM")</f>
        <v>#DIV/0!</v>
      </c>
      <c r="AF15" s="111" t="e">
        <f>AVERAGEIFS('19'!AJ:AJ,'19'!C:C,'UPTIME HARIAN'!B15,'19'!I:I,"CRM")</f>
        <v>#DIV/0!</v>
      </c>
      <c r="AG15" s="111" t="e">
        <f>AVERAGEIFS('20'!AJ:AJ,'20'!C:C,'UPTIME HARIAN'!B15,'20'!I:I,"CRM")</f>
        <v>#DIV/0!</v>
      </c>
      <c r="AH15" s="111" t="e">
        <f>AVERAGEIFS('21'!AJ:AJ,'21'!C:C,'UPTIME HARIAN'!B15,'21'!I:I,"CRM")</f>
        <v>#DIV/0!</v>
      </c>
      <c r="AI15" s="111" t="e">
        <f>AVERAGEIFS('22'!AJ:AJ,'22'!C:C,'UPTIME HARIAN'!B15,'22'!I:I,"CRM")</f>
        <v>#DIV/0!</v>
      </c>
      <c r="AJ15" s="111" t="e">
        <f>AVERAGEIFS('23'!AJ:AJ,'23'!C:C,'UPTIME HARIAN'!B15,'23'!I:I,"CRM")</f>
        <v>#DIV/0!</v>
      </c>
      <c r="AK15" s="111" t="e">
        <f>AVERAGEIFS('24'!AJ:AJ,'24'!C:C,'UPTIME HARIAN'!B15,'24'!I:I,"CRM")</f>
        <v>#DIV/0!</v>
      </c>
      <c r="AL15" s="111" t="e">
        <f>AVERAGEIFS('25'!AJ:AJ,'25'!C:C,'UPTIME HARIAN'!B15,'25'!I:I,"CRM")</f>
        <v>#DIV/0!</v>
      </c>
      <c r="AM15" s="111" t="e">
        <f>AVERAGEIFS('26'!AJ:AJ,'26'!C:C,'UPTIME HARIAN'!B15,'26'!I:I,"CRM")</f>
        <v>#DIV/0!</v>
      </c>
      <c r="AN15" s="111" t="e">
        <f>AVERAGEIFS('27'!AJ:AJ,'27'!C:C,'UPTIME HARIAN'!B15,'27'!I:I,"CRM")</f>
        <v>#DIV/0!</v>
      </c>
      <c r="AO15" s="111" t="e">
        <f>AVERAGEIFS('28'!AJ:AJ,'28'!C:C,'UPTIME HARIAN'!B15,'28'!I:I,"CRM")</f>
        <v>#DIV/0!</v>
      </c>
      <c r="AP15" s="111" t="e">
        <f>AVERAGEIFS('29'!AJ:AJ,'29'!C:C,'UPTIME HARIAN'!B15,'29'!I:I,"CRM")</f>
        <v>#DIV/0!</v>
      </c>
      <c r="AQ15" s="111" t="e">
        <f>AVERAGEIFS('30'!AJ:AJ,'30'!C:C,'UPTIME HARIAN'!B15,'30'!I:I,"CRM")</f>
        <v>#DIV/0!</v>
      </c>
      <c r="AR15" s="111" t="e">
        <f>AVERAGEIFS('31'!AJ:AJ,'31'!C:C,'UPTIME HARIAN'!B15,'31'!I:I,"CRM")</f>
        <v>#DIV/0!</v>
      </c>
    </row>
    <row r="16" spans="1:44" x14ac:dyDescent="0.35">
      <c r="A16" s="49">
        <v>11</v>
      </c>
      <c r="B16" s="170" t="s">
        <v>565</v>
      </c>
      <c r="C16" s="171">
        <f>COUNTIFS('atm total'!C:C,B16,'atm total'!AM:AM,"CRM")</f>
        <v>0</v>
      </c>
      <c r="D16" s="110">
        <v>97.501695243630721</v>
      </c>
      <c r="E16" s="110">
        <v>98.424495924495929</v>
      </c>
      <c r="F16" s="110">
        <v>98.643805095418003</v>
      </c>
      <c r="G16" s="110">
        <v>99.149649649649646</v>
      </c>
      <c r="H16" s="110">
        <v>99.128644773806059</v>
      </c>
      <c r="I16" s="110">
        <v>98.853853853853849</v>
      </c>
      <c r="J16" s="110">
        <v>99.387290516322778</v>
      </c>
      <c r="K16" s="110">
        <v>99.114598469437183</v>
      </c>
      <c r="L16" s="110">
        <v>99.01951951951952</v>
      </c>
      <c r="M16" s="110" t="e">
        <f>VLOOKUP(B16,'BALI NUSRA'!B74:H74,7,0)</f>
        <v>#DIV/0!</v>
      </c>
      <c r="N16" s="111" t="e">
        <f>AVERAGEIFS('1'!AJ:AJ,'1'!C:C,'UPTIME HARIAN'!B16,'1'!I:I,"CRM")</f>
        <v>#DIV/0!</v>
      </c>
      <c r="O16" s="111" t="e">
        <f>AVERAGEIFS('2'!AJ:AJ,'2'!C:C,'UPTIME HARIAN'!B16,'2'!I:I,"CRM")</f>
        <v>#DIV/0!</v>
      </c>
      <c r="P16" s="111" t="e">
        <f>AVERAGEIFS('3'!AJ:AJ,'3'!C:C,'UPTIME HARIAN'!B16,'3'!I:I,"CRM")</f>
        <v>#DIV/0!</v>
      </c>
      <c r="Q16" s="111" t="e">
        <f>AVERAGEIFS('4'!AJ:AJ,'4'!C:C,'UPTIME HARIAN'!B16,'4'!I:I,"CRM")</f>
        <v>#DIV/0!</v>
      </c>
      <c r="R16" s="111" t="e">
        <f>AVERAGEIFS('5'!AJ:AJ,'5'!C:C,'UPTIME HARIAN'!B16,'5'!I:I,"CRM")</f>
        <v>#DIV/0!</v>
      </c>
      <c r="S16" s="111" t="e">
        <f>AVERAGEIFS('6'!AJ:AJ,'6'!C:C,'UPTIME HARIAN'!B16,'6'!I:I,"CRM")</f>
        <v>#DIV/0!</v>
      </c>
      <c r="T16" s="111" t="e">
        <f>AVERAGEIFS('7'!AJ:AJ,'7'!C:C,'UPTIME HARIAN'!B16,'7'!I:I,"CRM")</f>
        <v>#DIV/0!</v>
      </c>
      <c r="U16" s="111" t="e">
        <f>AVERAGEIFS('8'!AJ:AJ,'8'!C:C,'UPTIME HARIAN'!B16,'8'!I:I,"CRM")</f>
        <v>#DIV/0!</v>
      </c>
      <c r="V16" s="111" t="e">
        <f>AVERAGEIFS('9'!AJ:AJ,'9'!C:C,'UPTIME HARIAN'!B16,'9'!I:I,"CRM")</f>
        <v>#DIV/0!</v>
      </c>
      <c r="W16" s="111" t="e">
        <f>AVERAGEIFS('10'!AJ:AJ,'10'!C:C,'UPTIME HARIAN'!B16,'10'!I:I,"CRM")</f>
        <v>#DIV/0!</v>
      </c>
      <c r="X16" s="111" t="e">
        <f>AVERAGEIFS('11'!AJ:AJ,'11'!C:C,'UPTIME HARIAN'!B16,'11'!I:I,"CRM")</f>
        <v>#DIV/0!</v>
      </c>
      <c r="Y16" s="111" t="e">
        <f>AVERAGEIFS('12'!AJ:AJ,'12'!C:C,'UPTIME HARIAN'!B16,'12'!I:I,"CRM")</f>
        <v>#DIV/0!</v>
      </c>
      <c r="Z16" s="111" t="e">
        <f>AVERAGEIFS('13'!AJ:AJ,'13'!C:C,'UPTIME HARIAN'!B16,'13'!I:I,"CRM")</f>
        <v>#DIV/0!</v>
      </c>
      <c r="AA16" s="111" t="e">
        <f>AVERAGEIFS('14'!AJ:AJ,'14'!C:C,'UPTIME HARIAN'!B16,'14'!I:I,"CRM")</f>
        <v>#DIV/0!</v>
      </c>
      <c r="AB16" s="111" t="e">
        <f>AVERAGEIFS('15'!AJ:AJ,'15'!C:C,'UPTIME HARIAN'!B16,'15'!I:I,"CRM")</f>
        <v>#DIV/0!</v>
      </c>
      <c r="AC16" s="111" t="e">
        <f>AVERAGEIFS('16'!AJ:AJ,'16'!C:C,'UPTIME HARIAN'!B16,'16'!I:I,"CRM")</f>
        <v>#DIV/0!</v>
      </c>
      <c r="AD16" s="111" t="e">
        <f>AVERAGEIFS('17'!AJ:AJ,'17'!C:C,'UPTIME HARIAN'!B16,'17'!I:I,"CRM")</f>
        <v>#DIV/0!</v>
      </c>
      <c r="AE16" s="111" t="e">
        <f>AVERAGEIFS('18'!AJ:AJ,'18'!C:C,'UPTIME HARIAN'!B16,'18'!I:I,"CRM")</f>
        <v>#DIV/0!</v>
      </c>
      <c r="AF16" s="111" t="e">
        <f>AVERAGEIFS('19'!AJ:AJ,'19'!C:C,'UPTIME HARIAN'!B16,'19'!I:I,"CRM")</f>
        <v>#DIV/0!</v>
      </c>
      <c r="AG16" s="111" t="e">
        <f>AVERAGEIFS('20'!AJ:AJ,'20'!C:C,'UPTIME HARIAN'!B16,'20'!I:I,"CRM")</f>
        <v>#DIV/0!</v>
      </c>
      <c r="AH16" s="111" t="e">
        <f>AVERAGEIFS('21'!AJ:AJ,'21'!C:C,'UPTIME HARIAN'!B16,'21'!I:I,"CRM")</f>
        <v>#DIV/0!</v>
      </c>
      <c r="AI16" s="111" t="e">
        <f>AVERAGEIFS('22'!AJ:AJ,'22'!C:C,'UPTIME HARIAN'!B16,'22'!I:I,"CRM")</f>
        <v>#DIV/0!</v>
      </c>
      <c r="AJ16" s="111" t="e">
        <f>AVERAGEIFS('23'!AJ:AJ,'23'!C:C,'UPTIME HARIAN'!B16,'23'!I:I,"CRM")</f>
        <v>#DIV/0!</v>
      </c>
      <c r="AK16" s="111" t="e">
        <f>AVERAGEIFS('24'!AJ:AJ,'24'!C:C,'UPTIME HARIAN'!B16,'24'!I:I,"CRM")</f>
        <v>#DIV/0!</v>
      </c>
      <c r="AL16" s="111" t="e">
        <f>AVERAGEIFS('25'!AJ:AJ,'25'!C:C,'UPTIME HARIAN'!B16,'25'!I:I,"CRM")</f>
        <v>#DIV/0!</v>
      </c>
      <c r="AM16" s="111" t="e">
        <f>AVERAGEIFS('26'!AJ:AJ,'26'!C:C,'UPTIME HARIAN'!B16,'26'!I:I,"CRM")</f>
        <v>#DIV/0!</v>
      </c>
      <c r="AN16" s="111" t="e">
        <f>AVERAGEIFS('27'!AJ:AJ,'27'!C:C,'UPTIME HARIAN'!B16,'27'!I:I,"CRM")</f>
        <v>#DIV/0!</v>
      </c>
      <c r="AO16" s="111" t="e">
        <f>AVERAGEIFS('28'!AJ:AJ,'28'!C:C,'UPTIME HARIAN'!B16,'28'!I:I,"CRM")</f>
        <v>#DIV/0!</v>
      </c>
      <c r="AP16" s="111" t="e">
        <f>AVERAGEIFS('29'!AJ:AJ,'29'!C:C,'UPTIME HARIAN'!B16,'29'!I:I,"CRM")</f>
        <v>#DIV/0!</v>
      </c>
      <c r="AQ16" s="111" t="e">
        <f>AVERAGEIFS('30'!AJ:AJ,'30'!C:C,'UPTIME HARIAN'!B16,'30'!I:I,"CRM")</f>
        <v>#DIV/0!</v>
      </c>
      <c r="AR16" s="111" t="e">
        <f>AVERAGEIFS('31'!AJ:AJ,'31'!C:C,'UPTIME HARIAN'!B16,'31'!I:I,"CRM")</f>
        <v>#DIV/0!</v>
      </c>
    </row>
    <row r="17" spans="1:44" x14ac:dyDescent="0.35">
      <c r="A17" s="49">
        <v>12</v>
      </c>
      <c r="B17" s="170" t="s">
        <v>820</v>
      </c>
      <c r="C17" s="171">
        <f>COUNTIFS('atm total'!C:C,B17,'atm total'!AM:AM,"CRM")</f>
        <v>0</v>
      </c>
      <c r="D17" s="110">
        <v>97.133736559139791</v>
      </c>
      <c r="E17" s="110">
        <v>98.577628968253975</v>
      </c>
      <c r="F17" s="110">
        <v>98.209565412186379</v>
      </c>
      <c r="G17" s="110">
        <v>99.113425925925924</v>
      </c>
      <c r="H17" s="110">
        <v>98.677755376344081</v>
      </c>
      <c r="I17" s="110">
        <v>98.84606481481481</v>
      </c>
      <c r="J17" s="110">
        <v>98.685595878136198</v>
      </c>
      <c r="K17" s="110">
        <v>98.424619175627242</v>
      </c>
      <c r="L17" s="110">
        <v>98.484375</v>
      </c>
      <c r="M17" s="110" t="e">
        <f>VLOOKUP(B17,'BALI NUSRA'!B75:H75,7,0)</f>
        <v>#DIV/0!</v>
      </c>
      <c r="N17" s="111" t="e">
        <f>AVERAGEIFS('1'!AJ:AJ,'1'!C:C,'UPTIME HARIAN'!B17,'1'!I:I,"CRM")</f>
        <v>#DIV/0!</v>
      </c>
      <c r="O17" s="111" t="e">
        <f>AVERAGEIFS('2'!AJ:AJ,'2'!C:C,'UPTIME HARIAN'!B17,'2'!I:I,"CRM")</f>
        <v>#DIV/0!</v>
      </c>
      <c r="P17" s="111" t="e">
        <f>AVERAGEIFS('3'!AJ:AJ,'3'!C:C,'UPTIME HARIAN'!B17,'3'!I:I,"CRM")</f>
        <v>#DIV/0!</v>
      </c>
      <c r="Q17" s="111" t="e">
        <f>AVERAGEIFS('4'!AJ:AJ,'4'!C:C,'UPTIME HARIAN'!B17,'4'!I:I,"CRM")</f>
        <v>#DIV/0!</v>
      </c>
      <c r="R17" s="111" t="e">
        <f>AVERAGEIFS('5'!AJ:AJ,'5'!C:C,'UPTIME HARIAN'!B17,'5'!I:I,"CRM")</f>
        <v>#DIV/0!</v>
      </c>
      <c r="S17" s="111" t="e">
        <f>AVERAGEIFS('6'!AJ:AJ,'6'!C:C,'UPTIME HARIAN'!B17,'6'!I:I,"CRM")</f>
        <v>#DIV/0!</v>
      </c>
      <c r="T17" s="111" t="e">
        <f>AVERAGEIFS('7'!AJ:AJ,'7'!C:C,'UPTIME HARIAN'!B17,'7'!I:I,"CRM")</f>
        <v>#DIV/0!</v>
      </c>
      <c r="U17" s="111" t="e">
        <f>AVERAGEIFS('8'!AJ:AJ,'8'!C:C,'UPTIME HARIAN'!B17,'8'!I:I,"CRM")</f>
        <v>#DIV/0!</v>
      </c>
      <c r="V17" s="111" t="e">
        <f>AVERAGEIFS('9'!AJ:AJ,'9'!C:C,'UPTIME HARIAN'!B17,'9'!I:I,"CRM")</f>
        <v>#DIV/0!</v>
      </c>
      <c r="W17" s="111" t="e">
        <f>AVERAGEIFS('10'!AJ:AJ,'10'!C:C,'UPTIME HARIAN'!B17,'10'!I:I,"CRM")</f>
        <v>#DIV/0!</v>
      </c>
      <c r="X17" s="111" t="e">
        <f>AVERAGEIFS('11'!AJ:AJ,'11'!C:C,'UPTIME HARIAN'!B17,'11'!I:I,"CRM")</f>
        <v>#DIV/0!</v>
      </c>
      <c r="Y17" s="111" t="e">
        <f>AVERAGEIFS('12'!AJ:AJ,'12'!C:C,'UPTIME HARIAN'!B17,'12'!I:I,"CRM")</f>
        <v>#DIV/0!</v>
      </c>
      <c r="Z17" s="111" t="e">
        <f>AVERAGEIFS('13'!AJ:AJ,'13'!C:C,'UPTIME HARIAN'!B17,'13'!I:I,"CRM")</f>
        <v>#DIV/0!</v>
      </c>
      <c r="AA17" s="111" t="e">
        <f>AVERAGEIFS('14'!AJ:AJ,'14'!C:C,'UPTIME HARIAN'!B17,'14'!I:I,"CRM")</f>
        <v>#DIV/0!</v>
      </c>
      <c r="AB17" s="111" t="e">
        <f>AVERAGEIFS('15'!AJ:AJ,'15'!C:C,'UPTIME HARIAN'!B17,'15'!I:I,"CRM")</f>
        <v>#DIV/0!</v>
      </c>
      <c r="AC17" s="111" t="e">
        <f>AVERAGEIFS('16'!AJ:AJ,'16'!C:C,'UPTIME HARIAN'!B17,'16'!I:I,"CRM")</f>
        <v>#DIV/0!</v>
      </c>
      <c r="AD17" s="111" t="e">
        <f>AVERAGEIFS('17'!AJ:AJ,'17'!C:C,'UPTIME HARIAN'!B17,'17'!I:I,"CRM")</f>
        <v>#DIV/0!</v>
      </c>
      <c r="AE17" s="111" t="e">
        <f>AVERAGEIFS('18'!AJ:AJ,'18'!C:C,'UPTIME HARIAN'!B17,'18'!I:I,"CRM")</f>
        <v>#DIV/0!</v>
      </c>
      <c r="AF17" s="111" t="e">
        <f>AVERAGEIFS('19'!AJ:AJ,'19'!C:C,'UPTIME HARIAN'!B17,'19'!I:I,"CRM")</f>
        <v>#DIV/0!</v>
      </c>
      <c r="AG17" s="111" t="e">
        <f>AVERAGEIFS('20'!AJ:AJ,'20'!C:C,'UPTIME HARIAN'!B17,'20'!I:I,"CRM")</f>
        <v>#DIV/0!</v>
      </c>
      <c r="AH17" s="111" t="e">
        <f>AVERAGEIFS('21'!AJ:AJ,'21'!C:C,'UPTIME HARIAN'!B17,'21'!I:I,"CRM")</f>
        <v>#DIV/0!</v>
      </c>
      <c r="AI17" s="111" t="e">
        <f>AVERAGEIFS('22'!AJ:AJ,'22'!C:C,'UPTIME HARIAN'!B17,'22'!I:I,"CRM")</f>
        <v>#DIV/0!</v>
      </c>
      <c r="AJ17" s="111" t="e">
        <f>AVERAGEIFS('23'!AJ:AJ,'23'!C:C,'UPTIME HARIAN'!B17,'23'!I:I,"CRM")</f>
        <v>#DIV/0!</v>
      </c>
      <c r="AK17" s="111" t="e">
        <f>AVERAGEIFS('24'!AJ:AJ,'24'!C:C,'UPTIME HARIAN'!B17,'24'!I:I,"CRM")</f>
        <v>#DIV/0!</v>
      </c>
      <c r="AL17" s="111" t="e">
        <f>AVERAGEIFS('25'!AJ:AJ,'25'!C:C,'UPTIME HARIAN'!B17,'25'!I:I,"CRM")</f>
        <v>#DIV/0!</v>
      </c>
      <c r="AM17" s="111" t="e">
        <f>AVERAGEIFS('26'!AJ:AJ,'26'!C:C,'UPTIME HARIAN'!B17,'26'!I:I,"CRM")</f>
        <v>#DIV/0!</v>
      </c>
      <c r="AN17" s="111" t="e">
        <f>AVERAGEIFS('27'!AJ:AJ,'27'!C:C,'UPTIME HARIAN'!B17,'27'!I:I,"CRM")</f>
        <v>#DIV/0!</v>
      </c>
      <c r="AO17" s="111" t="e">
        <f>AVERAGEIFS('28'!AJ:AJ,'28'!C:C,'UPTIME HARIAN'!B17,'28'!I:I,"CRM")</f>
        <v>#DIV/0!</v>
      </c>
      <c r="AP17" s="111" t="e">
        <f>AVERAGEIFS('29'!AJ:AJ,'29'!C:C,'UPTIME HARIAN'!B17,'29'!I:I,"CRM")</f>
        <v>#DIV/0!</v>
      </c>
      <c r="AQ17" s="111" t="e">
        <f>AVERAGEIFS('30'!AJ:AJ,'30'!C:C,'UPTIME HARIAN'!B17,'30'!I:I,"CRM")</f>
        <v>#DIV/0!</v>
      </c>
      <c r="AR17" s="111" t="e">
        <f>AVERAGEIFS('31'!AJ:AJ,'31'!C:C,'UPTIME HARIAN'!B17,'31'!I:I,"CRM")</f>
        <v>#DIV/0!</v>
      </c>
    </row>
    <row r="18" spans="1:44" x14ac:dyDescent="0.35">
      <c r="A18" s="49">
        <v>13</v>
      </c>
      <c r="B18" s="170" t="s">
        <v>3376</v>
      </c>
      <c r="C18" s="171">
        <f>COUNTIFS('atm total'!C:C,B18,'atm total'!AM:AM,"CRM")</f>
        <v>0</v>
      </c>
      <c r="D18" s="110">
        <v>97.133736559139791</v>
      </c>
      <c r="E18" s="110">
        <v>98.577628968253975</v>
      </c>
      <c r="F18" s="110">
        <v>98.209565412186379</v>
      </c>
      <c r="G18" s="110">
        <v>99.113425925925924</v>
      </c>
      <c r="H18" s="110">
        <v>98.677755376344081</v>
      </c>
      <c r="I18" s="110">
        <v>98.84606481481481</v>
      </c>
      <c r="J18" s="110">
        <v>98.685595878136198</v>
      </c>
      <c r="K18" s="110">
        <v>99.784946236559136</v>
      </c>
      <c r="L18" s="110">
        <v>99.478009259259252</v>
      </c>
      <c r="M18" s="110" t="e">
        <f>VLOOKUP(B18,'BALI NUSRA'!B76:H76,7,0)</f>
        <v>#DIV/0!</v>
      </c>
      <c r="N18" s="111" t="e">
        <f>AVERAGEIFS('1'!AJ:AJ,'1'!C:C,'UPTIME HARIAN'!B18,'1'!I:I,"CRM")</f>
        <v>#DIV/0!</v>
      </c>
      <c r="O18" s="111" t="e">
        <f>AVERAGEIFS('2'!AJ:AJ,'2'!C:C,'UPTIME HARIAN'!B18,'2'!I:I,"CRM")</f>
        <v>#DIV/0!</v>
      </c>
      <c r="P18" s="111" t="e">
        <f>AVERAGEIFS('3'!AJ:AJ,'3'!C:C,'UPTIME HARIAN'!B18,'3'!I:I,"CRM")</f>
        <v>#DIV/0!</v>
      </c>
      <c r="Q18" s="111" t="e">
        <f>AVERAGEIFS('4'!AJ:AJ,'4'!C:C,'UPTIME HARIAN'!B18,'4'!I:I,"CRM")</f>
        <v>#DIV/0!</v>
      </c>
      <c r="R18" s="111" t="e">
        <f>AVERAGEIFS('5'!AJ:AJ,'5'!C:C,'UPTIME HARIAN'!B18,'5'!I:I,"CRM")</f>
        <v>#DIV/0!</v>
      </c>
      <c r="S18" s="111" t="e">
        <f>AVERAGEIFS('6'!AJ:AJ,'6'!C:C,'UPTIME HARIAN'!B18,'6'!I:I,"CRM")</f>
        <v>#DIV/0!</v>
      </c>
      <c r="T18" s="111" t="e">
        <f>AVERAGEIFS('7'!AJ:AJ,'7'!C:C,'UPTIME HARIAN'!B18,'7'!I:I,"CRM")</f>
        <v>#DIV/0!</v>
      </c>
      <c r="U18" s="111" t="e">
        <f>AVERAGEIFS('8'!AJ:AJ,'8'!C:C,'UPTIME HARIAN'!B18,'8'!I:I,"CRM")</f>
        <v>#DIV/0!</v>
      </c>
      <c r="V18" s="111" t="e">
        <f>AVERAGEIFS('9'!AJ:AJ,'9'!C:C,'UPTIME HARIAN'!B18,'9'!I:I,"CRM")</f>
        <v>#DIV/0!</v>
      </c>
      <c r="W18" s="111" t="e">
        <f>AVERAGEIFS('10'!AJ:AJ,'10'!C:C,'UPTIME HARIAN'!B18,'10'!I:I,"CRM")</f>
        <v>#DIV/0!</v>
      </c>
      <c r="X18" s="111" t="e">
        <f>AVERAGEIFS('11'!AJ:AJ,'11'!C:C,'UPTIME HARIAN'!B18,'11'!I:I,"CRM")</f>
        <v>#DIV/0!</v>
      </c>
      <c r="Y18" s="111" t="e">
        <f>AVERAGEIFS('12'!AJ:AJ,'12'!C:C,'UPTIME HARIAN'!B18,'12'!I:I,"CRM")</f>
        <v>#DIV/0!</v>
      </c>
      <c r="Z18" s="111" t="e">
        <f>AVERAGEIFS('13'!AJ:AJ,'13'!C:C,'UPTIME HARIAN'!B18,'13'!I:I,"CRM")</f>
        <v>#DIV/0!</v>
      </c>
      <c r="AA18" s="111" t="e">
        <f>AVERAGEIFS('14'!AJ:AJ,'14'!C:C,'UPTIME HARIAN'!B18,'14'!I:I,"CRM")</f>
        <v>#DIV/0!</v>
      </c>
      <c r="AB18" s="111" t="e">
        <f>AVERAGEIFS('15'!AJ:AJ,'15'!C:C,'UPTIME HARIAN'!B18,'15'!I:I,"CRM")</f>
        <v>#DIV/0!</v>
      </c>
      <c r="AC18" s="111" t="e">
        <f>AVERAGEIFS('16'!AJ:AJ,'16'!C:C,'UPTIME HARIAN'!B18,'16'!I:I,"CRM")</f>
        <v>#DIV/0!</v>
      </c>
      <c r="AD18" s="111" t="e">
        <f>AVERAGEIFS('17'!AJ:AJ,'17'!C:C,'UPTIME HARIAN'!B18,'17'!I:I,"CRM")</f>
        <v>#DIV/0!</v>
      </c>
      <c r="AE18" s="111" t="e">
        <f>AVERAGEIFS('18'!AJ:AJ,'18'!C:C,'UPTIME HARIAN'!B18,'18'!I:I,"CRM")</f>
        <v>#DIV/0!</v>
      </c>
      <c r="AF18" s="111" t="e">
        <f>AVERAGEIFS('19'!AJ:AJ,'19'!C:C,'UPTIME HARIAN'!B18,'19'!I:I,"CRM")</f>
        <v>#DIV/0!</v>
      </c>
      <c r="AG18" s="111" t="e">
        <f>AVERAGEIFS('20'!AJ:AJ,'20'!C:C,'UPTIME HARIAN'!B18,'20'!I:I,"CRM")</f>
        <v>#DIV/0!</v>
      </c>
      <c r="AH18" s="111" t="e">
        <f>AVERAGEIFS('21'!AJ:AJ,'21'!C:C,'UPTIME HARIAN'!B18,'21'!I:I,"CRM")</f>
        <v>#DIV/0!</v>
      </c>
      <c r="AI18" s="111" t="e">
        <f>AVERAGEIFS('22'!AJ:AJ,'22'!C:C,'UPTIME HARIAN'!B18,'22'!I:I,"CRM")</f>
        <v>#DIV/0!</v>
      </c>
      <c r="AJ18" s="111" t="e">
        <f>AVERAGEIFS('23'!AJ:AJ,'23'!C:C,'UPTIME HARIAN'!B18,'23'!I:I,"CRM")</f>
        <v>#DIV/0!</v>
      </c>
      <c r="AK18" s="111" t="e">
        <f>AVERAGEIFS('24'!AJ:AJ,'24'!C:C,'UPTIME HARIAN'!B18,'24'!I:I,"CRM")</f>
        <v>#DIV/0!</v>
      </c>
      <c r="AL18" s="111" t="e">
        <f>AVERAGEIFS('25'!AJ:AJ,'25'!C:C,'UPTIME HARIAN'!B18,'25'!I:I,"CRM")</f>
        <v>#DIV/0!</v>
      </c>
      <c r="AM18" s="111" t="e">
        <f>AVERAGEIFS('26'!AJ:AJ,'26'!C:C,'UPTIME HARIAN'!B18,'26'!I:I,"CRM")</f>
        <v>#DIV/0!</v>
      </c>
      <c r="AN18" s="111" t="e">
        <f>AVERAGEIFS('27'!AJ:AJ,'27'!C:C,'UPTIME HARIAN'!B18,'27'!I:I,"CRM")</f>
        <v>#DIV/0!</v>
      </c>
      <c r="AO18" s="111" t="e">
        <f>AVERAGEIFS('28'!AJ:AJ,'28'!C:C,'UPTIME HARIAN'!B18,'28'!I:I,"CRM")</f>
        <v>#DIV/0!</v>
      </c>
      <c r="AP18" s="111" t="e">
        <f>AVERAGEIFS('29'!AJ:AJ,'29'!C:C,'UPTIME HARIAN'!B18,'29'!I:I,"CRM")</f>
        <v>#DIV/0!</v>
      </c>
      <c r="AQ18" s="111" t="e">
        <f>AVERAGEIFS('30'!AJ:AJ,'30'!C:C,'UPTIME HARIAN'!B18,'30'!I:I,"CRM")</f>
        <v>#DIV/0!</v>
      </c>
      <c r="AR18" s="111" t="e">
        <f>AVERAGEIFS('31'!AJ:AJ,'31'!C:C,'UPTIME HARIAN'!B18,'31'!I:I,"CRM")</f>
        <v>#DIV/0!</v>
      </c>
    </row>
    <row r="19" spans="1:44" x14ac:dyDescent="0.35">
      <c r="A19" s="49">
        <v>14</v>
      </c>
      <c r="B19" s="170" t="s">
        <v>1515</v>
      </c>
      <c r="C19" s="171">
        <f>COUNTIFS('atm total'!C:C,B19,'atm total'!AM:AM,"CRM")</f>
        <v>0</v>
      </c>
      <c r="D19" s="110"/>
      <c r="E19" s="110"/>
      <c r="F19" s="110">
        <v>95.968862007168454</v>
      </c>
      <c r="G19" s="110">
        <v>98.84375</v>
      </c>
      <c r="H19" s="110">
        <v>99.073700716845877</v>
      </c>
      <c r="I19" s="110">
        <v>98.100694444444443</v>
      </c>
      <c r="J19" s="110">
        <v>99.422043010752688</v>
      </c>
      <c r="K19" s="110">
        <v>98.503584229390682</v>
      </c>
      <c r="L19" s="110">
        <v>99.032407407407405</v>
      </c>
      <c r="M19" s="110" t="e">
        <f>VLOOKUP(B19,'BALI NUSRA'!B77:H77,7,0)</f>
        <v>#DIV/0!</v>
      </c>
      <c r="N19" s="111" t="e">
        <f>AVERAGEIFS('1'!AJ:AJ,'1'!C:C,'UPTIME HARIAN'!B19,'1'!I:I,"CRM")</f>
        <v>#DIV/0!</v>
      </c>
      <c r="O19" s="111" t="e">
        <f>AVERAGEIFS('2'!AJ:AJ,'2'!C:C,'UPTIME HARIAN'!B19,'2'!I:I,"CRM")</f>
        <v>#DIV/0!</v>
      </c>
      <c r="P19" s="111" t="e">
        <f>AVERAGEIFS('3'!AJ:AJ,'3'!C:C,'UPTIME HARIAN'!B19,'3'!I:I,"CRM")</f>
        <v>#DIV/0!</v>
      </c>
      <c r="Q19" s="111" t="e">
        <f>AVERAGEIFS('4'!AJ:AJ,'4'!C:C,'UPTIME HARIAN'!B19,'4'!I:I,"CRM")</f>
        <v>#DIV/0!</v>
      </c>
      <c r="R19" s="111" t="e">
        <f>AVERAGEIFS('5'!AJ:AJ,'5'!C:C,'UPTIME HARIAN'!B19,'5'!I:I,"CRM")</f>
        <v>#DIV/0!</v>
      </c>
      <c r="S19" s="111" t="e">
        <f>AVERAGEIFS('6'!AJ:AJ,'6'!C:C,'UPTIME HARIAN'!B19,'6'!I:I,"CRM")</f>
        <v>#DIV/0!</v>
      </c>
      <c r="T19" s="111" t="e">
        <f>AVERAGEIFS('7'!AJ:AJ,'7'!C:C,'UPTIME HARIAN'!B19,'7'!I:I,"CRM")</f>
        <v>#DIV/0!</v>
      </c>
      <c r="U19" s="111" t="e">
        <f>AVERAGEIFS('8'!AJ:AJ,'8'!C:C,'UPTIME HARIAN'!B19,'8'!I:I,"CRM")</f>
        <v>#DIV/0!</v>
      </c>
      <c r="V19" s="111" t="e">
        <f>AVERAGEIFS('9'!AJ:AJ,'9'!C:C,'UPTIME HARIAN'!B19,'9'!I:I,"CRM")</f>
        <v>#DIV/0!</v>
      </c>
      <c r="W19" s="111" t="e">
        <f>AVERAGEIFS('10'!AJ:AJ,'10'!C:C,'UPTIME HARIAN'!B19,'10'!I:I,"CRM")</f>
        <v>#DIV/0!</v>
      </c>
      <c r="X19" s="111" t="e">
        <f>AVERAGEIFS('11'!AJ:AJ,'11'!C:C,'UPTIME HARIAN'!B19,'11'!I:I,"CRM")</f>
        <v>#DIV/0!</v>
      </c>
      <c r="Y19" s="111" t="e">
        <f>AVERAGEIFS('12'!AJ:AJ,'12'!C:C,'UPTIME HARIAN'!B19,'12'!I:I,"CRM")</f>
        <v>#DIV/0!</v>
      </c>
      <c r="Z19" s="111" t="e">
        <f>AVERAGEIFS('13'!AJ:AJ,'13'!C:C,'UPTIME HARIAN'!B19,'13'!I:I,"CRM")</f>
        <v>#DIV/0!</v>
      </c>
      <c r="AA19" s="111" t="e">
        <f>AVERAGEIFS('14'!AJ:AJ,'14'!C:C,'UPTIME HARIAN'!B19,'14'!I:I,"CRM")</f>
        <v>#DIV/0!</v>
      </c>
      <c r="AB19" s="111" t="e">
        <f>AVERAGEIFS('15'!AJ:AJ,'15'!C:C,'UPTIME HARIAN'!B19,'15'!I:I,"CRM")</f>
        <v>#DIV/0!</v>
      </c>
      <c r="AC19" s="111" t="e">
        <f>AVERAGEIFS('16'!AJ:AJ,'16'!C:C,'UPTIME HARIAN'!B19,'16'!I:I,"CRM")</f>
        <v>#DIV/0!</v>
      </c>
      <c r="AD19" s="111" t="e">
        <f>AVERAGEIFS('17'!AJ:AJ,'17'!C:C,'UPTIME HARIAN'!B19,'17'!I:I,"CRM")</f>
        <v>#DIV/0!</v>
      </c>
      <c r="AE19" s="111" t="e">
        <f>AVERAGEIFS('18'!AJ:AJ,'18'!C:C,'UPTIME HARIAN'!B19,'18'!I:I,"CRM")</f>
        <v>#DIV/0!</v>
      </c>
      <c r="AF19" s="111" t="e">
        <f>AVERAGEIFS('19'!AJ:AJ,'19'!C:C,'UPTIME HARIAN'!B19,'19'!I:I,"CRM")</f>
        <v>#DIV/0!</v>
      </c>
      <c r="AG19" s="111" t="e">
        <f>AVERAGEIFS('20'!AJ:AJ,'20'!C:C,'UPTIME HARIAN'!B19,'20'!I:I,"CRM")</f>
        <v>#DIV/0!</v>
      </c>
      <c r="AH19" s="111" t="e">
        <f>AVERAGEIFS('21'!AJ:AJ,'21'!C:C,'UPTIME HARIAN'!B19,'21'!I:I,"CRM")</f>
        <v>#DIV/0!</v>
      </c>
      <c r="AI19" s="111" t="e">
        <f>AVERAGEIFS('22'!AJ:AJ,'22'!C:C,'UPTIME HARIAN'!B19,'22'!I:I,"CRM")</f>
        <v>#DIV/0!</v>
      </c>
      <c r="AJ19" s="111" t="e">
        <f>AVERAGEIFS('23'!AJ:AJ,'23'!C:C,'UPTIME HARIAN'!B19,'23'!I:I,"CRM")</f>
        <v>#DIV/0!</v>
      </c>
      <c r="AK19" s="111" t="e">
        <f>AVERAGEIFS('24'!AJ:AJ,'24'!C:C,'UPTIME HARIAN'!B19,'24'!I:I,"CRM")</f>
        <v>#DIV/0!</v>
      </c>
      <c r="AL19" s="111" t="e">
        <f>AVERAGEIFS('25'!AJ:AJ,'25'!C:C,'UPTIME HARIAN'!B19,'25'!I:I,"CRM")</f>
        <v>#DIV/0!</v>
      </c>
      <c r="AM19" s="111" t="e">
        <f>AVERAGEIFS('26'!AJ:AJ,'26'!C:C,'UPTIME HARIAN'!B19,'26'!I:I,"CRM")</f>
        <v>#DIV/0!</v>
      </c>
      <c r="AN19" s="111" t="e">
        <f>AVERAGEIFS('27'!AJ:AJ,'27'!C:C,'UPTIME HARIAN'!B19,'27'!I:I,"CRM")</f>
        <v>#DIV/0!</v>
      </c>
      <c r="AO19" s="111" t="e">
        <f>AVERAGEIFS('28'!AJ:AJ,'28'!C:C,'UPTIME HARIAN'!B19,'28'!I:I,"CRM")</f>
        <v>#DIV/0!</v>
      </c>
      <c r="AP19" s="111" t="e">
        <f>AVERAGEIFS('29'!AJ:AJ,'29'!C:C,'UPTIME HARIAN'!B19,'29'!I:I,"CRM")</f>
        <v>#DIV/0!</v>
      </c>
      <c r="AQ19" s="111" t="e">
        <f>AVERAGEIFS('30'!AJ:AJ,'30'!C:C,'UPTIME HARIAN'!B19,'30'!I:I,"CRM")</f>
        <v>#DIV/0!</v>
      </c>
      <c r="AR19" s="111" t="e">
        <f>AVERAGEIFS('31'!AJ:AJ,'31'!C:C,'UPTIME HARIAN'!B19,'31'!I:I,"CRM")</f>
        <v>#DIV/0!</v>
      </c>
    </row>
    <row r="20" spans="1:44" x14ac:dyDescent="0.35">
      <c r="A20" s="49">
        <v>15</v>
      </c>
      <c r="B20" s="170" t="s">
        <v>100</v>
      </c>
      <c r="C20" s="171">
        <f>COUNTIFS('atm total'!C:C,B20,'atm total'!AM:AM,"CRM")</f>
        <v>0</v>
      </c>
      <c r="D20" s="110">
        <v>98.997892228739005</v>
      </c>
      <c r="E20" s="110">
        <v>99.287743506493513</v>
      </c>
      <c r="F20" s="110">
        <v>99.258461632453574</v>
      </c>
      <c r="G20" s="110">
        <v>99.513099747474755</v>
      </c>
      <c r="H20" s="110">
        <v>99.351325757575751</v>
      </c>
      <c r="I20" s="110">
        <v>99.327651515151516</v>
      </c>
      <c r="J20" s="110">
        <v>99.463740224828939</v>
      </c>
      <c r="K20" s="110">
        <v>99.542552541544481</v>
      </c>
      <c r="L20" s="110">
        <v>99.360479797979792</v>
      </c>
      <c r="M20" s="110" t="e">
        <f>VLOOKUP(B20,'BALI NUSRA'!B78:H78,7,0)</f>
        <v>#DIV/0!</v>
      </c>
      <c r="N20" s="111" t="e">
        <f>AVERAGEIFS('1'!AJ:AJ,'1'!C:C,'UPTIME HARIAN'!B20,'1'!I:I,"CRM")</f>
        <v>#DIV/0!</v>
      </c>
      <c r="O20" s="111" t="e">
        <f>AVERAGEIFS('2'!AJ:AJ,'2'!C:C,'UPTIME HARIAN'!B20,'2'!I:I,"CRM")</f>
        <v>#DIV/0!</v>
      </c>
      <c r="P20" s="111" t="e">
        <f>AVERAGEIFS('3'!AJ:AJ,'3'!C:C,'UPTIME HARIAN'!B20,'3'!I:I,"CRM")</f>
        <v>#DIV/0!</v>
      </c>
      <c r="Q20" s="111" t="e">
        <f>AVERAGEIFS('4'!AJ:AJ,'4'!C:C,'UPTIME HARIAN'!B20,'4'!I:I,"CRM")</f>
        <v>#DIV/0!</v>
      </c>
      <c r="R20" s="111" t="e">
        <f>AVERAGEIFS('5'!AJ:AJ,'5'!C:C,'UPTIME HARIAN'!B20,'5'!I:I,"CRM")</f>
        <v>#DIV/0!</v>
      </c>
      <c r="S20" s="111" t="e">
        <f>AVERAGEIFS('6'!AJ:AJ,'6'!C:C,'UPTIME HARIAN'!B20,'6'!I:I,"CRM")</f>
        <v>#DIV/0!</v>
      </c>
      <c r="T20" s="111" t="e">
        <f>AVERAGEIFS('7'!AJ:AJ,'7'!C:C,'UPTIME HARIAN'!B20,'7'!I:I,"CRM")</f>
        <v>#DIV/0!</v>
      </c>
      <c r="U20" s="111" t="e">
        <f>AVERAGEIFS('8'!AJ:AJ,'8'!C:C,'UPTIME HARIAN'!B20,'8'!I:I,"CRM")</f>
        <v>#DIV/0!</v>
      </c>
      <c r="V20" s="111" t="e">
        <f>AVERAGEIFS('9'!AJ:AJ,'9'!C:C,'UPTIME HARIAN'!B20,'9'!I:I,"CRM")</f>
        <v>#DIV/0!</v>
      </c>
      <c r="W20" s="111" t="e">
        <f>AVERAGEIFS('10'!AJ:AJ,'10'!C:C,'UPTIME HARIAN'!B20,'10'!I:I,"CRM")</f>
        <v>#DIV/0!</v>
      </c>
      <c r="X20" s="111" t="e">
        <f>AVERAGEIFS('11'!AJ:AJ,'11'!C:C,'UPTIME HARIAN'!B20,'11'!I:I,"CRM")</f>
        <v>#DIV/0!</v>
      </c>
      <c r="Y20" s="111" t="e">
        <f>AVERAGEIFS('12'!AJ:AJ,'12'!C:C,'UPTIME HARIAN'!B20,'12'!I:I,"CRM")</f>
        <v>#DIV/0!</v>
      </c>
      <c r="Z20" s="111" t="e">
        <f>AVERAGEIFS('13'!AJ:AJ,'13'!C:C,'UPTIME HARIAN'!B20,'13'!I:I,"CRM")</f>
        <v>#DIV/0!</v>
      </c>
      <c r="AA20" s="111" t="e">
        <f>AVERAGEIFS('14'!AJ:AJ,'14'!C:C,'UPTIME HARIAN'!B20,'14'!I:I,"CRM")</f>
        <v>#DIV/0!</v>
      </c>
      <c r="AB20" s="111" t="e">
        <f>AVERAGEIFS('15'!AJ:AJ,'15'!C:C,'UPTIME HARIAN'!B20,'15'!I:I,"CRM")</f>
        <v>#DIV/0!</v>
      </c>
      <c r="AC20" s="111" t="e">
        <f>AVERAGEIFS('16'!AJ:AJ,'16'!C:C,'UPTIME HARIAN'!B20,'16'!I:I,"CRM")</f>
        <v>#DIV/0!</v>
      </c>
      <c r="AD20" s="111" t="e">
        <f>AVERAGEIFS('17'!AJ:AJ,'17'!C:C,'UPTIME HARIAN'!B20,'17'!I:I,"CRM")</f>
        <v>#DIV/0!</v>
      </c>
      <c r="AE20" s="111" t="e">
        <f>AVERAGEIFS('18'!AJ:AJ,'18'!C:C,'UPTIME HARIAN'!B20,'18'!I:I,"CRM")</f>
        <v>#DIV/0!</v>
      </c>
      <c r="AF20" s="111" t="e">
        <f>AVERAGEIFS('19'!AJ:AJ,'19'!C:C,'UPTIME HARIAN'!B20,'19'!I:I,"CRM")</f>
        <v>#DIV/0!</v>
      </c>
      <c r="AG20" s="111" t="e">
        <f>AVERAGEIFS('20'!AJ:AJ,'20'!C:C,'UPTIME HARIAN'!B20,'20'!I:I,"CRM")</f>
        <v>#DIV/0!</v>
      </c>
      <c r="AH20" s="111" t="e">
        <f>AVERAGEIFS('21'!AJ:AJ,'21'!C:C,'UPTIME HARIAN'!B20,'21'!I:I,"CRM")</f>
        <v>#DIV/0!</v>
      </c>
      <c r="AI20" s="111" t="e">
        <f>AVERAGEIFS('22'!AJ:AJ,'22'!C:C,'UPTIME HARIAN'!B20,'22'!I:I,"CRM")</f>
        <v>#DIV/0!</v>
      </c>
      <c r="AJ20" s="111" t="e">
        <f>AVERAGEIFS('23'!AJ:AJ,'23'!C:C,'UPTIME HARIAN'!B20,'23'!I:I,"CRM")</f>
        <v>#DIV/0!</v>
      </c>
      <c r="AK20" s="111" t="e">
        <f>AVERAGEIFS('24'!AJ:AJ,'24'!C:C,'UPTIME HARIAN'!B20,'24'!I:I,"CRM")</f>
        <v>#DIV/0!</v>
      </c>
      <c r="AL20" s="111" t="e">
        <f>AVERAGEIFS('25'!AJ:AJ,'25'!C:C,'UPTIME HARIAN'!B20,'25'!I:I,"CRM")</f>
        <v>#DIV/0!</v>
      </c>
      <c r="AM20" s="111" t="e">
        <f>AVERAGEIFS('26'!AJ:AJ,'26'!C:C,'UPTIME HARIAN'!B20,'26'!I:I,"CRM")</f>
        <v>#DIV/0!</v>
      </c>
      <c r="AN20" s="111" t="e">
        <f>AVERAGEIFS('27'!AJ:AJ,'27'!C:C,'UPTIME HARIAN'!B20,'27'!I:I,"CRM")</f>
        <v>#DIV/0!</v>
      </c>
      <c r="AO20" s="111" t="e">
        <f>AVERAGEIFS('28'!AJ:AJ,'28'!C:C,'UPTIME HARIAN'!B20,'28'!I:I,"CRM")</f>
        <v>#DIV/0!</v>
      </c>
      <c r="AP20" s="111" t="e">
        <f>AVERAGEIFS('29'!AJ:AJ,'29'!C:C,'UPTIME HARIAN'!B20,'29'!I:I,"CRM")</f>
        <v>#DIV/0!</v>
      </c>
      <c r="AQ20" s="111" t="e">
        <f>AVERAGEIFS('30'!AJ:AJ,'30'!C:C,'UPTIME HARIAN'!B20,'30'!I:I,"CRM")</f>
        <v>#DIV/0!</v>
      </c>
      <c r="AR20" s="111" t="e">
        <f>AVERAGEIFS('31'!AJ:AJ,'31'!C:C,'UPTIME HARIAN'!B20,'31'!I:I,"CRM")</f>
        <v>#DIV/0!</v>
      </c>
    </row>
    <row r="21" spans="1:44" x14ac:dyDescent="0.35">
      <c r="A21" s="49">
        <v>16</v>
      </c>
      <c r="B21" s="170" t="s">
        <v>81</v>
      </c>
      <c r="C21" s="171">
        <f>COUNTIFS('atm total'!C:C,B21,'atm total'!AM:AM,"CRM")</f>
        <v>0</v>
      </c>
      <c r="D21" s="110">
        <v>99.158485273492289</v>
      </c>
      <c r="E21" s="110">
        <v>98.977978543195931</v>
      </c>
      <c r="F21" s="110">
        <v>99.17314803009053</v>
      </c>
      <c r="G21" s="110">
        <v>99.356609574000885</v>
      </c>
      <c r="H21" s="110">
        <v>99.29002507543882</v>
      </c>
      <c r="I21" s="110">
        <v>99.239151168335724</v>
      </c>
      <c r="J21" s="110">
        <v>99.370563984869733</v>
      </c>
      <c r="K21" s="110">
        <v>99.31148795103914</v>
      </c>
      <c r="L21" s="110">
        <v>99.481774264382963</v>
      </c>
      <c r="M21" s="110" t="e">
        <f>VLOOKUP(B21,'BALI NUSRA'!B79:H79,7,0)</f>
        <v>#DIV/0!</v>
      </c>
      <c r="N21" s="111" t="e">
        <f>AVERAGEIFS('1'!AJ:AJ,'1'!C:C,'UPTIME HARIAN'!B21,'1'!I:I,"CRM")</f>
        <v>#DIV/0!</v>
      </c>
      <c r="O21" s="111" t="e">
        <f>AVERAGEIFS('2'!AJ:AJ,'2'!C:C,'UPTIME HARIAN'!B21,'2'!I:I,"CRM")</f>
        <v>#DIV/0!</v>
      </c>
      <c r="P21" s="111" t="e">
        <f>AVERAGEIFS('3'!AJ:AJ,'3'!C:C,'UPTIME HARIAN'!B21,'3'!I:I,"CRM")</f>
        <v>#DIV/0!</v>
      </c>
      <c r="Q21" s="111" t="e">
        <f>AVERAGEIFS('4'!AJ:AJ,'4'!C:C,'UPTIME HARIAN'!B21,'4'!I:I,"CRM")</f>
        <v>#DIV/0!</v>
      </c>
      <c r="R21" s="111" t="e">
        <f>AVERAGEIFS('5'!AJ:AJ,'5'!C:C,'UPTIME HARIAN'!B21,'5'!I:I,"CRM")</f>
        <v>#DIV/0!</v>
      </c>
      <c r="S21" s="111" t="e">
        <f>AVERAGEIFS('6'!AJ:AJ,'6'!C:C,'UPTIME HARIAN'!B21,'6'!I:I,"CRM")</f>
        <v>#DIV/0!</v>
      </c>
      <c r="T21" s="111" t="e">
        <f>AVERAGEIFS('7'!AJ:AJ,'7'!C:C,'UPTIME HARIAN'!B21,'7'!I:I,"CRM")</f>
        <v>#DIV/0!</v>
      </c>
      <c r="U21" s="111" t="e">
        <f>AVERAGEIFS('8'!AJ:AJ,'8'!C:C,'UPTIME HARIAN'!B21,'8'!I:I,"CRM")</f>
        <v>#DIV/0!</v>
      </c>
      <c r="V21" s="111" t="e">
        <f>AVERAGEIFS('9'!AJ:AJ,'9'!C:C,'UPTIME HARIAN'!B21,'9'!I:I,"CRM")</f>
        <v>#DIV/0!</v>
      </c>
      <c r="W21" s="111" t="e">
        <f>AVERAGEIFS('10'!AJ:AJ,'10'!C:C,'UPTIME HARIAN'!B21,'10'!I:I,"CRM")</f>
        <v>#DIV/0!</v>
      </c>
      <c r="X21" s="111" t="e">
        <f>AVERAGEIFS('11'!AJ:AJ,'11'!C:C,'UPTIME HARIAN'!B21,'11'!I:I,"CRM")</f>
        <v>#DIV/0!</v>
      </c>
      <c r="Y21" s="111" t="e">
        <f>AVERAGEIFS('12'!AJ:AJ,'12'!C:C,'UPTIME HARIAN'!B21,'12'!I:I,"CRM")</f>
        <v>#DIV/0!</v>
      </c>
      <c r="Z21" s="111" t="e">
        <f>AVERAGEIFS('13'!AJ:AJ,'13'!C:C,'UPTIME HARIAN'!B21,'13'!I:I,"CRM")</f>
        <v>#DIV/0!</v>
      </c>
      <c r="AA21" s="111" t="e">
        <f>AVERAGEIFS('14'!AJ:AJ,'14'!C:C,'UPTIME HARIAN'!B21,'14'!I:I,"CRM")</f>
        <v>#DIV/0!</v>
      </c>
      <c r="AB21" s="111" t="e">
        <f>AVERAGEIFS('15'!AJ:AJ,'15'!C:C,'UPTIME HARIAN'!B21,'15'!I:I,"CRM")</f>
        <v>#DIV/0!</v>
      </c>
      <c r="AC21" s="111" t="e">
        <f>AVERAGEIFS('16'!AJ:AJ,'16'!C:C,'UPTIME HARIAN'!B21,'16'!I:I,"CRM")</f>
        <v>#DIV/0!</v>
      </c>
      <c r="AD21" s="111" t="e">
        <f>AVERAGEIFS('17'!AJ:AJ,'17'!C:C,'UPTIME HARIAN'!B21,'17'!I:I,"CRM")</f>
        <v>#DIV/0!</v>
      </c>
      <c r="AE21" s="111" t="e">
        <f>AVERAGEIFS('18'!AJ:AJ,'18'!C:C,'UPTIME HARIAN'!B21,'18'!I:I,"CRM")</f>
        <v>#DIV/0!</v>
      </c>
      <c r="AF21" s="111" t="e">
        <f>AVERAGEIFS('19'!AJ:AJ,'19'!C:C,'UPTIME HARIAN'!B21,'19'!I:I,"CRM")</f>
        <v>#DIV/0!</v>
      </c>
      <c r="AG21" s="111" t="e">
        <f>AVERAGEIFS('20'!AJ:AJ,'20'!C:C,'UPTIME HARIAN'!B21,'20'!I:I,"CRM")</f>
        <v>#DIV/0!</v>
      </c>
      <c r="AH21" s="111" t="e">
        <f>AVERAGEIFS('21'!AJ:AJ,'21'!C:C,'UPTIME HARIAN'!B21,'21'!I:I,"CRM")</f>
        <v>#DIV/0!</v>
      </c>
      <c r="AI21" s="111" t="e">
        <f>AVERAGEIFS('22'!AJ:AJ,'22'!C:C,'UPTIME HARIAN'!B21,'22'!I:I,"CRM")</f>
        <v>#DIV/0!</v>
      </c>
      <c r="AJ21" s="111" t="e">
        <f>AVERAGEIFS('23'!AJ:AJ,'23'!C:C,'UPTIME HARIAN'!B21,'23'!I:I,"CRM")</f>
        <v>#DIV/0!</v>
      </c>
      <c r="AK21" s="111" t="e">
        <f>AVERAGEIFS('24'!AJ:AJ,'24'!C:C,'UPTIME HARIAN'!B21,'24'!I:I,"CRM")</f>
        <v>#DIV/0!</v>
      </c>
      <c r="AL21" s="111" t="e">
        <f>AVERAGEIFS('25'!AJ:AJ,'25'!C:C,'UPTIME HARIAN'!B21,'25'!I:I,"CRM")</f>
        <v>#DIV/0!</v>
      </c>
      <c r="AM21" s="111" t="e">
        <f>AVERAGEIFS('26'!AJ:AJ,'26'!C:C,'UPTIME HARIAN'!B21,'26'!I:I,"CRM")</f>
        <v>#DIV/0!</v>
      </c>
      <c r="AN21" s="111" t="e">
        <f>AVERAGEIFS('27'!AJ:AJ,'27'!C:C,'UPTIME HARIAN'!B21,'27'!I:I,"CRM")</f>
        <v>#DIV/0!</v>
      </c>
      <c r="AO21" s="111" t="e">
        <f>AVERAGEIFS('28'!AJ:AJ,'28'!C:C,'UPTIME HARIAN'!B21,'28'!I:I,"CRM")</f>
        <v>#DIV/0!</v>
      </c>
      <c r="AP21" s="111" t="e">
        <f>AVERAGEIFS('29'!AJ:AJ,'29'!C:C,'UPTIME HARIAN'!B21,'29'!I:I,"CRM")</f>
        <v>#DIV/0!</v>
      </c>
      <c r="AQ21" s="111" t="e">
        <f>AVERAGEIFS('30'!AJ:AJ,'30'!C:C,'UPTIME HARIAN'!B21,'30'!I:I,"CRM")</f>
        <v>#DIV/0!</v>
      </c>
      <c r="AR21" s="111" t="e">
        <f>AVERAGEIFS('31'!AJ:AJ,'31'!C:C,'UPTIME HARIAN'!B21,'31'!I:I,"CRM")</f>
        <v>#DIV/0!</v>
      </c>
    </row>
    <row r="22" spans="1:44" x14ac:dyDescent="0.35">
      <c r="A22" s="49">
        <v>17</v>
      </c>
      <c r="B22" s="170" t="s">
        <v>66</v>
      </c>
      <c r="C22" s="171">
        <f>COUNTIFS('atm total'!C:C,B22,'atm total'!AM:AM,"CRM")</f>
        <v>0</v>
      </c>
      <c r="D22" s="110">
        <v>99.13747826395543</v>
      </c>
      <c r="E22" s="110">
        <v>99.45819581958196</v>
      </c>
      <c r="F22" s="110">
        <v>99.408779587636189</v>
      </c>
      <c r="G22" s="110">
        <v>99.176751008434181</v>
      </c>
      <c r="H22" s="110">
        <v>99.297881401043327</v>
      </c>
      <c r="I22" s="110">
        <v>99.421342134213418</v>
      </c>
      <c r="J22" s="110">
        <v>99.335675503034167</v>
      </c>
      <c r="K22" s="110">
        <v>99.485964725504815</v>
      </c>
      <c r="L22" s="110">
        <v>99.572240557389065</v>
      </c>
      <c r="M22" s="110" t="e">
        <f>VLOOKUP(B22,'BALI NUSRA'!B80:H80,7,0)</f>
        <v>#DIV/0!</v>
      </c>
      <c r="N22" s="111" t="e">
        <f>AVERAGEIFS('1'!AJ:AJ,'1'!C:C,'UPTIME HARIAN'!B22,'1'!I:I,"CRM")</f>
        <v>#DIV/0!</v>
      </c>
      <c r="O22" s="111" t="e">
        <f>AVERAGEIFS('2'!AJ:AJ,'2'!C:C,'UPTIME HARIAN'!B22,'2'!I:I,"CRM")</f>
        <v>#DIV/0!</v>
      </c>
      <c r="P22" s="111" t="e">
        <f>AVERAGEIFS('3'!AJ:AJ,'3'!C:C,'UPTIME HARIAN'!B22,'3'!I:I,"CRM")</f>
        <v>#DIV/0!</v>
      </c>
      <c r="Q22" s="111" t="e">
        <f>AVERAGEIFS('4'!AJ:AJ,'4'!C:C,'UPTIME HARIAN'!B22,'4'!I:I,"CRM")</f>
        <v>#DIV/0!</v>
      </c>
      <c r="R22" s="111" t="e">
        <f>AVERAGEIFS('5'!AJ:AJ,'5'!C:C,'UPTIME HARIAN'!B22,'5'!I:I,"CRM")</f>
        <v>#DIV/0!</v>
      </c>
      <c r="S22" s="111" t="e">
        <f>AVERAGEIFS('6'!AJ:AJ,'6'!C:C,'UPTIME HARIAN'!B22,'6'!I:I,"CRM")</f>
        <v>#DIV/0!</v>
      </c>
      <c r="T22" s="111" t="e">
        <f>AVERAGEIFS('7'!AJ:AJ,'7'!C:C,'UPTIME HARIAN'!B22,'7'!I:I,"CRM")</f>
        <v>#DIV/0!</v>
      </c>
      <c r="U22" s="111" t="e">
        <f>AVERAGEIFS('8'!AJ:AJ,'8'!C:C,'UPTIME HARIAN'!B22,'8'!I:I,"CRM")</f>
        <v>#DIV/0!</v>
      </c>
      <c r="V22" s="111" t="e">
        <f>AVERAGEIFS('9'!AJ:AJ,'9'!C:C,'UPTIME HARIAN'!B22,'9'!I:I,"CRM")</f>
        <v>#DIV/0!</v>
      </c>
      <c r="W22" s="111" t="e">
        <f>AVERAGEIFS('10'!AJ:AJ,'10'!C:C,'UPTIME HARIAN'!B22,'10'!I:I,"CRM")</f>
        <v>#DIV/0!</v>
      </c>
      <c r="X22" s="111" t="e">
        <f>AVERAGEIFS('11'!AJ:AJ,'11'!C:C,'UPTIME HARIAN'!B22,'11'!I:I,"CRM")</f>
        <v>#DIV/0!</v>
      </c>
      <c r="Y22" s="111" t="e">
        <f>AVERAGEIFS('12'!AJ:AJ,'12'!C:C,'UPTIME HARIAN'!B22,'12'!I:I,"CRM")</f>
        <v>#DIV/0!</v>
      </c>
      <c r="Z22" s="111" t="e">
        <f>AVERAGEIFS('13'!AJ:AJ,'13'!C:C,'UPTIME HARIAN'!B22,'13'!I:I,"CRM")</f>
        <v>#DIV/0!</v>
      </c>
      <c r="AA22" s="111" t="e">
        <f>AVERAGEIFS('14'!AJ:AJ,'14'!C:C,'UPTIME HARIAN'!B22,'14'!I:I,"CRM")</f>
        <v>#DIV/0!</v>
      </c>
      <c r="AB22" s="111" t="e">
        <f>AVERAGEIFS('15'!AJ:AJ,'15'!C:C,'UPTIME HARIAN'!B22,'15'!I:I,"CRM")</f>
        <v>#DIV/0!</v>
      </c>
      <c r="AC22" s="111" t="e">
        <f>AVERAGEIFS('16'!AJ:AJ,'16'!C:C,'UPTIME HARIAN'!B22,'16'!I:I,"CRM")</f>
        <v>#DIV/0!</v>
      </c>
      <c r="AD22" s="111" t="e">
        <f>AVERAGEIFS('17'!AJ:AJ,'17'!C:C,'UPTIME HARIAN'!B22,'17'!I:I,"CRM")</f>
        <v>#DIV/0!</v>
      </c>
      <c r="AE22" s="111" t="e">
        <f>AVERAGEIFS('18'!AJ:AJ,'18'!C:C,'UPTIME HARIAN'!B22,'18'!I:I,"CRM")</f>
        <v>#DIV/0!</v>
      </c>
      <c r="AF22" s="111" t="e">
        <f>AVERAGEIFS('19'!AJ:AJ,'19'!C:C,'UPTIME HARIAN'!B22,'19'!I:I,"CRM")</f>
        <v>#DIV/0!</v>
      </c>
      <c r="AG22" s="111" t="e">
        <f>AVERAGEIFS('20'!AJ:AJ,'20'!C:C,'UPTIME HARIAN'!B22,'20'!I:I,"CRM")</f>
        <v>#DIV/0!</v>
      </c>
      <c r="AH22" s="111" t="e">
        <f>AVERAGEIFS('21'!AJ:AJ,'21'!C:C,'UPTIME HARIAN'!B22,'21'!I:I,"CRM")</f>
        <v>#DIV/0!</v>
      </c>
      <c r="AI22" s="111" t="e">
        <f>AVERAGEIFS('22'!AJ:AJ,'22'!C:C,'UPTIME HARIAN'!B22,'22'!I:I,"CRM")</f>
        <v>#DIV/0!</v>
      </c>
      <c r="AJ22" s="111" t="e">
        <f>AVERAGEIFS('23'!AJ:AJ,'23'!C:C,'UPTIME HARIAN'!B22,'23'!I:I,"CRM")</f>
        <v>#DIV/0!</v>
      </c>
      <c r="AK22" s="111" t="e">
        <f>AVERAGEIFS('24'!AJ:AJ,'24'!C:C,'UPTIME HARIAN'!B22,'24'!I:I,"CRM")</f>
        <v>#DIV/0!</v>
      </c>
      <c r="AL22" s="111" t="e">
        <f>AVERAGEIFS('25'!AJ:AJ,'25'!C:C,'UPTIME HARIAN'!B22,'25'!I:I,"CRM")</f>
        <v>#DIV/0!</v>
      </c>
      <c r="AM22" s="111" t="e">
        <f>AVERAGEIFS('26'!AJ:AJ,'26'!C:C,'UPTIME HARIAN'!B22,'26'!I:I,"CRM")</f>
        <v>#DIV/0!</v>
      </c>
      <c r="AN22" s="111" t="e">
        <f>AVERAGEIFS('27'!AJ:AJ,'27'!C:C,'UPTIME HARIAN'!B22,'27'!I:I,"CRM")</f>
        <v>#DIV/0!</v>
      </c>
      <c r="AO22" s="111" t="e">
        <f>AVERAGEIFS('28'!AJ:AJ,'28'!C:C,'UPTIME HARIAN'!B22,'28'!I:I,"CRM")</f>
        <v>#DIV/0!</v>
      </c>
      <c r="AP22" s="111" t="e">
        <f>AVERAGEIFS('29'!AJ:AJ,'29'!C:C,'UPTIME HARIAN'!B22,'29'!I:I,"CRM")</f>
        <v>#DIV/0!</v>
      </c>
      <c r="AQ22" s="111" t="e">
        <f>AVERAGEIFS('30'!AJ:AJ,'30'!C:C,'UPTIME HARIAN'!B22,'30'!I:I,"CRM")</f>
        <v>#DIV/0!</v>
      </c>
      <c r="AR22" s="111" t="e">
        <f>AVERAGEIFS('31'!AJ:AJ,'31'!C:C,'UPTIME HARIAN'!B22,'31'!I:I,"CRM")</f>
        <v>#DIV/0!</v>
      </c>
    </row>
    <row r="23" spans="1:44" x14ac:dyDescent="0.35">
      <c r="A23" s="49">
        <v>18</v>
      </c>
      <c r="B23" s="170" t="s">
        <v>135</v>
      </c>
      <c r="C23" s="171">
        <f>COUNTIFS('atm total'!C:C,B23,'atm total'!AM:AM,"CRM")</f>
        <v>0</v>
      </c>
      <c r="D23" s="110">
        <v>97.258064516129025</v>
      </c>
      <c r="E23" s="110">
        <v>98.003472222222229</v>
      </c>
      <c r="F23" s="110">
        <v>86.132392473118273</v>
      </c>
      <c r="G23" s="110">
        <v>96.204861111111114</v>
      </c>
      <c r="H23" s="110">
        <v>97.020609318996421</v>
      </c>
      <c r="I23" s="110">
        <v>96.030092592592595</v>
      </c>
      <c r="J23" s="110">
        <v>95.126568100358426</v>
      </c>
      <c r="K23" s="110">
        <v>91.443772401433691</v>
      </c>
      <c r="L23" s="110">
        <v>98.623842592592595</v>
      </c>
      <c r="M23" s="110" t="e">
        <f>VLOOKUP(B23,'BALI NUSRA'!B81:H81,7,0)</f>
        <v>#DIV/0!</v>
      </c>
      <c r="N23" s="111" t="e">
        <f>AVERAGEIFS('1'!AJ:AJ,'1'!C:C,'UPTIME HARIAN'!B23,'1'!I:I,"CRM")</f>
        <v>#DIV/0!</v>
      </c>
      <c r="O23" s="111" t="e">
        <f>AVERAGEIFS('2'!AJ:AJ,'2'!C:C,'UPTIME HARIAN'!B23,'2'!I:I,"CRM")</f>
        <v>#DIV/0!</v>
      </c>
      <c r="P23" s="111" t="e">
        <f>AVERAGEIFS('3'!AJ:AJ,'3'!C:C,'UPTIME HARIAN'!B23,'3'!I:I,"CRM")</f>
        <v>#DIV/0!</v>
      </c>
      <c r="Q23" s="111" t="e">
        <f>AVERAGEIFS('4'!AJ:AJ,'4'!C:C,'UPTIME HARIAN'!B23,'4'!I:I,"CRM")</f>
        <v>#DIV/0!</v>
      </c>
      <c r="R23" s="111" t="e">
        <f>AVERAGEIFS('5'!AJ:AJ,'5'!C:C,'UPTIME HARIAN'!B23,'5'!I:I,"CRM")</f>
        <v>#DIV/0!</v>
      </c>
      <c r="S23" s="111" t="e">
        <f>AVERAGEIFS('6'!AJ:AJ,'6'!C:C,'UPTIME HARIAN'!B23,'6'!I:I,"CRM")</f>
        <v>#DIV/0!</v>
      </c>
      <c r="T23" s="111" t="e">
        <f>AVERAGEIFS('7'!AJ:AJ,'7'!C:C,'UPTIME HARIAN'!B23,'7'!I:I,"CRM")</f>
        <v>#DIV/0!</v>
      </c>
      <c r="U23" s="111" t="e">
        <f>AVERAGEIFS('8'!AJ:AJ,'8'!C:C,'UPTIME HARIAN'!B23,'8'!I:I,"CRM")</f>
        <v>#DIV/0!</v>
      </c>
      <c r="V23" s="111" t="e">
        <f>AVERAGEIFS('9'!AJ:AJ,'9'!C:C,'UPTIME HARIAN'!B23,'9'!I:I,"CRM")</f>
        <v>#DIV/0!</v>
      </c>
      <c r="W23" s="111" t="e">
        <f>AVERAGEIFS('10'!AJ:AJ,'10'!C:C,'UPTIME HARIAN'!B23,'10'!I:I,"CRM")</f>
        <v>#DIV/0!</v>
      </c>
      <c r="X23" s="111" t="e">
        <f>AVERAGEIFS('11'!AJ:AJ,'11'!C:C,'UPTIME HARIAN'!B23,'11'!I:I,"CRM")</f>
        <v>#DIV/0!</v>
      </c>
      <c r="Y23" s="111" t="e">
        <f>AVERAGEIFS('12'!AJ:AJ,'12'!C:C,'UPTIME HARIAN'!B23,'12'!I:I,"CRM")</f>
        <v>#DIV/0!</v>
      </c>
      <c r="Z23" s="111" t="e">
        <f>AVERAGEIFS('13'!AJ:AJ,'13'!C:C,'UPTIME HARIAN'!B23,'13'!I:I,"CRM")</f>
        <v>#DIV/0!</v>
      </c>
      <c r="AA23" s="111" t="e">
        <f>AVERAGEIFS('14'!AJ:AJ,'14'!C:C,'UPTIME HARIAN'!B23,'14'!I:I,"CRM")</f>
        <v>#DIV/0!</v>
      </c>
      <c r="AB23" s="111" t="e">
        <f>AVERAGEIFS('15'!AJ:AJ,'15'!C:C,'UPTIME HARIAN'!B23,'15'!I:I,"CRM")</f>
        <v>#DIV/0!</v>
      </c>
      <c r="AC23" s="111" t="e">
        <f>AVERAGEIFS('16'!AJ:AJ,'16'!C:C,'UPTIME HARIAN'!B23,'16'!I:I,"CRM")</f>
        <v>#DIV/0!</v>
      </c>
      <c r="AD23" s="111" t="e">
        <f>AVERAGEIFS('17'!AJ:AJ,'17'!C:C,'UPTIME HARIAN'!B23,'17'!I:I,"CRM")</f>
        <v>#DIV/0!</v>
      </c>
      <c r="AE23" s="111" t="e">
        <f>AVERAGEIFS('18'!AJ:AJ,'18'!C:C,'UPTIME HARIAN'!B23,'18'!I:I,"CRM")</f>
        <v>#DIV/0!</v>
      </c>
      <c r="AF23" s="111" t="e">
        <f>AVERAGEIFS('19'!AJ:AJ,'19'!C:C,'UPTIME HARIAN'!B23,'19'!I:I,"CRM")</f>
        <v>#DIV/0!</v>
      </c>
      <c r="AG23" s="111" t="e">
        <f>AVERAGEIFS('20'!AJ:AJ,'20'!C:C,'UPTIME HARIAN'!B23,'20'!I:I,"CRM")</f>
        <v>#DIV/0!</v>
      </c>
      <c r="AH23" s="111" t="e">
        <f>AVERAGEIFS('21'!AJ:AJ,'21'!C:C,'UPTIME HARIAN'!B23,'21'!I:I,"CRM")</f>
        <v>#DIV/0!</v>
      </c>
      <c r="AI23" s="111" t="e">
        <f>AVERAGEIFS('22'!AJ:AJ,'22'!C:C,'UPTIME HARIAN'!B23,'22'!I:I,"CRM")</f>
        <v>#DIV/0!</v>
      </c>
      <c r="AJ23" s="111" t="e">
        <f>AVERAGEIFS('23'!AJ:AJ,'23'!C:C,'UPTIME HARIAN'!B23,'23'!I:I,"CRM")</f>
        <v>#DIV/0!</v>
      </c>
      <c r="AK23" s="111" t="e">
        <f>AVERAGEIFS('24'!AJ:AJ,'24'!C:C,'UPTIME HARIAN'!B23,'24'!I:I,"CRM")</f>
        <v>#DIV/0!</v>
      </c>
      <c r="AL23" s="111" t="e">
        <f>AVERAGEIFS('25'!AJ:AJ,'25'!C:C,'UPTIME HARIAN'!B23,'25'!I:I,"CRM")</f>
        <v>#DIV/0!</v>
      </c>
      <c r="AM23" s="111" t="e">
        <f>AVERAGEIFS('26'!AJ:AJ,'26'!C:C,'UPTIME HARIAN'!B23,'26'!I:I,"CRM")</f>
        <v>#DIV/0!</v>
      </c>
      <c r="AN23" s="111" t="e">
        <f>AVERAGEIFS('27'!AJ:AJ,'27'!C:C,'UPTIME HARIAN'!B23,'27'!I:I,"CRM")</f>
        <v>#DIV/0!</v>
      </c>
      <c r="AO23" s="111" t="e">
        <f>AVERAGEIFS('28'!AJ:AJ,'28'!C:C,'UPTIME HARIAN'!B23,'28'!I:I,"CRM")</f>
        <v>#DIV/0!</v>
      </c>
      <c r="AP23" s="111" t="e">
        <f>AVERAGEIFS('29'!AJ:AJ,'29'!C:C,'UPTIME HARIAN'!B23,'29'!I:I,"CRM")</f>
        <v>#DIV/0!</v>
      </c>
      <c r="AQ23" s="111" t="e">
        <f>AVERAGEIFS('30'!AJ:AJ,'30'!C:C,'UPTIME HARIAN'!B23,'30'!I:I,"CRM")</f>
        <v>#DIV/0!</v>
      </c>
      <c r="AR23" s="111" t="e">
        <f>AVERAGEIFS('31'!AJ:AJ,'31'!C:C,'UPTIME HARIAN'!B23,'31'!I:I,"CRM")</f>
        <v>#DIV/0!</v>
      </c>
    </row>
    <row r="24" spans="1:44" x14ac:dyDescent="0.35">
      <c r="A24" s="49">
        <v>19</v>
      </c>
      <c r="B24" s="170" t="s">
        <v>111</v>
      </c>
      <c r="C24" s="171">
        <f>COUNTIFS('atm total'!C:C,B24,'atm total'!AM:AM,"CRM")</f>
        <v>0</v>
      </c>
      <c r="D24" s="110">
        <v>99.541549789621314</v>
      </c>
      <c r="E24" s="110">
        <v>99.150815217391298</v>
      </c>
      <c r="F24" s="110">
        <v>98.172919588592805</v>
      </c>
      <c r="G24" s="110">
        <v>99.260265700483089</v>
      </c>
      <c r="H24" s="110">
        <v>97.023433847592329</v>
      </c>
      <c r="I24" s="110">
        <v>97.682669082125599</v>
      </c>
      <c r="J24" s="110">
        <v>98.649193548387103</v>
      </c>
      <c r="K24" s="110">
        <v>98.135811126694719</v>
      </c>
      <c r="L24" s="110">
        <v>99.085144927536234</v>
      </c>
      <c r="M24" s="110" t="e">
        <f>VLOOKUP(B24,'BALI NUSRA'!B82:H82,7,0)</f>
        <v>#DIV/0!</v>
      </c>
      <c r="N24" s="111" t="e">
        <f>AVERAGEIFS('1'!AJ:AJ,'1'!C:C,'UPTIME HARIAN'!B24,'1'!I:I,"CRM")</f>
        <v>#DIV/0!</v>
      </c>
      <c r="O24" s="111" t="e">
        <f>AVERAGEIFS('2'!AJ:AJ,'2'!C:C,'UPTIME HARIAN'!B24,'2'!I:I,"CRM")</f>
        <v>#DIV/0!</v>
      </c>
      <c r="P24" s="111" t="e">
        <f>AVERAGEIFS('3'!AJ:AJ,'3'!C:C,'UPTIME HARIAN'!B24,'3'!I:I,"CRM")</f>
        <v>#DIV/0!</v>
      </c>
      <c r="Q24" s="111" t="e">
        <f>AVERAGEIFS('4'!AJ:AJ,'4'!C:C,'UPTIME HARIAN'!B24,'4'!I:I,"CRM")</f>
        <v>#DIV/0!</v>
      </c>
      <c r="R24" s="111" t="e">
        <f>AVERAGEIFS('5'!AJ:AJ,'5'!C:C,'UPTIME HARIAN'!B24,'5'!I:I,"CRM")</f>
        <v>#DIV/0!</v>
      </c>
      <c r="S24" s="111" t="e">
        <f>AVERAGEIFS('6'!AJ:AJ,'6'!C:C,'UPTIME HARIAN'!B24,'6'!I:I,"CRM")</f>
        <v>#DIV/0!</v>
      </c>
      <c r="T24" s="111" t="e">
        <f>AVERAGEIFS('7'!AJ:AJ,'7'!C:C,'UPTIME HARIAN'!B24,'7'!I:I,"CRM")</f>
        <v>#DIV/0!</v>
      </c>
      <c r="U24" s="111" t="e">
        <f>AVERAGEIFS('8'!AJ:AJ,'8'!C:C,'UPTIME HARIAN'!B24,'8'!I:I,"CRM")</f>
        <v>#DIV/0!</v>
      </c>
      <c r="V24" s="111" t="e">
        <f>AVERAGEIFS('9'!AJ:AJ,'9'!C:C,'UPTIME HARIAN'!B24,'9'!I:I,"CRM")</f>
        <v>#DIV/0!</v>
      </c>
      <c r="W24" s="111" t="e">
        <f>AVERAGEIFS('10'!AJ:AJ,'10'!C:C,'UPTIME HARIAN'!B24,'10'!I:I,"CRM")</f>
        <v>#DIV/0!</v>
      </c>
      <c r="X24" s="111" t="e">
        <f>AVERAGEIFS('11'!AJ:AJ,'11'!C:C,'UPTIME HARIAN'!B24,'11'!I:I,"CRM")</f>
        <v>#DIV/0!</v>
      </c>
      <c r="Y24" s="111" t="e">
        <f>AVERAGEIFS('12'!AJ:AJ,'12'!C:C,'UPTIME HARIAN'!B24,'12'!I:I,"CRM")</f>
        <v>#DIV/0!</v>
      </c>
      <c r="Z24" s="111" t="e">
        <f>AVERAGEIFS('13'!AJ:AJ,'13'!C:C,'UPTIME HARIAN'!B24,'13'!I:I,"CRM")</f>
        <v>#DIV/0!</v>
      </c>
      <c r="AA24" s="111" t="e">
        <f>AVERAGEIFS('14'!AJ:AJ,'14'!C:C,'UPTIME HARIAN'!B24,'14'!I:I,"CRM")</f>
        <v>#DIV/0!</v>
      </c>
      <c r="AB24" s="111" t="e">
        <f>AVERAGEIFS('15'!AJ:AJ,'15'!C:C,'UPTIME HARIAN'!B24,'15'!I:I,"CRM")</f>
        <v>#DIV/0!</v>
      </c>
      <c r="AC24" s="111" t="e">
        <f>AVERAGEIFS('16'!AJ:AJ,'16'!C:C,'UPTIME HARIAN'!B24,'16'!I:I,"CRM")</f>
        <v>#DIV/0!</v>
      </c>
      <c r="AD24" s="111" t="e">
        <f>AVERAGEIFS('17'!AJ:AJ,'17'!C:C,'UPTIME HARIAN'!B24,'17'!I:I,"CRM")</f>
        <v>#DIV/0!</v>
      </c>
      <c r="AE24" s="111" t="e">
        <f>AVERAGEIFS('18'!AJ:AJ,'18'!C:C,'UPTIME HARIAN'!B24,'18'!I:I,"CRM")</f>
        <v>#DIV/0!</v>
      </c>
      <c r="AF24" s="111" t="e">
        <f>AVERAGEIFS('19'!AJ:AJ,'19'!C:C,'UPTIME HARIAN'!B24,'19'!I:I,"CRM")</f>
        <v>#DIV/0!</v>
      </c>
      <c r="AG24" s="111" t="e">
        <f>AVERAGEIFS('20'!AJ:AJ,'20'!C:C,'UPTIME HARIAN'!B24,'20'!I:I,"CRM")</f>
        <v>#DIV/0!</v>
      </c>
      <c r="AH24" s="111" t="e">
        <f>AVERAGEIFS('21'!AJ:AJ,'21'!C:C,'UPTIME HARIAN'!B24,'21'!I:I,"CRM")</f>
        <v>#DIV/0!</v>
      </c>
      <c r="AI24" s="111" t="e">
        <f>AVERAGEIFS('22'!AJ:AJ,'22'!C:C,'UPTIME HARIAN'!B24,'22'!I:I,"CRM")</f>
        <v>#DIV/0!</v>
      </c>
      <c r="AJ24" s="111" t="e">
        <f>AVERAGEIFS('23'!AJ:AJ,'23'!C:C,'UPTIME HARIAN'!B24,'23'!I:I,"CRM")</f>
        <v>#DIV/0!</v>
      </c>
      <c r="AK24" s="111" t="e">
        <f>AVERAGEIFS('24'!AJ:AJ,'24'!C:C,'UPTIME HARIAN'!B24,'24'!I:I,"CRM")</f>
        <v>#DIV/0!</v>
      </c>
      <c r="AL24" s="111" t="e">
        <f>AVERAGEIFS('25'!AJ:AJ,'25'!C:C,'UPTIME HARIAN'!B24,'25'!I:I,"CRM")</f>
        <v>#DIV/0!</v>
      </c>
      <c r="AM24" s="111" t="e">
        <f>AVERAGEIFS('26'!AJ:AJ,'26'!C:C,'UPTIME HARIAN'!B24,'26'!I:I,"CRM")</f>
        <v>#DIV/0!</v>
      </c>
      <c r="AN24" s="111" t="e">
        <f>AVERAGEIFS('27'!AJ:AJ,'27'!C:C,'UPTIME HARIAN'!B24,'27'!I:I,"CRM")</f>
        <v>#DIV/0!</v>
      </c>
      <c r="AO24" s="111" t="e">
        <f>AVERAGEIFS('28'!AJ:AJ,'28'!C:C,'UPTIME HARIAN'!B24,'28'!I:I,"CRM")</f>
        <v>#DIV/0!</v>
      </c>
      <c r="AP24" s="111" t="e">
        <f>AVERAGEIFS('29'!AJ:AJ,'29'!C:C,'UPTIME HARIAN'!B24,'29'!I:I,"CRM")</f>
        <v>#DIV/0!</v>
      </c>
      <c r="AQ24" s="111" t="e">
        <f>AVERAGEIFS('30'!AJ:AJ,'30'!C:C,'UPTIME HARIAN'!B24,'30'!I:I,"CRM")</f>
        <v>#DIV/0!</v>
      </c>
      <c r="AR24" s="111" t="e">
        <f>AVERAGEIFS('31'!AJ:AJ,'31'!C:C,'UPTIME HARIAN'!B24,'31'!I:I,"CRM")</f>
        <v>#DIV/0!</v>
      </c>
    </row>
    <row r="25" spans="1:44" x14ac:dyDescent="0.35">
      <c r="A25" s="143"/>
      <c r="B25" s="50"/>
      <c r="C25" s="172"/>
      <c r="D25" s="144"/>
      <c r="E25" s="144"/>
      <c r="F25" s="144"/>
      <c r="G25" s="144"/>
      <c r="H25" s="95"/>
      <c r="I25" s="95"/>
      <c r="J25" s="95"/>
      <c r="K25" s="95"/>
      <c r="L25" s="95"/>
      <c r="M25" s="95"/>
      <c r="N25" s="4"/>
      <c r="O25" s="4"/>
      <c r="P25" s="4"/>
      <c r="Q25" s="4"/>
      <c r="R25" s="4"/>
      <c r="S25" s="5"/>
      <c r="T25" s="5"/>
    </row>
    <row r="26" spans="1:44" x14ac:dyDescent="0.35">
      <c r="B26" s="165" t="s">
        <v>33</v>
      </c>
      <c r="C26" s="114">
        <f>SUM(C6:C24)</f>
        <v>0</v>
      </c>
      <c r="D26" s="115">
        <v>98.896346398427568</v>
      </c>
      <c r="E26" s="115">
        <v>99.002320148489503</v>
      </c>
      <c r="F26" s="115">
        <v>98.634264076771885</v>
      </c>
      <c r="G26" s="115">
        <v>99.021191756272401</v>
      </c>
      <c r="H26" s="115">
        <v>98.960460160923333</v>
      </c>
      <c r="I26" s="110">
        <v>98.931996996997</v>
      </c>
      <c r="J26" s="110">
        <v>99.133830500635909</v>
      </c>
      <c r="K26" s="110">
        <v>98.960544571626784</v>
      </c>
      <c r="L26" s="110">
        <v>99.250238948626048</v>
      </c>
      <c r="M26" s="110" t="e">
        <f>VLOOKUP(B26,'BALI NUSRA'!B84:H84,7,0)</f>
        <v>#DIV/0!</v>
      </c>
      <c r="N26" s="166" t="e">
        <f>VLOOKUP(B4,'1'!B3:C3,2,0)</f>
        <v>#DIV/0!</v>
      </c>
      <c r="O26" s="166" t="e">
        <f>VLOOKUP(B4,'2'!B3:C3,2,0)</f>
        <v>#DIV/0!</v>
      </c>
      <c r="P26" s="116" t="e">
        <f>VLOOKUP(B4,'3'!B3:C3,2,0)</f>
        <v>#DIV/0!</v>
      </c>
      <c r="Q26" s="116" t="e">
        <f>VLOOKUP(B4,'4'!B3:C3,2,0)</f>
        <v>#DIV/0!</v>
      </c>
      <c r="R26" s="116" t="e">
        <f>VLOOKUP(B4,'5'!B3:C3,2,0)</f>
        <v>#DIV/0!</v>
      </c>
      <c r="S26" s="116" t="e">
        <f>VLOOKUP(B4,'6'!B3:C3,2,0)</f>
        <v>#DIV/0!</v>
      </c>
      <c r="T26" s="116" t="e">
        <f>VLOOKUP(B4,'7'!B3:C3,2,0)</f>
        <v>#DIV/0!</v>
      </c>
      <c r="U26" s="116" t="e">
        <f>VLOOKUP(B4,'8'!B3:C3,2,0)</f>
        <v>#DIV/0!</v>
      </c>
      <c r="V26" s="116" t="e">
        <f>VLOOKUP(B4,'9'!B3:C3,2,0)</f>
        <v>#DIV/0!</v>
      </c>
      <c r="W26" s="116" t="e">
        <f>VLOOKUP(B4,'10'!B3:C3,2,0)</f>
        <v>#DIV/0!</v>
      </c>
      <c r="X26" s="116" t="e">
        <f>VLOOKUP(B4,'11'!B3:C3,2,0)</f>
        <v>#DIV/0!</v>
      </c>
      <c r="Y26" s="116" t="e">
        <f>VLOOKUP(B4,'12'!B3:C3,2,0)</f>
        <v>#DIV/0!</v>
      </c>
      <c r="Z26" s="116" t="e">
        <f>VLOOKUP(B4,'13'!B3:C3,2,0)</f>
        <v>#DIV/0!</v>
      </c>
      <c r="AA26" s="116" t="e">
        <f>VLOOKUP(B4,'14'!B3:C3,2,0)</f>
        <v>#DIV/0!</v>
      </c>
      <c r="AB26" s="116" t="e">
        <f>VLOOKUP(B4,'15'!B3:C3,2,0)</f>
        <v>#DIV/0!</v>
      </c>
      <c r="AC26" s="116" t="e">
        <f>VLOOKUP(B4,'16'!B3:C3,2,0)</f>
        <v>#DIV/0!</v>
      </c>
      <c r="AD26" s="116" t="e">
        <f>VLOOKUP(B4,'17'!B3:C3,2,0)</f>
        <v>#DIV/0!</v>
      </c>
      <c r="AE26" s="116" t="e">
        <f>VLOOKUP(B4,'18'!B3:C3,2,0)</f>
        <v>#DIV/0!</v>
      </c>
      <c r="AF26" s="116" t="e">
        <f>VLOOKUP(B4,'19'!B3:C3,2,0)</f>
        <v>#DIV/0!</v>
      </c>
      <c r="AG26" s="116" t="e">
        <f>VLOOKUP(B4,'20'!B3:C3,2,0)</f>
        <v>#DIV/0!</v>
      </c>
      <c r="AH26" s="116" t="e">
        <f>VLOOKUP(B4,'21'!B3:C3,2,0)</f>
        <v>#DIV/0!</v>
      </c>
      <c r="AI26" s="116" t="e">
        <f>VLOOKUP(B4,'22'!B3:C3,2,0)</f>
        <v>#DIV/0!</v>
      </c>
      <c r="AJ26" s="116" t="e">
        <f>VLOOKUP(B4,'23'!B3:C3,2,0)</f>
        <v>#DIV/0!</v>
      </c>
      <c r="AK26" s="116" t="e">
        <f>VLOOKUP(B4,'24'!B3:C3,2,0)</f>
        <v>#DIV/0!</v>
      </c>
      <c r="AL26" s="116" t="e">
        <f>VLOOKUP(B4,'25'!B3:C3,2,0)</f>
        <v>#DIV/0!</v>
      </c>
      <c r="AM26" s="116" t="e">
        <f>VLOOKUP(B4,'26'!B3:C3,2,0)</f>
        <v>#DIV/0!</v>
      </c>
      <c r="AN26" s="116" t="e">
        <f>VLOOKUP(B4,'27'!B3:C3,2,0)</f>
        <v>#DIV/0!</v>
      </c>
      <c r="AO26" s="116" t="e">
        <f>VLOOKUP(B4,'28'!B3:C3,2,0)</f>
        <v>#DIV/0!</v>
      </c>
      <c r="AP26" s="116" t="e">
        <f>VLOOKUP(B4,'29'!B3:C3,2,0)</f>
        <v>#DIV/0!</v>
      </c>
      <c r="AQ26" s="116" t="e">
        <f>VLOOKUP(B4,'30'!B3:C3,2,0)</f>
        <v>#DIV/0!</v>
      </c>
      <c r="AR26" s="116" t="e">
        <f>VLOOKUP(B4,'31'!B3:C3,2,0)</f>
        <v>#DIV/0!</v>
      </c>
    </row>
    <row r="27" spans="1:44" s="173" customFormat="1" x14ac:dyDescent="0.35">
      <c r="A27" s="101" t="s">
        <v>38</v>
      </c>
      <c r="B27" s="176" t="s">
        <v>68</v>
      </c>
      <c r="C27" s="184" t="s">
        <v>3382</v>
      </c>
      <c r="D27" s="184"/>
      <c r="E27" s="184"/>
      <c r="F27" s="184"/>
      <c r="G27" s="184"/>
      <c r="H27" s="184"/>
      <c r="I27" s="184"/>
      <c r="J27" s="184"/>
      <c r="K27" s="174">
        <v>72</v>
      </c>
      <c r="L27" s="174">
        <v>59</v>
      </c>
      <c r="M27" s="174">
        <f>COUNTIFS('atm total'!K:K,B27,'atm total'!AK:AK,"tidak tercapai",'atm total'!AM:AM,"CRM")</f>
        <v>0</v>
      </c>
      <c r="N27" s="174">
        <f>COUNTIFS('1'!K:K,B27,'1'!AK:AK,"tidak tercapai")</f>
        <v>0</v>
      </c>
      <c r="O27" s="174">
        <f>COUNTIFS('2'!K:K,B27,'2'!AK:AK,"tidak tercapai")</f>
        <v>0</v>
      </c>
      <c r="P27" s="175">
        <f>COUNTIFS('3'!K:K,B27,'3'!AK:AK,"tidak tercapai")</f>
        <v>0</v>
      </c>
      <c r="Q27" s="175">
        <f>COUNTIFS('4'!K:K,B27,'4'!AK:AK,"tidak tercapai")</f>
        <v>0</v>
      </c>
      <c r="R27" s="175">
        <f>COUNTIFS('5'!K:K,B27,'5'!AK:AK,"tidak tercapai")</f>
        <v>0</v>
      </c>
      <c r="S27" s="175">
        <f>COUNTIFS('6'!K:K,B27,'6'!AK:AK,"tidak tercapai")</f>
        <v>0</v>
      </c>
      <c r="T27" s="175">
        <f>COUNTIFS('7'!K:K,B27,'7'!AK:AK,"tidak tercapai")</f>
        <v>0</v>
      </c>
      <c r="U27" s="175">
        <f>COUNTIFS('8'!K:K,B27,'8'!AK:AK,"tidak tercapai")</f>
        <v>0</v>
      </c>
      <c r="V27" s="175">
        <f>COUNTIFS('9'!K:K,B27,'9'!AK:AK,"tidak tercapai")</f>
        <v>0</v>
      </c>
      <c r="W27" s="175">
        <f>COUNTIFS('10'!K:K,B27,'10'!AK:AK,"tidak tercapai")</f>
        <v>0</v>
      </c>
      <c r="X27" s="175">
        <f>COUNTIFS('11'!K:K,B27,'11'!AK:AK,"tidak tercapai")</f>
        <v>0</v>
      </c>
      <c r="Y27" s="175">
        <f>COUNTIFS('12'!K:K,B27,'12'!AK:AK,"tidak tercapai")</f>
        <v>0</v>
      </c>
      <c r="Z27" s="175">
        <f>COUNTIFS('13'!K:K,B27,'13'!AK:AK,"tidak tercapai")</f>
        <v>0</v>
      </c>
      <c r="AA27" s="175">
        <f>COUNTIFS('14'!K:K,B27,'14'!AK:AK,"tidak tercapai")</f>
        <v>0</v>
      </c>
      <c r="AB27" s="175">
        <f>COUNTIFS('15'!K:K,B27,'15'!AK:AK,"tidak tercapai")</f>
        <v>0</v>
      </c>
      <c r="AC27" s="175">
        <f>COUNTIFS('16'!K:K,B27,'16'!AK:AK,"tidak tercapai")</f>
        <v>0</v>
      </c>
      <c r="AD27" s="175">
        <f>COUNTIFS('17'!K:K,B27,'17'!AK:AK,"tidak tercapai")</f>
        <v>0</v>
      </c>
      <c r="AE27" s="175">
        <f>COUNTIFS('18'!K:K,B27,'18'!AK:AK,"tidak tercapai")</f>
        <v>0</v>
      </c>
      <c r="AF27" s="175">
        <f>COUNTIFS('19'!K:K,B27,'19'!AK:AK,"tidak tercapai")</f>
        <v>0</v>
      </c>
      <c r="AG27" s="175">
        <f>COUNTIFS('20'!K:K,B27,'20'!AK:AK,"tidak tercapai")</f>
        <v>0</v>
      </c>
      <c r="AH27" s="175">
        <f>COUNTIFS('21'!K:K,B27,'21'!AK:AK,"tidak tercapai")</f>
        <v>0</v>
      </c>
      <c r="AI27" s="175">
        <f>COUNTIFS('22'!K:K,B27,'22'!AK:AK,"tidak tercapai")</f>
        <v>0</v>
      </c>
      <c r="AJ27" s="175">
        <f>COUNTIFS('23'!K:K,B27,'23'!AK:AK,"tidak tercapai")</f>
        <v>64</v>
      </c>
      <c r="AK27" s="175">
        <f>COUNTIFS('24'!K:K,B27,'24'!AK:AK,"tidak tercapai")</f>
        <v>61</v>
      </c>
      <c r="AL27" s="175">
        <f>COUNTIFS('25'!K:K,B27,'25'!AK:AK,"tidak tercapai")</f>
        <v>59</v>
      </c>
      <c r="AM27" s="175">
        <f>COUNTIFS('26'!K:K,B27,'26'!AK:AK,"tidak tercapai")</f>
        <v>59</v>
      </c>
      <c r="AN27" s="175">
        <f>COUNTIFS('27'!K:K,B27,'27'!AK:AK,"tidak tercapai")</f>
        <v>60</v>
      </c>
      <c r="AO27" s="175">
        <f>COUNTIFS('28'!K:K,B27,'28'!AK:AK,"tidak tercapai")</f>
        <v>61</v>
      </c>
      <c r="AP27" s="175">
        <f>COUNTIFS('29'!K:K,B27,'29'!AK:AK,"tidak tercapai")</f>
        <v>62</v>
      </c>
      <c r="AQ27" s="175">
        <f>COUNTIFS('30'!K:K,B27,'30'!AK:AK,"tidak tercapai")</f>
        <v>60</v>
      </c>
      <c r="AR27" s="175">
        <f>COUNTIFS('31'!K:K,B27,'31'!AK:AK,"tidak tercapai")</f>
        <v>0</v>
      </c>
    </row>
    <row r="28" spans="1:44" s="173" customFormat="1" x14ac:dyDescent="0.35">
      <c r="A28" s="101"/>
      <c r="B28" s="177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</row>
    <row r="29" spans="1:44" x14ac:dyDescent="0.35">
      <c r="B29" s="178" t="s">
        <v>3394</v>
      </c>
    </row>
    <row r="30" spans="1:44" x14ac:dyDescent="0.35">
      <c r="A30" s="24" t="s">
        <v>26</v>
      </c>
      <c r="B30" s="24" t="s">
        <v>574</v>
      </c>
      <c r="C30" s="94" t="s">
        <v>38</v>
      </c>
      <c r="D30" s="94" t="s">
        <v>2038</v>
      </c>
      <c r="E30" s="112" t="s">
        <v>2039</v>
      </c>
      <c r="F30" s="94" t="s">
        <v>2037</v>
      </c>
      <c r="G30" s="94" t="s">
        <v>2036</v>
      </c>
      <c r="H30" s="94" t="s">
        <v>2035</v>
      </c>
      <c r="I30" s="94" t="s">
        <v>2040</v>
      </c>
      <c r="J30" s="94" t="s">
        <v>2045</v>
      </c>
      <c r="K30" s="94" t="s">
        <v>2049</v>
      </c>
      <c r="L30" s="94" t="s">
        <v>3400</v>
      </c>
      <c r="M30" s="94" t="s">
        <v>3441</v>
      </c>
      <c r="N30" s="93">
        <v>1</v>
      </c>
      <c r="O30" s="93">
        <v>2</v>
      </c>
      <c r="P30" s="93">
        <v>3</v>
      </c>
      <c r="Q30" s="93">
        <v>4</v>
      </c>
      <c r="R30" s="93">
        <v>5</v>
      </c>
      <c r="S30" s="93">
        <v>6</v>
      </c>
      <c r="T30" s="93">
        <v>7</v>
      </c>
      <c r="U30" s="93">
        <v>8</v>
      </c>
      <c r="V30" s="93">
        <v>9</v>
      </c>
      <c r="W30" s="93">
        <v>10</v>
      </c>
      <c r="X30" s="93">
        <v>11</v>
      </c>
      <c r="Y30" s="93">
        <v>12</v>
      </c>
      <c r="Z30" s="93">
        <v>13</v>
      </c>
      <c r="AA30" s="93">
        <v>14</v>
      </c>
      <c r="AB30" s="93">
        <v>15</v>
      </c>
      <c r="AC30" s="93">
        <v>16</v>
      </c>
      <c r="AD30" s="93">
        <v>17</v>
      </c>
      <c r="AE30" s="93">
        <v>18</v>
      </c>
      <c r="AF30" s="93">
        <v>19</v>
      </c>
      <c r="AG30" s="93">
        <v>20</v>
      </c>
      <c r="AH30" s="93">
        <v>21</v>
      </c>
      <c r="AI30" s="93">
        <v>22</v>
      </c>
      <c r="AJ30" s="93">
        <v>23</v>
      </c>
      <c r="AK30" s="93">
        <v>24</v>
      </c>
      <c r="AL30" s="93">
        <v>25</v>
      </c>
      <c r="AM30" s="93">
        <v>26</v>
      </c>
      <c r="AN30" s="93">
        <v>27</v>
      </c>
      <c r="AO30" s="93">
        <v>28</v>
      </c>
      <c r="AP30" s="93">
        <v>29</v>
      </c>
      <c r="AQ30" s="93">
        <v>30</v>
      </c>
      <c r="AR30" s="93">
        <v>31</v>
      </c>
    </row>
    <row r="31" spans="1:44" x14ac:dyDescent="0.35">
      <c r="A31" s="49">
        <v>1</v>
      </c>
      <c r="B31" s="170" t="s">
        <v>559</v>
      </c>
      <c r="C31" s="171">
        <f>COUNTIFS('atm total'!E:E,B31,'atm total'!AM:AM,"CRM")</f>
        <v>0</v>
      </c>
      <c r="D31" s="110">
        <v>98.739236105923197</v>
      </c>
      <c r="E31" s="110">
        <v>98.988205518427847</v>
      </c>
      <c r="F31" s="110">
        <v>98.951077509998157</v>
      </c>
      <c r="G31" s="110">
        <v>99.099325819566673</v>
      </c>
      <c r="H31" s="110">
        <v>99.087645610993192</v>
      </c>
      <c r="I31" s="110">
        <v>99.157212612331833</v>
      </c>
      <c r="J31" s="110">
        <v>99.32015020892787</v>
      </c>
      <c r="K31" s="110">
        <v>99.255703805525258</v>
      </c>
      <c r="L31" s="110">
        <v>99.377052133189238</v>
      </c>
      <c r="M31" s="110" t="e">
        <f>VLOOKUP(B31,'PKT TIPE MESIN'!B4:H4,7,0)</f>
        <v>#DIV/0!</v>
      </c>
      <c r="N31" s="111" t="e">
        <f>AVERAGEIFS('1'!AJ:AJ,'1'!E:E,'UPTIME HARIAN'!B31,'1'!I:I,"CRM")</f>
        <v>#DIV/0!</v>
      </c>
      <c r="O31" s="111" t="e">
        <f>AVERAGEIFS('2'!AJ:AJ,'2'!E:E,'UPTIME HARIAN'!B31,'2'!I:I,"CRM")</f>
        <v>#DIV/0!</v>
      </c>
      <c r="P31" s="111" t="e">
        <f>AVERAGEIFS('3'!AJ:AJ,'3'!E:E,'UPTIME HARIAN'!B31,'3'!I:I,"CRM")</f>
        <v>#DIV/0!</v>
      </c>
      <c r="Q31" s="111" t="e">
        <f>AVERAGEIFS('4'!AJ:AJ,'4'!E:E,'UPTIME HARIAN'!B31,'4'!I:I,"CRM")</f>
        <v>#DIV/0!</v>
      </c>
      <c r="R31" s="111" t="e">
        <f>AVERAGEIFS('5'!AJ:AJ,'5'!E:E,'UPTIME HARIAN'!B31,'5'!I:I,"CRM")</f>
        <v>#DIV/0!</v>
      </c>
      <c r="S31" s="111" t="e">
        <f>AVERAGEIFS('6'!AJ:AJ,'6'!E:E,'UPTIME HARIAN'!B31,'6'!I:I,"CRM")</f>
        <v>#DIV/0!</v>
      </c>
      <c r="T31" s="111" t="e">
        <f>AVERAGEIFS('7'!AJ:AJ,'7'!E:E,'UPTIME HARIAN'!B31,'7'!I:I,"CRM")</f>
        <v>#DIV/0!</v>
      </c>
      <c r="U31" s="111" t="e">
        <f>AVERAGEIFS('8'!AJ:AJ,'8'!E:E,'UPTIME HARIAN'!B31,'8'!I:I,"CRM")</f>
        <v>#DIV/0!</v>
      </c>
      <c r="V31" s="111" t="e">
        <f>AVERAGEIFS('9'!AJ:AJ,'9'!E:E,'UPTIME HARIAN'!B31,'9'!I:I,"CRM")</f>
        <v>#DIV/0!</v>
      </c>
      <c r="W31" s="111" t="e">
        <f>AVERAGEIFS('10'!AJ:AJ,'10'!E:E,'UPTIME HARIAN'!B31,'10'!I:I,"CRM")</f>
        <v>#DIV/0!</v>
      </c>
      <c r="X31" s="111" t="e">
        <f>AVERAGEIFS('11'!AJ:AJ,'11'!E:E,'UPTIME HARIAN'!B31,'11'!I:I,"CRM")</f>
        <v>#DIV/0!</v>
      </c>
      <c r="Y31" s="111" t="e">
        <f>AVERAGEIFS('12'!AJ:AJ,'12'!E:E,'UPTIME HARIAN'!B31,'12'!I:I,"CRM")</f>
        <v>#DIV/0!</v>
      </c>
      <c r="Z31" s="111" t="e">
        <f>AVERAGEIFS('13'!AJ:AJ,'13'!E:E,'UPTIME HARIAN'!B31,'13'!I:I,"CRM")</f>
        <v>#DIV/0!</v>
      </c>
      <c r="AA31" s="111" t="e">
        <f>AVERAGEIFS('14'!AJ:AJ,'14'!E:E,'UPTIME HARIAN'!B31,'14'!I:I,"CRM")</f>
        <v>#DIV/0!</v>
      </c>
      <c r="AB31" s="111" t="e">
        <f>AVERAGEIFS('15'!AJ:AJ,'15'!E:E,'UPTIME HARIAN'!B31,'15'!I:I,"CRM")</f>
        <v>#DIV/0!</v>
      </c>
      <c r="AC31" s="111" t="e">
        <f>AVERAGEIFS('16'!AJ:AJ,'16'!E:E,'UPTIME HARIAN'!B31,'16'!I:I,"CRM")</f>
        <v>#DIV/0!</v>
      </c>
      <c r="AD31" s="111" t="e">
        <f>AVERAGEIFS('17'!AJ:AJ,'17'!E:E,'UPTIME HARIAN'!B31,'17'!I:I,"CRM")</f>
        <v>#DIV/0!</v>
      </c>
      <c r="AE31" s="111" t="e">
        <f>AVERAGEIFS('18'!AJ:AJ,'18'!E:E,'UPTIME HARIAN'!B31,'18'!I:I,"CRM")</f>
        <v>#DIV/0!</v>
      </c>
      <c r="AF31" s="111" t="e">
        <f>AVERAGEIFS('19'!AJ:AJ,'19'!E:E,'UPTIME HARIAN'!B31,'19'!I:I,"CRM")</f>
        <v>#DIV/0!</v>
      </c>
      <c r="AG31" s="111" t="e">
        <f>AVERAGEIFS('20'!AJ:AJ,'20'!E:E,'UPTIME HARIAN'!B31,'20'!I:I,"CRM")</f>
        <v>#DIV/0!</v>
      </c>
      <c r="AH31" s="111" t="e">
        <f>AVERAGEIFS('21'!AJ:AJ,'21'!E:E,'UPTIME HARIAN'!B31,'21'!I:I,"CRM")</f>
        <v>#DIV/0!</v>
      </c>
      <c r="AI31" s="111" t="e">
        <f>AVERAGEIFS('22'!AJ:AJ,'22'!E:E,'UPTIME HARIAN'!B31,'22'!I:I,"CRM")</f>
        <v>#DIV/0!</v>
      </c>
      <c r="AJ31" s="111" t="e">
        <f>AVERAGEIFS('23'!AJ:AJ,'23'!E:E,'UPTIME HARIAN'!B31,'23'!I:I,"CRM")</f>
        <v>#DIV/0!</v>
      </c>
      <c r="AK31" s="111" t="e">
        <f>AVERAGEIFS('24'!AJ:AJ,'24'!E:E,'UPTIME HARIAN'!B31,'24'!I:I,"CRM")</f>
        <v>#DIV/0!</v>
      </c>
      <c r="AL31" s="111" t="e">
        <f>AVERAGEIFS('25'!AJ:AJ,'25'!E:E,'UPTIME HARIAN'!B31,'25'!I:I,"CRM")</f>
        <v>#DIV/0!</v>
      </c>
      <c r="AM31" s="111" t="e">
        <f>AVERAGEIFS('26'!AJ:AJ,'26'!E:E,'UPTIME HARIAN'!B31,'26'!I:I,"CRM")</f>
        <v>#DIV/0!</v>
      </c>
      <c r="AN31" s="111" t="e">
        <f>AVERAGEIFS('27'!AJ:AJ,'27'!E:E,'UPTIME HARIAN'!B31,'27'!I:I,"CRM")</f>
        <v>#DIV/0!</v>
      </c>
      <c r="AO31" s="111" t="e">
        <f>AVERAGEIFS('28'!AJ:AJ,'28'!E:E,'UPTIME HARIAN'!B31,'28'!I:I,"CRM")</f>
        <v>#DIV/0!</v>
      </c>
      <c r="AP31" s="111" t="e">
        <f>AVERAGEIFS('29'!AJ:AJ,'29'!E:E,'UPTIME HARIAN'!B31,'29'!I:I,"CRM")</f>
        <v>#DIV/0!</v>
      </c>
      <c r="AQ31" s="111" t="e">
        <f>AVERAGEIFS('30'!AJ:AJ,'30'!E:E,'UPTIME HARIAN'!B31,'30'!I:I,"CRM")</f>
        <v>#DIV/0!</v>
      </c>
      <c r="AR31" s="111" t="e">
        <f>AVERAGEIFS('31'!AJ:AJ,'31'!E:E,'UPTIME HARIAN'!B31,'31'!I:I,"CRM")</f>
        <v>#DIV/0!</v>
      </c>
    </row>
    <row r="32" spans="1:44" x14ac:dyDescent="0.35">
      <c r="A32" s="49">
        <v>2</v>
      </c>
      <c r="B32" s="170" t="s">
        <v>72</v>
      </c>
      <c r="C32" s="171">
        <f>COUNTIFS('atm total'!E:E,B32,'atm total'!AM:AM,"CRM")</f>
        <v>0</v>
      </c>
      <c r="D32" s="110">
        <v>98.940653688824938</v>
      </c>
      <c r="E32" s="110">
        <v>99.004248539564529</v>
      </c>
      <c r="F32" s="110">
        <v>98.670104329056244</v>
      </c>
      <c r="G32" s="110">
        <v>98.952774335673965</v>
      </c>
      <c r="H32" s="110">
        <v>99.037254666826556</v>
      </c>
      <c r="I32" s="110">
        <v>99.052388820046815</v>
      </c>
      <c r="J32" s="110">
        <v>99.242248604282423</v>
      </c>
      <c r="K32" s="110">
        <v>98.931193455117182</v>
      </c>
      <c r="L32" s="110">
        <v>99.237918215613377</v>
      </c>
      <c r="M32" s="110" t="e">
        <f>VLOOKUP(B32,'PKT TIPE MESIN'!B5:H5,7,0)</f>
        <v>#DIV/0!</v>
      </c>
      <c r="N32" s="111" t="e">
        <f>AVERAGEIFS('1'!AJ:AJ,'1'!E:E,'UPTIME HARIAN'!B32,'1'!I:I,"CRM")</f>
        <v>#DIV/0!</v>
      </c>
      <c r="O32" s="111" t="e">
        <f>AVERAGEIFS('2'!AJ:AJ,'2'!E:E,'UPTIME HARIAN'!B32,'2'!I:I,"CRM")</f>
        <v>#DIV/0!</v>
      </c>
      <c r="P32" s="111" t="e">
        <f>AVERAGEIFS('3'!AJ:AJ,'3'!E:E,'UPTIME HARIAN'!B32,'3'!I:I,"CRM")</f>
        <v>#DIV/0!</v>
      </c>
      <c r="Q32" s="111" t="e">
        <f>AVERAGEIFS('4'!AJ:AJ,'4'!E:E,'UPTIME HARIAN'!B32,'4'!I:I,"CRM")</f>
        <v>#DIV/0!</v>
      </c>
      <c r="R32" s="111" t="e">
        <f>AVERAGEIFS('5'!AJ:AJ,'5'!E:E,'UPTIME HARIAN'!B32,'5'!I:I,"CRM")</f>
        <v>#DIV/0!</v>
      </c>
      <c r="S32" s="111" t="e">
        <f>AVERAGEIFS('6'!AJ:AJ,'6'!E:E,'UPTIME HARIAN'!B32,'6'!I:I,"CRM")</f>
        <v>#DIV/0!</v>
      </c>
      <c r="T32" s="111" t="e">
        <f>AVERAGEIFS('7'!AJ:AJ,'7'!E:E,'UPTIME HARIAN'!B32,'7'!I:I,"CRM")</f>
        <v>#DIV/0!</v>
      </c>
      <c r="U32" s="111" t="e">
        <f>AVERAGEIFS('8'!AJ:AJ,'8'!E:E,'UPTIME HARIAN'!B32,'8'!I:I,"CRM")</f>
        <v>#DIV/0!</v>
      </c>
      <c r="V32" s="111" t="e">
        <f>AVERAGEIFS('9'!AJ:AJ,'9'!E:E,'UPTIME HARIAN'!B32,'9'!I:I,"CRM")</f>
        <v>#DIV/0!</v>
      </c>
      <c r="W32" s="111" t="e">
        <f>AVERAGEIFS('10'!AJ:AJ,'10'!E:E,'UPTIME HARIAN'!B32,'10'!I:I,"CRM")</f>
        <v>#DIV/0!</v>
      </c>
      <c r="X32" s="111" t="e">
        <f>AVERAGEIFS('11'!AJ:AJ,'11'!E:E,'UPTIME HARIAN'!B32,'11'!I:I,"CRM")</f>
        <v>#DIV/0!</v>
      </c>
      <c r="Y32" s="111" t="e">
        <f>AVERAGEIFS('12'!AJ:AJ,'12'!E:E,'UPTIME HARIAN'!B32,'12'!I:I,"CRM")</f>
        <v>#DIV/0!</v>
      </c>
      <c r="Z32" s="111" t="e">
        <f>AVERAGEIFS('13'!AJ:AJ,'13'!E:E,'UPTIME HARIAN'!B32,'13'!I:I,"CRM")</f>
        <v>#DIV/0!</v>
      </c>
      <c r="AA32" s="111" t="e">
        <f>AVERAGEIFS('14'!AJ:AJ,'14'!E:E,'UPTIME HARIAN'!B32,'14'!I:I,"CRM")</f>
        <v>#DIV/0!</v>
      </c>
      <c r="AB32" s="111" t="e">
        <f>AVERAGEIFS('15'!AJ:AJ,'15'!E:E,'UPTIME HARIAN'!B32,'15'!I:I,"CRM")</f>
        <v>#DIV/0!</v>
      </c>
      <c r="AC32" s="111" t="e">
        <f>AVERAGEIFS('16'!AJ:AJ,'16'!E:E,'UPTIME HARIAN'!B32,'16'!I:I,"CRM")</f>
        <v>#DIV/0!</v>
      </c>
      <c r="AD32" s="111" t="e">
        <f>AVERAGEIFS('17'!AJ:AJ,'17'!E:E,'UPTIME HARIAN'!B32,'17'!I:I,"CRM")</f>
        <v>#DIV/0!</v>
      </c>
      <c r="AE32" s="111" t="e">
        <f>AVERAGEIFS('18'!AJ:AJ,'18'!E:E,'UPTIME HARIAN'!B32,'18'!I:I,"CRM")</f>
        <v>#DIV/0!</v>
      </c>
      <c r="AF32" s="111" t="e">
        <f>AVERAGEIFS('19'!AJ:AJ,'19'!E:E,'UPTIME HARIAN'!B32,'19'!I:I,"CRM")</f>
        <v>#DIV/0!</v>
      </c>
      <c r="AG32" s="111" t="e">
        <f>AVERAGEIFS('20'!AJ:AJ,'20'!E:E,'UPTIME HARIAN'!B32,'20'!I:I,"CRM")</f>
        <v>#DIV/0!</v>
      </c>
      <c r="AH32" s="111" t="e">
        <f>AVERAGEIFS('21'!AJ:AJ,'21'!E:E,'UPTIME HARIAN'!B32,'21'!I:I,"CRM")</f>
        <v>#DIV/0!</v>
      </c>
      <c r="AI32" s="111" t="e">
        <f>AVERAGEIFS('22'!AJ:AJ,'22'!E:E,'UPTIME HARIAN'!B32,'22'!I:I,"CRM")</f>
        <v>#DIV/0!</v>
      </c>
      <c r="AJ32" s="111" t="e">
        <f>AVERAGEIFS('23'!AJ:AJ,'23'!E:E,'UPTIME HARIAN'!B32,'23'!I:I,"CRM")</f>
        <v>#DIV/0!</v>
      </c>
      <c r="AK32" s="111" t="e">
        <f>AVERAGEIFS('24'!AJ:AJ,'24'!E:E,'UPTIME HARIAN'!B32,'24'!I:I,"CRM")</f>
        <v>#DIV/0!</v>
      </c>
      <c r="AL32" s="111" t="e">
        <f>AVERAGEIFS('25'!AJ:AJ,'25'!E:E,'UPTIME HARIAN'!B32,'25'!I:I,"CRM")</f>
        <v>#DIV/0!</v>
      </c>
      <c r="AM32" s="111" t="e">
        <f>AVERAGEIFS('26'!AJ:AJ,'26'!E:E,'UPTIME HARIAN'!B32,'26'!I:I,"CRM")</f>
        <v>#DIV/0!</v>
      </c>
      <c r="AN32" s="111" t="e">
        <f>AVERAGEIFS('27'!AJ:AJ,'27'!E:E,'UPTIME HARIAN'!B32,'27'!I:I,"CRM")</f>
        <v>#DIV/0!</v>
      </c>
      <c r="AO32" s="111" t="e">
        <f>AVERAGEIFS('28'!AJ:AJ,'28'!E:E,'UPTIME HARIAN'!B32,'28'!I:I,"CRM")</f>
        <v>#DIV/0!</v>
      </c>
      <c r="AP32" s="111" t="e">
        <f>AVERAGEIFS('29'!AJ:AJ,'29'!E:E,'UPTIME HARIAN'!B32,'29'!I:I,"CRM")</f>
        <v>#DIV/0!</v>
      </c>
      <c r="AQ32" s="111" t="e">
        <f>AVERAGEIFS('30'!AJ:AJ,'30'!E:E,'UPTIME HARIAN'!B32,'30'!I:I,"CRM")</f>
        <v>#DIV/0!</v>
      </c>
      <c r="AR32" s="111" t="e">
        <f>AVERAGEIFS('31'!AJ:AJ,'31'!E:E,'UPTIME HARIAN'!B32,'31'!I:I,"CRM")</f>
        <v>#DIV/0!</v>
      </c>
    </row>
    <row r="33" spans="1:44" x14ac:dyDescent="0.35">
      <c r="A33" s="49">
        <v>3</v>
      </c>
      <c r="B33" s="170" t="s">
        <v>112</v>
      </c>
      <c r="C33" s="171">
        <f>COUNTIFS('atm total'!E:E,B33,'atm total'!AM:AM,"CRM")</f>
        <v>0</v>
      </c>
      <c r="D33" s="110">
        <v>99.531012696676996</v>
      </c>
      <c r="E33" s="110">
        <v>99.185835351089594</v>
      </c>
      <c r="F33" s="110">
        <v>99.492740416742606</v>
      </c>
      <c r="G33" s="110">
        <v>99.356559949780291</v>
      </c>
      <c r="H33" s="110">
        <v>99.470566794240938</v>
      </c>
      <c r="I33" s="110">
        <v>98.88951663527935</v>
      </c>
      <c r="J33" s="110">
        <v>99.630034627300887</v>
      </c>
      <c r="K33" s="110">
        <v>99.631553368568134</v>
      </c>
      <c r="L33" s="110">
        <v>99.424356559949786</v>
      </c>
      <c r="M33" s="110" t="e">
        <f>VLOOKUP(B33,'PKT TIPE MESIN'!B6:H6,7,0)</f>
        <v>#DIV/0!</v>
      </c>
      <c r="N33" s="111" t="e">
        <f>AVERAGEIFS('1'!AJ:AJ,'1'!E:E,'UPTIME HARIAN'!B33,'1'!I:I,"CRM")</f>
        <v>#DIV/0!</v>
      </c>
      <c r="O33" s="111" t="e">
        <f>AVERAGEIFS('2'!AJ:AJ,'2'!E:E,'UPTIME HARIAN'!B33,'2'!I:I,"CRM")</f>
        <v>#DIV/0!</v>
      </c>
      <c r="P33" s="111" t="e">
        <f>AVERAGEIFS('3'!AJ:AJ,'3'!E:E,'UPTIME HARIAN'!B33,'3'!I:I,"CRM")</f>
        <v>#DIV/0!</v>
      </c>
      <c r="Q33" s="111" t="e">
        <f>AVERAGEIFS('4'!AJ:AJ,'4'!E:E,'UPTIME HARIAN'!B33,'4'!I:I,"CRM")</f>
        <v>#DIV/0!</v>
      </c>
      <c r="R33" s="111" t="e">
        <f>AVERAGEIFS('5'!AJ:AJ,'5'!E:E,'UPTIME HARIAN'!B33,'5'!I:I,"CRM")</f>
        <v>#DIV/0!</v>
      </c>
      <c r="S33" s="111" t="e">
        <f>AVERAGEIFS('6'!AJ:AJ,'6'!E:E,'UPTIME HARIAN'!B33,'6'!I:I,"CRM")</f>
        <v>#DIV/0!</v>
      </c>
      <c r="T33" s="111" t="e">
        <f>AVERAGEIFS('7'!AJ:AJ,'7'!E:E,'UPTIME HARIAN'!B33,'7'!I:I,"CRM")</f>
        <v>#DIV/0!</v>
      </c>
      <c r="U33" s="111" t="e">
        <f>AVERAGEIFS('8'!AJ:AJ,'8'!E:E,'UPTIME HARIAN'!B33,'8'!I:I,"CRM")</f>
        <v>#DIV/0!</v>
      </c>
      <c r="V33" s="111" t="e">
        <f>AVERAGEIFS('9'!AJ:AJ,'9'!E:E,'UPTIME HARIAN'!B33,'9'!I:I,"CRM")</f>
        <v>#DIV/0!</v>
      </c>
      <c r="W33" s="111" t="e">
        <f>AVERAGEIFS('10'!AJ:AJ,'10'!E:E,'UPTIME HARIAN'!B33,'10'!I:I,"CRM")</f>
        <v>#DIV/0!</v>
      </c>
      <c r="X33" s="111" t="e">
        <f>AVERAGEIFS('11'!AJ:AJ,'11'!E:E,'UPTIME HARIAN'!B33,'11'!I:I,"CRM")</f>
        <v>#DIV/0!</v>
      </c>
      <c r="Y33" s="111" t="e">
        <f>AVERAGEIFS('12'!AJ:AJ,'12'!E:E,'UPTIME HARIAN'!B33,'12'!I:I,"CRM")</f>
        <v>#DIV/0!</v>
      </c>
      <c r="Z33" s="111" t="e">
        <f>AVERAGEIFS('13'!AJ:AJ,'13'!E:E,'UPTIME HARIAN'!B33,'13'!I:I,"CRM")</f>
        <v>#DIV/0!</v>
      </c>
      <c r="AA33" s="111" t="e">
        <f>AVERAGEIFS('14'!AJ:AJ,'14'!E:E,'UPTIME HARIAN'!B33,'14'!I:I,"CRM")</f>
        <v>#DIV/0!</v>
      </c>
      <c r="AB33" s="111" t="e">
        <f>AVERAGEIFS('15'!AJ:AJ,'15'!E:E,'UPTIME HARIAN'!B33,'15'!I:I,"CRM")</f>
        <v>#DIV/0!</v>
      </c>
      <c r="AC33" s="111" t="e">
        <f>AVERAGEIFS('16'!AJ:AJ,'16'!E:E,'UPTIME HARIAN'!B33,'16'!I:I,"CRM")</f>
        <v>#DIV/0!</v>
      </c>
      <c r="AD33" s="111" t="e">
        <f>AVERAGEIFS('17'!AJ:AJ,'17'!E:E,'UPTIME HARIAN'!B33,'17'!I:I,"CRM")</f>
        <v>#DIV/0!</v>
      </c>
      <c r="AE33" s="111" t="e">
        <f>AVERAGEIFS('18'!AJ:AJ,'18'!E:E,'UPTIME HARIAN'!B33,'18'!I:I,"CRM")</f>
        <v>#DIV/0!</v>
      </c>
      <c r="AF33" s="111" t="e">
        <f>AVERAGEIFS('19'!AJ:AJ,'19'!E:E,'UPTIME HARIAN'!B33,'19'!I:I,"CRM")</f>
        <v>#DIV/0!</v>
      </c>
      <c r="AG33" s="111" t="e">
        <f>AVERAGEIFS('20'!AJ:AJ,'20'!E:E,'UPTIME HARIAN'!B33,'20'!I:I,"CRM")</f>
        <v>#DIV/0!</v>
      </c>
      <c r="AH33" s="111" t="e">
        <f>AVERAGEIFS('21'!AJ:AJ,'21'!E:E,'UPTIME HARIAN'!B33,'21'!I:I,"CRM")</f>
        <v>#DIV/0!</v>
      </c>
      <c r="AI33" s="111" t="e">
        <f>AVERAGEIFS('22'!AJ:AJ,'22'!E:E,'UPTIME HARIAN'!B33,'22'!I:I,"CRM")</f>
        <v>#DIV/0!</v>
      </c>
      <c r="AJ33" s="111" t="e">
        <f>AVERAGEIFS('23'!AJ:AJ,'23'!E:E,'UPTIME HARIAN'!B33,'23'!I:I,"CRM")</f>
        <v>#DIV/0!</v>
      </c>
      <c r="AK33" s="111" t="e">
        <f>AVERAGEIFS('24'!AJ:AJ,'24'!E:E,'UPTIME HARIAN'!B33,'24'!I:I,"CRM")</f>
        <v>#DIV/0!</v>
      </c>
      <c r="AL33" s="111" t="e">
        <f>AVERAGEIFS('25'!AJ:AJ,'25'!E:E,'UPTIME HARIAN'!B33,'25'!I:I,"CRM")</f>
        <v>#DIV/0!</v>
      </c>
      <c r="AM33" s="111" t="e">
        <f>AVERAGEIFS('26'!AJ:AJ,'26'!E:E,'UPTIME HARIAN'!B33,'26'!I:I,"CRM")</f>
        <v>#DIV/0!</v>
      </c>
      <c r="AN33" s="111" t="e">
        <f>AVERAGEIFS('27'!AJ:AJ,'27'!E:E,'UPTIME HARIAN'!B33,'27'!I:I,"CRM")</f>
        <v>#DIV/0!</v>
      </c>
      <c r="AO33" s="111" t="e">
        <f>AVERAGEIFS('28'!AJ:AJ,'28'!E:E,'UPTIME HARIAN'!B33,'28'!I:I,"CRM")</f>
        <v>#DIV/0!</v>
      </c>
      <c r="AP33" s="111" t="e">
        <f>AVERAGEIFS('29'!AJ:AJ,'29'!E:E,'UPTIME HARIAN'!B33,'29'!I:I,"CRM")</f>
        <v>#DIV/0!</v>
      </c>
      <c r="AQ33" s="111" t="e">
        <f>AVERAGEIFS('30'!AJ:AJ,'30'!E:E,'UPTIME HARIAN'!B33,'30'!I:I,"CRM")</f>
        <v>#DIV/0!</v>
      </c>
      <c r="AR33" s="111" t="e">
        <f>AVERAGEIFS('31'!AJ:AJ,'31'!E:E,'UPTIME HARIAN'!B33,'31'!I:I,"CRM")</f>
        <v>#DIV/0!</v>
      </c>
    </row>
    <row r="34" spans="1:44" x14ac:dyDescent="0.35">
      <c r="A34" s="49">
        <v>4</v>
      </c>
      <c r="B34" s="170" t="s">
        <v>119</v>
      </c>
      <c r="C34" s="171">
        <f>COUNTIFS('atm total'!E:E,B34,'atm total'!AM:AM,"CRM")</f>
        <v>0</v>
      </c>
      <c r="D34" s="110">
        <v>99.691504345734998</v>
      </c>
      <c r="E34" s="110">
        <v>99.571542674577813</v>
      </c>
      <c r="F34" s="110">
        <v>99.690473736645018</v>
      </c>
      <c r="G34" s="110">
        <v>99.588569400070995</v>
      </c>
      <c r="H34" s="110">
        <v>99.532103473152631</v>
      </c>
      <c r="I34" s="110">
        <v>99.417287894923675</v>
      </c>
      <c r="J34" s="110">
        <v>99.58140094128963</v>
      </c>
      <c r="K34" s="110">
        <v>99.587241059466137</v>
      </c>
      <c r="L34" s="110">
        <v>99.437877174298904</v>
      </c>
      <c r="M34" s="110" t="e">
        <f>VLOOKUP(B34,'PKT TIPE MESIN'!B7:H7,7,0)</f>
        <v>#DIV/0!</v>
      </c>
      <c r="N34" s="111" t="e">
        <f>AVERAGEIFS('1'!AJ:AJ,'1'!E:E,'UPTIME HARIAN'!B34,'1'!I:I,"CRM")</f>
        <v>#DIV/0!</v>
      </c>
      <c r="O34" s="111" t="e">
        <f>AVERAGEIFS('2'!AJ:AJ,'2'!E:E,'UPTIME HARIAN'!B34,'2'!I:I,"CRM")</f>
        <v>#DIV/0!</v>
      </c>
      <c r="P34" s="111" t="e">
        <f>AVERAGEIFS('3'!AJ:AJ,'3'!E:E,'UPTIME HARIAN'!B34,'3'!I:I,"CRM")</f>
        <v>#DIV/0!</v>
      </c>
      <c r="Q34" s="111" t="e">
        <f>AVERAGEIFS('4'!AJ:AJ,'4'!E:E,'UPTIME HARIAN'!B34,'4'!I:I,"CRM")</f>
        <v>#DIV/0!</v>
      </c>
      <c r="R34" s="111" t="e">
        <f>AVERAGEIFS('5'!AJ:AJ,'5'!E:E,'UPTIME HARIAN'!B34,'5'!I:I,"CRM")</f>
        <v>#DIV/0!</v>
      </c>
      <c r="S34" s="111" t="e">
        <f>AVERAGEIFS('6'!AJ:AJ,'6'!E:E,'UPTIME HARIAN'!B34,'6'!I:I,"CRM")</f>
        <v>#DIV/0!</v>
      </c>
      <c r="T34" s="111" t="e">
        <f>AVERAGEIFS('7'!AJ:AJ,'7'!E:E,'UPTIME HARIAN'!B34,'7'!I:I,"CRM")</f>
        <v>#DIV/0!</v>
      </c>
      <c r="U34" s="111" t="e">
        <f>AVERAGEIFS('8'!AJ:AJ,'8'!E:E,'UPTIME HARIAN'!B34,'8'!I:I,"CRM")</f>
        <v>#DIV/0!</v>
      </c>
      <c r="V34" s="111" t="e">
        <f>AVERAGEIFS('9'!AJ:AJ,'9'!E:E,'UPTIME HARIAN'!B34,'9'!I:I,"CRM")</f>
        <v>#DIV/0!</v>
      </c>
      <c r="W34" s="111" t="e">
        <f>AVERAGEIFS('10'!AJ:AJ,'10'!E:E,'UPTIME HARIAN'!B34,'10'!I:I,"CRM")</f>
        <v>#DIV/0!</v>
      </c>
      <c r="X34" s="111" t="e">
        <f>AVERAGEIFS('11'!AJ:AJ,'11'!E:E,'UPTIME HARIAN'!B34,'11'!I:I,"CRM")</f>
        <v>#DIV/0!</v>
      </c>
      <c r="Y34" s="111" t="e">
        <f>AVERAGEIFS('12'!AJ:AJ,'12'!E:E,'UPTIME HARIAN'!B34,'12'!I:I,"CRM")</f>
        <v>#DIV/0!</v>
      </c>
      <c r="Z34" s="111" t="e">
        <f>AVERAGEIFS('13'!AJ:AJ,'13'!E:E,'UPTIME HARIAN'!B34,'13'!I:I,"CRM")</f>
        <v>#DIV/0!</v>
      </c>
      <c r="AA34" s="111" t="e">
        <f>AVERAGEIFS('14'!AJ:AJ,'14'!E:E,'UPTIME HARIAN'!B34,'14'!I:I,"CRM")</f>
        <v>#DIV/0!</v>
      </c>
      <c r="AB34" s="111" t="e">
        <f>AVERAGEIFS('15'!AJ:AJ,'15'!E:E,'UPTIME HARIAN'!B34,'15'!I:I,"CRM")</f>
        <v>#DIV/0!</v>
      </c>
      <c r="AC34" s="111" t="e">
        <f>AVERAGEIFS('16'!AJ:AJ,'16'!E:E,'UPTIME HARIAN'!B34,'16'!I:I,"CRM")</f>
        <v>#DIV/0!</v>
      </c>
      <c r="AD34" s="111" t="e">
        <f>AVERAGEIFS('17'!AJ:AJ,'17'!E:E,'UPTIME HARIAN'!B34,'17'!I:I,"CRM")</f>
        <v>#DIV/0!</v>
      </c>
      <c r="AE34" s="111" t="e">
        <f>AVERAGEIFS('18'!AJ:AJ,'18'!E:E,'UPTIME HARIAN'!B34,'18'!I:I,"CRM")</f>
        <v>#DIV/0!</v>
      </c>
      <c r="AF34" s="111" t="e">
        <f>AVERAGEIFS('19'!AJ:AJ,'19'!E:E,'UPTIME HARIAN'!B34,'19'!I:I,"CRM")</f>
        <v>#DIV/0!</v>
      </c>
      <c r="AG34" s="111" t="e">
        <f>AVERAGEIFS('20'!AJ:AJ,'20'!E:E,'UPTIME HARIAN'!B34,'20'!I:I,"CRM")</f>
        <v>#DIV/0!</v>
      </c>
      <c r="AH34" s="111" t="e">
        <f>AVERAGEIFS('21'!AJ:AJ,'21'!E:E,'UPTIME HARIAN'!B34,'21'!I:I,"CRM")</f>
        <v>#DIV/0!</v>
      </c>
      <c r="AI34" s="111" t="e">
        <f>AVERAGEIFS('22'!AJ:AJ,'22'!E:E,'UPTIME HARIAN'!B34,'22'!I:I,"CRM")</f>
        <v>#DIV/0!</v>
      </c>
      <c r="AJ34" s="111" t="e">
        <f>AVERAGEIFS('23'!AJ:AJ,'23'!E:E,'UPTIME HARIAN'!B34,'23'!I:I,"CRM")</f>
        <v>#DIV/0!</v>
      </c>
      <c r="AK34" s="111" t="e">
        <f>AVERAGEIFS('24'!AJ:AJ,'24'!E:E,'UPTIME HARIAN'!B34,'24'!I:I,"CRM")</f>
        <v>#DIV/0!</v>
      </c>
      <c r="AL34" s="111" t="e">
        <f>AVERAGEIFS('25'!AJ:AJ,'25'!E:E,'UPTIME HARIAN'!B34,'25'!I:I,"CRM")</f>
        <v>#DIV/0!</v>
      </c>
      <c r="AM34" s="111" t="e">
        <f>AVERAGEIFS('26'!AJ:AJ,'26'!E:E,'UPTIME HARIAN'!B34,'26'!I:I,"CRM")</f>
        <v>#DIV/0!</v>
      </c>
      <c r="AN34" s="111" t="e">
        <f>AVERAGEIFS('27'!AJ:AJ,'27'!E:E,'UPTIME HARIAN'!B34,'27'!I:I,"CRM")</f>
        <v>#DIV/0!</v>
      </c>
      <c r="AO34" s="111" t="e">
        <f>AVERAGEIFS('28'!AJ:AJ,'28'!E:E,'UPTIME HARIAN'!B34,'28'!I:I,"CRM")</f>
        <v>#DIV/0!</v>
      </c>
      <c r="AP34" s="111" t="e">
        <f>AVERAGEIFS('29'!AJ:AJ,'29'!E:E,'UPTIME HARIAN'!B34,'29'!I:I,"CRM")</f>
        <v>#DIV/0!</v>
      </c>
      <c r="AQ34" s="111" t="e">
        <f>AVERAGEIFS('30'!AJ:AJ,'30'!E:E,'UPTIME HARIAN'!B34,'30'!I:I,"CRM")</f>
        <v>#DIV/0!</v>
      </c>
      <c r="AR34" s="111" t="e">
        <f>AVERAGEIFS('31'!AJ:AJ,'31'!E:E,'UPTIME HARIAN'!B34,'31'!I:I,"CRM")</f>
        <v>#DIV/0!</v>
      </c>
    </row>
    <row r="35" spans="1:44" x14ac:dyDescent="0.35">
      <c r="A35" s="49">
        <v>5</v>
      </c>
      <c r="B35" s="170" t="s">
        <v>136</v>
      </c>
      <c r="C35" s="171">
        <f>COUNTIFS('atm total'!E:E,B35,'atm total'!AM:AM,"CRM")</f>
        <v>0</v>
      </c>
      <c r="D35" s="110">
        <v>98.535226254480293</v>
      </c>
      <c r="E35" s="110">
        <v>97.856832837301582</v>
      </c>
      <c r="F35" s="110">
        <v>92.903505824372758</v>
      </c>
      <c r="G35" s="110">
        <v>97.118055555555557</v>
      </c>
      <c r="H35" s="110">
        <v>95.654121863799276</v>
      </c>
      <c r="I35" s="110">
        <v>95.239293981481481</v>
      </c>
      <c r="J35" s="110">
        <v>95.215613799283148</v>
      </c>
      <c r="K35" s="110">
        <v>94.10898297491039</v>
      </c>
      <c r="L35" s="110">
        <v>97.390625</v>
      </c>
      <c r="M35" s="110" t="e">
        <f>VLOOKUP(B35,'PKT TIPE MESIN'!B8:H8,7,0)</f>
        <v>#DIV/0!</v>
      </c>
      <c r="N35" s="111" t="e">
        <f>AVERAGEIFS('1'!AJ:AJ,'1'!E:E,'UPTIME HARIAN'!B35,'1'!I:I,"CRM")</f>
        <v>#DIV/0!</v>
      </c>
      <c r="O35" s="111" t="e">
        <f>AVERAGEIFS('2'!AJ:AJ,'2'!E:E,'UPTIME HARIAN'!B35,'2'!I:I,"CRM")</f>
        <v>#DIV/0!</v>
      </c>
      <c r="P35" s="111" t="e">
        <f>AVERAGEIFS('3'!AJ:AJ,'3'!E:E,'UPTIME HARIAN'!B35,'3'!I:I,"CRM")</f>
        <v>#DIV/0!</v>
      </c>
      <c r="Q35" s="111" t="e">
        <f>AVERAGEIFS('4'!AJ:AJ,'4'!E:E,'UPTIME HARIAN'!B35,'4'!I:I,"CRM")</f>
        <v>#DIV/0!</v>
      </c>
      <c r="R35" s="111" t="e">
        <f>AVERAGEIFS('5'!AJ:AJ,'5'!E:E,'UPTIME HARIAN'!B35,'5'!I:I,"CRM")</f>
        <v>#DIV/0!</v>
      </c>
      <c r="S35" s="111" t="e">
        <f>AVERAGEIFS('6'!AJ:AJ,'6'!E:E,'UPTIME HARIAN'!B35,'6'!I:I,"CRM")</f>
        <v>#DIV/0!</v>
      </c>
      <c r="T35" s="111" t="e">
        <f>AVERAGEIFS('7'!AJ:AJ,'7'!E:E,'UPTIME HARIAN'!B35,'7'!I:I,"CRM")</f>
        <v>#DIV/0!</v>
      </c>
      <c r="U35" s="111" t="e">
        <f>AVERAGEIFS('8'!AJ:AJ,'8'!E:E,'UPTIME HARIAN'!B35,'8'!I:I,"CRM")</f>
        <v>#DIV/0!</v>
      </c>
      <c r="V35" s="111" t="e">
        <f>AVERAGEIFS('9'!AJ:AJ,'9'!E:E,'UPTIME HARIAN'!B35,'9'!I:I,"CRM")</f>
        <v>#DIV/0!</v>
      </c>
      <c r="W35" s="111" t="e">
        <f>AVERAGEIFS('10'!AJ:AJ,'10'!E:E,'UPTIME HARIAN'!B35,'10'!I:I,"CRM")</f>
        <v>#DIV/0!</v>
      </c>
      <c r="X35" s="111" t="e">
        <f>AVERAGEIFS('11'!AJ:AJ,'11'!E:E,'UPTIME HARIAN'!B35,'11'!I:I,"CRM")</f>
        <v>#DIV/0!</v>
      </c>
      <c r="Y35" s="111" t="e">
        <f>AVERAGEIFS('12'!AJ:AJ,'12'!E:E,'UPTIME HARIAN'!B35,'12'!I:I,"CRM")</f>
        <v>#DIV/0!</v>
      </c>
      <c r="Z35" s="111" t="e">
        <f>AVERAGEIFS('13'!AJ:AJ,'13'!E:E,'UPTIME HARIAN'!B35,'13'!I:I,"CRM")</f>
        <v>#DIV/0!</v>
      </c>
      <c r="AA35" s="111" t="e">
        <f>AVERAGEIFS('14'!AJ:AJ,'14'!E:E,'UPTIME HARIAN'!B35,'14'!I:I,"CRM")</f>
        <v>#DIV/0!</v>
      </c>
      <c r="AB35" s="111" t="e">
        <f>AVERAGEIFS('15'!AJ:AJ,'15'!E:E,'UPTIME HARIAN'!B35,'15'!I:I,"CRM")</f>
        <v>#DIV/0!</v>
      </c>
      <c r="AC35" s="111" t="e">
        <f>AVERAGEIFS('16'!AJ:AJ,'16'!E:E,'UPTIME HARIAN'!B35,'16'!I:I,"CRM")</f>
        <v>#DIV/0!</v>
      </c>
      <c r="AD35" s="111" t="e">
        <f>AVERAGEIFS('17'!AJ:AJ,'17'!E:E,'UPTIME HARIAN'!B35,'17'!I:I,"CRM")</f>
        <v>#DIV/0!</v>
      </c>
      <c r="AE35" s="111" t="e">
        <f>AVERAGEIFS('18'!AJ:AJ,'18'!E:E,'UPTIME HARIAN'!B35,'18'!I:I,"CRM")</f>
        <v>#DIV/0!</v>
      </c>
      <c r="AF35" s="111" t="e">
        <f>AVERAGEIFS('19'!AJ:AJ,'19'!E:E,'UPTIME HARIAN'!B35,'19'!I:I,"CRM")</f>
        <v>#DIV/0!</v>
      </c>
      <c r="AG35" s="111" t="e">
        <f>AVERAGEIFS('20'!AJ:AJ,'20'!E:E,'UPTIME HARIAN'!B35,'20'!I:I,"CRM")</f>
        <v>#DIV/0!</v>
      </c>
      <c r="AH35" s="111" t="e">
        <f>AVERAGEIFS('21'!AJ:AJ,'21'!E:E,'UPTIME HARIAN'!B35,'21'!I:I,"CRM")</f>
        <v>#DIV/0!</v>
      </c>
      <c r="AI35" s="111" t="e">
        <f>AVERAGEIFS('22'!AJ:AJ,'22'!E:E,'UPTIME HARIAN'!B35,'22'!I:I,"CRM")</f>
        <v>#DIV/0!</v>
      </c>
      <c r="AJ35" s="111" t="e">
        <f>AVERAGEIFS('23'!AJ:AJ,'23'!E:E,'UPTIME HARIAN'!B35,'23'!I:I,"CRM")</f>
        <v>#DIV/0!</v>
      </c>
      <c r="AK35" s="111" t="e">
        <f>AVERAGEIFS('24'!AJ:AJ,'24'!E:E,'UPTIME HARIAN'!B35,'24'!I:I,"CRM")</f>
        <v>#DIV/0!</v>
      </c>
      <c r="AL35" s="111" t="e">
        <f>AVERAGEIFS('25'!AJ:AJ,'25'!E:E,'UPTIME HARIAN'!B35,'25'!I:I,"CRM")</f>
        <v>#DIV/0!</v>
      </c>
      <c r="AM35" s="111" t="e">
        <f>AVERAGEIFS('26'!AJ:AJ,'26'!E:E,'UPTIME HARIAN'!B35,'26'!I:I,"CRM")</f>
        <v>#DIV/0!</v>
      </c>
      <c r="AN35" s="111" t="e">
        <f>AVERAGEIFS('27'!AJ:AJ,'27'!E:E,'UPTIME HARIAN'!B35,'27'!I:I,"CRM")</f>
        <v>#DIV/0!</v>
      </c>
      <c r="AO35" s="111" t="e">
        <f>AVERAGEIFS('28'!AJ:AJ,'28'!E:E,'UPTIME HARIAN'!B35,'28'!I:I,"CRM")</f>
        <v>#DIV/0!</v>
      </c>
      <c r="AP35" s="111" t="e">
        <f>AVERAGEIFS('29'!AJ:AJ,'29'!E:E,'UPTIME HARIAN'!B35,'29'!I:I,"CRM")</f>
        <v>#DIV/0!</v>
      </c>
      <c r="AQ35" s="111" t="e">
        <f>AVERAGEIFS('30'!AJ:AJ,'30'!E:E,'UPTIME HARIAN'!B35,'30'!I:I,"CRM")</f>
        <v>#DIV/0!</v>
      </c>
      <c r="AR35" s="111" t="e">
        <f>AVERAGEIFS('31'!AJ:AJ,'31'!E:E,'UPTIME HARIAN'!B35,'31'!I:I,"CRM")</f>
        <v>#DIV/0!</v>
      </c>
    </row>
    <row r="36" spans="1:44" x14ac:dyDescent="0.35">
      <c r="A36" s="49">
        <v>6</v>
      </c>
      <c r="B36" s="170" t="s">
        <v>442</v>
      </c>
      <c r="C36" s="171">
        <f>COUNTIFS('atm total'!E:E,B36,'atm total'!AM:AM,"CRM")</f>
        <v>0</v>
      </c>
      <c r="D36" s="110">
        <v>100</v>
      </c>
      <c r="E36" s="110">
        <v>100</v>
      </c>
      <c r="F36" s="110">
        <v>100</v>
      </c>
      <c r="G36" s="110">
        <v>100</v>
      </c>
      <c r="H36" s="110">
        <v>99.948476702508955</v>
      </c>
      <c r="I36" s="110">
        <v>100</v>
      </c>
      <c r="J36" s="110">
        <v>100</v>
      </c>
      <c r="K36" s="110">
        <v>100</v>
      </c>
      <c r="L36" s="110">
        <v>99.837962962962962</v>
      </c>
      <c r="M36" s="110" t="e">
        <f>VLOOKUP(B36,'PKT TIPE MESIN'!B9:H9,7,0)</f>
        <v>#DIV/0!</v>
      </c>
      <c r="N36" s="111" t="e">
        <f>AVERAGEIFS('1'!AJ:AJ,'1'!E:E,'UPTIME HARIAN'!B36,'1'!I:I,"CRM")</f>
        <v>#DIV/0!</v>
      </c>
      <c r="O36" s="111" t="e">
        <f>AVERAGEIFS('2'!AJ:AJ,'2'!E:E,'UPTIME HARIAN'!B36,'2'!I:I,"CRM")</f>
        <v>#DIV/0!</v>
      </c>
      <c r="P36" s="111" t="e">
        <f>AVERAGEIFS('3'!AJ:AJ,'3'!E:E,'UPTIME HARIAN'!B36,'3'!I:I,"CRM")</f>
        <v>#DIV/0!</v>
      </c>
      <c r="Q36" s="111" t="e">
        <f>AVERAGEIFS('4'!AJ:AJ,'4'!E:E,'UPTIME HARIAN'!B36,'4'!I:I,"CRM")</f>
        <v>#DIV/0!</v>
      </c>
      <c r="R36" s="111" t="e">
        <f>AVERAGEIFS('5'!AJ:AJ,'5'!E:E,'UPTIME HARIAN'!B36,'5'!I:I,"CRM")</f>
        <v>#DIV/0!</v>
      </c>
      <c r="S36" s="111" t="e">
        <f>AVERAGEIFS('6'!AJ:AJ,'6'!E:E,'UPTIME HARIAN'!B36,'6'!I:I,"CRM")</f>
        <v>#DIV/0!</v>
      </c>
      <c r="T36" s="111" t="e">
        <f>AVERAGEIFS('7'!AJ:AJ,'7'!E:E,'UPTIME HARIAN'!B36,'7'!I:I,"CRM")</f>
        <v>#DIV/0!</v>
      </c>
      <c r="U36" s="111" t="e">
        <f>AVERAGEIFS('8'!AJ:AJ,'8'!E:E,'UPTIME HARIAN'!B36,'8'!I:I,"CRM")</f>
        <v>#DIV/0!</v>
      </c>
      <c r="V36" s="111" t="e">
        <f>AVERAGEIFS('9'!AJ:AJ,'9'!E:E,'UPTIME HARIAN'!B36,'9'!I:I,"CRM")</f>
        <v>#DIV/0!</v>
      </c>
      <c r="W36" s="111" t="e">
        <f>AVERAGEIFS('10'!AJ:AJ,'10'!E:E,'UPTIME HARIAN'!B36,'10'!I:I,"CRM")</f>
        <v>#DIV/0!</v>
      </c>
      <c r="X36" s="111" t="e">
        <f>AVERAGEIFS('11'!AJ:AJ,'11'!E:E,'UPTIME HARIAN'!B36,'11'!I:I,"CRM")</f>
        <v>#DIV/0!</v>
      </c>
      <c r="Y36" s="111" t="e">
        <f>AVERAGEIFS('12'!AJ:AJ,'12'!E:E,'UPTIME HARIAN'!B36,'12'!I:I,"CRM")</f>
        <v>#DIV/0!</v>
      </c>
      <c r="Z36" s="111" t="e">
        <f>AVERAGEIFS('13'!AJ:AJ,'13'!E:E,'UPTIME HARIAN'!B36,'13'!I:I,"CRM")</f>
        <v>#DIV/0!</v>
      </c>
      <c r="AA36" s="111" t="e">
        <f>AVERAGEIFS('14'!AJ:AJ,'14'!E:E,'UPTIME HARIAN'!B36,'14'!I:I,"CRM")</f>
        <v>#DIV/0!</v>
      </c>
      <c r="AB36" s="111" t="e">
        <f>AVERAGEIFS('15'!AJ:AJ,'15'!E:E,'UPTIME HARIAN'!B36,'15'!I:I,"CRM")</f>
        <v>#DIV/0!</v>
      </c>
      <c r="AC36" s="111" t="e">
        <f>AVERAGEIFS('16'!AJ:AJ,'16'!E:E,'UPTIME HARIAN'!B36,'16'!I:I,"CRM")</f>
        <v>#DIV/0!</v>
      </c>
      <c r="AD36" s="111" t="e">
        <f>AVERAGEIFS('17'!AJ:AJ,'17'!E:E,'UPTIME HARIAN'!B36,'17'!I:I,"CRM")</f>
        <v>#DIV/0!</v>
      </c>
      <c r="AE36" s="111" t="e">
        <f>AVERAGEIFS('18'!AJ:AJ,'18'!E:E,'UPTIME HARIAN'!B36,'18'!I:I,"CRM")</f>
        <v>#DIV/0!</v>
      </c>
      <c r="AF36" s="111" t="e">
        <f>AVERAGEIFS('19'!AJ:AJ,'19'!E:E,'UPTIME HARIAN'!B36,'19'!I:I,"CRM")</f>
        <v>#DIV/0!</v>
      </c>
      <c r="AG36" s="111" t="e">
        <f>AVERAGEIFS('20'!AJ:AJ,'20'!E:E,'UPTIME HARIAN'!B36,'20'!I:I,"CRM")</f>
        <v>#DIV/0!</v>
      </c>
      <c r="AH36" s="111" t="e">
        <f>AVERAGEIFS('21'!AJ:AJ,'21'!E:E,'UPTIME HARIAN'!B36,'21'!I:I,"CRM")</f>
        <v>#DIV/0!</v>
      </c>
      <c r="AI36" s="111" t="e">
        <f>AVERAGEIFS('22'!AJ:AJ,'22'!E:E,'UPTIME HARIAN'!B36,'22'!I:I,"CRM")</f>
        <v>#DIV/0!</v>
      </c>
      <c r="AJ36" s="111" t="e">
        <f>AVERAGEIFS('23'!AJ:AJ,'23'!E:E,'UPTIME HARIAN'!B36,'23'!I:I,"CRM")</f>
        <v>#DIV/0!</v>
      </c>
      <c r="AK36" s="111" t="e">
        <f>AVERAGEIFS('24'!AJ:AJ,'24'!E:E,'UPTIME HARIAN'!B36,'24'!I:I,"CRM")</f>
        <v>#DIV/0!</v>
      </c>
      <c r="AL36" s="111" t="e">
        <f>AVERAGEIFS('25'!AJ:AJ,'25'!E:E,'UPTIME HARIAN'!B36,'25'!I:I,"CRM")</f>
        <v>#DIV/0!</v>
      </c>
      <c r="AM36" s="111" t="e">
        <f>AVERAGEIFS('26'!AJ:AJ,'26'!E:E,'UPTIME HARIAN'!B36,'26'!I:I,"CRM")</f>
        <v>#DIV/0!</v>
      </c>
      <c r="AN36" s="111" t="e">
        <f>AVERAGEIFS('27'!AJ:AJ,'27'!E:E,'UPTIME HARIAN'!B36,'27'!I:I,"CRM")</f>
        <v>#DIV/0!</v>
      </c>
      <c r="AO36" s="111" t="e">
        <f>AVERAGEIFS('28'!AJ:AJ,'28'!E:E,'UPTIME HARIAN'!B36,'28'!I:I,"CRM")</f>
        <v>#DIV/0!</v>
      </c>
      <c r="AP36" s="111" t="e">
        <f>AVERAGEIFS('29'!AJ:AJ,'29'!E:E,'UPTIME HARIAN'!B36,'29'!I:I,"CRM")</f>
        <v>#DIV/0!</v>
      </c>
      <c r="AQ36" s="111" t="e">
        <f>AVERAGEIFS('30'!AJ:AJ,'30'!E:E,'UPTIME HARIAN'!B36,'30'!I:I,"CRM")</f>
        <v>#DIV/0!</v>
      </c>
      <c r="AR36" s="111" t="e">
        <f>AVERAGEIFS('31'!AJ:AJ,'31'!E:E,'UPTIME HARIAN'!B36,'31'!I:I,"CRM")</f>
        <v>#DIV/0!</v>
      </c>
    </row>
    <row r="37" spans="1:44" x14ac:dyDescent="0.35">
      <c r="A37" s="49">
        <v>7</v>
      </c>
      <c r="B37" s="170" t="s">
        <v>95</v>
      </c>
      <c r="C37" s="171">
        <f>COUNTIFS('atm total'!E:E,B37,'atm total'!AM:AM,"CRM")</f>
        <v>0</v>
      </c>
      <c r="D37" s="110">
        <v>98.585349462365585</v>
      </c>
      <c r="E37" s="110">
        <v>99.299355158730165</v>
      </c>
      <c r="F37" s="110">
        <v>95.968862007168454</v>
      </c>
      <c r="G37" s="110">
        <v>98.84375</v>
      </c>
      <c r="H37" s="110">
        <v>99.073700716845877</v>
      </c>
      <c r="I37" s="110">
        <v>98.100694444444443</v>
      </c>
      <c r="J37" s="110">
        <v>99.422043010752688</v>
      </c>
      <c r="K37" s="110">
        <v>98.503584229390682</v>
      </c>
      <c r="L37" s="110">
        <v>99.032407407407405</v>
      </c>
      <c r="M37" s="110" t="e">
        <f>VLOOKUP(B37,'PKT TIPE MESIN'!B10:H10,7,0)</f>
        <v>#DIV/0!</v>
      </c>
      <c r="N37" s="111" t="e">
        <f>AVERAGEIFS('1'!AJ:AJ,'1'!E:E,'UPTIME HARIAN'!B37,'1'!I:I,"CRM")</f>
        <v>#DIV/0!</v>
      </c>
      <c r="O37" s="111" t="e">
        <f>AVERAGEIFS('2'!AJ:AJ,'2'!E:E,'UPTIME HARIAN'!B37,'2'!I:I,"CRM")</f>
        <v>#DIV/0!</v>
      </c>
      <c r="P37" s="111" t="e">
        <f>AVERAGEIFS('3'!AJ:AJ,'3'!E:E,'UPTIME HARIAN'!B37,'3'!I:I,"CRM")</f>
        <v>#DIV/0!</v>
      </c>
      <c r="Q37" s="111" t="e">
        <f>AVERAGEIFS('4'!AJ:AJ,'4'!E:E,'UPTIME HARIAN'!B37,'4'!I:I,"CRM")</f>
        <v>#DIV/0!</v>
      </c>
      <c r="R37" s="111" t="e">
        <f>AVERAGEIFS('5'!AJ:AJ,'5'!E:E,'UPTIME HARIAN'!B37,'5'!I:I,"CRM")</f>
        <v>#DIV/0!</v>
      </c>
      <c r="S37" s="111" t="e">
        <f>AVERAGEIFS('6'!AJ:AJ,'6'!E:E,'UPTIME HARIAN'!B37,'6'!I:I,"CRM")</f>
        <v>#DIV/0!</v>
      </c>
      <c r="T37" s="111" t="e">
        <f>AVERAGEIFS('7'!AJ:AJ,'7'!E:E,'UPTIME HARIAN'!B37,'7'!I:I,"CRM")</f>
        <v>#DIV/0!</v>
      </c>
      <c r="U37" s="111" t="e">
        <f>AVERAGEIFS('8'!AJ:AJ,'8'!E:E,'UPTIME HARIAN'!B37,'8'!I:I,"CRM")</f>
        <v>#DIV/0!</v>
      </c>
      <c r="V37" s="111" t="e">
        <f>AVERAGEIFS('9'!AJ:AJ,'9'!E:E,'UPTIME HARIAN'!B37,'9'!I:I,"CRM")</f>
        <v>#DIV/0!</v>
      </c>
      <c r="W37" s="111" t="e">
        <f>AVERAGEIFS('10'!AJ:AJ,'10'!E:E,'UPTIME HARIAN'!B37,'10'!I:I,"CRM")</f>
        <v>#DIV/0!</v>
      </c>
      <c r="X37" s="111" t="e">
        <f>AVERAGEIFS('11'!AJ:AJ,'11'!E:E,'UPTIME HARIAN'!B37,'11'!I:I,"CRM")</f>
        <v>#DIV/0!</v>
      </c>
      <c r="Y37" s="111" t="e">
        <f>AVERAGEIFS('12'!AJ:AJ,'12'!E:E,'UPTIME HARIAN'!B37,'12'!I:I,"CRM")</f>
        <v>#DIV/0!</v>
      </c>
      <c r="Z37" s="111" t="e">
        <f>AVERAGEIFS('13'!AJ:AJ,'13'!E:E,'UPTIME HARIAN'!B37,'13'!I:I,"CRM")</f>
        <v>#DIV/0!</v>
      </c>
      <c r="AA37" s="111" t="e">
        <f>AVERAGEIFS('14'!AJ:AJ,'14'!E:E,'UPTIME HARIAN'!B37,'14'!I:I,"CRM")</f>
        <v>#DIV/0!</v>
      </c>
      <c r="AB37" s="111" t="e">
        <f>AVERAGEIFS('15'!AJ:AJ,'15'!E:E,'UPTIME HARIAN'!B37,'15'!I:I,"CRM")</f>
        <v>#DIV/0!</v>
      </c>
      <c r="AC37" s="111" t="e">
        <f>AVERAGEIFS('16'!AJ:AJ,'16'!E:E,'UPTIME HARIAN'!B37,'16'!I:I,"CRM")</f>
        <v>#DIV/0!</v>
      </c>
      <c r="AD37" s="111" t="e">
        <f>AVERAGEIFS('17'!AJ:AJ,'17'!E:E,'UPTIME HARIAN'!B37,'17'!I:I,"CRM")</f>
        <v>#DIV/0!</v>
      </c>
      <c r="AE37" s="111" t="e">
        <f>AVERAGEIFS('18'!AJ:AJ,'18'!E:E,'UPTIME HARIAN'!B37,'18'!I:I,"CRM")</f>
        <v>#DIV/0!</v>
      </c>
      <c r="AF37" s="111" t="e">
        <f>AVERAGEIFS('19'!AJ:AJ,'19'!E:E,'UPTIME HARIAN'!B37,'19'!I:I,"CRM")</f>
        <v>#DIV/0!</v>
      </c>
      <c r="AG37" s="111" t="e">
        <f>AVERAGEIFS('20'!AJ:AJ,'20'!E:E,'UPTIME HARIAN'!B37,'20'!I:I,"CRM")</f>
        <v>#DIV/0!</v>
      </c>
      <c r="AH37" s="111" t="e">
        <f>AVERAGEIFS('21'!AJ:AJ,'21'!E:E,'UPTIME HARIAN'!B37,'21'!I:I,"CRM")</f>
        <v>#DIV/0!</v>
      </c>
      <c r="AI37" s="111" t="e">
        <f>AVERAGEIFS('22'!AJ:AJ,'22'!E:E,'UPTIME HARIAN'!B37,'22'!I:I,"CRM")</f>
        <v>#DIV/0!</v>
      </c>
      <c r="AJ37" s="111" t="e">
        <f>AVERAGEIFS('23'!AJ:AJ,'23'!E:E,'UPTIME HARIAN'!B37,'23'!I:I,"CRM")</f>
        <v>#DIV/0!</v>
      </c>
      <c r="AK37" s="111" t="e">
        <f>AVERAGEIFS('24'!AJ:AJ,'24'!E:E,'UPTIME HARIAN'!B37,'24'!I:I,"CRM")</f>
        <v>#DIV/0!</v>
      </c>
      <c r="AL37" s="111" t="e">
        <f>AVERAGEIFS('25'!AJ:AJ,'25'!E:E,'UPTIME HARIAN'!B37,'25'!I:I,"CRM")</f>
        <v>#DIV/0!</v>
      </c>
      <c r="AM37" s="111" t="e">
        <f>AVERAGEIFS('26'!AJ:AJ,'26'!E:E,'UPTIME HARIAN'!B37,'26'!I:I,"CRM")</f>
        <v>#DIV/0!</v>
      </c>
      <c r="AN37" s="111" t="e">
        <f>AVERAGEIFS('27'!AJ:AJ,'27'!E:E,'UPTIME HARIAN'!B37,'27'!I:I,"CRM")</f>
        <v>#DIV/0!</v>
      </c>
      <c r="AO37" s="111" t="e">
        <f>AVERAGEIFS('28'!AJ:AJ,'28'!E:E,'UPTIME HARIAN'!B37,'28'!I:I,"CRM")</f>
        <v>#DIV/0!</v>
      </c>
      <c r="AP37" s="111" t="e">
        <f>AVERAGEIFS('29'!AJ:AJ,'29'!E:E,'UPTIME HARIAN'!B37,'29'!I:I,"CRM")</f>
        <v>#DIV/0!</v>
      </c>
      <c r="AQ37" s="111" t="e">
        <f>AVERAGEIFS('30'!AJ:AJ,'30'!E:E,'UPTIME HARIAN'!B37,'30'!I:I,"CRM")</f>
        <v>#DIV/0!</v>
      </c>
      <c r="AR37" s="111" t="e">
        <f>AVERAGEIFS('31'!AJ:AJ,'31'!E:E,'UPTIME HARIAN'!B37,'31'!I:I,"CRM")</f>
        <v>#DIV/0!</v>
      </c>
    </row>
    <row r="38" spans="1:44" x14ac:dyDescent="0.35">
      <c r="B38" s="165" t="s">
        <v>33</v>
      </c>
      <c r="C38" s="114">
        <f>SUM(C31:C37)</f>
        <v>0</v>
      </c>
      <c r="D38" s="115">
        <v>98.896346398427568</v>
      </c>
      <c r="E38" s="115">
        <v>99.002320148489503</v>
      </c>
      <c r="F38" s="115">
        <v>98.634264076771885</v>
      </c>
      <c r="G38" s="115">
        <v>99.021191756272401</v>
      </c>
      <c r="H38" s="115">
        <v>98.960460160923333</v>
      </c>
      <c r="I38" s="110">
        <v>98.931996996997</v>
      </c>
      <c r="J38" s="110">
        <v>99.133830500635909</v>
      </c>
      <c r="K38" s="110">
        <v>98.960544571626784</v>
      </c>
      <c r="L38" s="110">
        <v>99.250238948626048</v>
      </c>
      <c r="M38" s="110" t="e">
        <f>VLOOKUP(B38,'PKT TIPE MESIN'!B11:H11,7,0)</f>
        <v>#DIV/0!</v>
      </c>
      <c r="N38" s="116" t="e">
        <f>VLOOKUP(B4,'1'!B3:C3,2,0)</f>
        <v>#DIV/0!</v>
      </c>
      <c r="O38" s="116" t="e">
        <f>VLOOKUP(B4,'2'!B3:C3,2,0)</f>
        <v>#DIV/0!</v>
      </c>
      <c r="P38" s="116" t="e">
        <f>VLOOKUP(B4,'3'!B3:C3,2,0)</f>
        <v>#DIV/0!</v>
      </c>
      <c r="Q38" s="116" t="e">
        <f>VLOOKUP(B4,'4'!B3:C3,2,0)</f>
        <v>#DIV/0!</v>
      </c>
      <c r="R38" s="116" t="e">
        <f>VLOOKUP(B4,'5'!B3:C3,2,0)</f>
        <v>#DIV/0!</v>
      </c>
      <c r="S38" s="116" t="e">
        <f>VLOOKUP(B4,'6'!B3:C3,2,0)</f>
        <v>#DIV/0!</v>
      </c>
      <c r="T38" s="116" t="e">
        <f>VLOOKUP(B4,'7'!B3:C3,2,0)</f>
        <v>#DIV/0!</v>
      </c>
      <c r="U38" s="116" t="e">
        <f>VLOOKUP(B4,'8'!B3:C3,2,0)</f>
        <v>#DIV/0!</v>
      </c>
      <c r="V38" s="116" t="e">
        <f>VLOOKUP(B4,'9'!B3:C3,2,0)</f>
        <v>#DIV/0!</v>
      </c>
      <c r="W38" s="116" t="e">
        <f>VLOOKUP(B4,'10'!B3:C3,2,0)</f>
        <v>#DIV/0!</v>
      </c>
      <c r="X38" s="116" t="e">
        <f>VLOOKUP(B4,'11'!B3:C3,2,0)</f>
        <v>#DIV/0!</v>
      </c>
      <c r="Y38" s="116" t="e">
        <f>VLOOKUP(B4,'12'!B3:C3,2,0)</f>
        <v>#DIV/0!</v>
      </c>
      <c r="Z38" s="116" t="e">
        <f>VLOOKUP(B4,'13'!B3:C3,2,0)</f>
        <v>#DIV/0!</v>
      </c>
      <c r="AA38" s="116" t="e">
        <f>VLOOKUP(B4,'14'!B3:C3,2,0)</f>
        <v>#DIV/0!</v>
      </c>
      <c r="AB38" s="116" t="e">
        <f>VLOOKUP(B4,'15'!B3:C3,2,0)</f>
        <v>#DIV/0!</v>
      </c>
      <c r="AC38" s="116" t="e">
        <f>VLOOKUP(B4,'16'!B3:C3,2,0)</f>
        <v>#DIV/0!</v>
      </c>
      <c r="AD38" s="116" t="e">
        <f>VLOOKUP(B4,'17'!B3:C3,2,0)</f>
        <v>#DIV/0!</v>
      </c>
      <c r="AE38" s="116" t="e">
        <f>VLOOKUP(B4,'18'!B3:C3,2,0)</f>
        <v>#DIV/0!</v>
      </c>
      <c r="AF38" s="116" t="e">
        <f>VLOOKUP(B4,'19'!B3:C3,2,0)</f>
        <v>#DIV/0!</v>
      </c>
      <c r="AG38" s="116" t="e">
        <f>VLOOKUP(B4,'20'!B3:C3,2,0)</f>
        <v>#DIV/0!</v>
      </c>
      <c r="AH38" s="116" t="e">
        <f>VLOOKUP(B4,'21'!B3:C3,2,0)</f>
        <v>#DIV/0!</v>
      </c>
      <c r="AI38" s="116" t="e">
        <f>VLOOKUP(B4,'22'!B3:C3,2,0)</f>
        <v>#DIV/0!</v>
      </c>
      <c r="AJ38" s="116" t="e">
        <f>VLOOKUP(B4,'23'!B3:C3,2,0)</f>
        <v>#DIV/0!</v>
      </c>
      <c r="AK38" s="116" t="e">
        <f>VLOOKUP(B4,'24'!B3:C3,2,0)</f>
        <v>#DIV/0!</v>
      </c>
      <c r="AL38" s="116" t="e">
        <f>VLOOKUP(B4,'25'!B3:C3,2,0)</f>
        <v>#DIV/0!</v>
      </c>
      <c r="AM38" s="116" t="e">
        <f>VLOOKUP(B4,'26'!B3:C3,2,0)</f>
        <v>#DIV/0!</v>
      </c>
      <c r="AN38" s="116" t="e">
        <f>VLOOKUP(B4,'27'!B3:C3,2,0)</f>
        <v>#DIV/0!</v>
      </c>
      <c r="AO38" s="116" t="e">
        <f>VLOOKUP(B4,'28'!B3:C3,2,0)</f>
        <v>#DIV/0!</v>
      </c>
      <c r="AP38" s="116" t="e">
        <f>VLOOKUP(B4,'29'!B3:C3,2,0)</f>
        <v>#DIV/0!</v>
      </c>
      <c r="AQ38" s="116" t="e">
        <f>VLOOKUP(B4,'30'!B3:C3,2,0)</f>
        <v>#DIV/0!</v>
      </c>
      <c r="AR38" s="116" t="e">
        <f>VLOOKUP(B4,'31'!B3:C3,2,0)</f>
        <v>#DIV/0!</v>
      </c>
    </row>
  </sheetData>
  <mergeCells count="2">
    <mergeCell ref="A1:I2"/>
    <mergeCell ref="C27:J27"/>
  </mergeCells>
  <conditionalFormatting sqref="D6:E18">
    <cfRule type="cellIs" dxfId="109" priority="70" operator="lessThan">
      <formula>99.2</formula>
    </cfRule>
    <cfRule type="cellIs" dxfId="108" priority="71" operator="greaterThan">
      <formula>99.2</formula>
    </cfRule>
  </conditionalFormatting>
  <conditionalFormatting sqref="D20:E24">
    <cfRule type="cellIs" dxfId="107" priority="68" operator="lessThan">
      <formula>99.2</formula>
    </cfRule>
    <cfRule type="cellIs" dxfId="106" priority="69" operator="greaterThan">
      <formula>99.2</formula>
    </cfRule>
  </conditionalFormatting>
  <conditionalFormatting sqref="D31:E37">
    <cfRule type="cellIs" dxfId="105" priority="41" operator="lessThan">
      <formula>99.2</formula>
    </cfRule>
    <cfRule type="cellIs" dxfId="104" priority="42" operator="greaterThan">
      <formula>99.2</formula>
    </cfRule>
  </conditionalFormatting>
  <conditionalFormatting sqref="D38:H38">
    <cfRule type="cellIs" dxfId="103" priority="31" operator="lessThan">
      <formula>99.2</formula>
    </cfRule>
    <cfRule type="cellIs" dxfId="102" priority="32" operator="greaterThan">
      <formula>99.2</formula>
    </cfRule>
  </conditionalFormatting>
  <conditionalFormatting sqref="D26:M26">
    <cfRule type="cellIs" dxfId="101" priority="64" operator="greaterThan">
      <formula>99.2</formula>
    </cfRule>
  </conditionalFormatting>
  <conditionalFormatting sqref="D26:AR26">
    <cfRule type="cellIs" dxfId="100" priority="63" operator="lessThan">
      <formula>99.2</formula>
    </cfRule>
  </conditionalFormatting>
  <conditionalFormatting sqref="F32:H37">
    <cfRule type="cellIs" dxfId="99" priority="39" operator="lessThan">
      <formula>99.2</formula>
    </cfRule>
    <cfRule type="cellIs" dxfId="98" priority="43" operator="greaterThan">
      <formula>99.2</formula>
    </cfRule>
  </conditionalFormatting>
  <conditionalFormatting sqref="F31:I31 I32:I38">
    <cfRule type="cellIs" dxfId="97" priority="48" operator="lessThan">
      <formula>99.2</formula>
    </cfRule>
  </conditionalFormatting>
  <conditionalFormatting sqref="F31:I31 J31:M38 I32:I38">
    <cfRule type="cellIs" dxfId="96" priority="52" operator="greaterThan">
      <formula>99.2</formula>
    </cfRule>
  </conditionalFormatting>
  <conditionalFormatting sqref="F6:M24">
    <cfRule type="cellIs" dxfId="95" priority="74" operator="greaterThan">
      <formula>99.2</formula>
    </cfRule>
  </conditionalFormatting>
  <conditionalFormatting sqref="F6:AR24">
    <cfRule type="cellIs" dxfId="94" priority="3" operator="lessThan">
      <formula>99.2</formula>
    </cfRule>
  </conditionalFormatting>
  <conditionalFormatting sqref="J31:AR38">
    <cfRule type="cellIs" dxfId="93" priority="2" operator="lessThan">
      <formula>99.2</formula>
    </cfRule>
  </conditionalFormatting>
  <conditionalFormatting sqref="N6:AR24">
    <cfRule type="cellIs" dxfId="92" priority="4" operator="greaterThan">
      <formula>99.2</formula>
    </cfRule>
  </conditionalFormatting>
  <conditionalFormatting sqref="N26:AR26">
    <cfRule type="cellIs" dxfId="91" priority="108" operator="greaterThan">
      <formula>99.2</formula>
    </cfRule>
  </conditionalFormatting>
  <conditionalFormatting sqref="N31:AR38">
    <cfRule type="cellIs" dxfId="90" priority="1" operator="greaterThan">
      <formula>99.2</formula>
    </cfRule>
  </conditionalFormatting>
  <conditionalFormatting sqref="S25">
    <cfRule type="cellIs" dxfId="89" priority="115" operator="between">
      <formula>99.2</formula>
      <formula>100</formula>
    </cfRule>
    <cfRule type="cellIs" dxfId="88" priority="116" operator="between">
      <formula>99.19</formula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69994-3BB8-4219-9C45-7624D71FEE58}">
  <sheetPr>
    <tabColor rgb="FFFF0000"/>
  </sheetPr>
  <dimension ref="A1:J189"/>
  <sheetViews>
    <sheetView topLeftCell="A16" zoomScale="85" zoomScaleNormal="85" workbookViewId="0">
      <selection activeCell="B27" sqref="B27"/>
    </sheetView>
  </sheetViews>
  <sheetFormatPr defaultRowHeight="14.5" x14ac:dyDescent="0.35"/>
  <cols>
    <col min="2" max="2" width="28.453125" customWidth="1"/>
    <col min="3" max="3" width="11.1796875" bestFit="1" customWidth="1"/>
    <col min="6" max="6" width="11.7265625" customWidth="1"/>
    <col min="7" max="7" width="11.54296875" customWidth="1"/>
    <col min="8" max="8" width="13.1796875" customWidth="1"/>
  </cols>
  <sheetData>
    <row r="1" spans="1:9" ht="21" x14ac:dyDescent="0.35">
      <c r="A1" s="34"/>
      <c r="B1" s="182" t="s">
        <v>3452</v>
      </c>
      <c r="C1" s="182"/>
      <c r="D1" s="182"/>
      <c r="E1" s="182"/>
      <c r="F1" s="182"/>
      <c r="G1" s="182"/>
      <c r="H1" s="182"/>
      <c r="I1" s="182"/>
    </row>
    <row r="3" spans="1:9" x14ac:dyDescent="0.35">
      <c r="A3" s="24" t="s">
        <v>26</v>
      </c>
      <c r="B3" s="24" t="s">
        <v>575</v>
      </c>
      <c r="C3" s="24" t="s">
        <v>571</v>
      </c>
      <c r="D3" s="24" t="s">
        <v>27</v>
      </c>
      <c r="E3" s="24" t="s">
        <v>28</v>
      </c>
      <c r="F3" s="24" t="s">
        <v>29</v>
      </c>
      <c r="G3" s="45" t="s">
        <v>30</v>
      </c>
      <c r="H3" s="120" t="s">
        <v>31</v>
      </c>
      <c r="I3" s="120" t="s">
        <v>32</v>
      </c>
    </row>
    <row r="4" spans="1:9" x14ac:dyDescent="0.35">
      <c r="A4" s="32">
        <v>1</v>
      </c>
      <c r="B4" s="27" t="s">
        <v>567</v>
      </c>
      <c r="C4" s="32">
        <f>COUNTIFS('atm total'!AH:AH,B4,'atm total'!K:K,"Bali Nusra")</f>
        <v>0</v>
      </c>
      <c r="D4" s="32">
        <f>SUMIFS('atm total'!N:N,'atm total'!AH:AH,B4,'atm total'!K:K,"Bali Nusra")</f>
        <v>0</v>
      </c>
      <c r="E4" s="32">
        <f>SUMIFS('atm total'!O:O,'atm total'!AH:AH,B4,'atm total'!K:K,"Bali Nusra")</f>
        <v>0</v>
      </c>
      <c r="F4" s="32">
        <f>SUMIFS('atm total'!Q:Q,'atm total'!AH:AH,B4,'atm total'!K:K,"Bali Nusra")</f>
        <v>0</v>
      </c>
      <c r="G4" s="35">
        <v>99.2</v>
      </c>
      <c r="H4" s="121" t="e">
        <f>100-I4</f>
        <v>#DIV/0!</v>
      </c>
      <c r="I4" s="124" t="e">
        <f t="shared" ref="I4:I7" si="0">(E4/F4)*100</f>
        <v>#DIV/0!</v>
      </c>
    </row>
    <row r="5" spans="1:9" x14ac:dyDescent="0.35">
      <c r="A5" s="32">
        <v>2</v>
      </c>
      <c r="B5" s="27" t="s">
        <v>568</v>
      </c>
      <c r="C5" s="32">
        <f>COUNTIFS('atm total'!AH:AH,B5,'atm total'!K:K,"Bali Nusra")</f>
        <v>0</v>
      </c>
      <c r="D5" s="32">
        <f>SUMIFS('atm total'!N:N,'atm total'!AH:AH,B5,'atm total'!K:K,"Bali Nusra")</f>
        <v>0</v>
      </c>
      <c r="E5" s="32">
        <f>SUMIFS('atm total'!O:O,'atm total'!AH:AH,B5,'atm total'!K:K,"Bali Nusra")</f>
        <v>0</v>
      </c>
      <c r="F5" s="32">
        <f>SUMIFS('atm total'!Q:Q,'atm total'!AH:AH,B5,'atm total'!K:K,"Bali Nusra")</f>
        <v>0</v>
      </c>
      <c r="G5" s="35">
        <v>99.2</v>
      </c>
      <c r="H5" s="121" t="e">
        <f t="shared" ref="H5:H7" si="1">100-I5</f>
        <v>#DIV/0!</v>
      </c>
      <c r="I5" s="124" t="e">
        <f t="shared" si="0"/>
        <v>#DIV/0!</v>
      </c>
    </row>
    <row r="6" spans="1:9" x14ac:dyDescent="0.35">
      <c r="A6" s="32">
        <v>3</v>
      </c>
      <c r="B6" s="27" t="s">
        <v>569</v>
      </c>
      <c r="C6" s="32">
        <f>COUNTIFS('atm total'!AH:AH,B6,'atm total'!K:K,"Bali Nusra")</f>
        <v>0</v>
      </c>
      <c r="D6" s="32">
        <f>SUMIFS('atm total'!N:N,'atm total'!AH:AH,B6,'atm total'!K:K,"Bali Nusra")</f>
        <v>0</v>
      </c>
      <c r="E6" s="32">
        <f>SUMIFS('atm total'!O:O,'atm total'!AH:AH,B6,'atm total'!K:K,"Bali Nusra")</f>
        <v>0</v>
      </c>
      <c r="F6" s="32">
        <f>SUMIFS('atm total'!Q:Q,'atm total'!AH:AH,B6,'atm total'!K:K,"Bali Nusra")</f>
        <v>0</v>
      </c>
      <c r="G6" s="35">
        <v>99.2</v>
      </c>
      <c r="H6" s="121" t="e">
        <f t="shared" si="1"/>
        <v>#DIV/0!</v>
      </c>
      <c r="I6" s="124" t="e">
        <f t="shared" si="0"/>
        <v>#DIV/0!</v>
      </c>
    </row>
    <row r="7" spans="1:9" x14ac:dyDescent="0.35">
      <c r="A7" s="32">
        <v>4</v>
      </c>
      <c r="B7" s="27" t="s">
        <v>570</v>
      </c>
      <c r="C7" s="32">
        <f>COUNTIFS('atm total'!AH:AH,B7,'atm total'!K:K,"Bali Nusra")</f>
        <v>0</v>
      </c>
      <c r="D7" s="32">
        <f>SUMIFS('atm total'!N:N,'atm total'!AH:AH,B7,'atm total'!K:K,"Bali Nusra")</f>
        <v>0</v>
      </c>
      <c r="E7" s="32">
        <f>SUMIFS('atm total'!O:O,'atm total'!AH:AH,B7,'atm total'!K:K,"Bali Nusra")</f>
        <v>0</v>
      </c>
      <c r="F7" s="32">
        <f>SUMIFS('atm total'!Q:Q,'atm total'!AH:AH,B7,'atm total'!K:K,"Bali Nusra")</f>
        <v>0</v>
      </c>
      <c r="G7" s="35">
        <v>99.2</v>
      </c>
      <c r="H7" s="121" t="e">
        <f t="shared" si="1"/>
        <v>#DIV/0!</v>
      </c>
      <c r="I7" s="124" t="e">
        <f t="shared" si="0"/>
        <v>#DIV/0!</v>
      </c>
    </row>
    <row r="8" spans="1:9" x14ac:dyDescent="0.35">
      <c r="A8" s="28"/>
      <c r="B8" s="28" t="s">
        <v>33</v>
      </c>
      <c r="C8" s="29">
        <f>SUM(C4:C7)</f>
        <v>0</v>
      </c>
      <c r="D8" s="29">
        <f>SUM(D4:D7)</f>
        <v>0</v>
      </c>
      <c r="E8" s="29">
        <f>SUM(E4:E7)</f>
        <v>0</v>
      </c>
      <c r="F8" s="29">
        <f>SUM(F4:F7)</f>
        <v>0</v>
      </c>
      <c r="G8" s="37">
        <v>99.2</v>
      </c>
      <c r="H8" s="122" t="e">
        <f>100-I8</f>
        <v>#DIV/0!</v>
      </c>
      <c r="I8" s="125" t="e">
        <f>(E8/F8)*100</f>
        <v>#DIV/0!</v>
      </c>
    </row>
    <row r="12" spans="1:9" ht="21" x14ac:dyDescent="0.35">
      <c r="A12" s="34"/>
      <c r="B12" s="182" t="s">
        <v>3453</v>
      </c>
      <c r="C12" s="182"/>
      <c r="D12" s="182"/>
      <c r="E12" s="182"/>
      <c r="F12" s="182"/>
      <c r="G12" s="182"/>
      <c r="H12" s="182"/>
      <c r="I12" s="182"/>
    </row>
    <row r="14" spans="1:9" x14ac:dyDescent="0.35">
      <c r="A14" s="24" t="s">
        <v>26</v>
      </c>
      <c r="B14" s="24" t="s">
        <v>574</v>
      </c>
      <c r="C14" s="24" t="s">
        <v>571</v>
      </c>
      <c r="D14" s="24" t="s">
        <v>27</v>
      </c>
      <c r="E14" s="24" t="s">
        <v>28</v>
      </c>
      <c r="F14" s="24" t="s">
        <v>29</v>
      </c>
      <c r="G14" s="45" t="s">
        <v>30</v>
      </c>
      <c r="H14" s="46" t="s">
        <v>31</v>
      </c>
      <c r="I14" s="47" t="s">
        <v>32</v>
      </c>
    </row>
    <row r="15" spans="1:9" x14ac:dyDescent="0.35">
      <c r="A15" s="32">
        <v>1</v>
      </c>
      <c r="B15" s="27" t="s">
        <v>559</v>
      </c>
      <c r="C15" s="32">
        <f>COUNTIFS('atm total'!E:E,B15,'atm total'!AM:AM,"CRM")</f>
        <v>0</v>
      </c>
      <c r="D15" s="32">
        <f>SUMIFS('atm total'!N:N,'atm total'!E:E,B15,'atm total'!AM:AM,"CRM")</f>
        <v>0</v>
      </c>
      <c r="E15" s="32">
        <f>SUMIFS('atm total'!O:O,'atm total'!E:E,B15,'atm total'!AM:AM,"CRM")</f>
        <v>0</v>
      </c>
      <c r="F15" s="32">
        <f>SUMIFS('atm total'!Q:Q,'atm total'!E:E,B15,'atm total'!AM:AM,"CRM")</f>
        <v>0</v>
      </c>
      <c r="G15" s="35">
        <v>99.2</v>
      </c>
      <c r="H15" s="33" t="e">
        <f>100-I15</f>
        <v>#DIV/0!</v>
      </c>
      <c r="I15" s="126" t="e">
        <f t="shared" ref="I15:I21" si="2">(E15/F15)*100</f>
        <v>#DIV/0!</v>
      </c>
    </row>
    <row r="16" spans="1:9" x14ac:dyDescent="0.35">
      <c r="A16" s="32">
        <v>2</v>
      </c>
      <c r="B16" s="27" t="s">
        <v>72</v>
      </c>
      <c r="C16" s="32">
        <f>COUNTIFS('atm total'!E:E,B16,'atm total'!AM:AM,"CRM")</f>
        <v>0</v>
      </c>
      <c r="D16" s="32">
        <f>SUMIFS('atm total'!N:N,'atm total'!E:E,B16,'atm total'!AM:AM,"CRM")</f>
        <v>0</v>
      </c>
      <c r="E16" s="32">
        <f>SUMIFS('atm total'!O:O,'atm total'!E:E,B16,'atm total'!AM:AM,"CRM")</f>
        <v>0</v>
      </c>
      <c r="F16" s="32">
        <f>SUMIFS('atm total'!Q:Q,'atm total'!E:E,B16,'atm total'!AM:AM,"CRM")</f>
        <v>0</v>
      </c>
      <c r="G16" s="35">
        <v>99.2</v>
      </c>
      <c r="H16" s="33" t="e">
        <f t="shared" ref="H16:H21" si="3">100-I16</f>
        <v>#DIV/0!</v>
      </c>
      <c r="I16" s="126" t="e">
        <f t="shared" si="2"/>
        <v>#DIV/0!</v>
      </c>
    </row>
    <row r="17" spans="1:9" x14ac:dyDescent="0.35">
      <c r="A17" s="32">
        <v>3</v>
      </c>
      <c r="B17" s="27" t="s">
        <v>112</v>
      </c>
      <c r="C17" s="32">
        <f>COUNTIFS('atm total'!E:E,B17,'atm total'!AM:AM,"CRM")</f>
        <v>0</v>
      </c>
      <c r="D17" s="32">
        <f>SUMIFS('atm total'!N:N,'atm total'!E:E,B17,'atm total'!AM:AM,"CRM")</f>
        <v>0</v>
      </c>
      <c r="E17" s="32">
        <f>SUMIFS('atm total'!O:O,'atm total'!E:E,B17,'atm total'!AM:AM,"CRM")</f>
        <v>0</v>
      </c>
      <c r="F17" s="32">
        <f>SUMIFS('atm total'!Q:Q,'atm total'!E:E,B17,'atm total'!AM:AM,"CRM")</f>
        <v>0</v>
      </c>
      <c r="G17" s="35">
        <v>99.2</v>
      </c>
      <c r="H17" s="33" t="e">
        <f t="shared" si="3"/>
        <v>#DIV/0!</v>
      </c>
      <c r="I17" s="126" t="e">
        <f t="shared" si="2"/>
        <v>#DIV/0!</v>
      </c>
    </row>
    <row r="18" spans="1:9" x14ac:dyDescent="0.35">
      <c r="A18" s="32">
        <v>4</v>
      </c>
      <c r="B18" s="27" t="s">
        <v>119</v>
      </c>
      <c r="C18" s="32">
        <f>COUNTIFS('atm total'!E:E,B18,'atm total'!AM:AM,"CRM")</f>
        <v>0</v>
      </c>
      <c r="D18" s="32">
        <f>SUMIFS('atm total'!N:N,'atm total'!E:E,B18,'atm total'!AM:AM,"CRM")</f>
        <v>0</v>
      </c>
      <c r="E18" s="32">
        <f>SUMIFS('atm total'!O:O,'atm total'!E:E,B18,'atm total'!AM:AM,"CRM")</f>
        <v>0</v>
      </c>
      <c r="F18" s="32">
        <f>SUMIFS('atm total'!Q:Q,'atm total'!E:E,B18,'atm total'!AM:AM,"CRM")</f>
        <v>0</v>
      </c>
      <c r="G18" s="35">
        <v>99.2</v>
      </c>
      <c r="H18" s="33" t="e">
        <f>100-I18</f>
        <v>#DIV/0!</v>
      </c>
      <c r="I18" s="126" t="e">
        <f>(E18/F18)*100</f>
        <v>#DIV/0!</v>
      </c>
    </row>
    <row r="19" spans="1:9" x14ac:dyDescent="0.35">
      <c r="A19" s="32">
        <v>5</v>
      </c>
      <c r="B19" s="27" t="s">
        <v>136</v>
      </c>
      <c r="C19" s="32">
        <f>COUNTIFS('atm total'!E:E,B19,'atm total'!AM:AM,"CRM")</f>
        <v>0</v>
      </c>
      <c r="D19" s="32">
        <f>SUMIFS('atm total'!N:N,'atm total'!E:E,B19,'atm total'!AM:AM,"CRM")</f>
        <v>0</v>
      </c>
      <c r="E19" s="32">
        <f>SUMIFS('atm total'!O:O,'atm total'!E:E,B19,'atm total'!AM:AM,"CRM")</f>
        <v>0</v>
      </c>
      <c r="F19" s="32">
        <f>SUMIFS('atm total'!Q:Q,'atm total'!E:E,B19,'atm total'!AM:AM,"CRM")</f>
        <v>0</v>
      </c>
      <c r="G19" s="35">
        <v>99.2</v>
      </c>
      <c r="H19" s="33" t="e">
        <f>100-I19</f>
        <v>#DIV/0!</v>
      </c>
      <c r="I19" s="126" t="e">
        <f>(E19/F19)*100</f>
        <v>#DIV/0!</v>
      </c>
    </row>
    <row r="20" spans="1:9" x14ac:dyDescent="0.35">
      <c r="A20" s="32">
        <v>6</v>
      </c>
      <c r="B20" s="27" t="s">
        <v>442</v>
      </c>
      <c r="C20" s="32">
        <f>COUNTIFS('atm total'!E:E,B20,'atm total'!AM:AM,"CRM")</f>
        <v>0</v>
      </c>
      <c r="D20" s="32">
        <f>SUMIFS('atm total'!N:N,'atm total'!E:E,B20,'atm total'!AM:AM,"CRM")</f>
        <v>0</v>
      </c>
      <c r="E20" s="32">
        <f>SUMIFS('atm total'!O:O,'atm total'!E:E,B20,'atm total'!AM:AM,"CRM")</f>
        <v>0</v>
      </c>
      <c r="F20" s="32">
        <f>SUMIFS('atm total'!Q:Q,'atm total'!E:E,B20,'atm total'!AM:AM,"CRM")</f>
        <v>0</v>
      </c>
      <c r="G20" s="35">
        <v>99.2</v>
      </c>
      <c r="H20" s="33" t="e">
        <f>100-I20</f>
        <v>#DIV/0!</v>
      </c>
      <c r="I20" s="126" t="e">
        <f>(E20/F20)*100</f>
        <v>#DIV/0!</v>
      </c>
    </row>
    <row r="21" spans="1:9" x14ac:dyDescent="0.35">
      <c r="A21" s="32">
        <v>7</v>
      </c>
      <c r="B21" s="27" t="s">
        <v>95</v>
      </c>
      <c r="C21" s="32">
        <f>COUNTIFS('atm total'!E:E,B21,'atm total'!AM:AM,"CRM")</f>
        <v>0</v>
      </c>
      <c r="D21" s="32">
        <f>SUMIFS('atm total'!N:N,'atm total'!E:E,B21,'atm total'!AM:AM,"CRM")</f>
        <v>0</v>
      </c>
      <c r="E21" s="32">
        <f>SUMIFS('atm total'!O:O,'atm total'!E:E,B21,'atm total'!AM:AM,"CRM")</f>
        <v>0</v>
      </c>
      <c r="F21" s="32">
        <f>SUMIFS('atm total'!Q:Q,'atm total'!E:E,B21,'atm total'!AM:AM,"CRM")</f>
        <v>0</v>
      </c>
      <c r="G21" s="35">
        <v>99.2</v>
      </c>
      <c r="H21" s="33" t="e">
        <f t="shared" si="3"/>
        <v>#DIV/0!</v>
      </c>
      <c r="I21" s="126" t="e">
        <f t="shared" si="2"/>
        <v>#DIV/0!</v>
      </c>
    </row>
    <row r="22" spans="1:9" x14ac:dyDescent="0.35">
      <c r="A22" s="28"/>
      <c r="B22" s="28" t="s">
        <v>33</v>
      </c>
      <c r="C22" s="29">
        <f>SUM(C15:C21)</f>
        <v>0</v>
      </c>
      <c r="D22" s="29">
        <f>SUM(D15:D21)</f>
        <v>0</v>
      </c>
      <c r="E22" s="29">
        <f>SUM(E15:E21)</f>
        <v>0</v>
      </c>
      <c r="F22" s="29">
        <f>SUM(F15:F21)</f>
        <v>0</v>
      </c>
      <c r="G22" s="37">
        <v>99.2</v>
      </c>
      <c r="H22" s="38" t="e">
        <f>100-I22</f>
        <v>#DIV/0!</v>
      </c>
      <c r="I22" s="127" t="e">
        <f>(E22/F22)*100</f>
        <v>#DIV/0!</v>
      </c>
    </row>
    <row r="25" spans="1:9" ht="21" x14ac:dyDescent="0.35">
      <c r="A25" s="34"/>
      <c r="B25" s="182" t="s">
        <v>3454</v>
      </c>
      <c r="C25" s="182"/>
      <c r="D25" s="182"/>
      <c r="E25" s="182"/>
      <c r="F25" s="182"/>
      <c r="G25" s="182"/>
      <c r="H25" s="182"/>
      <c r="I25" s="182"/>
    </row>
    <row r="27" spans="1:9" x14ac:dyDescent="0.35">
      <c r="A27" s="24" t="s">
        <v>26</v>
      </c>
      <c r="B27" s="24" t="s">
        <v>574</v>
      </c>
      <c r="C27" s="24" t="s">
        <v>571</v>
      </c>
      <c r="D27" s="24" t="s">
        <v>27</v>
      </c>
      <c r="E27" s="24" t="s">
        <v>28</v>
      </c>
      <c r="F27" s="24" t="s">
        <v>29</v>
      </c>
      <c r="G27" s="45" t="s">
        <v>30</v>
      </c>
      <c r="H27" s="46" t="s">
        <v>31</v>
      </c>
      <c r="I27" s="47" t="s">
        <v>32</v>
      </c>
    </row>
    <row r="28" spans="1:9" x14ac:dyDescent="0.35">
      <c r="A28" s="32">
        <v>1</v>
      </c>
      <c r="B28" s="27" t="s">
        <v>559</v>
      </c>
      <c r="C28" s="32">
        <f>COUNTIFS('atm total'!E:E,B28,'atm total'!AM:AM,"ATM")</f>
        <v>0</v>
      </c>
      <c r="D28" s="32">
        <f>SUMIFS('atm total'!N:N,'atm total'!E:E,B28,'atm total'!AM:AM,"ATM")</f>
        <v>0</v>
      </c>
      <c r="E28" s="32">
        <f>SUMIFS('atm total'!O:O,'atm total'!E:E,B28,'atm total'!AM:AM,"ATM")</f>
        <v>0</v>
      </c>
      <c r="F28" s="32">
        <f>SUMIFS('atm total'!Q:Q,'atm total'!E:E,B28,'atm total'!AM:AM,"ATM")</f>
        <v>0</v>
      </c>
      <c r="G28" s="35">
        <v>99.75</v>
      </c>
      <c r="H28" s="33" t="e">
        <f>100-I28</f>
        <v>#DIV/0!</v>
      </c>
      <c r="I28" s="126" t="e">
        <f t="shared" ref="I28:I30" si="4">(E28/F28)*100</f>
        <v>#DIV/0!</v>
      </c>
    </row>
    <row r="29" spans="1:9" x14ac:dyDescent="0.35">
      <c r="A29" s="32">
        <v>2</v>
      </c>
      <c r="B29" s="27" t="s">
        <v>72</v>
      </c>
      <c r="C29" s="32">
        <f>COUNTIFS('atm total'!E:E,B29,'atm total'!AM:AM,"ATM")</f>
        <v>0</v>
      </c>
      <c r="D29" s="32">
        <f>SUMIFS('atm total'!N:N,'atm total'!E:E,B29,'atm total'!AM:AM,"ATM")</f>
        <v>0</v>
      </c>
      <c r="E29" s="32">
        <f>SUMIFS('atm total'!O:O,'atm total'!E:E,B29,'atm total'!AM:AM,"ATM")</f>
        <v>0</v>
      </c>
      <c r="F29" s="32">
        <f>SUMIFS('atm total'!Q:Q,'atm total'!E:E,B29,'atm total'!AM:AM,"ATM")</f>
        <v>0</v>
      </c>
      <c r="G29" s="35">
        <v>99.75</v>
      </c>
      <c r="H29" s="33" t="e">
        <f t="shared" ref="H29:H30" si="5">100-I29</f>
        <v>#DIV/0!</v>
      </c>
      <c r="I29" s="126" t="e">
        <f t="shared" si="4"/>
        <v>#DIV/0!</v>
      </c>
    </row>
    <row r="30" spans="1:9" x14ac:dyDescent="0.35">
      <c r="A30" s="32">
        <v>3</v>
      </c>
      <c r="B30" s="27" t="s">
        <v>112</v>
      </c>
      <c r="C30" s="32">
        <f>COUNTIFS('atm total'!E:E,B30,'atm total'!AM:AM,"ATM")</f>
        <v>0</v>
      </c>
      <c r="D30" s="32">
        <f>SUMIFS('atm total'!N:N,'atm total'!E:E,B30,'atm total'!AM:AM,"ATM")</f>
        <v>0</v>
      </c>
      <c r="E30" s="32">
        <f>SUMIFS('atm total'!O:O,'atm total'!E:E,B30,'atm total'!AM:AM,"ATM")</f>
        <v>0</v>
      </c>
      <c r="F30" s="32">
        <f>SUMIFS('atm total'!Q:Q,'atm total'!E:E,B30,'atm total'!AM:AM,"ATM")</f>
        <v>0</v>
      </c>
      <c r="G30" s="35">
        <v>99.75</v>
      </c>
      <c r="H30" s="33" t="e">
        <f t="shared" si="5"/>
        <v>#DIV/0!</v>
      </c>
      <c r="I30" s="126" t="e">
        <f t="shared" si="4"/>
        <v>#DIV/0!</v>
      </c>
    </row>
    <row r="31" spans="1:9" x14ac:dyDescent="0.35">
      <c r="A31" s="32">
        <v>4</v>
      </c>
      <c r="B31" s="27" t="s">
        <v>119</v>
      </c>
      <c r="C31" s="32">
        <f>COUNTIFS('atm total'!E:E,B31,'atm total'!AM:AM,"ATM")</f>
        <v>0</v>
      </c>
      <c r="D31" s="32">
        <f>SUMIFS('atm total'!N:N,'atm total'!E:E,B31,'atm total'!AM:AM,"ATM")</f>
        <v>0</v>
      </c>
      <c r="E31" s="32">
        <f>SUMIFS('atm total'!O:O,'atm total'!E:E,B31,'atm total'!AM:AM,"ATM")</f>
        <v>0</v>
      </c>
      <c r="F31" s="32">
        <f>SUMIFS('atm total'!Q:Q,'atm total'!E:E,B31,'atm total'!AM:AM,"ATM")</f>
        <v>0</v>
      </c>
      <c r="G31" s="35">
        <v>99.75</v>
      </c>
      <c r="H31" s="33" t="e">
        <f>100-I31</f>
        <v>#DIV/0!</v>
      </c>
      <c r="I31" s="126" t="e">
        <f>(E31/F31)*100</f>
        <v>#DIV/0!</v>
      </c>
    </row>
    <row r="32" spans="1:9" x14ac:dyDescent="0.35">
      <c r="A32" s="32">
        <v>5</v>
      </c>
      <c r="B32" s="27" t="s">
        <v>136</v>
      </c>
      <c r="C32" s="32">
        <f>COUNTIFS('atm total'!E:E,B32,'atm total'!AM:AM,"ATM")</f>
        <v>0</v>
      </c>
      <c r="D32" s="32">
        <f>SUMIFS('atm total'!N:N,'atm total'!E:E,B32,'atm total'!AM:AM,"ATM")</f>
        <v>0</v>
      </c>
      <c r="E32" s="32">
        <f>SUMIFS('atm total'!O:O,'atm total'!E:E,B32,'atm total'!AM:AM,"ATM")</f>
        <v>0</v>
      </c>
      <c r="F32" s="32">
        <f>SUMIFS('atm total'!Q:Q,'atm total'!E:E,B32,'atm total'!AM:AM,"ATM")</f>
        <v>0</v>
      </c>
      <c r="G32" s="35">
        <v>99.75</v>
      </c>
      <c r="H32" s="33" t="e">
        <f>100-I32</f>
        <v>#DIV/0!</v>
      </c>
      <c r="I32" s="126" t="e">
        <f>(E32/F32)*100</f>
        <v>#DIV/0!</v>
      </c>
    </row>
    <row r="33" spans="1:10" x14ac:dyDescent="0.35">
      <c r="A33" s="32">
        <v>6</v>
      </c>
      <c r="B33" s="27" t="s">
        <v>95</v>
      </c>
      <c r="C33" s="32">
        <f>COUNTIFS('atm total'!E:E,B33,'atm total'!AM:AM,"ATM")</f>
        <v>0</v>
      </c>
      <c r="D33" s="32">
        <f>SUMIFS('atm total'!N:N,'atm total'!E:E,B33,'atm total'!AM:AM,"ATM")</f>
        <v>0</v>
      </c>
      <c r="E33" s="32">
        <f>SUMIFS('atm total'!O:O,'atm total'!E:E,B33,'atm total'!AM:AM,"ATM")</f>
        <v>0</v>
      </c>
      <c r="F33" s="32">
        <f>SUMIFS('atm total'!Q:Q,'atm total'!E:E,B33,'atm total'!AM:AM,"ATM")</f>
        <v>0</v>
      </c>
      <c r="G33" s="35">
        <v>99.75</v>
      </c>
      <c r="H33" s="33" t="e">
        <f t="shared" ref="H33" si="6">100-I33</f>
        <v>#DIV/0!</v>
      </c>
      <c r="I33" s="126" t="e">
        <f t="shared" ref="I33" si="7">(E33/F33)*100</f>
        <v>#DIV/0!</v>
      </c>
    </row>
    <row r="34" spans="1:10" x14ac:dyDescent="0.35">
      <c r="A34" s="28"/>
      <c r="B34" s="28" t="s">
        <v>33</v>
      </c>
      <c r="C34" s="29">
        <f>SUM(C28:C33)</f>
        <v>0</v>
      </c>
      <c r="D34" s="29">
        <f>SUM(D28:D33)</f>
        <v>0</v>
      </c>
      <c r="E34" s="29">
        <f>SUM(E28:E33)</f>
        <v>0</v>
      </c>
      <c r="F34" s="29">
        <f>SUM(F28:F33)</f>
        <v>0</v>
      </c>
      <c r="G34" s="37">
        <v>99.75</v>
      </c>
      <c r="H34" s="38" t="e">
        <f>100-I34</f>
        <v>#DIV/0!</v>
      </c>
      <c r="I34" s="127" t="e">
        <f>(E34/F34)*100</f>
        <v>#DIV/0!</v>
      </c>
    </row>
    <row r="37" spans="1:10" ht="21" x14ac:dyDescent="0.35">
      <c r="A37" s="43" t="s">
        <v>572</v>
      </c>
      <c r="B37" s="186" t="s">
        <v>3383</v>
      </c>
      <c r="C37" s="186"/>
      <c r="D37" s="186"/>
      <c r="E37" s="186"/>
      <c r="F37" s="186"/>
      <c r="G37" s="186"/>
      <c r="H37" s="186"/>
      <c r="I37" s="186"/>
    </row>
    <row r="39" spans="1:10" x14ac:dyDescent="0.35">
      <c r="A39" s="24" t="s">
        <v>26</v>
      </c>
      <c r="B39" s="24" t="s">
        <v>575</v>
      </c>
      <c r="C39" s="24" t="s">
        <v>571</v>
      </c>
      <c r="D39" s="24" t="s">
        <v>27</v>
      </c>
      <c r="E39" s="24" t="s">
        <v>28</v>
      </c>
      <c r="F39" s="24" t="s">
        <v>29</v>
      </c>
      <c r="G39" s="45" t="s">
        <v>30</v>
      </c>
      <c r="H39" s="46" t="s">
        <v>31</v>
      </c>
      <c r="I39" s="47" t="s">
        <v>32</v>
      </c>
      <c r="J39" s="46" t="s">
        <v>1513</v>
      </c>
    </row>
    <row r="40" spans="1:10" x14ac:dyDescent="0.35">
      <c r="A40" s="49">
        <v>1</v>
      </c>
      <c r="B40" s="50" t="s">
        <v>567</v>
      </c>
      <c r="C40" s="49">
        <f>COUNTIFS('atm total'!AH:AH,B40,'atm total'!K:K,"Sulampua 1")</f>
        <v>0</v>
      </c>
      <c r="D40" s="49">
        <f>SUMIFS('atm total'!N:N,'atm total'!AH:AH,B40,'atm total'!K:K,"Sulampua 1")</f>
        <v>0</v>
      </c>
      <c r="E40" s="49">
        <f>SUMIFS('atm total'!O:O,'atm total'!AH:AH,B40,'atm total'!K:K,"Sulampua 1")</f>
        <v>0</v>
      </c>
      <c r="F40" s="49">
        <f>SUMIFS('atm total'!Q:Q,'atm total'!AH:AH,B40,'atm total'!K:K,"Sulampua 1")</f>
        <v>0</v>
      </c>
      <c r="G40" s="51">
        <v>99.2</v>
      </c>
      <c r="H40" s="52" t="e">
        <f>100-I40</f>
        <v>#DIV/0!</v>
      </c>
      <c r="I40" s="36" t="e">
        <f t="shared" ref="I40:I44" si="8">(E40/F40)*100</f>
        <v>#DIV/0!</v>
      </c>
    </row>
    <row r="41" spans="1:10" x14ac:dyDescent="0.35">
      <c r="A41" s="49">
        <v>2</v>
      </c>
      <c r="B41" s="50" t="s">
        <v>568</v>
      </c>
      <c r="C41" s="49">
        <f>COUNTIFS('atm total'!AH:AH,B41,'atm total'!K:K,"Sulampua 1")</f>
        <v>0</v>
      </c>
      <c r="D41" s="49">
        <f>SUMIFS('atm total'!N:N,'atm total'!AH:AH,B41,'atm total'!K:K,"Sulampua 1")</f>
        <v>0</v>
      </c>
      <c r="E41" s="49">
        <f>SUMIFS('atm total'!O:O,'atm total'!AH:AH,B41,'atm total'!K:K,"Sulampua 1")</f>
        <v>0</v>
      </c>
      <c r="F41" s="49">
        <f>SUMIFS('atm total'!Q:Q,'atm total'!AH:AH,B41,'atm total'!K:K,"Sulampua 1")</f>
        <v>0</v>
      </c>
      <c r="G41" s="51">
        <v>99.2</v>
      </c>
      <c r="H41" s="52" t="e">
        <f t="shared" ref="H41:H44" si="9">100-I41</f>
        <v>#DIV/0!</v>
      </c>
      <c r="I41" s="36" t="e">
        <f t="shared" si="8"/>
        <v>#DIV/0!</v>
      </c>
    </row>
    <row r="42" spans="1:10" x14ac:dyDescent="0.35">
      <c r="A42" s="49">
        <v>3</v>
      </c>
      <c r="B42" s="50" t="s">
        <v>573</v>
      </c>
      <c r="C42" s="49">
        <f>COUNTIFS('atm total'!AH:AH,B42,'atm total'!K:K,"Sulampua 1")</f>
        <v>0</v>
      </c>
      <c r="D42" s="49">
        <f>SUMIFS('atm total'!N:N,'atm total'!AH:AH,B42,'atm total'!K:K,"Sulampua 1")</f>
        <v>0</v>
      </c>
      <c r="E42" s="49">
        <f>SUMIFS('atm total'!O:O,'atm total'!AH:AH,B42,'atm total'!K:K,"Sulampua 1")</f>
        <v>0</v>
      </c>
      <c r="F42" s="49">
        <f>SUMIFS('atm total'!Q:Q,'atm total'!AH:AH,B42,'atm total'!K:K,"Sulampua 1")</f>
        <v>0</v>
      </c>
      <c r="G42" s="51">
        <v>99.2</v>
      </c>
      <c r="H42" s="53" t="e">
        <f t="shared" ref="H42" si="10">100-I42</f>
        <v>#DIV/0!</v>
      </c>
      <c r="I42" s="36" t="e">
        <f t="shared" ref="I42" si="11">(E42/F42)*100</f>
        <v>#DIV/0!</v>
      </c>
    </row>
    <row r="43" spans="1:10" x14ac:dyDescent="0.35">
      <c r="A43" s="49">
        <v>4</v>
      </c>
      <c r="B43" s="50" t="s">
        <v>569</v>
      </c>
      <c r="C43" s="49">
        <f>COUNTIFS('atm total'!AH:AH,B43,'atm total'!K:K,"Sulampua 1")</f>
        <v>0</v>
      </c>
      <c r="D43" s="49">
        <f>SUMIFS('atm total'!N:N,'atm total'!AH:AH,B43,'atm total'!K:K,"Sulampua 1")</f>
        <v>0</v>
      </c>
      <c r="E43" s="49">
        <f>SUMIFS('atm total'!O:O,'atm total'!AH:AH,B43,'atm total'!K:K,"Sulampua 1")</f>
        <v>0</v>
      </c>
      <c r="F43" s="49">
        <f>SUMIFS('atm total'!Q:Q,'atm total'!AH:AH,B43,'atm total'!K:K,"Sulampua 1")</f>
        <v>0</v>
      </c>
      <c r="G43" s="51">
        <v>99.2</v>
      </c>
      <c r="H43" s="52" t="e">
        <f t="shared" si="9"/>
        <v>#DIV/0!</v>
      </c>
      <c r="I43" s="36" t="e">
        <f t="shared" si="8"/>
        <v>#DIV/0!</v>
      </c>
      <c r="J43">
        <v>98.47</v>
      </c>
    </row>
    <row r="44" spans="1:10" x14ac:dyDescent="0.35">
      <c r="A44" s="49">
        <v>5</v>
      </c>
      <c r="B44" s="50" t="s">
        <v>570</v>
      </c>
      <c r="C44" s="49">
        <f>COUNTIFS('atm total'!AH:AH,B44,'atm total'!K:K,"Sulampua 1")</f>
        <v>0</v>
      </c>
      <c r="D44" s="49">
        <f>SUMIFS('atm total'!N:N,'atm total'!AH:AH,B44,'atm total'!K:K,"Sulampua 1")</f>
        <v>0</v>
      </c>
      <c r="E44" s="49">
        <f>SUMIFS('atm total'!O:O,'atm total'!AH:AH,B44,'atm total'!K:K,"Sulampua 1")</f>
        <v>0</v>
      </c>
      <c r="F44" s="49">
        <f>SUMIFS('atm total'!Q:Q,'atm total'!AH:AH,B44,'atm total'!K:K,"Sulampua 1")</f>
        <v>0</v>
      </c>
      <c r="G44" s="51">
        <v>99.2</v>
      </c>
      <c r="H44" s="52" t="e">
        <f t="shared" si="9"/>
        <v>#DIV/0!</v>
      </c>
      <c r="I44" s="36" t="e">
        <f t="shared" si="8"/>
        <v>#DIV/0!</v>
      </c>
    </row>
    <row r="45" spans="1:10" x14ac:dyDescent="0.35">
      <c r="A45" s="28"/>
      <c r="B45" s="28" t="s">
        <v>33</v>
      </c>
      <c r="C45" s="29">
        <f>SUM(C40:C44)</f>
        <v>0</v>
      </c>
      <c r="D45" s="29">
        <f>SUM(D40:D44)</f>
        <v>0</v>
      </c>
      <c r="E45" s="29">
        <f>SUM(E40:E44)</f>
        <v>0</v>
      </c>
      <c r="F45" s="29">
        <f>SUM(F40:F44)</f>
        <v>0</v>
      </c>
      <c r="G45" s="37">
        <v>99.2</v>
      </c>
      <c r="H45" s="38" t="e">
        <f>100-I45</f>
        <v>#DIV/0!</v>
      </c>
      <c r="I45" s="39" t="e">
        <f>(E45/F45)*100</f>
        <v>#DIV/0!</v>
      </c>
    </row>
    <row r="49" spans="1:9" ht="21" x14ac:dyDescent="0.35">
      <c r="A49" s="43" t="s">
        <v>572</v>
      </c>
      <c r="B49" s="186" t="s">
        <v>3384</v>
      </c>
      <c r="C49" s="186"/>
      <c r="D49" s="186"/>
      <c r="E49" s="186"/>
      <c r="F49" s="186"/>
      <c r="G49" s="186"/>
      <c r="H49" s="186"/>
      <c r="I49" s="186"/>
    </row>
    <row r="51" spans="1:9" x14ac:dyDescent="0.35">
      <c r="A51" s="24" t="s">
        <v>26</v>
      </c>
      <c r="B51" s="24" t="s">
        <v>574</v>
      </c>
      <c r="C51" s="24" t="s">
        <v>571</v>
      </c>
      <c r="D51" s="24" t="s">
        <v>27</v>
      </c>
      <c r="E51" s="24" t="s">
        <v>28</v>
      </c>
      <c r="F51" s="24" t="s">
        <v>29</v>
      </c>
      <c r="G51" s="45" t="s">
        <v>30</v>
      </c>
      <c r="H51" s="46" t="s">
        <v>31</v>
      </c>
      <c r="I51" s="47" t="s">
        <v>32</v>
      </c>
    </row>
    <row r="52" spans="1:9" x14ac:dyDescent="0.35">
      <c r="A52" s="49">
        <v>1</v>
      </c>
      <c r="B52" s="50" t="s">
        <v>558</v>
      </c>
      <c r="C52" s="49">
        <f>COUNTIFS('atm total'!E:E,B52,'atm total'!AM:AM,"CRM")</f>
        <v>0</v>
      </c>
      <c r="D52" s="49">
        <f>SUMIFS('atm total'!N:N,'atm total'!E:E,B52,'atm total'!AM:AM,"CRM")</f>
        <v>0</v>
      </c>
      <c r="E52" s="49">
        <f>SUMIFS('atm total'!O:O,'atm total'!E:E,B52,'atm total'!AM:AM,"CRM")</f>
        <v>0</v>
      </c>
      <c r="F52" s="49">
        <f>SUMIFS('atm total'!Q:Q,'atm total'!E:E,B52,'atm total'!AM:AM,"CRM")</f>
        <v>0</v>
      </c>
      <c r="G52" s="51">
        <v>99.2</v>
      </c>
      <c r="H52" s="52" t="e">
        <f>100-I52</f>
        <v>#DIV/0!</v>
      </c>
      <c r="I52" s="54" t="e">
        <f t="shared" ref="I52" si="12">(E52/F52)*100</f>
        <v>#DIV/0!</v>
      </c>
    </row>
    <row r="53" spans="1:9" x14ac:dyDescent="0.35">
      <c r="A53" s="49">
        <v>2</v>
      </c>
      <c r="B53" s="50" t="s">
        <v>132</v>
      </c>
      <c r="C53" s="49">
        <f>COUNTIFS('atm total'!E:E,B53,'atm total'!AM:AM,"CRM")</f>
        <v>0</v>
      </c>
      <c r="D53" s="49">
        <f>SUMIFS('atm total'!N:N,'atm total'!E:E,B53,'atm total'!AM:AM,"CRM")</f>
        <v>0</v>
      </c>
      <c r="E53" s="49">
        <f>SUMIFS('atm total'!O:O,'atm total'!E:E,B53,'atm total'!AM:AM,"CRM")</f>
        <v>0</v>
      </c>
      <c r="F53" s="49">
        <f>SUMIFS('atm total'!Q:Q,'atm total'!E:E,B53,'atm total'!AM:AM,"CRM")</f>
        <v>0</v>
      </c>
      <c r="G53" s="51">
        <v>99.2</v>
      </c>
      <c r="H53" s="52" t="e">
        <f>100-I53</f>
        <v>#DIV/0!</v>
      </c>
      <c r="I53" s="54" t="e">
        <f t="shared" ref="I53:I54" si="13">(E53/F53)*100</f>
        <v>#DIV/0!</v>
      </c>
    </row>
    <row r="54" spans="1:9" x14ac:dyDescent="0.35">
      <c r="A54" s="49">
        <v>3</v>
      </c>
      <c r="B54" s="50" t="s">
        <v>149</v>
      </c>
      <c r="C54" s="49">
        <f>COUNTIFS('atm total'!E:E,B54,'atm total'!AM:AM,"CRM")</f>
        <v>0</v>
      </c>
      <c r="D54" s="49">
        <f>SUMIFS('atm total'!N:N,'atm total'!E:E,B54,'atm total'!AM:AM,"CRM")</f>
        <v>0</v>
      </c>
      <c r="E54" s="49">
        <f>SUMIFS('atm total'!O:O,'atm total'!E:E,B54,'atm total'!AM:AM,"CRM")</f>
        <v>0</v>
      </c>
      <c r="F54" s="49">
        <f>SUMIFS('atm total'!Q:Q,'atm total'!E:E,B54,'atm total'!AM:AM,"CRM")</f>
        <v>0</v>
      </c>
      <c r="G54" s="51">
        <v>99.2</v>
      </c>
      <c r="H54" s="52" t="e">
        <f t="shared" ref="H54" si="14">100-I54</f>
        <v>#DIV/0!</v>
      </c>
      <c r="I54" s="54" t="e">
        <f t="shared" si="13"/>
        <v>#DIV/0!</v>
      </c>
    </row>
    <row r="55" spans="1:9" x14ac:dyDescent="0.35">
      <c r="A55" s="49">
        <v>4</v>
      </c>
      <c r="B55" s="50" t="s">
        <v>88</v>
      </c>
      <c r="C55" s="49">
        <f>COUNTIFS('atm total'!E:E,B55,'atm total'!AM:AM,"CRM")</f>
        <v>0</v>
      </c>
      <c r="D55" s="49">
        <f>SUMIFS('atm total'!N:N,'atm total'!E:E,B55,'atm total'!AM:AM,"CRM")</f>
        <v>0</v>
      </c>
      <c r="E55" s="49">
        <f>SUMIFS('atm total'!O:O,'atm total'!E:E,B55,'atm total'!AM:AM,"CRM")</f>
        <v>0</v>
      </c>
      <c r="F55" s="49">
        <f>SUMIFS('atm total'!Q:Q,'atm total'!E:E,B55,'atm total'!AM:AM,"CRM")</f>
        <v>0</v>
      </c>
      <c r="G55" s="51">
        <v>99.2</v>
      </c>
      <c r="H55" s="52" t="e">
        <f t="shared" ref="H55:H58" si="15">100-I55</f>
        <v>#DIV/0!</v>
      </c>
      <c r="I55" s="54" t="e">
        <f t="shared" ref="I55:I58" si="16">(E55/F55)*100</f>
        <v>#DIV/0!</v>
      </c>
    </row>
    <row r="56" spans="1:9" x14ac:dyDescent="0.35">
      <c r="A56" s="49">
        <v>5</v>
      </c>
      <c r="B56" s="50" t="s">
        <v>203</v>
      </c>
      <c r="C56" s="49">
        <f>COUNTIFS('atm total'!E:E,B56,'atm total'!AM:AM,"CRM")</f>
        <v>0</v>
      </c>
      <c r="D56" s="49">
        <f>SUMIFS('atm total'!N:N,'atm total'!E:E,B56,'atm total'!AM:AM,"CRM")</f>
        <v>0</v>
      </c>
      <c r="E56" s="49">
        <f>SUMIFS('atm total'!O:O,'atm total'!E:E,B56,'atm total'!AM:AM,"CRM")</f>
        <v>0</v>
      </c>
      <c r="F56" s="49">
        <f>SUMIFS('atm total'!Q:Q,'atm total'!E:E,B56,'atm total'!AM:AM,"CRM")</f>
        <v>0</v>
      </c>
      <c r="G56" s="51">
        <v>99.2</v>
      </c>
      <c r="H56" s="52" t="e">
        <f t="shared" si="15"/>
        <v>#DIV/0!</v>
      </c>
      <c r="I56" s="54" t="e">
        <f t="shared" si="16"/>
        <v>#DIV/0!</v>
      </c>
    </row>
    <row r="57" spans="1:9" x14ac:dyDescent="0.35">
      <c r="A57" s="49">
        <v>6</v>
      </c>
      <c r="B57" s="50" t="s">
        <v>116</v>
      </c>
      <c r="C57" s="49">
        <f>COUNTIFS('atm total'!E:E,B57,'atm total'!AM:AM,"CRM")</f>
        <v>0</v>
      </c>
      <c r="D57" s="49">
        <f>SUMIFS('atm total'!N:N,'atm total'!E:E,B57,'atm total'!AM:AM,"CRM")</f>
        <v>0</v>
      </c>
      <c r="E57" s="49">
        <f>SUMIFS('atm total'!O:O,'atm total'!E:E,B57,'atm total'!AM:AM,"CRM")</f>
        <v>0</v>
      </c>
      <c r="F57" s="49">
        <f>SUMIFS('atm total'!Q:Q,'atm total'!E:E,B57,'atm total'!AM:AM,"CRM")</f>
        <v>0</v>
      </c>
      <c r="G57" s="51">
        <v>99.2</v>
      </c>
      <c r="H57" s="52" t="e">
        <f t="shared" si="15"/>
        <v>#DIV/0!</v>
      </c>
      <c r="I57" s="54" t="e">
        <f t="shared" si="16"/>
        <v>#DIV/0!</v>
      </c>
    </row>
    <row r="58" spans="1:9" x14ac:dyDescent="0.35">
      <c r="A58" s="28"/>
      <c r="B58" s="28" t="s">
        <v>33</v>
      </c>
      <c r="C58" s="29">
        <f>SUM(C52:C57)</f>
        <v>0</v>
      </c>
      <c r="D58" s="29">
        <f>SUM(D52:D57)</f>
        <v>0</v>
      </c>
      <c r="E58" s="29">
        <f>SUM(E52:E57)</f>
        <v>0</v>
      </c>
      <c r="F58" s="29">
        <f>SUM(F52:F57)</f>
        <v>0</v>
      </c>
      <c r="G58" s="37">
        <v>99.2</v>
      </c>
      <c r="H58" s="38" t="e">
        <f t="shared" si="15"/>
        <v>#DIV/0!</v>
      </c>
      <c r="I58" s="39" t="e">
        <f t="shared" si="16"/>
        <v>#DIV/0!</v>
      </c>
    </row>
    <row r="61" spans="1:9" ht="21" x14ac:dyDescent="0.35">
      <c r="A61" s="43" t="s">
        <v>572</v>
      </c>
      <c r="B61" s="186" t="s">
        <v>3385</v>
      </c>
      <c r="C61" s="186"/>
      <c r="D61" s="186"/>
      <c r="E61" s="186"/>
      <c r="F61" s="186"/>
      <c r="G61" s="186"/>
      <c r="H61" s="186"/>
      <c r="I61" s="186"/>
    </row>
    <row r="63" spans="1:9" x14ac:dyDescent="0.35">
      <c r="A63" s="24" t="s">
        <v>26</v>
      </c>
      <c r="B63" s="24" t="s">
        <v>574</v>
      </c>
      <c r="C63" s="24" t="s">
        <v>571</v>
      </c>
      <c r="D63" s="24" t="s">
        <v>27</v>
      </c>
      <c r="E63" s="24" t="s">
        <v>28</v>
      </c>
      <c r="F63" s="24" t="s">
        <v>29</v>
      </c>
      <c r="G63" s="45" t="s">
        <v>30</v>
      </c>
      <c r="H63" s="46" t="s">
        <v>31</v>
      </c>
      <c r="I63" s="47" t="s">
        <v>32</v>
      </c>
    </row>
    <row r="64" spans="1:9" x14ac:dyDescent="0.35">
      <c r="A64" s="49">
        <v>1</v>
      </c>
      <c r="B64" s="50" t="s">
        <v>558</v>
      </c>
      <c r="C64" s="49">
        <f>COUNTIFS('atm total'!E:E,B64,'atm total'!AM:AM,"ATM")</f>
        <v>0</v>
      </c>
      <c r="D64" s="49">
        <f>SUMIFS('atm total'!N:N,'atm total'!E:E,B64,'atm total'!AM:AM,"ATM")</f>
        <v>0</v>
      </c>
      <c r="E64" s="49">
        <f>SUMIFS('atm total'!O:O,'atm total'!E:E,B64,'atm total'!AM:AM,"ATM")</f>
        <v>0</v>
      </c>
      <c r="F64" s="49">
        <f>SUMIFS('atm total'!Q:Q,'atm total'!E:E,B64,'atm total'!AM:AM,"ATM")</f>
        <v>0</v>
      </c>
      <c r="G64" s="51">
        <v>99.75</v>
      </c>
      <c r="H64" s="52" t="e">
        <f>100-I64</f>
        <v>#DIV/0!</v>
      </c>
      <c r="I64" s="54" t="e">
        <f t="shared" ref="I64" si="17">(E64/F64)*100</f>
        <v>#DIV/0!</v>
      </c>
    </row>
    <row r="65" spans="1:9" x14ac:dyDescent="0.35">
      <c r="A65" s="49">
        <v>2</v>
      </c>
      <c r="B65" s="50" t="s">
        <v>132</v>
      </c>
      <c r="C65" s="49">
        <f>COUNTIFS('atm total'!E:E,B65,'atm total'!AM:AM,"ATM")</f>
        <v>0</v>
      </c>
      <c r="D65" s="49">
        <f>SUMIFS('atm total'!N:N,'atm total'!E:E,B65,'atm total'!AM:AM,"ATM")</f>
        <v>0</v>
      </c>
      <c r="E65" s="49">
        <f>SUMIFS('atm total'!O:O,'atm total'!E:E,B65,'atm total'!AM:AM,"ATM")</f>
        <v>0</v>
      </c>
      <c r="F65" s="49">
        <f>SUMIFS('atm total'!Q:Q,'atm total'!E:E,B65,'atm total'!AM:AM,"ATM")</f>
        <v>0</v>
      </c>
      <c r="G65" s="51">
        <v>99.75</v>
      </c>
      <c r="H65" s="52" t="e">
        <f t="shared" ref="H65:H69" si="18">100-I65</f>
        <v>#DIV/0!</v>
      </c>
      <c r="I65" s="54" t="e">
        <f t="shared" ref="I65:I69" si="19">(E65/F65)*100</f>
        <v>#DIV/0!</v>
      </c>
    </row>
    <row r="66" spans="1:9" x14ac:dyDescent="0.35">
      <c r="A66" s="49">
        <v>3</v>
      </c>
      <c r="B66" s="50" t="s">
        <v>149</v>
      </c>
      <c r="C66" s="49">
        <f>COUNTIFS('atm total'!E:E,B66,'atm total'!AM:AM,"ATM")</f>
        <v>0</v>
      </c>
      <c r="D66" s="49">
        <f>SUMIFS('atm total'!N:N,'atm total'!E:E,B66,'atm total'!AM:AM,"ATM")</f>
        <v>0</v>
      </c>
      <c r="E66" s="49">
        <f>SUMIFS('atm total'!O:O,'atm total'!E:E,B66,'atm total'!AM:AM,"ATM")</f>
        <v>0</v>
      </c>
      <c r="F66" s="49">
        <f>SUMIFS('atm total'!Q:Q,'atm total'!E:E,B66,'atm total'!AM:AM,"ATM")</f>
        <v>0</v>
      </c>
      <c r="G66" s="51">
        <v>99.75</v>
      </c>
      <c r="H66" s="52" t="e">
        <f t="shared" si="18"/>
        <v>#DIV/0!</v>
      </c>
      <c r="I66" s="54" t="e">
        <f t="shared" si="19"/>
        <v>#DIV/0!</v>
      </c>
    </row>
    <row r="67" spans="1:9" x14ac:dyDescent="0.35">
      <c r="A67" s="49">
        <v>4</v>
      </c>
      <c r="B67" s="50" t="s">
        <v>88</v>
      </c>
      <c r="C67" s="49">
        <f>COUNTIFS('atm total'!E:E,B67,'atm total'!AM:AM,"ATM")</f>
        <v>0</v>
      </c>
      <c r="D67" s="49">
        <f>SUMIFS('atm total'!N:N,'atm total'!E:E,B67,'atm total'!AM:AM,"ATM")</f>
        <v>0</v>
      </c>
      <c r="E67" s="49">
        <f>SUMIFS('atm total'!O:O,'atm total'!E:E,B67,'atm total'!AM:AM,"ATM")</f>
        <v>0</v>
      </c>
      <c r="F67" s="49">
        <f>SUMIFS('atm total'!Q:Q,'atm total'!E:E,B67,'atm total'!AM:AM,"ATM")</f>
        <v>0</v>
      </c>
      <c r="G67" s="51">
        <v>99.75</v>
      </c>
      <c r="H67" s="52" t="e">
        <f t="shared" si="18"/>
        <v>#DIV/0!</v>
      </c>
      <c r="I67" s="54" t="e">
        <f t="shared" si="19"/>
        <v>#DIV/0!</v>
      </c>
    </row>
    <row r="68" spans="1:9" x14ac:dyDescent="0.35">
      <c r="A68" s="49">
        <v>5</v>
      </c>
      <c r="B68" s="50" t="s">
        <v>203</v>
      </c>
      <c r="C68" s="49">
        <f>COUNTIFS('atm total'!E:E,B68,'atm total'!AM:AM,"ATM")</f>
        <v>0</v>
      </c>
      <c r="D68" s="49">
        <f>SUMIFS('atm total'!N:N,'atm total'!E:E,B68,'atm total'!AM:AM,"ATM")</f>
        <v>0</v>
      </c>
      <c r="E68" s="49">
        <f>SUMIFS('atm total'!O:O,'atm total'!E:E,B68,'atm total'!AM:AM,"ATM")</f>
        <v>0</v>
      </c>
      <c r="F68" s="49">
        <f>SUMIFS('atm total'!Q:Q,'atm total'!E:E,B68,'atm total'!AM:AM,"ATM")</f>
        <v>0</v>
      </c>
      <c r="G68" s="51">
        <v>99.75</v>
      </c>
      <c r="H68" s="52" t="e">
        <f t="shared" si="18"/>
        <v>#DIV/0!</v>
      </c>
      <c r="I68" s="54" t="e">
        <f t="shared" si="19"/>
        <v>#DIV/0!</v>
      </c>
    </row>
    <row r="69" spans="1:9" x14ac:dyDescent="0.35">
      <c r="A69" s="49">
        <v>6</v>
      </c>
      <c r="B69" s="50" t="s">
        <v>116</v>
      </c>
      <c r="C69" s="49">
        <f>COUNTIFS('atm total'!E:E,B69,'atm total'!AM:AM,"ATM")</f>
        <v>0</v>
      </c>
      <c r="D69" s="49">
        <f>SUMIFS('atm total'!N:N,'atm total'!E:E,B69,'atm total'!AM:AM,"ATM")</f>
        <v>0</v>
      </c>
      <c r="E69" s="49">
        <f>SUMIFS('atm total'!O:O,'atm total'!E:E,B69,'atm total'!AM:AM,"ATM")</f>
        <v>0</v>
      </c>
      <c r="F69" s="49">
        <f>SUMIFS('atm total'!Q:Q,'atm total'!E:E,B69,'atm total'!AM:AM,"ATM")</f>
        <v>0</v>
      </c>
      <c r="G69" s="51">
        <v>99.75</v>
      </c>
      <c r="H69" s="52" t="e">
        <f t="shared" si="18"/>
        <v>#DIV/0!</v>
      </c>
      <c r="I69" s="54" t="e">
        <f t="shared" si="19"/>
        <v>#DIV/0!</v>
      </c>
    </row>
    <row r="70" spans="1:9" x14ac:dyDescent="0.35">
      <c r="A70" s="28"/>
      <c r="B70" s="28" t="s">
        <v>33</v>
      </c>
      <c r="C70" s="29">
        <f>SUM(C64:C69)</f>
        <v>0</v>
      </c>
      <c r="D70" s="29">
        <f>SUM(D64:D69)</f>
        <v>0</v>
      </c>
      <c r="E70" s="29">
        <f>SUM(E64:E69)</f>
        <v>0</v>
      </c>
      <c r="F70" s="29">
        <f>SUM(F64:F69)</f>
        <v>0</v>
      </c>
      <c r="G70" s="29">
        <v>99.75</v>
      </c>
      <c r="H70" s="30" t="e">
        <f>100-I70</f>
        <v>#DIV/0!</v>
      </c>
      <c r="I70" s="30" t="e">
        <f>(E70/F70)*100</f>
        <v>#DIV/0!</v>
      </c>
    </row>
    <row r="74" spans="1:9" ht="21" x14ac:dyDescent="0.35">
      <c r="A74" s="44" t="s">
        <v>572</v>
      </c>
      <c r="B74" s="185" t="s">
        <v>3386</v>
      </c>
      <c r="C74" s="185"/>
      <c r="D74" s="185"/>
      <c r="E74" s="185"/>
      <c r="F74" s="185"/>
      <c r="G74" s="185"/>
      <c r="H74" s="185"/>
      <c r="I74" s="185"/>
    </row>
    <row r="76" spans="1:9" x14ac:dyDescent="0.35">
      <c r="A76" s="24" t="s">
        <v>26</v>
      </c>
      <c r="B76" s="24" t="s">
        <v>575</v>
      </c>
      <c r="C76" s="24" t="s">
        <v>571</v>
      </c>
      <c r="D76" s="24" t="s">
        <v>27</v>
      </c>
      <c r="E76" s="24" t="s">
        <v>28</v>
      </c>
      <c r="F76" s="24" t="s">
        <v>29</v>
      </c>
      <c r="G76" s="45" t="s">
        <v>30</v>
      </c>
      <c r="H76" s="46" t="s">
        <v>31</v>
      </c>
      <c r="I76" s="47" t="s">
        <v>32</v>
      </c>
    </row>
    <row r="77" spans="1:9" x14ac:dyDescent="0.35">
      <c r="A77" s="55">
        <v>1</v>
      </c>
      <c r="B77" s="56" t="s">
        <v>567</v>
      </c>
      <c r="C77" s="55">
        <f>COUNTIFS('atm total'!AH:AH,B77,'atm total'!K:K,"Sulampua 2")</f>
        <v>0</v>
      </c>
      <c r="D77" s="55">
        <f>SUMIFS('atm total'!N:N,'atm total'!AH:AH,B77,'atm total'!K:K,"Sulampua 2")</f>
        <v>0</v>
      </c>
      <c r="E77" s="55">
        <f>SUMIFS('atm total'!O:O,'atm total'!AH:AH,B77,'atm total'!K:K,"Sulampua 2")</f>
        <v>0</v>
      </c>
      <c r="F77" s="55">
        <f>SUMIFS('atm total'!Q:Q,'atm total'!AH:AH,B77,'atm total'!K:K,"Sulampua 2")</f>
        <v>0</v>
      </c>
      <c r="G77" s="57">
        <v>99.2</v>
      </c>
      <c r="H77" s="58" t="e">
        <f>100-I77</f>
        <v>#DIV/0!</v>
      </c>
      <c r="I77" s="59" t="e">
        <f t="shared" ref="I77:I81" si="20">(E77/F77)*100</f>
        <v>#DIV/0!</v>
      </c>
    </row>
    <row r="78" spans="1:9" x14ac:dyDescent="0.35">
      <c r="A78" s="55">
        <v>2</v>
      </c>
      <c r="B78" s="56" t="s">
        <v>568</v>
      </c>
      <c r="C78" s="55">
        <f>COUNTIFS('atm total'!AH:AH,B78,'atm total'!K:K,"Sulampua 2")</f>
        <v>0</v>
      </c>
      <c r="D78" s="55">
        <f>SUMIFS('atm total'!N:N,'atm total'!AH:AH,B78,'atm total'!K:K,"Sulampua 2")</f>
        <v>0</v>
      </c>
      <c r="E78" s="55">
        <f>SUMIFS('atm total'!O:O,'atm total'!AH:AH,B78,'atm total'!K:K,"Sulampua 2")</f>
        <v>0</v>
      </c>
      <c r="F78" s="55">
        <f>SUMIFS('atm total'!Q:Q,'atm total'!AH:AH,B78,'atm total'!K:K,"Sulampua 2")</f>
        <v>0</v>
      </c>
      <c r="G78" s="57">
        <v>99.2</v>
      </c>
      <c r="H78" s="58" t="e">
        <f t="shared" ref="H78:H81" si="21">100-I78</f>
        <v>#DIV/0!</v>
      </c>
      <c r="I78" s="59" t="e">
        <f t="shared" si="20"/>
        <v>#DIV/0!</v>
      </c>
    </row>
    <row r="79" spans="1:9" x14ac:dyDescent="0.35">
      <c r="A79" s="55">
        <v>3</v>
      </c>
      <c r="B79" s="56" t="s">
        <v>573</v>
      </c>
      <c r="C79" s="55">
        <f>COUNTIFS('atm total'!AH:AH,B79,'atm total'!K:K,"Sulampua 2")</f>
        <v>0</v>
      </c>
      <c r="D79" s="55">
        <f>SUMIFS('atm total'!N:N,'atm total'!AH:AH,B79,'atm total'!K:K,"Sulampua 2")</f>
        <v>0</v>
      </c>
      <c r="E79" s="55">
        <f>SUMIFS('atm total'!O:O,'atm total'!AH:AH,B79,'atm total'!K:K,"Sulampua 2")</f>
        <v>0</v>
      </c>
      <c r="F79" s="55">
        <f>SUMIFS('atm total'!Q:Q,'atm total'!AH:AH,B79,'atm total'!K:K,"Sulampua 2")</f>
        <v>0</v>
      </c>
      <c r="G79" s="57">
        <v>99.2</v>
      </c>
      <c r="H79" s="60" t="e">
        <f t="shared" si="21"/>
        <v>#DIV/0!</v>
      </c>
      <c r="I79" s="59" t="e">
        <f t="shared" si="20"/>
        <v>#DIV/0!</v>
      </c>
    </row>
    <row r="80" spans="1:9" x14ac:dyDescent="0.35">
      <c r="A80" s="55">
        <v>4</v>
      </c>
      <c r="B80" s="56" t="s">
        <v>569</v>
      </c>
      <c r="C80" s="55">
        <f>COUNTIFS('atm total'!AH:AH,B80,'atm total'!K:K,"Sulampua 2")</f>
        <v>0</v>
      </c>
      <c r="D80" s="55">
        <f>SUMIFS('atm total'!N:N,'atm total'!AH:AH,B80,'atm total'!K:K,"Sulampua 2")</f>
        <v>0</v>
      </c>
      <c r="E80" s="55">
        <f>SUMIFS('atm total'!O:O,'atm total'!AH:AH,B80,'atm total'!K:K,"Sulampua 2")</f>
        <v>0</v>
      </c>
      <c r="F80" s="55">
        <f>SUMIFS('atm total'!Q:Q,'atm total'!AH:AH,B80,'atm total'!K:K,"Sulampua 2")</f>
        <v>0</v>
      </c>
      <c r="G80" s="57">
        <v>99.2</v>
      </c>
      <c r="H80" s="58" t="e">
        <f t="shared" si="21"/>
        <v>#DIV/0!</v>
      </c>
      <c r="I80" s="59" t="e">
        <f t="shared" si="20"/>
        <v>#DIV/0!</v>
      </c>
    </row>
    <row r="81" spans="1:9" x14ac:dyDescent="0.35">
      <c r="A81" s="55">
        <v>5</v>
      </c>
      <c r="B81" s="56" t="s">
        <v>570</v>
      </c>
      <c r="C81" s="55">
        <f>COUNTIFS('atm total'!AH:AH,B81,'atm total'!K:K,"Sulampua 2")</f>
        <v>0</v>
      </c>
      <c r="D81" s="55">
        <f>SUMIFS('atm total'!N:N,'atm total'!AH:AH,B81,'atm total'!K:K,"Sulampua 2")</f>
        <v>0</v>
      </c>
      <c r="E81" s="55">
        <f>SUMIFS('atm total'!O:O,'atm total'!AH:AH,B81,'atm total'!K:K,"Sulampua 2")</f>
        <v>0</v>
      </c>
      <c r="F81" s="55">
        <f>SUMIFS('atm total'!Q:Q,'atm total'!AH:AH,B81,'atm total'!K:K,"Sulampua 2")</f>
        <v>0</v>
      </c>
      <c r="G81" s="57">
        <v>99.2</v>
      </c>
      <c r="H81" s="58" t="e">
        <f t="shared" si="21"/>
        <v>#DIV/0!</v>
      </c>
      <c r="I81" s="59" t="e">
        <f t="shared" si="20"/>
        <v>#DIV/0!</v>
      </c>
    </row>
    <row r="82" spans="1:9" x14ac:dyDescent="0.35">
      <c r="A82" s="28"/>
      <c r="B82" s="28" t="s">
        <v>33</v>
      </c>
      <c r="C82" s="29">
        <f>SUM(C77:C81)</f>
        <v>0</v>
      </c>
      <c r="D82" s="29">
        <f>SUM(D77:D81)</f>
        <v>0</v>
      </c>
      <c r="E82" s="29">
        <f>SUM(E77:E81)</f>
        <v>0</v>
      </c>
      <c r="F82" s="29">
        <f>SUM(F77:F81)</f>
        <v>0</v>
      </c>
      <c r="G82" s="37">
        <v>99.2</v>
      </c>
      <c r="H82" s="38" t="e">
        <f>100-I82</f>
        <v>#DIV/0!</v>
      </c>
      <c r="I82" s="39" t="e">
        <f>(E82/F82)*100</f>
        <v>#DIV/0!</v>
      </c>
    </row>
    <row r="86" spans="1:9" ht="21" x14ac:dyDescent="0.35">
      <c r="A86" s="44" t="s">
        <v>572</v>
      </c>
      <c r="B86" s="185" t="s">
        <v>3386</v>
      </c>
      <c r="C86" s="185"/>
      <c r="D86" s="185"/>
      <c r="E86" s="185"/>
      <c r="F86" s="185"/>
      <c r="G86" s="185"/>
      <c r="H86" s="185"/>
      <c r="I86" s="185"/>
    </row>
    <row r="88" spans="1:9" x14ac:dyDescent="0.35">
      <c r="A88" s="24" t="s">
        <v>26</v>
      </c>
      <c r="B88" s="24" t="s">
        <v>574</v>
      </c>
      <c r="C88" s="24" t="s">
        <v>571</v>
      </c>
      <c r="D88" s="24" t="s">
        <v>27</v>
      </c>
      <c r="E88" s="24" t="s">
        <v>28</v>
      </c>
      <c r="F88" s="24" t="s">
        <v>29</v>
      </c>
      <c r="G88" s="45" t="s">
        <v>30</v>
      </c>
      <c r="H88" s="46" t="s">
        <v>31</v>
      </c>
      <c r="I88" s="47" t="s">
        <v>32</v>
      </c>
    </row>
    <row r="89" spans="1:9" x14ac:dyDescent="0.35">
      <c r="A89" s="55">
        <v>1</v>
      </c>
      <c r="B89" s="56" t="s">
        <v>43</v>
      </c>
      <c r="C89" s="55">
        <f>COUNTIFS('atm total'!E:E,B89,'atm total'!AM:AM,"CRM")</f>
        <v>0</v>
      </c>
      <c r="D89" s="55">
        <f>SUMIFS('atm total'!N:N,'atm total'!E:E,B89,'atm total'!AM:AM,"CRM")</f>
        <v>0</v>
      </c>
      <c r="E89" s="55">
        <f>SUMIFS('atm total'!O:O,'atm total'!E:E,B89,'atm total'!AM:AM,"CRM")</f>
        <v>0</v>
      </c>
      <c r="F89" s="55">
        <f>SUMIFS('atm total'!Q:Q,'atm total'!E:E,B89,'atm total'!AM:AM,"CRM")</f>
        <v>0</v>
      </c>
      <c r="G89" s="57">
        <v>99.2</v>
      </c>
      <c r="H89" s="58" t="e">
        <f>100-I89</f>
        <v>#DIV/0!</v>
      </c>
      <c r="I89" s="59" t="e">
        <f t="shared" ref="I89:I90" si="22">(E89/F89)*100</f>
        <v>#DIV/0!</v>
      </c>
    </row>
    <row r="90" spans="1:9" x14ac:dyDescent="0.35">
      <c r="A90" s="55">
        <v>2</v>
      </c>
      <c r="B90" s="56" t="s">
        <v>41</v>
      </c>
      <c r="C90" s="55">
        <f>COUNTIFS('atm total'!E:E,B90,'atm total'!AM:AM,"CRM")</f>
        <v>0</v>
      </c>
      <c r="D90" s="55">
        <f>SUMIFS('atm total'!N:N,'atm total'!E:E,B90,'atm total'!AM:AM,"CRM")</f>
        <v>0</v>
      </c>
      <c r="E90" s="55">
        <f>SUMIFS('atm total'!O:O,'atm total'!E:E,B90,'atm total'!AM:AM,"CRM")</f>
        <v>0</v>
      </c>
      <c r="F90" s="55">
        <f>SUMIFS('atm total'!Q:Q,'atm total'!E:E,B90,'atm total'!AM:AM,"CRM")</f>
        <v>0</v>
      </c>
      <c r="G90" s="57">
        <v>99.2</v>
      </c>
      <c r="H90" s="58" t="e">
        <f t="shared" ref="H90" si="23">100-I90</f>
        <v>#DIV/0!</v>
      </c>
      <c r="I90" s="59" t="e">
        <f t="shared" si="22"/>
        <v>#DIV/0!</v>
      </c>
    </row>
    <row r="91" spans="1:9" x14ac:dyDescent="0.35">
      <c r="A91" s="55">
        <v>3</v>
      </c>
      <c r="B91" s="56" t="s">
        <v>48</v>
      </c>
      <c r="C91" s="55">
        <f>COUNTIFS('atm total'!E:E,B91,'atm total'!AM:AM,"CRM")</f>
        <v>0</v>
      </c>
      <c r="D91" s="55">
        <f>SUMIFS('atm total'!N:N,'atm total'!E:E,B91,'atm total'!AM:AM,"CRM")</f>
        <v>0</v>
      </c>
      <c r="E91" s="55">
        <f>SUMIFS('atm total'!O:O,'atm total'!E:E,B91,'atm total'!AM:AM,"CRM")</f>
        <v>0</v>
      </c>
      <c r="F91" s="55">
        <f>SUMIFS('atm total'!Q:Q,'atm total'!E:E,B91,'atm total'!AM:AM,"CRM")</f>
        <v>0</v>
      </c>
      <c r="G91" s="57">
        <v>99.2</v>
      </c>
      <c r="H91" s="58" t="e">
        <f t="shared" ref="H91:H96" si="24">100-I91</f>
        <v>#DIV/0!</v>
      </c>
      <c r="I91" s="59" t="e">
        <f t="shared" ref="I91:I96" si="25">(E91/F91)*100</f>
        <v>#DIV/0!</v>
      </c>
    </row>
    <row r="92" spans="1:9" x14ac:dyDescent="0.35">
      <c r="A92" s="55">
        <v>4</v>
      </c>
      <c r="B92" s="56" t="s">
        <v>47</v>
      </c>
      <c r="C92" s="55">
        <f>COUNTIFS('atm total'!E:E,B92,'atm total'!AM:AM,"CRM")</f>
        <v>0</v>
      </c>
      <c r="D92" s="55">
        <f>SUMIFS('atm total'!N:N,'atm total'!E:E,B92,'atm total'!AM:AM,"CRM")</f>
        <v>0</v>
      </c>
      <c r="E92" s="55">
        <f>SUMIFS('atm total'!O:O,'atm total'!E:E,B92,'atm total'!AM:AM,"CRM")</f>
        <v>0</v>
      </c>
      <c r="F92" s="55">
        <f>SUMIFS('atm total'!Q:Q,'atm total'!E:E,B92,'atm total'!AM:AM,"CRM")</f>
        <v>0</v>
      </c>
      <c r="G92" s="57">
        <v>99.2</v>
      </c>
      <c r="H92" s="58" t="e">
        <f t="shared" si="24"/>
        <v>#DIV/0!</v>
      </c>
      <c r="I92" s="59" t="e">
        <f t="shared" si="25"/>
        <v>#DIV/0!</v>
      </c>
    </row>
    <row r="93" spans="1:9" x14ac:dyDescent="0.35">
      <c r="A93" s="55">
        <v>5</v>
      </c>
      <c r="B93" s="56" t="s">
        <v>46</v>
      </c>
      <c r="C93" s="55">
        <f>COUNTIFS('atm total'!E:E,B93,'atm total'!AM:AM,"CRM")</f>
        <v>0</v>
      </c>
      <c r="D93" s="55">
        <f>SUMIFS('atm total'!N:N,'atm total'!E:E,B93,'atm total'!AM:AM,"CRM")</f>
        <v>0</v>
      </c>
      <c r="E93" s="55">
        <f>SUMIFS('atm total'!O:O,'atm total'!E:E,B93,'atm total'!AM:AM,"CRM")</f>
        <v>0</v>
      </c>
      <c r="F93" s="55">
        <f>SUMIFS('atm total'!Q:Q,'atm total'!E:E,B93,'atm total'!AM:AM,"CRM")</f>
        <v>0</v>
      </c>
      <c r="G93" s="57">
        <v>99.2</v>
      </c>
      <c r="H93" s="58" t="e">
        <f t="shared" si="24"/>
        <v>#DIV/0!</v>
      </c>
      <c r="I93" s="59" t="e">
        <f t="shared" si="25"/>
        <v>#DIV/0!</v>
      </c>
    </row>
    <row r="94" spans="1:9" x14ac:dyDescent="0.35">
      <c r="A94" s="55">
        <v>6</v>
      </c>
      <c r="B94" s="56" t="s">
        <v>44</v>
      </c>
      <c r="C94" s="55">
        <f>COUNTIFS('atm total'!E:E,B94,'atm total'!AM:AM,"CRM")</f>
        <v>0</v>
      </c>
      <c r="D94" s="55">
        <f>SUMIFS('atm total'!N:N,'atm total'!E:E,B94,'atm total'!AM:AM,"CRM")</f>
        <v>0</v>
      </c>
      <c r="E94" s="55">
        <f>SUMIFS('atm total'!O:O,'atm total'!E:E,B94,'atm total'!AM:AM,"CRM")</f>
        <v>0</v>
      </c>
      <c r="F94" s="55">
        <f>SUMIFS('atm total'!Q:Q,'atm total'!E:E,B94,'atm total'!AM:AM,"CRM")</f>
        <v>0</v>
      </c>
      <c r="G94" s="57">
        <v>99.2</v>
      </c>
      <c r="H94" s="58" t="e">
        <f t="shared" si="24"/>
        <v>#DIV/0!</v>
      </c>
      <c r="I94" s="59" t="e">
        <f t="shared" si="25"/>
        <v>#DIV/0!</v>
      </c>
    </row>
    <row r="95" spans="1:9" x14ac:dyDescent="0.35">
      <c r="A95" s="55">
        <v>7</v>
      </c>
      <c r="B95" s="56" t="s">
        <v>45</v>
      </c>
      <c r="C95" s="55">
        <f>COUNTIFS('atm total'!E:E,B95,'atm total'!AM:AM,"CRM")</f>
        <v>0</v>
      </c>
      <c r="D95" s="55">
        <f>SUMIFS('atm total'!N:N,'atm total'!E:E,B95,'atm total'!AM:AM,"CRM")</f>
        <v>0</v>
      </c>
      <c r="E95" s="55">
        <f>SUMIFS('atm total'!O:O,'atm total'!E:E,B95,'atm total'!AM:AM,"CRM")</f>
        <v>0</v>
      </c>
      <c r="F95" s="55">
        <f>SUMIFS('atm total'!Q:Q,'atm total'!E:E,B95,'atm total'!AM:AM,"CRM")</f>
        <v>0</v>
      </c>
      <c r="G95" s="57">
        <v>99.2</v>
      </c>
      <c r="H95" s="58" t="e">
        <f t="shared" si="24"/>
        <v>#DIV/0!</v>
      </c>
      <c r="I95" s="59" t="e">
        <f t="shared" si="25"/>
        <v>#DIV/0!</v>
      </c>
    </row>
    <row r="96" spans="1:9" x14ac:dyDescent="0.35">
      <c r="A96" s="28"/>
      <c r="B96" s="28" t="s">
        <v>33</v>
      </c>
      <c r="C96" s="29">
        <f>SUM(C89:C95)</f>
        <v>0</v>
      </c>
      <c r="D96" s="29">
        <f>SUM(D89:D95)</f>
        <v>0</v>
      </c>
      <c r="E96" s="29">
        <f>SUM(E89:E95)</f>
        <v>0</v>
      </c>
      <c r="F96" s="29">
        <f>SUM(F89:F95)</f>
        <v>0</v>
      </c>
      <c r="G96" s="37">
        <v>99.2</v>
      </c>
      <c r="H96" s="38" t="e">
        <f t="shared" si="24"/>
        <v>#DIV/0!</v>
      </c>
      <c r="I96" s="39" t="e">
        <f t="shared" si="25"/>
        <v>#DIV/0!</v>
      </c>
    </row>
    <row r="99" spans="1:9" ht="21" x14ac:dyDescent="0.35">
      <c r="A99" s="44" t="s">
        <v>572</v>
      </c>
      <c r="B99" s="185" t="s">
        <v>3387</v>
      </c>
      <c r="C99" s="185"/>
      <c r="D99" s="185"/>
      <c r="E99" s="185"/>
      <c r="F99" s="185"/>
      <c r="G99" s="185"/>
      <c r="H99" s="185"/>
      <c r="I99" s="185"/>
    </row>
    <row r="101" spans="1:9" x14ac:dyDescent="0.35">
      <c r="A101" s="24" t="s">
        <v>26</v>
      </c>
      <c r="B101" s="24" t="s">
        <v>574</v>
      </c>
      <c r="C101" s="24" t="s">
        <v>571</v>
      </c>
      <c r="D101" s="24" t="s">
        <v>27</v>
      </c>
      <c r="E101" s="24" t="s">
        <v>28</v>
      </c>
      <c r="F101" s="24" t="s">
        <v>29</v>
      </c>
      <c r="G101" s="45" t="s">
        <v>30</v>
      </c>
      <c r="H101" s="46" t="s">
        <v>31</v>
      </c>
      <c r="I101" s="47" t="s">
        <v>32</v>
      </c>
    </row>
    <row r="102" spans="1:9" x14ac:dyDescent="0.35">
      <c r="A102" s="55">
        <v>1</v>
      </c>
      <c r="B102" s="56" t="s">
        <v>43</v>
      </c>
      <c r="C102" s="55">
        <f>COUNTIFS('atm total'!E:E,B102,'atm total'!AM:AM,"ATM")</f>
        <v>0</v>
      </c>
      <c r="D102" s="55">
        <f>SUMIFS('atm total'!N:N,'atm total'!E:E,B102,'atm total'!AM:AM,"ATM")</f>
        <v>0</v>
      </c>
      <c r="E102" s="55">
        <f>SUMIFS('atm total'!O:O,'atm total'!E:E,B102,'atm total'!AM:AM,"ATM")</f>
        <v>0</v>
      </c>
      <c r="F102" s="55">
        <f>SUMIFS('atm total'!Q:Q,'atm total'!E:E,B102,'atm total'!AM:AM,"ATM")</f>
        <v>0</v>
      </c>
      <c r="G102" s="57">
        <v>99.75</v>
      </c>
      <c r="H102" s="33" t="e">
        <f>100-I102</f>
        <v>#DIV/0!</v>
      </c>
      <c r="I102" s="36" t="e">
        <f t="shared" ref="I102:I104" si="26">(E102/F102)*100</f>
        <v>#DIV/0!</v>
      </c>
    </row>
    <row r="103" spans="1:9" x14ac:dyDescent="0.35">
      <c r="A103" s="55">
        <v>2</v>
      </c>
      <c r="B103" s="56" t="s">
        <v>41</v>
      </c>
      <c r="C103" s="55">
        <f>COUNTIFS('atm total'!E:E,B103,'atm total'!AM:AM,"ATM")</f>
        <v>0</v>
      </c>
      <c r="D103" s="55">
        <f>SUMIFS('atm total'!N:N,'atm total'!E:E,B103,'atm total'!AM:AM,"ATM")</f>
        <v>0</v>
      </c>
      <c r="E103" s="55">
        <f>SUMIFS('atm total'!O:O,'atm total'!E:E,B103,'atm total'!AM:AM,"ATM")</f>
        <v>0</v>
      </c>
      <c r="F103" s="55">
        <f>SUMIFS('atm total'!Q:Q,'atm total'!E:E,B103,'atm total'!AM:AM,"ATM")</f>
        <v>0</v>
      </c>
      <c r="G103" s="57">
        <v>99.75</v>
      </c>
      <c r="H103" s="58" t="e">
        <f t="shared" ref="H103:H109" si="27">100-I103</f>
        <v>#DIV/0!</v>
      </c>
      <c r="I103" s="59" t="e">
        <f t="shared" si="26"/>
        <v>#DIV/0!</v>
      </c>
    </row>
    <row r="104" spans="1:9" x14ac:dyDescent="0.35">
      <c r="A104" s="55">
        <v>3</v>
      </c>
      <c r="B104" s="56" t="s">
        <v>48</v>
      </c>
      <c r="C104" s="55">
        <f>COUNTIFS('atm total'!E:E,B104,'atm total'!AM:AM,"ATM")</f>
        <v>0</v>
      </c>
      <c r="D104" s="55">
        <f>SUMIFS('atm total'!N:N,'atm total'!E:E,B104,'atm total'!AM:AM,"ATM")</f>
        <v>0</v>
      </c>
      <c r="E104" s="55">
        <f>SUMIFS('atm total'!O:O,'atm total'!E:E,B104,'atm total'!AM:AM,"ATM")</f>
        <v>0</v>
      </c>
      <c r="F104" s="55">
        <f>SUMIFS('atm total'!Q:Q,'atm total'!E:E,B104,'atm total'!AM:AM,"ATM")</f>
        <v>0</v>
      </c>
      <c r="G104" s="57">
        <v>99.75</v>
      </c>
      <c r="H104" s="58" t="e">
        <f t="shared" si="27"/>
        <v>#DIV/0!</v>
      </c>
      <c r="I104" s="58" t="e">
        <f t="shared" si="26"/>
        <v>#DIV/0!</v>
      </c>
    </row>
    <row r="105" spans="1:9" x14ac:dyDescent="0.35">
      <c r="A105" s="55">
        <v>4</v>
      </c>
      <c r="B105" s="56" t="s">
        <v>47</v>
      </c>
      <c r="C105" s="55">
        <f>COUNTIFS('atm total'!E:E,B105,'atm total'!AM:AM,"ATM")</f>
        <v>0</v>
      </c>
      <c r="D105" s="55">
        <f>SUMIFS('atm total'!N:N,'atm total'!E:E,B105,'atm total'!AM:AM,"ATM")</f>
        <v>0</v>
      </c>
      <c r="E105" s="55">
        <f>SUMIFS('atm total'!O:O,'atm total'!E:E,B105,'atm total'!AM:AM,"ATM")</f>
        <v>0</v>
      </c>
      <c r="F105" s="55">
        <f>SUMIFS('atm total'!Q:Q,'atm total'!E:E,B105,'atm total'!AM:AM,"ATM")</f>
        <v>0</v>
      </c>
      <c r="G105" s="57">
        <v>99.75</v>
      </c>
      <c r="H105" s="58" t="e">
        <f t="shared" si="27"/>
        <v>#DIV/0!</v>
      </c>
      <c r="I105" s="58" t="e">
        <f>(E105/F105)*100</f>
        <v>#DIV/0!</v>
      </c>
    </row>
    <row r="106" spans="1:9" x14ac:dyDescent="0.35">
      <c r="A106" s="55">
        <v>5</v>
      </c>
      <c r="B106" s="56" t="s">
        <v>46</v>
      </c>
      <c r="C106" s="55">
        <f>COUNTIFS('atm total'!E:E,B106,'atm total'!AM:AM,"ATM")</f>
        <v>0</v>
      </c>
      <c r="D106" s="55">
        <f>SUMIFS('atm total'!N:N,'atm total'!E:E,B106,'atm total'!AM:AM,"ATM")</f>
        <v>0</v>
      </c>
      <c r="E106" s="55">
        <f>SUMIFS('atm total'!O:O,'atm total'!E:E,B106,'atm total'!AM:AM,"ATM")</f>
        <v>0</v>
      </c>
      <c r="F106" s="55">
        <f>SUMIFS('atm total'!Q:Q,'atm total'!E:E,B106,'atm total'!AM:AM,"ATM")</f>
        <v>0</v>
      </c>
      <c r="G106" s="57">
        <v>99.75</v>
      </c>
      <c r="H106" s="58" t="e">
        <f t="shared" si="27"/>
        <v>#DIV/0!</v>
      </c>
      <c r="I106" s="58" t="e">
        <f>(E106/F106)*100</f>
        <v>#DIV/0!</v>
      </c>
    </row>
    <row r="107" spans="1:9" x14ac:dyDescent="0.35">
      <c r="A107" s="55">
        <v>6</v>
      </c>
      <c r="B107" s="56" t="s">
        <v>44</v>
      </c>
      <c r="C107" s="55">
        <f>COUNTIFS('atm total'!E:E,B107,'atm total'!AM:AM,"ATM")</f>
        <v>0</v>
      </c>
      <c r="D107" s="55">
        <f>SUMIFS('atm total'!N:N,'atm total'!E:E,B107,'atm total'!AM:AM,"ATM")</f>
        <v>0</v>
      </c>
      <c r="E107" s="55">
        <f>SUMIFS('atm total'!O:O,'atm total'!E:E,B107,'atm total'!AM:AM,"ATM")</f>
        <v>0</v>
      </c>
      <c r="F107" s="55">
        <f>SUMIFS('atm total'!Q:Q,'atm total'!E:E,B107,'atm total'!AM:AM,"ATM")</f>
        <v>0</v>
      </c>
      <c r="G107" s="57">
        <v>99.75</v>
      </c>
      <c r="H107" s="58" t="e">
        <f t="shared" si="27"/>
        <v>#DIV/0!</v>
      </c>
      <c r="I107" s="58" t="e">
        <f>(E107/F107)*100</f>
        <v>#DIV/0!</v>
      </c>
    </row>
    <row r="108" spans="1:9" x14ac:dyDescent="0.35">
      <c r="A108" s="55">
        <v>7</v>
      </c>
      <c r="B108" s="56" t="s">
        <v>45</v>
      </c>
      <c r="C108" s="55">
        <f>COUNTIFS('atm total'!E:E,B108,'atm total'!AM:AM,"ATM")</f>
        <v>0</v>
      </c>
      <c r="D108" s="55">
        <f>SUMIFS('atm total'!N:N,'atm total'!E:E,B108,'atm total'!AM:AM,"ATM")</f>
        <v>0</v>
      </c>
      <c r="E108" s="55">
        <f>SUMIFS('atm total'!O:O,'atm total'!E:E,B108,'atm total'!AM:AM,"ATM")</f>
        <v>0</v>
      </c>
      <c r="F108" s="55">
        <f>SUMIFS('atm total'!Q:Q,'atm total'!E:E,B108,'atm total'!AM:AM,"ATM")</f>
        <v>0</v>
      </c>
      <c r="G108" s="57">
        <v>99.75</v>
      </c>
      <c r="H108" s="58" t="e">
        <f t="shared" si="27"/>
        <v>#DIV/0!</v>
      </c>
      <c r="I108" s="58" t="e">
        <f>(E108/F108)*100</f>
        <v>#DIV/0!</v>
      </c>
    </row>
    <row r="109" spans="1:9" x14ac:dyDescent="0.35">
      <c r="A109" s="28"/>
      <c r="B109" s="28" t="s">
        <v>33</v>
      </c>
      <c r="C109" s="29">
        <f>SUM(C102:C108)</f>
        <v>0</v>
      </c>
      <c r="D109" s="29">
        <f>SUM(D102:D108)</f>
        <v>0</v>
      </c>
      <c r="E109" s="29">
        <f>SUM(E102:E108)</f>
        <v>0</v>
      </c>
      <c r="F109" s="29">
        <f>SUM(F102:F108)</f>
        <v>0</v>
      </c>
      <c r="G109" s="29">
        <v>99.2</v>
      </c>
      <c r="H109" s="30" t="e">
        <f t="shared" si="27"/>
        <v>#DIV/0!</v>
      </c>
      <c r="I109" s="30" t="e">
        <f t="shared" ref="I109" si="28">(E109/F109)*100</f>
        <v>#DIV/0!</v>
      </c>
    </row>
    <row r="112" spans="1:9" ht="21" x14ac:dyDescent="0.35">
      <c r="A112" s="68" t="s">
        <v>572</v>
      </c>
      <c r="B112" s="188" t="s">
        <v>3389</v>
      </c>
      <c r="C112" s="188"/>
      <c r="D112" s="188"/>
      <c r="E112" s="188"/>
      <c r="F112" s="188"/>
      <c r="G112" s="188"/>
      <c r="H112" s="188"/>
      <c r="I112" s="188"/>
    </row>
    <row r="114" spans="1:9" x14ac:dyDescent="0.35">
      <c r="A114" s="24" t="s">
        <v>26</v>
      </c>
      <c r="B114" s="24" t="s">
        <v>575</v>
      </c>
      <c r="C114" s="24" t="s">
        <v>571</v>
      </c>
      <c r="D114" s="24" t="s">
        <v>27</v>
      </c>
      <c r="E114" s="24" t="s">
        <v>28</v>
      </c>
      <c r="F114" s="24" t="s">
        <v>29</v>
      </c>
      <c r="G114" s="45" t="s">
        <v>30</v>
      </c>
      <c r="H114" s="46" t="s">
        <v>31</v>
      </c>
      <c r="I114" s="47" t="s">
        <v>32</v>
      </c>
    </row>
    <row r="115" spans="1:9" x14ac:dyDescent="0.35">
      <c r="A115" s="32">
        <v>1</v>
      </c>
      <c r="B115" s="27" t="s">
        <v>577</v>
      </c>
      <c r="C115" s="32">
        <f>COUNTIFS('atm total'!AH:AH,B115,'atm total'!K:K,"Jatim 2")</f>
        <v>0</v>
      </c>
      <c r="D115" s="32">
        <f>SUMIFS('atm total'!N:N,'atm total'!AH:AH,B115,'atm total'!K:K,"Jatim 2")</f>
        <v>0</v>
      </c>
      <c r="E115" s="32">
        <f>SUMIFS('atm total'!O:O,'atm total'!AH:AH,B115,'atm total'!K:K,"Jatim 2")</f>
        <v>0</v>
      </c>
      <c r="F115" s="32">
        <f>SUMIFS('atm total'!Q:Q,'atm total'!AH:AH,B115,'atm total'!K:K,"Jatim 2")</f>
        <v>0</v>
      </c>
      <c r="G115" s="35">
        <v>99.2</v>
      </c>
      <c r="H115" s="33" t="e">
        <f>100-I115</f>
        <v>#DIV/0!</v>
      </c>
      <c r="I115" s="36" t="e">
        <f t="shared" ref="I115:I119" si="29">(E115/F115)*100</f>
        <v>#DIV/0!</v>
      </c>
    </row>
    <row r="116" spans="1:9" x14ac:dyDescent="0.35">
      <c r="A116" s="32">
        <v>2</v>
      </c>
      <c r="B116" s="27" t="s">
        <v>567</v>
      </c>
      <c r="C116" s="32">
        <f>COUNTIFS('atm total'!AH:AH,B116,'atm total'!K:K,"Jatim 2")</f>
        <v>0</v>
      </c>
      <c r="D116" s="32">
        <f>SUMIFS('atm total'!N:N,'atm total'!AH:AH,B116,'atm total'!K:K,"Jatim 2")</f>
        <v>0</v>
      </c>
      <c r="E116" s="32">
        <f>SUMIFS('atm total'!O:O,'atm total'!AH:AH,B116,'atm total'!K:K,"Jatim 2")</f>
        <v>0</v>
      </c>
      <c r="F116" s="32">
        <f>SUMIFS('atm total'!Q:Q,'atm total'!AH:AH,B116,'atm total'!K:K,"Jatim 2")</f>
        <v>0</v>
      </c>
      <c r="G116" s="35">
        <v>99.2</v>
      </c>
      <c r="H116" s="33" t="e">
        <f t="shared" ref="H116:H119" si="30">100-I116</f>
        <v>#DIV/0!</v>
      </c>
      <c r="I116" s="36" t="e">
        <f t="shared" si="29"/>
        <v>#DIV/0!</v>
      </c>
    </row>
    <row r="117" spans="1:9" x14ac:dyDescent="0.35">
      <c r="A117" s="32">
        <v>3</v>
      </c>
      <c r="B117" s="27" t="s">
        <v>568</v>
      </c>
      <c r="C117" s="32">
        <f>COUNTIFS('atm total'!AH:AH,B117,'atm total'!K:K,"Jatim 2")</f>
        <v>0</v>
      </c>
      <c r="D117" s="32">
        <f>SUMIFS('atm total'!N:N,'atm total'!AH:AH,B117,'atm total'!K:K,"Jatim 2")</f>
        <v>0</v>
      </c>
      <c r="E117" s="32">
        <f>SUMIFS('atm total'!O:O,'atm total'!AH:AH,B117,'atm total'!K:K,"Jatim 2")</f>
        <v>0</v>
      </c>
      <c r="F117" s="32">
        <f>SUMIFS('atm total'!Q:Q,'atm total'!AH:AH,B117,'atm total'!K:K,"Jatim 2")</f>
        <v>0</v>
      </c>
      <c r="G117" s="35">
        <v>99.2</v>
      </c>
      <c r="H117" s="69" t="e">
        <f t="shared" si="30"/>
        <v>#DIV/0!</v>
      </c>
      <c r="I117" s="36" t="e">
        <f t="shared" si="29"/>
        <v>#DIV/0!</v>
      </c>
    </row>
    <row r="118" spans="1:9" x14ac:dyDescent="0.35">
      <c r="A118" s="32">
        <v>4</v>
      </c>
      <c r="B118" s="27" t="s">
        <v>573</v>
      </c>
      <c r="C118" s="32">
        <f>COUNTIFS('atm total'!AH:AH,B118,'atm total'!K:K,"Jatim 2")</f>
        <v>0</v>
      </c>
      <c r="D118" s="32">
        <f>SUMIFS('atm total'!N:N,'atm total'!AH:AH,B118,'atm total'!K:K,"Jatim 2")</f>
        <v>0</v>
      </c>
      <c r="E118" s="32">
        <f>SUMIFS('atm total'!O:O,'atm total'!AH:AH,B118,'atm total'!K:K,"Jatim 2")</f>
        <v>0</v>
      </c>
      <c r="F118" s="32">
        <f>SUMIFS('atm total'!Q:Q,'atm total'!AH:AH,B118,'atm total'!K:K,"Jatim 2")</f>
        <v>0</v>
      </c>
      <c r="G118" s="35">
        <v>99.2</v>
      </c>
      <c r="H118" s="33" t="e">
        <f t="shared" si="30"/>
        <v>#DIV/0!</v>
      </c>
      <c r="I118" s="36" t="e">
        <f t="shared" si="29"/>
        <v>#DIV/0!</v>
      </c>
    </row>
    <row r="119" spans="1:9" x14ac:dyDescent="0.35">
      <c r="A119" s="32">
        <v>5</v>
      </c>
      <c r="B119" s="27" t="s">
        <v>569</v>
      </c>
      <c r="C119" s="32">
        <f>COUNTIFS('atm total'!AH:AH,B119,'atm total'!K:K,"Jatim 2")</f>
        <v>0</v>
      </c>
      <c r="D119" s="32">
        <f>SUMIFS('atm total'!N:N,'atm total'!AH:AH,B119,'atm total'!K:K,"Jatim 2")</f>
        <v>0</v>
      </c>
      <c r="E119" s="32">
        <f>SUMIFS('atm total'!O:O,'atm total'!AH:AH,B119,'atm total'!K:K,"Jatim 2")</f>
        <v>0</v>
      </c>
      <c r="F119" s="32">
        <f>SUMIFS('atm total'!Q:Q,'atm total'!AH:AH,B119,'atm total'!K:K,"Jatim 2")</f>
        <v>0</v>
      </c>
      <c r="G119" s="35">
        <v>99.2</v>
      </c>
      <c r="H119" s="33" t="e">
        <f t="shared" si="30"/>
        <v>#DIV/0!</v>
      </c>
      <c r="I119" s="36" t="e">
        <f t="shared" si="29"/>
        <v>#DIV/0!</v>
      </c>
    </row>
    <row r="120" spans="1:9" x14ac:dyDescent="0.35">
      <c r="A120" s="32">
        <v>6</v>
      </c>
      <c r="B120" s="27" t="s">
        <v>570</v>
      </c>
      <c r="C120" s="32">
        <f>COUNTIFS('atm total'!AH:AH,B120,'atm total'!K:K,"Jatim 2")</f>
        <v>0</v>
      </c>
      <c r="D120" s="32">
        <f>SUMIFS('atm total'!N:N,'atm total'!AH:AH,B120,'atm total'!K:K,"Jatim 2")</f>
        <v>0</v>
      </c>
      <c r="E120" s="32">
        <f>SUMIFS('atm total'!O:O,'atm total'!AH:AH,B120,'atm total'!K:K,"Jatim 2")</f>
        <v>0</v>
      </c>
      <c r="F120" s="32">
        <f>SUMIFS('atm total'!Q:Q,'atm total'!AH:AH,B120,'atm total'!K:K,"Jatim 2")</f>
        <v>0</v>
      </c>
      <c r="G120" s="35">
        <v>99.2</v>
      </c>
      <c r="H120" s="33" t="e">
        <f t="shared" ref="H120" si="31">100-I120</f>
        <v>#DIV/0!</v>
      </c>
      <c r="I120" s="36" t="e">
        <f t="shared" ref="I120" si="32">(E120/F120)*100</f>
        <v>#DIV/0!</v>
      </c>
    </row>
    <row r="121" spans="1:9" x14ac:dyDescent="0.35">
      <c r="A121" s="28"/>
      <c r="B121" s="28" t="s">
        <v>33</v>
      </c>
      <c r="C121" s="29">
        <f>SUM(C115:C120)</f>
        <v>0</v>
      </c>
      <c r="D121" s="29">
        <f>SUM(D115:D120)</f>
        <v>0</v>
      </c>
      <c r="E121" s="29">
        <f>SUM(E115:E120)</f>
        <v>0</v>
      </c>
      <c r="F121" s="29">
        <f>SUM(F115:F120)</f>
        <v>0</v>
      </c>
      <c r="G121" s="37">
        <v>99.2</v>
      </c>
      <c r="H121" s="38" t="e">
        <f>100-I121</f>
        <v>#DIV/0!</v>
      </c>
      <c r="I121" s="39" t="e">
        <f>(E121/F121)*100</f>
        <v>#DIV/0!</v>
      </c>
    </row>
    <row r="125" spans="1:9" ht="21" x14ac:dyDescent="0.35">
      <c r="A125" s="68" t="s">
        <v>572</v>
      </c>
      <c r="B125" s="188" t="s">
        <v>3390</v>
      </c>
      <c r="C125" s="188"/>
      <c r="D125" s="188"/>
      <c r="E125" s="188"/>
      <c r="F125" s="188"/>
      <c r="G125" s="188"/>
      <c r="H125" s="188"/>
      <c r="I125" s="188"/>
    </row>
    <row r="127" spans="1:9" x14ac:dyDescent="0.35">
      <c r="A127" s="24" t="s">
        <v>26</v>
      </c>
      <c r="B127" s="24" t="s">
        <v>574</v>
      </c>
      <c r="C127" s="24" t="s">
        <v>571</v>
      </c>
      <c r="D127" s="24" t="s">
        <v>27</v>
      </c>
      <c r="E127" s="24" t="s">
        <v>28</v>
      </c>
      <c r="F127" s="24" t="s">
        <v>29</v>
      </c>
      <c r="G127" s="45" t="s">
        <v>30</v>
      </c>
      <c r="H127" s="46" t="s">
        <v>31</v>
      </c>
      <c r="I127" s="47" t="s">
        <v>32</v>
      </c>
    </row>
    <row r="128" spans="1:9" x14ac:dyDescent="0.35">
      <c r="A128" s="32">
        <v>1</v>
      </c>
      <c r="B128" s="27" t="s">
        <v>560</v>
      </c>
      <c r="C128" s="32">
        <f>COUNTIFS('atm total'!E:E,B128,'atm total'!AM:AM,"CRM")</f>
        <v>0</v>
      </c>
      <c r="D128" s="32">
        <f>SUMIFS('atm total'!N:N,'atm total'!E:E,B128,'atm total'!AM:AM,"CRM")</f>
        <v>0</v>
      </c>
      <c r="E128" s="32">
        <f>SUMIFS('atm total'!O:O,'atm total'!E:E,B128,'atm total'!AM:AM,"CRM")</f>
        <v>0</v>
      </c>
      <c r="F128" s="32">
        <f>SUMIFS('atm total'!Q:Q,'atm total'!E:E,B128,'atm total'!AM:AM,"CRM")</f>
        <v>0</v>
      </c>
      <c r="G128" s="35">
        <v>99.2</v>
      </c>
      <c r="H128" s="33" t="e">
        <f>100-I128</f>
        <v>#DIV/0!</v>
      </c>
      <c r="I128" s="36" t="e">
        <f t="shared" ref="I128:I137" si="33">(E128/F128)*100</f>
        <v>#DIV/0!</v>
      </c>
    </row>
    <row r="129" spans="1:9" x14ac:dyDescent="0.35">
      <c r="A129" s="32">
        <v>2</v>
      </c>
      <c r="B129" s="27" t="s">
        <v>557</v>
      </c>
      <c r="C129" s="32">
        <f>COUNTIFS('atm total'!E:E,B129,'atm total'!AM:AM,"CRM")</f>
        <v>0</v>
      </c>
      <c r="D129" s="32">
        <f>SUMIFS('atm total'!N:N,'atm total'!E:E,B129,'atm total'!AM:AM,"CRM")</f>
        <v>0</v>
      </c>
      <c r="E129" s="32">
        <f>SUMIFS('atm total'!O:O,'atm total'!E:E,B129,'atm total'!AM:AM,"CRM")</f>
        <v>0</v>
      </c>
      <c r="F129" s="32">
        <f>SUMIFS('atm total'!Q:Q,'atm total'!E:E,B129,'atm total'!AM:AM,"CRM")</f>
        <v>0</v>
      </c>
      <c r="G129" s="35">
        <v>99.2</v>
      </c>
      <c r="H129" s="33" t="e">
        <f t="shared" ref="H129:H137" si="34">100-I129</f>
        <v>#DIV/0!</v>
      </c>
      <c r="I129" s="36" t="e">
        <f t="shared" si="33"/>
        <v>#DIV/0!</v>
      </c>
    </row>
    <row r="130" spans="1:9" x14ac:dyDescent="0.35">
      <c r="A130" s="32">
        <v>3</v>
      </c>
      <c r="B130" s="27" t="s">
        <v>578</v>
      </c>
      <c r="C130" s="32">
        <f>COUNTIFS('atm total'!E:E,B130,'atm total'!AM:AM,"CRM")</f>
        <v>0</v>
      </c>
      <c r="D130" s="32">
        <f>SUMIFS('atm total'!N:N,'atm total'!E:E,B130,'atm total'!AM:AM,"CRM")</f>
        <v>0</v>
      </c>
      <c r="E130" s="32">
        <f>SUMIFS('atm total'!O:O,'atm total'!E:E,B130,'atm total'!AM:AM,"CRM")</f>
        <v>0</v>
      </c>
      <c r="F130" s="32">
        <f>SUMIFS('atm total'!Q:Q,'atm total'!E:E,B130,'atm total'!AM:AM,"CRM")</f>
        <v>0</v>
      </c>
      <c r="G130" s="35">
        <v>99.2</v>
      </c>
      <c r="H130" s="33" t="e">
        <f t="shared" si="34"/>
        <v>#DIV/0!</v>
      </c>
      <c r="I130" s="36" t="e">
        <f t="shared" si="33"/>
        <v>#DIV/0!</v>
      </c>
    </row>
    <row r="131" spans="1:9" x14ac:dyDescent="0.35">
      <c r="A131" s="32">
        <v>4</v>
      </c>
      <c r="B131" s="27" t="s">
        <v>146</v>
      </c>
      <c r="C131" s="32">
        <f>COUNTIFS('atm total'!E:E,B131,'atm total'!AM:AM,"CRM")</f>
        <v>0</v>
      </c>
      <c r="D131" s="32">
        <f>SUMIFS('atm total'!N:N,'atm total'!E:E,B131,'atm total'!AM:AM,"CRM")</f>
        <v>0</v>
      </c>
      <c r="E131" s="32">
        <f>SUMIFS('atm total'!O:O,'atm total'!E:E,B131,'atm total'!AM:AM,"CRM")</f>
        <v>0</v>
      </c>
      <c r="F131" s="32">
        <f>SUMIFS('atm total'!Q:Q,'atm total'!E:E,B131,'atm total'!AM:AM,"CRM")</f>
        <v>0</v>
      </c>
      <c r="G131" s="35">
        <v>99.2</v>
      </c>
      <c r="H131" s="33" t="e">
        <f t="shared" si="34"/>
        <v>#DIV/0!</v>
      </c>
      <c r="I131" s="36" t="e">
        <f t="shared" si="33"/>
        <v>#DIV/0!</v>
      </c>
    </row>
    <row r="132" spans="1:9" x14ac:dyDescent="0.35">
      <c r="A132" s="32">
        <v>5</v>
      </c>
      <c r="B132" s="27" t="s">
        <v>64</v>
      </c>
      <c r="C132" s="32">
        <f>COUNTIFS('atm total'!E:E,B132,'atm total'!AM:AM,"CRM")</f>
        <v>0</v>
      </c>
      <c r="D132" s="32">
        <f>SUMIFS('atm total'!N:N,'atm total'!E:E,B132,'atm total'!AM:AM,"CRM")</f>
        <v>0</v>
      </c>
      <c r="E132" s="32">
        <f>SUMIFS('atm total'!O:O,'atm total'!E:E,B132,'atm total'!AM:AM,"CRM")</f>
        <v>0</v>
      </c>
      <c r="F132" s="32">
        <f>SUMIFS('atm total'!Q:Q,'atm total'!E:E,B132,'atm total'!AM:AM,"CRM")</f>
        <v>0</v>
      </c>
      <c r="G132" s="35">
        <v>99.2</v>
      </c>
      <c r="H132" s="33" t="e">
        <f t="shared" si="34"/>
        <v>#DIV/0!</v>
      </c>
      <c r="I132" s="36" t="e">
        <f t="shared" si="33"/>
        <v>#DIV/0!</v>
      </c>
    </row>
    <row r="133" spans="1:9" x14ac:dyDescent="0.35">
      <c r="A133" s="32">
        <v>6</v>
      </c>
      <c r="B133" s="27" t="s">
        <v>126</v>
      </c>
      <c r="C133" s="32">
        <f>COUNTIFS('atm total'!E:E,B133,'atm total'!AM:AM,"CRM")</f>
        <v>0</v>
      </c>
      <c r="D133" s="32">
        <f>SUMIFS('atm total'!N:N,'atm total'!E:E,B133,'atm total'!AM:AM,"CRM")</f>
        <v>0</v>
      </c>
      <c r="E133" s="32">
        <f>SUMIFS('atm total'!O:O,'atm total'!E:E,B133,'atm total'!AM:AM,"CRM")</f>
        <v>0</v>
      </c>
      <c r="F133" s="32">
        <f>SUMIFS('atm total'!Q:Q,'atm total'!E:E,B133,'atm total'!AM:AM,"CRM")</f>
        <v>0</v>
      </c>
      <c r="G133" s="35">
        <v>99.2</v>
      </c>
      <c r="H133" s="33" t="e">
        <f t="shared" ref="H133" si="35">100-I133</f>
        <v>#DIV/0!</v>
      </c>
      <c r="I133" s="36" t="e">
        <f t="shared" ref="I133" si="36">(E133/F133)*100</f>
        <v>#DIV/0!</v>
      </c>
    </row>
    <row r="134" spans="1:9" x14ac:dyDescent="0.35">
      <c r="A134" s="32">
        <v>7</v>
      </c>
      <c r="B134" s="27" t="s">
        <v>61</v>
      </c>
      <c r="C134" s="32">
        <f>COUNTIFS('atm total'!E:E,B134,'atm total'!AM:AM,"CRM")</f>
        <v>0</v>
      </c>
      <c r="D134" s="32">
        <f>SUMIFS('atm total'!N:N,'atm total'!E:E,B134,'atm total'!AM:AM,"CRM")</f>
        <v>0</v>
      </c>
      <c r="E134" s="32">
        <f>SUMIFS('atm total'!O:O,'atm total'!E:E,B134,'atm total'!AM:AM,"CRM")</f>
        <v>0</v>
      </c>
      <c r="F134" s="32">
        <f>SUMIFS('atm total'!Q:Q,'atm total'!E:E,B134,'atm total'!AM:AM,"CRM")</f>
        <v>0</v>
      </c>
      <c r="G134" s="35">
        <v>99.2</v>
      </c>
      <c r="H134" s="33" t="e">
        <f t="shared" ref="H134:H135" si="37">100-I134</f>
        <v>#DIV/0!</v>
      </c>
      <c r="I134" s="36" t="e">
        <f t="shared" ref="I134:I135" si="38">(E134/F134)*100</f>
        <v>#DIV/0!</v>
      </c>
    </row>
    <row r="135" spans="1:9" x14ac:dyDescent="0.35">
      <c r="A135" s="32">
        <v>8</v>
      </c>
      <c r="B135" s="27" t="s">
        <v>79</v>
      </c>
      <c r="C135" s="32">
        <f>COUNTIFS('atm total'!E:E,B135,'atm total'!AM:AM,"CRM")</f>
        <v>0</v>
      </c>
      <c r="D135" s="32">
        <f>SUMIFS('atm total'!N:N,'atm total'!E:E,B135,'atm total'!AM:AM,"CRM")</f>
        <v>0</v>
      </c>
      <c r="E135" s="32">
        <f>SUMIFS('atm total'!O:O,'atm total'!E:E,B135,'atm total'!AM:AM,"CRM")</f>
        <v>0</v>
      </c>
      <c r="F135" s="32">
        <f>SUMIFS('atm total'!Q:Q,'atm total'!E:E,B135,'atm total'!AM:AM,"CRM")</f>
        <v>0</v>
      </c>
      <c r="G135" s="35">
        <v>99.2</v>
      </c>
      <c r="H135" s="33" t="e">
        <f t="shared" si="37"/>
        <v>#DIV/0!</v>
      </c>
      <c r="I135" s="36" t="e">
        <f t="shared" si="38"/>
        <v>#DIV/0!</v>
      </c>
    </row>
    <row r="136" spans="1:9" x14ac:dyDescent="0.35">
      <c r="A136" s="32"/>
      <c r="B136" s="27"/>
      <c r="C136" s="32"/>
      <c r="D136" s="32"/>
      <c r="E136" s="32"/>
      <c r="F136" s="32"/>
      <c r="G136" s="35"/>
      <c r="H136" s="33"/>
      <c r="I136" s="36"/>
    </row>
    <row r="137" spans="1:9" x14ac:dyDescent="0.35">
      <c r="A137" s="28"/>
      <c r="B137" s="28" t="s">
        <v>33</v>
      </c>
      <c r="C137" s="29">
        <f>SUM(C128:C136)</f>
        <v>0</v>
      </c>
      <c r="D137" s="29">
        <f>SUM(D128:D136)</f>
        <v>0</v>
      </c>
      <c r="E137" s="29">
        <f>SUM(E128:E136)</f>
        <v>0</v>
      </c>
      <c r="F137" s="29">
        <f>SUM(F128:F136)</f>
        <v>0</v>
      </c>
      <c r="G137" s="37">
        <v>99.2</v>
      </c>
      <c r="H137" s="38" t="e">
        <f t="shared" si="34"/>
        <v>#DIV/0!</v>
      </c>
      <c r="I137" s="39" t="e">
        <f t="shared" si="33"/>
        <v>#DIV/0!</v>
      </c>
    </row>
    <row r="140" spans="1:9" ht="21" x14ac:dyDescent="0.35">
      <c r="A140" s="68" t="s">
        <v>572</v>
      </c>
      <c r="B140" s="188" t="s">
        <v>3391</v>
      </c>
      <c r="C140" s="188"/>
      <c r="D140" s="188"/>
      <c r="E140" s="188"/>
      <c r="F140" s="188"/>
      <c r="G140" s="188"/>
      <c r="H140" s="188"/>
      <c r="I140" s="188"/>
    </row>
    <row r="142" spans="1:9" x14ac:dyDescent="0.35">
      <c r="A142" s="24" t="s">
        <v>26</v>
      </c>
      <c r="B142" s="24" t="s">
        <v>574</v>
      </c>
      <c r="C142" s="24" t="s">
        <v>571</v>
      </c>
      <c r="D142" s="24" t="s">
        <v>27</v>
      </c>
      <c r="E142" s="24" t="s">
        <v>28</v>
      </c>
      <c r="F142" s="24" t="s">
        <v>29</v>
      </c>
      <c r="G142" s="45" t="s">
        <v>30</v>
      </c>
      <c r="H142" s="46" t="s">
        <v>31</v>
      </c>
      <c r="I142" s="47" t="s">
        <v>32</v>
      </c>
    </row>
    <row r="143" spans="1:9" x14ac:dyDescent="0.35">
      <c r="A143" s="32">
        <v>1</v>
      </c>
      <c r="B143" s="27" t="s">
        <v>560</v>
      </c>
      <c r="C143" s="32">
        <f>COUNTIFS('atm total'!E:E,B143,'atm total'!AM:AM,"ATM")</f>
        <v>0</v>
      </c>
      <c r="D143" s="32">
        <f>SUMIFS('atm total'!N:N,'atm total'!E:E,B143,'atm total'!AM:AM,"ATM")</f>
        <v>0</v>
      </c>
      <c r="E143" s="32">
        <f>SUMIFS('atm total'!O:O,'atm total'!E:E,B143,'atm total'!AM:AM,"ATM")</f>
        <v>0</v>
      </c>
      <c r="F143" s="32">
        <f>SUMIFS('atm total'!Q:Q,'atm total'!E:E,B143,'atm total'!AM:AM,"ATM")</f>
        <v>0</v>
      </c>
      <c r="G143" s="35">
        <v>99.75</v>
      </c>
      <c r="H143" s="33" t="e">
        <f t="shared" ref="H143:H150" si="39">100-I143</f>
        <v>#DIV/0!</v>
      </c>
      <c r="I143" s="36" t="e">
        <f t="shared" ref="I143" si="40">(E143/F143)*100</f>
        <v>#DIV/0!</v>
      </c>
    </row>
    <row r="144" spans="1:9" x14ac:dyDescent="0.35">
      <c r="A144" s="32">
        <v>2</v>
      </c>
      <c r="B144" s="27" t="s">
        <v>557</v>
      </c>
      <c r="C144" s="32">
        <f>COUNTIFS('atm total'!E:E,B144,'atm total'!AM:AM,"ATM")</f>
        <v>0</v>
      </c>
      <c r="D144" s="32">
        <f>SUMIFS('atm total'!N:N,'atm total'!E:E,B144,'atm total'!AM:AM,"ATM")</f>
        <v>0</v>
      </c>
      <c r="E144" s="32">
        <f>SUMIFS('atm total'!O:O,'atm total'!E:E,B144,'atm total'!AM:AM,"ATM")</f>
        <v>0</v>
      </c>
      <c r="F144" s="32">
        <f>SUMIFS('atm total'!Q:Q,'atm total'!E:E,B144,'atm total'!AM:AM,"ATM")</f>
        <v>0</v>
      </c>
      <c r="G144" s="35">
        <v>99.75</v>
      </c>
      <c r="H144" s="33" t="e">
        <f t="shared" si="39"/>
        <v>#DIV/0!</v>
      </c>
      <c r="I144" s="36" t="e">
        <f t="shared" ref="I144:I145" si="41">(E144/F144)*100</f>
        <v>#DIV/0!</v>
      </c>
    </row>
    <row r="145" spans="1:9" x14ac:dyDescent="0.35">
      <c r="A145" s="32">
        <v>3</v>
      </c>
      <c r="B145" s="27" t="s">
        <v>578</v>
      </c>
      <c r="C145" s="32">
        <f>COUNTIFS('atm total'!E:E,B145,'atm total'!AM:AM,"ATM")</f>
        <v>0</v>
      </c>
      <c r="D145" s="32">
        <f>SUMIFS('atm total'!N:N,'atm total'!E:E,B145,'atm total'!AM:AM,"ATM")</f>
        <v>0</v>
      </c>
      <c r="E145" s="32">
        <f>SUMIFS('atm total'!O:O,'atm total'!E:E,B145,'atm total'!AM:AM,"ATM")</f>
        <v>0</v>
      </c>
      <c r="F145" s="32">
        <f>SUMIFS('atm total'!Q:Q,'atm total'!E:E,B145,'atm total'!AM:AM,"ATM")</f>
        <v>0</v>
      </c>
      <c r="G145" s="35">
        <v>99.75</v>
      </c>
      <c r="H145" s="33" t="e">
        <f t="shared" si="39"/>
        <v>#DIV/0!</v>
      </c>
      <c r="I145" s="33" t="e">
        <f t="shared" si="41"/>
        <v>#DIV/0!</v>
      </c>
    </row>
    <row r="146" spans="1:9" x14ac:dyDescent="0.35">
      <c r="A146" s="32">
        <v>4</v>
      </c>
      <c r="B146" s="27" t="s">
        <v>146</v>
      </c>
      <c r="C146" s="32">
        <f>COUNTIFS('atm total'!E:E,B146,'atm total'!AM:AM,"ATM")</f>
        <v>0</v>
      </c>
      <c r="D146" s="32">
        <f>SUMIFS('atm total'!N:N,'atm total'!E:E,B146,'atm total'!AM:AM,"ATM")</f>
        <v>0</v>
      </c>
      <c r="E146" s="32">
        <f>SUMIFS('atm total'!O:O,'atm total'!E:E,B146,'atm total'!AM:AM,"ATM")</f>
        <v>0</v>
      </c>
      <c r="F146" s="32">
        <f>SUMIFS('atm total'!Q:Q,'atm total'!E:E,B146,'atm total'!AM:AM,"ATM")</f>
        <v>0</v>
      </c>
      <c r="G146" s="35">
        <v>99.75</v>
      </c>
      <c r="H146" s="33" t="e">
        <f t="shared" si="39"/>
        <v>#DIV/0!</v>
      </c>
      <c r="I146" s="33" t="e">
        <f>(E146/F146)*100</f>
        <v>#DIV/0!</v>
      </c>
    </row>
    <row r="147" spans="1:9" x14ac:dyDescent="0.35">
      <c r="A147" s="32">
        <v>5</v>
      </c>
      <c r="B147" s="27" t="s">
        <v>64</v>
      </c>
      <c r="C147" s="32">
        <f>COUNTIFS('atm total'!E:E,B147,'atm total'!AM:AM,"ATM")</f>
        <v>0</v>
      </c>
      <c r="D147" s="32">
        <f>SUMIFS('atm total'!N:N,'atm total'!E:E,B147,'atm total'!AM:AM,"ATM")</f>
        <v>0</v>
      </c>
      <c r="E147" s="32">
        <f>SUMIFS('atm total'!O:O,'atm total'!E:E,B147,'atm total'!AM:AM,"ATM")</f>
        <v>0</v>
      </c>
      <c r="F147" s="32">
        <f>SUMIFS('atm total'!Q:Q,'atm total'!E:E,B147,'atm total'!AM:AM,"ATM")</f>
        <v>0</v>
      </c>
      <c r="G147" s="35">
        <v>99.75</v>
      </c>
      <c r="H147" s="33" t="e">
        <f t="shared" si="39"/>
        <v>#DIV/0!</v>
      </c>
      <c r="I147" s="33" t="e">
        <f>(E147/F147)*100</f>
        <v>#DIV/0!</v>
      </c>
    </row>
    <row r="148" spans="1:9" x14ac:dyDescent="0.35">
      <c r="A148" s="32">
        <v>6</v>
      </c>
      <c r="B148" s="27" t="s">
        <v>126</v>
      </c>
      <c r="C148" s="32">
        <f>COUNTIFS('atm total'!E:E,B148,'atm total'!AM:AM,"ATM")</f>
        <v>0</v>
      </c>
      <c r="D148" s="32">
        <f>SUMIFS('atm total'!N:N,'atm total'!E:E,B148,'atm total'!AM:AM,"ATM")</f>
        <v>0</v>
      </c>
      <c r="E148" s="32">
        <f>SUMIFS('atm total'!O:O,'atm total'!E:E,B148,'atm total'!AM:AM,"ATM")</f>
        <v>0</v>
      </c>
      <c r="F148" s="32">
        <f>SUMIFS('atm total'!Q:Q,'atm total'!E:E,B148,'atm total'!AM:AM,"ATM")</f>
        <v>0</v>
      </c>
      <c r="G148" s="35">
        <v>99.75</v>
      </c>
      <c r="H148" s="33" t="e">
        <f t="shared" si="39"/>
        <v>#DIV/0!</v>
      </c>
      <c r="I148" s="33" t="e">
        <f t="shared" ref="I148:I150" si="42">(E148/F148)*100</f>
        <v>#DIV/0!</v>
      </c>
    </row>
    <row r="149" spans="1:9" x14ac:dyDescent="0.35">
      <c r="A149" s="32">
        <v>7</v>
      </c>
      <c r="B149" s="27" t="s">
        <v>61</v>
      </c>
      <c r="C149" s="32">
        <f>COUNTIFS('atm total'!E:E,B149,'atm total'!AM:AM,"ATM")</f>
        <v>0</v>
      </c>
      <c r="D149" s="32">
        <f>SUMIFS('atm total'!N:N,'atm total'!E:E,B149,'atm total'!AM:AM,"ATM")</f>
        <v>0</v>
      </c>
      <c r="E149" s="32">
        <f>SUMIFS('atm total'!O:O,'atm total'!E:E,B149,'atm total'!AM:AM,"ATM")</f>
        <v>0</v>
      </c>
      <c r="F149" s="32">
        <f>SUMIFS('atm total'!Q:Q,'atm total'!E:E,B149,'atm total'!AM:AM,"ATM")</f>
        <v>0</v>
      </c>
      <c r="G149" s="35">
        <v>99.75</v>
      </c>
      <c r="H149" s="33" t="e">
        <f t="shared" si="39"/>
        <v>#DIV/0!</v>
      </c>
      <c r="I149" s="33" t="e">
        <f t="shared" si="42"/>
        <v>#DIV/0!</v>
      </c>
    </row>
    <row r="150" spans="1:9" x14ac:dyDescent="0.35">
      <c r="A150" s="32">
        <v>8</v>
      </c>
      <c r="B150" s="27" t="s">
        <v>79</v>
      </c>
      <c r="C150" s="32">
        <f>COUNTIFS('atm total'!E:E,B150,'atm total'!AM:AM,"ATM")</f>
        <v>0</v>
      </c>
      <c r="D150" s="32">
        <f>SUMIFS('atm total'!N:N,'atm total'!E:E,B150,'atm total'!AM:AM,"ATM")</f>
        <v>0</v>
      </c>
      <c r="E150" s="32">
        <f>SUMIFS('atm total'!O:O,'atm total'!E:E,B150,'atm total'!AM:AM,"ATM")</f>
        <v>0</v>
      </c>
      <c r="F150" s="32">
        <f>SUMIFS('atm total'!Q:Q,'atm total'!E:E,B150,'atm total'!AM:AM,"ATM")</f>
        <v>0</v>
      </c>
      <c r="G150" s="35">
        <v>99.75</v>
      </c>
      <c r="H150" s="33" t="e">
        <f t="shared" si="39"/>
        <v>#DIV/0!</v>
      </c>
      <c r="I150" s="33" t="e">
        <f t="shared" si="42"/>
        <v>#DIV/0!</v>
      </c>
    </row>
    <row r="151" spans="1:9" x14ac:dyDescent="0.35">
      <c r="A151" s="32"/>
      <c r="B151" s="27"/>
      <c r="C151" s="32"/>
      <c r="D151" s="32"/>
      <c r="E151" s="32"/>
      <c r="F151" s="32"/>
      <c r="G151" s="35"/>
      <c r="H151" s="33"/>
      <c r="I151" s="33"/>
    </row>
    <row r="152" spans="1:9" x14ac:dyDescent="0.35">
      <c r="A152" s="28"/>
      <c r="B152" s="28" t="s">
        <v>33</v>
      </c>
      <c r="C152" s="29">
        <f>SUM(C143:C151)</f>
        <v>0</v>
      </c>
      <c r="D152" s="29">
        <f>SUM(D143:D151)</f>
        <v>0</v>
      </c>
      <c r="E152" s="29">
        <f>SUM(E143:E151)</f>
        <v>0</v>
      </c>
      <c r="F152" s="29">
        <f>SUM(F143:F151)</f>
        <v>0</v>
      </c>
      <c r="G152" s="29">
        <v>99.2</v>
      </c>
      <c r="H152" s="167" t="e">
        <f t="shared" ref="H152" si="43">100-I152</f>
        <v>#DIV/0!</v>
      </c>
      <c r="I152" s="30" t="e">
        <f t="shared" ref="I152" si="44">(E152/F152)*100</f>
        <v>#DIV/0!</v>
      </c>
    </row>
    <row r="155" spans="1:9" ht="21" x14ac:dyDescent="0.35">
      <c r="A155" s="143" t="s">
        <v>572</v>
      </c>
      <c r="B155" s="187" t="s">
        <v>3392</v>
      </c>
      <c r="C155" s="187"/>
      <c r="D155" s="187"/>
      <c r="E155" s="187"/>
      <c r="F155" s="187"/>
      <c r="G155" s="187"/>
      <c r="H155" s="187"/>
      <c r="I155" s="187"/>
    </row>
    <row r="157" spans="1:9" x14ac:dyDescent="0.35">
      <c r="A157" s="24" t="s">
        <v>26</v>
      </c>
      <c r="B157" s="24" t="s">
        <v>575</v>
      </c>
      <c r="C157" s="24" t="s">
        <v>571</v>
      </c>
      <c r="D157" s="24" t="s">
        <v>27</v>
      </c>
      <c r="E157" s="24" t="s">
        <v>28</v>
      </c>
      <c r="F157" s="24" t="s">
        <v>29</v>
      </c>
      <c r="G157" s="45" t="s">
        <v>30</v>
      </c>
      <c r="H157" s="46" t="s">
        <v>31</v>
      </c>
      <c r="I157" s="47" t="s">
        <v>32</v>
      </c>
    </row>
    <row r="158" spans="1:9" x14ac:dyDescent="0.35">
      <c r="A158" s="32">
        <v>1</v>
      </c>
      <c r="B158" s="27" t="s">
        <v>577</v>
      </c>
      <c r="C158" s="32">
        <f>COUNTIFS('atm total'!AH:AH,B158,'atm total'!K:K,"Jatim 1")</f>
        <v>0</v>
      </c>
      <c r="D158" s="32">
        <f>SUMIFS('atm total'!N:N,'atm total'!AH:AH,B158,'atm total'!K:K,"Jatim 1")</f>
        <v>0</v>
      </c>
      <c r="E158" s="32">
        <f>SUMIFS('atm total'!O:O,'atm total'!AH:AH,B158,'atm total'!K:K,"Jatim 1")</f>
        <v>0</v>
      </c>
      <c r="F158" s="32">
        <f>SUMIFS('atm total'!Q:Q,'atm total'!AH:AH,B158,'atm total'!K:K,"Jatim 1")</f>
        <v>0</v>
      </c>
      <c r="G158" s="35">
        <v>99.2</v>
      </c>
      <c r="H158" s="33" t="e">
        <f>100-I158</f>
        <v>#DIV/0!</v>
      </c>
      <c r="I158" s="36" t="e">
        <f t="shared" ref="I158:I162" si="45">(E158/F158)*100</f>
        <v>#DIV/0!</v>
      </c>
    </row>
    <row r="159" spans="1:9" x14ac:dyDescent="0.35">
      <c r="A159" s="32">
        <v>2</v>
      </c>
      <c r="B159" s="27" t="s">
        <v>567</v>
      </c>
      <c r="C159" s="32">
        <f>COUNTIFS('atm total'!AH:AH,B159,'atm total'!K:K,"Jatim 1")</f>
        <v>0</v>
      </c>
      <c r="D159" s="32">
        <f>SUMIFS('atm total'!N:N,'atm total'!AH:AH,B159,'atm total'!K:K,"Jatim 1")</f>
        <v>0</v>
      </c>
      <c r="E159" s="32">
        <f>SUMIFS('atm total'!O:O,'atm total'!AH:AH,B159,'atm total'!K:K,"Jatim 1")</f>
        <v>0</v>
      </c>
      <c r="F159" s="32">
        <f>SUMIFS('atm total'!Q:Q,'atm total'!AH:AH,B159,'atm total'!K:K,"Jatim 1")</f>
        <v>0</v>
      </c>
      <c r="G159" s="35">
        <v>99.2</v>
      </c>
      <c r="H159" s="33" t="e">
        <f t="shared" ref="H159:H162" si="46">100-I159</f>
        <v>#DIV/0!</v>
      </c>
      <c r="I159" s="36" t="e">
        <f t="shared" si="45"/>
        <v>#DIV/0!</v>
      </c>
    </row>
    <row r="160" spans="1:9" x14ac:dyDescent="0.35">
      <c r="A160" s="32">
        <v>3</v>
      </c>
      <c r="B160" s="27" t="s">
        <v>568</v>
      </c>
      <c r="C160" s="32">
        <f>COUNTIFS('atm total'!AH:AH,B160,'atm total'!K:K,"Jatim 1")</f>
        <v>0</v>
      </c>
      <c r="D160" s="32">
        <f>SUMIFS('atm total'!N:N,'atm total'!AH:AH,B160,'atm total'!K:K,"Jatim 1")</f>
        <v>0</v>
      </c>
      <c r="E160" s="32">
        <f>SUMIFS('atm total'!O:O,'atm total'!AH:AH,B160,'atm total'!K:K,"Jatim 1")</f>
        <v>0</v>
      </c>
      <c r="F160" s="32">
        <f>SUMIFS('atm total'!Q:Q,'atm total'!AH:AH,B160,'atm total'!K:K,"Jatim 1")</f>
        <v>0</v>
      </c>
      <c r="G160" s="35">
        <v>99.2</v>
      </c>
      <c r="H160" s="69" t="e">
        <f t="shared" si="46"/>
        <v>#DIV/0!</v>
      </c>
      <c r="I160" s="36" t="e">
        <f t="shared" si="45"/>
        <v>#DIV/0!</v>
      </c>
    </row>
    <row r="161" spans="1:9" x14ac:dyDescent="0.35">
      <c r="A161" s="32">
        <v>4</v>
      </c>
      <c r="B161" s="27" t="s">
        <v>569</v>
      </c>
      <c r="C161" s="32">
        <f>COUNTIFS('atm total'!AH:AH,B161,'atm total'!K:K,"Jatim 1")</f>
        <v>0</v>
      </c>
      <c r="D161" s="32">
        <f>SUMIFS('atm total'!N:N,'atm total'!AH:AH,B161,'atm total'!K:K,"Jatim 1")</f>
        <v>0</v>
      </c>
      <c r="E161" s="32">
        <f>SUMIFS('atm total'!O:O,'atm total'!AH:AH,B161,'atm total'!K:K,"Jatim 1")</f>
        <v>0</v>
      </c>
      <c r="F161" s="32">
        <f>SUMIFS('atm total'!Q:Q,'atm total'!AH:AH,B161,'atm total'!K:K,"Jatim 1")</f>
        <v>0</v>
      </c>
      <c r="G161" s="35">
        <v>99.2</v>
      </c>
      <c r="H161" s="33" t="e">
        <f t="shared" si="46"/>
        <v>#DIV/0!</v>
      </c>
      <c r="I161" s="36" t="e">
        <f t="shared" si="45"/>
        <v>#DIV/0!</v>
      </c>
    </row>
    <row r="162" spans="1:9" x14ac:dyDescent="0.35">
      <c r="A162" s="32">
        <v>5</v>
      </c>
      <c r="B162" s="27" t="s">
        <v>570</v>
      </c>
      <c r="C162" s="32">
        <f>COUNTIFS('atm total'!AH:AH,B162,'atm total'!K:K,"Jatim 1")</f>
        <v>0</v>
      </c>
      <c r="D162" s="32">
        <f>SUMIFS('atm total'!N:N,'atm total'!AH:AH,B162,'atm total'!K:K,"Jatim 1")</f>
        <v>0</v>
      </c>
      <c r="E162" s="32">
        <f>SUMIFS('atm total'!O:O,'atm total'!AH:AH,B162,'atm total'!K:K,"Jatim 1")</f>
        <v>0</v>
      </c>
      <c r="F162" s="32">
        <f>SUMIFS('atm total'!Q:Q,'atm total'!AH:AH,B162,'atm total'!K:K,"Jatim 1")</f>
        <v>0</v>
      </c>
      <c r="G162" s="35">
        <v>99.2</v>
      </c>
      <c r="H162" s="33" t="e">
        <f t="shared" si="46"/>
        <v>#DIV/0!</v>
      </c>
      <c r="I162" s="36" t="e">
        <f t="shared" si="45"/>
        <v>#DIV/0!</v>
      </c>
    </row>
    <row r="163" spans="1:9" x14ac:dyDescent="0.35">
      <c r="A163" s="28"/>
      <c r="B163" s="28" t="s">
        <v>33</v>
      </c>
      <c r="C163" s="29">
        <f>SUM(C158:C162)</f>
        <v>0</v>
      </c>
      <c r="D163" s="29">
        <f>SUM(D158:D162)</f>
        <v>0</v>
      </c>
      <c r="E163" s="29">
        <f>SUM(E158:E162)</f>
        <v>0</v>
      </c>
      <c r="F163" s="29">
        <f>SUM(F158:F162)</f>
        <v>0</v>
      </c>
      <c r="G163" s="37">
        <v>99.2</v>
      </c>
      <c r="H163" s="38" t="e">
        <f>100-I163</f>
        <v>#DIV/0!</v>
      </c>
      <c r="I163" s="39" t="e">
        <f>(E163/F163)*100</f>
        <v>#DIV/0!</v>
      </c>
    </row>
    <row r="167" spans="1:9" ht="21" x14ac:dyDescent="0.35">
      <c r="A167" s="143" t="s">
        <v>572</v>
      </c>
      <c r="B167" s="187" t="s">
        <v>3393</v>
      </c>
      <c r="C167" s="187"/>
      <c r="D167" s="187"/>
      <c r="E167" s="187"/>
      <c r="F167" s="187"/>
      <c r="G167" s="187"/>
      <c r="H167" s="187"/>
      <c r="I167" s="187"/>
    </row>
    <row r="169" spans="1:9" x14ac:dyDescent="0.35">
      <c r="A169" s="24" t="s">
        <v>26</v>
      </c>
      <c r="B169" s="24" t="s">
        <v>574</v>
      </c>
      <c r="C169" s="24" t="s">
        <v>571</v>
      </c>
      <c r="D169" s="24" t="s">
        <v>27</v>
      </c>
      <c r="E169" s="24" t="s">
        <v>28</v>
      </c>
      <c r="F169" s="24" t="s">
        <v>29</v>
      </c>
      <c r="G169" s="45" t="s">
        <v>30</v>
      </c>
      <c r="H169" s="46" t="s">
        <v>31</v>
      </c>
      <c r="I169" s="47" t="s">
        <v>32</v>
      </c>
    </row>
    <row r="170" spans="1:9" x14ac:dyDescent="0.35">
      <c r="A170" s="32">
        <v>1</v>
      </c>
      <c r="B170" s="27" t="s">
        <v>2097</v>
      </c>
      <c r="C170" s="32">
        <f>COUNTIFS('atm total'!E:E,B170,'atm total'!AM:AM,"CRM")</f>
        <v>0</v>
      </c>
      <c r="D170" s="32">
        <f>SUMIFS('atm total'!N:N,'atm total'!E:E,B170,'atm total'!AM:AM,"CRM")</f>
        <v>0</v>
      </c>
      <c r="E170" s="32">
        <f>SUMIFS('atm total'!O:O,'atm total'!E:E,B170,'atm total'!AM:AM,"CRM")</f>
        <v>0</v>
      </c>
      <c r="F170" s="32">
        <f>SUMIFS('atm total'!Q:Q,'atm total'!E:E,B170,'atm total'!AM:AM,"CRM")</f>
        <v>0</v>
      </c>
      <c r="G170" s="35">
        <v>99.2</v>
      </c>
      <c r="H170" s="33" t="e">
        <f>100-I170</f>
        <v>#DIV/0!</v>
      </c>
      <c r="I170" s="36" t="e">
        <f t="shared" ref="I170:I175" si="47">(E170/F170)*100</f>
        <v>#DIV/0!</v>
      </c>
    </row>
    <row r="171" spans="1:9" x14ac:dyDescent="0.35">
      <c r="A171" s="32">
        <v>2</v>
      </c>
      <c r="B171" s="27" t="s">
        <v>2086</v>
      </c>
      <c r="C171" s="32">
        <f>COUNTIFS('atm total'!E:E,B171,'atm total'!AM:AM,"CRM")</f>
        <v>0</v>
      </c>
      <c r="D171" s="32">
        <f>SUMIFS('atm total'!N:N,'atm total'!E:E,B171,'atm total'!AM:AM,"CRM")</f>
        <v>0</v>
      </c>
      <c r="E171" s="32">
        <f>SUMIFS('atm total'!O:O,'atm total'!E:E,B171,'atm total'!AM:AM,"CRM")</f>
        <v>0</v>
      </c>
      <c r="F171" s="32">
        <f>SUMIFS('atm total'!Q:Q,'atm total'!E:E,B171,'atm total'!AM:AM,"CRM")</f>
        <v>0</v>
      </c>
      <c r="G171" s="35">
        <v>99.2</v>
      </c>
      <c r="H171" s="33" t="e">
        <f t="shared" ref="H171:H175" si="48">100-I171</f>
        <v>#DIV/0!</v>
      </c>
      <c r="I171" s="36" t="e">
        <f t="shared" si="47"/>
        <v>#DIV/0!</v>
      </c>
    </row>
    <row r="172" spans="1:9" x14ac:dyDescent="0.35">
      <c r="A172" s="32">
        <v>3</v>
      </c>
      <c r="B172" s="27" t="s">
        <v>2085</v>
      </c>
      <c r="C172" s="32">
        <f>COUNTIFS('atm total'!E:E,B172,'atm total'!AM:AM,"CRM")</f>
        <v>0</v>
      </c>
      <c r="D172" s="32">
        <f>SUMIFS('atm total'!N:N,'atm total'!E:E,B172,'atm total'!AM:AM,"CRM")</f>
        <v>0</v>
      </c>
      <c r="E172" s="32">
        <f>SUMIFS('atm total'!O:O,'atm total'!E:E,B172,'atm total'!AM:AM,"CRM")</f>
        <v>0</v>
      </c>
      <c r="F172" s="32">
        <f>SUMIFS('atm total'!Q:Q,'atm total'!E:E,B172,'atm total'!AM:AM,"CRM")</f>
        <v>0</v>
      </c>
      <c r="G172" s="35">
        <v>99.2</v>
      </c>
      <c r="H172" s="33" t="e">
        <f t="shared" si="48"/>
        <v>#DIV/0!</v>
      </c>
      <c r="I172" s="36" t="e">
        <f t="shared" si="47"/>
        <v>#DIV/0!</v>
      </c>
    </row>
    <row r="173" spans="1:9" x14ac:dyDescent="0.35">
      <c r="A173" s="32">
        <v>4</v>
      </c>
      <c r="B173" s="27" t="s">
        <v>2094</v>
      </c>
      <c r="C173" s="32">
        <f>COUNTIFS('atm total'!E:E,B173,'atm total'!AM:AM,"CRM")</f>
        <v>0</v>
      </c>
      <c r="D173" s="32">
        <f>SUMIFS('atm total'!N:N,'atm total'!E:E,B173,'atm total'!AM:AM,"CRM")</f>
        <v>0</v>
      </c>
      <c r="E173" s="32">
        <f>SUMIFS('atm total'!O:O,'atm total'!E:E,B173,'atm total'!AM:AM,"CRM")</f>
        <v>0</v>
      </c>
      <c r="F173" s="32">
        <f>SUMIFS('atm total'!Q:Q,'atm total'!E:E,B173,'atm total'!AM:AM,"CRM")</f>
        <v>0</v>
      </c>
      <c r="G173" s="35">
        <v>99.2</v>
      </c>
      <c r="H173" s="33" t="e">
        <f t="shared" si="48"/>
        <v>#DIV/0!</v>
      </c>
      <c r="I173" s="36" t="e">
        <f t="shared" si="47"/>
        <v>#DIV/0!</v>
      </c>
    </row>
    <row r="174" spans="1:9" x14ac:dyDescent="0.35">
      <c r="A174" s="32">
        <v>5</v>
      </c>
      <c r="B174" s="27" t="s">
        <v>3375</v>
      </c>
      <c r="C174" s="32">
        <f>COUNTIFS('atm total'!E:E,B174,'atm total'!AM:AM,"CRM")</f>
        <v>0</v>
      </c>
      <c r="D174" s="32">
        <f>SUMIFS('atm total'!N:N,'atm total'!E:E,B174,'atm total'!AM:AM,"CRM")</f>
        <v>0</v>
      </c>
      <c r="E174" s="32">
        <f>SUMIFS('atm total'!O:O,'atm total'!E:E,B174,'atm total'!AM:AM,"CRM")</f>
        <v>0</v>
      </c>
      <c r="F174" s="32">
        <f>SUMIFS('atm total'!Q:Q,'atm total'!E:E,B174,'atm total'!AM:AM,"CRM")</f>
        <v>0</v>
      </c>
      <c r="G174" s="35">
        <v>99.2</v>
      </c>
      <c r="H174" s="33" t="e">
        <f t="shared" si="48"/>
        <v>#DIV/0!</v>
      </c>
      <c r="I174" s="36" t="e">
        <f t="shared" si="47"/>
        <v>#DIV/0!</v>
      </c>
    </row>
    <row r="175" spans="1:9" x14ac:dyDescent="0.35">
      <c r="A175" s="32">
        <v>6</v>
      </c>
      <c r="B175" s="27" t="s">
        <v>2438</v>
      </c>
      <c r="C175" s="32">
        <f>COUNTIFS('atm total'!E:E,B175,'atm total'!AM:AM,"CRM")</f>
        <v>0</v>
      </c>
      <c r="D175" s="32">
        <f>SUMIFS('atm total'!N:N,'atm total'!E:E,B175,'atm total'!AM:AM,"CRM")</f>
        <v>0</v>
      </c>
      <c r="E175" s="32">
        <f>SUMIFS('atm total'!O:O,'atm total'!E:E,B175,'atm total'!AM:AM,"CRM")</f>
        <v>0</v>
      </c>
      <c r="F175" s="32">
        <f>SUMIFS('atm total'!Q:Q,'atm total'!E:E,B175,'atm total'!AM:AM,"CRM")</f>
        <v>0</v>
      </c>
      <c r="G175" s="35">
        <v>99.2</v>
      </c>
      <c r="H175" s="33" t="e">
        <f t="shared" si="48"/>
        <v>#DIV/0!</v>
      </c>
      <c r="I175" s="36" t="e">
        <f t="shared" si="47"/>
        <v>#DIV/0!</v>
      </c>
    </row>
    <row r="176" spans="1:9" x14ac:dyDescent="0.35">
      <c r="A176" s="32"/>
      <c r="B176" s="27"/>
      <c r="C176" s="32"/>
      <c r="D176" s="32"/>
      <c r="E176" s="32"/>
      <c r="F176" s="32"/>
      <c r="G176" s="35"/>
      <c r="H176" s="33"/>
      <c r="I176" s="36"/>
    </row>
    <row r="177" spans="1:9" x14ac:dyDescent="0.35">
      <c r="A177" s="28"/>
      <c r="B177" s="28" t="s">
        <v>33</v>
      </c>
      <c r="C177" s="29">
        <f>SUM(C170:C176)</f>
        <v>0</v>
      </c>
      <c r="D177" s="29">
        <f>SUM(D170:D176)</f>
        <v>0</v>
      </c>
      <c r="E177" s="29">
        <f>SUM(E170:E176)</f>
        <v>0</v>
      </c>
      <c r="F177" s="29">
        <f>SUM(F170:F176)</f>
        <v>0</v>
      </c>
      <c r="G177" s="37">
        <v>99.2</v>
      </c>
      <c r="H177" s="38" t="e">
        <f t="shared" ref="H177" si="49">100-I177</f>
        <v>#DIV/0!</v>
      </c>
      <c r="I177" s="39" t="e">
        <f t="shared" ref="I177" si="50">(E177/F177)*100</f>
        <v>#DIV/0!</v>
      </c>
    </row>
    <row r="180" spans="1:9" ht="21" x14ac:dyDescent="0.35">
      <c r="A180" s="143" t="s">
        <v>572</v>
      </c>
      <c r="B180" s="187" t="s">
        <v>3391</v>
      </c>
      <c r="C180" s="187"/>
      <c r="D180" s="187"/>
      <c r="E180" s="187"/>
      <c r="F180" s="187"/>
      <c r="G180" s="187"/>
      <c r="H180" s="187"/>
      <c r="I180" s="187"/>
    </row>
    <row r="182" spans="1:9" x14ac:dyDescent="0.35">
      <c r="A182" s="24" t="s">
        <v>26</v>
      </c>
      <c r="B182" s="24" t="s">
        <v>574</v>
      </c>
      <c r="C182" s="24" t="s">
        <v>571</v>
      </c>
      <c r="D182" s="24" t="s">
        <v>27</v>
      </c>
      <c r="E182" s="24" t="s">
        <v>28</v>
      </c>
      <c r="F182" s="24" t="s">
        <v>29</v>
      </c>
      <c r="G182" s="45" t="s">
        <v>30</v>
      </c>
      <c r="H182" s="46" t="s">
        <v>31</v>
      </c>
      <c r="I182" s="47" t="s">
        <v>32</v>
      </c>
    </row>
    <row r="183" spans="1:9" x14ac:dyDescent="0.35">
      <c r="A183" s="32">
        <v>1</v>
      </c>
      <c r="B183" s="27" t="s">
        <v>2097</v>
      </c>
      <c r="C183" s="32">
        <f>COUNTIFS('atm total'!E:E,B183,'atm total'!AM:AM,"ATM")</f>
        <v>0</v>
      </c>
      <c r="D183" s="32">
        <f>SUMIFS('atm total'!N:N,'atm total'!E:E,B183,'atm total'!AM:AM,"ATM")</f>
        <v>0</v>
      </c>
      <c r="E183" s="32">
        <f>SUMIFS('atm total'!O:O,'atm total'!E:E,B183,'atm total'!AM:AM,"ATM")</f>
        <v>0</v>
      </c>
      <c r="F183" s="32">
        <f>SUMIFS('atm total'!Q:Q,'atm total'!E:E,B183,'atm total'!AM:AM,"ATM")</f>
        <v>0</v>
      </c>
      <c r="G183" s="35">
        <v>99.75</v>
      </c>
      <c r="H183" s="33" t="e">
        <f>100-I183</f>
        <v>#DIV/0!</v>
      </c>
      <c r="I183" s="36" t="e">
        <f t="shared" ref="I183:I184" si="51">(E183/F183)*100</f>
        <v>#DIV/0!</v>
      </c>
    </row>
    <row r="184" spans="1:9" x14ac:dyDescent="0.35">
      <c r="A184" s="32">
        <v>2</v>
      </c>
      <c r="B184" s="27" t="s">
        <v>2086</v>
      </c>
      <c r="C184" s="32">
        <f>COUNTIFS('atm total'!E:E,B184,'atm total'!AM:AM,"ATM")</f>
        <v>0</v>
      </c>
      <c r="D184" s="32">
        <f>SUMIFS('atm total'!N:N,'atm total'!E:E,B184,'atm total'!AM:AM,"ATM")</f>
        <v>0</v>
      </c>
      <c r="E184" s="32">
        <f>SUMIFS('atm total'!O:O,'atm total'!E:E,B184,'atm total'!AM:AM,"ATM")</f>
        <v>0</v>
      </c>
      <c r="F184" s="32">
        <f>SUMIFS('atm total'!Q:Q,'atm total'!E:E,B184,'atm total'!AM:AM,"ATM")</f>
        <v>0</v>
      </c>
      <c r="G184" s="35">
        <v>99.75</v>
      </c>
      <c r="H184" s="33" t="e">
        <f t="shared" ref="H184:H187" si="52">100-I184</f>
        <v>#DIV/0!</v>
      </c>
      <c r="I184" s="36" t="e">
        <f t="shared" si="51"/>
        <v>#DIV/0!</v>
      </c>
    </row>
    <row r="185" spans="1:9" x14ac:dyDescent="0.35">
      <c r="A185" s="32">
        <v>3</v>
      </c>
      <c r="B185" s="27" t="s">
        <v>2085</v>
      </c>
      <c r="C185" s="32">
        <f>COUNTIFS('atm total'!E:E,B185,'atm total'!AM:AM,"ATM")</f>
        <v>0</v>
      </c>
      <c r="D185" s="32">
        <f>SUMIFS('atm total'!N:N,'atm total'!E:E,B185,'atm total'!AM:AM,"ATM")</f>
        <v>0</v>
      </c>
      <c r="E185" s="32">
        <f>SUMIFS('atm total'!O:O,'atm total'!E:E,B185,'atm total'!AM:AM,"ATM")</f>
        <v>0</v>
      </c>
      <c r="F185" s="32">
        <f>SUMIFS('atm total'!Q:Q,'atm total'!E:E,B185,'atm total'!AM:AM,"ATM")</f>
        <v>0</v>
      </c>
      <c r="G185" s="35">
        <v>99.75</v>
      </c>
      <c r="H185" s="33" t="e">
        <f t="shared" si="52"/>
        <v>#DIV/0!</v>
      </c>
      <c r="I185" s="33" t="e">
        <f t="shared" ref="I185" si="53">(E185/F185)*100</f>
        <v>#DIV/0!</v>
      </c>
    </row>
    <row r="186" spans="1:9" x14ac:dyDescent="0.35">
      <c r="A186" s="32">
        <v>4</v>
      </c>
      <c r="B186" s="27" t="s">
        <v>2094</v>
      </c>
      <c r="C186" s="32">
        <f>COUNTIFS('atm total'!E:E,B186,'atm total'!AM:AM,"ATM")</f>
        <v>0</v>
      </c>
      <c r="D186" s="32">
        <f>SUMIFS('atm total'!N:N,'atm total'!E:E,B186,'atm total'!AM:AM,"ATM")</f>
        <v>0</v>
      </c>
      <c r="E186" s="32">
        <f>SUMIFS('atm total'!O:O,'atm total'!E:E,B186,'atm total'!AM:AM,"ATM")</f>
        <v>0</v>
      </c>
      <c r="F186" s="32">
        <f>SUMIFS('atm total'!Q:Q,'atm total'!E:E,B186,'atm total'!AM:AM,"ATM")</f>
        <v>0</v>
      </c>
      <c r="G186" s="35">
        <v>99.75</v>
      </c>
      <c r="H186" s="168" t="e">
        <f t="shared" si="52"/>
        <v>#DIV/0!</v>
      </c>
      <c r="I186" s="33" t="e">
        <f>(E186/F186)*100</f>
        <v>#DIV/0!</v>
      </c>
    </row>
    <row r="187" spans="1:9" x14ac:dyDescent="0.35">
      <c r="A187" s="32">
        <v>6</v>
      </c>
      <c r="B187" s="27" t="s">
        <v>2438</v>
      </c>
      <c r="C187" s="32">
        <f>COUNTIFS('atm total'!E:E,B187,'atm total'!AM:AM,"ATM")</f>
        <v>0</v>
      </c>
      <c r="D187" s="32">
        <f>SUMIFS('atm total'!N:N,'atm total'!E:E,B187,'atm total'!AM:AM,"ATM")</f>
        <v>0</v>
      </c>
      <c r="E187" s="32">
        <f>SUMIFS('atm total'!O:O,'atm total'!E:E,B187,'atm total'!AM:AM,"ATM")</f>
        <v>0</v>
      </c>
      <c r="F187" s="32">
        <f>SUMIFS('atm total'!Q:Q,'atm total'!E:E,B187,'atm total'!AM:AM,"ATM")</f>
        <v>0</v>
      </c>
      <c r="G187" s="35">
        <v>99.75</v>
      </c>
      <c r="H187" s="168" t="e">
        <f t="shared" si="52"/>
        <v>#DIV/0!</v>
      </c>
      <c r="I187" s="33" t="e">
        <f>(E187/F187)*100</f>
        <v>#DIV/0!</v>
      </c>
    </row>
    <row r="188" spans="1:9" x14ac:dyDescent="0.35">
      <c r="A188" s="32"/>
      <c r="B188" s="27"/>
      <c r="C188" s="32"/>
      <c r="D188" s="32"/>
      <c r="E188" s="32"/>
      <c r="F188" s="32"/>
      <c r="G188" s="35"/>
      <c r="H188" s="33"/>
      <c r="I188" s="33"/>
    </row>
    <row r="189" spans="1:9" x14ac:dyDescent="0.35">
      <c r="A189" s="28"/>
      <c r="B189" s="28" t="s">
        <v>33</v>
      </c>
      <c r="C189" s="29">
        <f>SUM(C183:C188)</f>
        <v>0</v>
      </c>
      <c r="D189" s="29">
        <f>SUM(D183:D188)</f>
        <v>0</v>
      </c>
      <c r="E189" s="29">
        <f>SUM(E183:E188)</f>
        <v>0</v>
      </c>
      <c r="F189" s="29">
        <f>SUM(F183:F188)</f>
        <v>0</v>
      </c>
      <c r="G189" s="29">
        <v>99.2</v>
      </c>
      <c r="H189" s="167" t="e">
        <f t="shared" ref="H189" si="54">100-I189</f>
        <v>#DIV/0!</v>
      </c>
      <c r="I189" s="30" t="e">
        <f t="shared" ref="I189" si="55">(E189/F189)*100</f>
        <v>#DIV/0!</v>
      </c>
    </row>
  </sheetData>
  <mergeCells count="15">
    <mergeCell ref="B155:I155"/>
    <mergeCell ref="B167:I167"/>
    <mergeCell ref="B180:I180"/>
    <mergeCell ref="B112:I112"/>
    <mergeCell ref="B125:I125"/>
    <mergeCell ref="B140:I140"/>
    <mergeCell ref="B1:I1"/>
    <mergeCell ref="B12:I12"/>
    <mergeCell ref="B25:I25"/>
    <mergeCell ref="B99:I99"/>
    <mergeCell ref="B37:I37"/>
    <mergeCell ref="B49:I49"/>
    <mergeCell ref="B61:I61"/>
    <mergeCell ref="B74:I74"/>
    <mergeCell ref="B86:I86"/>
  </mergeCells>
  <conditionalFormatting sqref="H4:H8 H64:H69">
    <cfRule type="cellIs" dxfId="87" priority="144" operator="between">
      <formula>99.19</formula>
      <formula>0</formula>
    </cfRule>
  </conditionalFormatting>
  <conditionalFormatting sqref="H15:H22 H128:H137 H158:H163 H170:H177">
    <cfRule type="cellIs" dxfId="86" priority="137" operator="between">
      <formula>99.19</formula>
      <formula>0</formula>
    </cfRule>
    <cfRule type="cellIs" dxfId="85" priority="136" operator="between">
      <formula>99.2</formula>
      <formula>100</formula>
    </cfRule>
  </conditionalFormatting>
  <conditionalFormatting sqref="H28:H34 H64:H69">
    <cfRule type="cellIs" dxfId="84" priority="125" operator="lessThan">
      <formula>99.75</formula>
    </cfRule>
  </conditionalFormatting>
  <conditionalFormatting sqref="H28:H34">
    <cfRule type="cellIs" dxfId="83" priority="130" operator="between">
      <formula>99.19</formula>
      <formula>0</formula>
    </cfRule>
    <cfRule type="cellIs" dxfId="82" priority="129" operator="between">
      <formula>99.2</formula>
      <formula>100</formula>
    </cfRule>
  </conditionalFormatting>
  <conditionalFormatting sqref="H40:H45">
    <cfRule type="cellIs" dxfId="81" priority="103" operator="between">
      <formula>99.19</formula>
      <formula>0</formula>
    </cfRule>
    <cfRule type="cellIs" dxfId="80" priority="102" operator="between">
      <formula>99.2</formula>
      <formula>100</formula>
    </cfRule>
  </conditionalFormatting>
  <conditionalFormatting sqref="H52:H58">
    <cfRule type="cellIs" dxfId="79" priority="100" operator="between">
      <formula>99.19</formula>
      <formula>0</formula>
    </cfRule>
    <cfRule type="cellIs" dxfId="78" priority="99" operator="between">
      <formula>99.2</formula>
      <formula>100</formula>
    </cfRule>
  </conditionalFormatting>
  <conditionalFormatting sqref="H64:H69 H4:H8">
    <cfRule type="cellIs" dxfId="77" priority="143" operator="between">
      <formula>99.2</formula>
      <formula>100</formula>
    </cfRule>
  </conditionalFormatting>
  <conditionalFormatting sqref="H70">
    <cfRule type="cellIs" dxfId="76" priority="96" operator="between">
      <formula>99.2</formula>
      <formula>100</formula>
    </cfRule>
    <cfRule type="cellIs" dxfId="75" priority="93" operator="lessThan">
      <formula>99.75</formula>
    </cfRule>
    <cfRule type="cellIs" dxfId="74" priority="97" operator="between">
      <formula>99.19</formula>
      <formula>0</formula>
    </cfRule>
  </conditionalFormatting>
  <conditionalFormatting sqref="H77:H82">
    <cfRule type="cellIs" dxfId="73" priority="75" operator="between">
      <formula>99.19</formula>
      <formula>0</formula>
    </cfRule>
    <cfRule type="cellIs" dxfId="72" priority="74" operator="between">
      <formula>99.2</formula>
      <formula>100</formula>
    </cfRule>
  </conditionalFormatting>
  <conditionalFormatting sqref="H89:H96">
    <cfRule type="cellIs" dxfId="71" priority="72" operator="between">
      <formula>99.19</formula>
      <formula>0</formula>
    </cfRule>
    <cfRule type="cellIs" dxfId="70" priority="71" operator="between">
      <formula>99.2</formula>
      <formula>100</formula>
    </cfRule>
  </conditionalFormatting>
  <conditionalFormatting sqref="H102:H108">
    <cfRule type="cellIs" dxfId="69" priority="59" operator="lessThan">
      <formula>99.75</formula>
    </cfRule>
    <cfRule type="cellIs" dxfId="68" priority="62" operator="between">
      <formula>99.2</formula>
      <formula>100</formula>
    </cfRule>
    <cfRule type="cellIs" dxfId="67" priority="63" operator="between">
      <formula>99.19</formula>
      <formula>0</formula>
    </cfRule>
  </conditionalFormatting>
  <conditionalFormatting sqref="H109">
    <cfRule type="cellIs" dxfId="66" priority="56" operator="between">
      <formula>99.19</formula>
      <formula>0</formula>
    </cfRule>
    <cfRule type="cellIs" dxfId="65" priority="56" operator="between">
      <formula>99.2</formula>
      <formula>100</formula>
    </cfRule>
  </conditionalFormatting>
  <conditionalFormatting sqref="H115:H121">
    <cfRule type="cellIs" dxfId="64" priority="49" operator="between">
      <formula>99.2</formula>
      <formula>100</formula>
    </cfRule>
    <cfRule type="cellIs" dxfId="63" priority="50" operator="between">
      <formula>99.19</formula>
      <formula>0</formula>
    </cfRule>
  </conditionalFormatting>
  <conditionalFormatting sqref="H143:H150">
    <cfRule type="cellIs" dxfId="62" priority="19" operator="between">
      <formula>99.2</formula>
      <formula>100</formula>
    </cfRule>
    <cfRule type="cellIs" dxfId="61" priority="20" operator="between">
      <formula>99.19</formula>
      <formula>0</formula>
    </cfRule>
  </conditionalFormatting>
  <conditionalFormatting sqref="H152">
    <cfRule type="cellIs" dxfId="60" priority="17" operator="between">
      <formula>99.2</formula>
      <formula>100</formula>
    </cfRule>
    <cfRule type="cellIs" dxfId="59" priority="18" operator="between">
      <formula>99.19</formula>
      <formula>0</formula>
    </cfRule>
  </conditionalFormatting>
  <conditionalFormatting sqref="H183:H185">
    <cfRule type="cellIs" dxfId="58" priority="12" operator="between">
      <formula>99.19</formula>
      <formula>0</formula>
    </cfRule>
    <cfRule type="cellIs" dxfId="57" priority="11" operator="between">
      <formula>99.2</formula>
      <formula>100</formula>
    </cfRule>
  </conditionalFormatting>
  <conditionalFormatting sqref="H186:H187">
    <cfRule type="cellIs" dxfId="56" priority="7" operator="between">
      <formula>99.2</formula>
      <formula>100</formula>
    </cfRule>
    <cfRule type="cellIs" dxfId="55" priority="8" operator="between">
      <formula>99.19</formula>
      <formula>0</formula>
    </cfRule>
  </conditionalFormatting>
  <conditionalFormatting sqref="H189">
    <cfRule type="cellIs" dxfId="54" priority="5" operator="between">
      <formula>99.2</formula>
      <formula>100</formula>
    </cfRule>
    <cfRule type="cellIs" dxfId="53" priority="6" operator="between">
      <formula>99.19</formula>
      <formula>0</formula>
    </cfRule>
  </conditionalFormatting>
  <conditionalFormatting sqref="I4:I7 I15:I21 I28:I33 I64:I69 I102:I108 I128:I136 I158:I162 I170:I176">
    <cfRule type="cellIs" dxfId="52" priority="142" operator="greaterThan">
      <formula>0.8</formula>
    </cfRule>
  </conditionalFormatting>
  <conditionalFormatting sqref="I8">
    <cfRule type="cellIs" dxfId="51" priority="140" operator="greaterThan">
      <formula>0.8</formula>
    </cfRule>
  </conditionalFormatting>
  <conditionalFormatting sqref="I22">
    <cfRule type="cellIs" dxfId="50" priority="133" operator="greaterThan">
      <formula>0.8</formula>
    </cfRule>
  </conditionalFormatting>
  <conditionalFormatting sqref="I28:I34 I64:I69">
    <cfRule type="cellIs" dxfId="49" priority="124" operator="greaterThan">
      <formula>0.25</formula>
    </cfRule>
  </conditionalFormatting>
  <conditionalFormatting sqref="I34">
    <cfRule type="cellIs" dxfId="48" priority="126" operator="greaterThan">
      <formula>0.8</formula>
    </cfRule>
  </conditionalFormatting>
  <conditionalFormatting sqref="I40:I44">
    <cfRule type="cellIs" dxfId="47" priority="101" operator="greaterThan">
      <formula>0.8</formula>
    </cfRule>
  </conditionalFormatting>
  <conditionalFormatting sqref="I45">
    <cfRule type="cellIs" dxfId="46" priority="117" operator="greaterThan">
      <formula>0.8</formula>
    </cfRule>
  </conditionalFormatting>
  <conditionalFormatting sqref="I52:I57">
    <cfRule type="cellIs" dxfId="45" priority="98" operator="greaterThan">
      <formula>0.8</formula>
    </cfRule>
  </conditionalFormatting>
  <conditionalFormatting sqref="I58">
    <cfRule type="cellIs" dxfId="44" priority="110" operator="greaterThan">
      <formula>0.8</formula>
    </cfRule>
  </conditionalFormatting>
  <conditionalFormatting sqref="I70">
    <cfRule type="cellIs" dxfId="43" priority="92" operator="greaterThan">
      <formula>0.25</formula>
    </cfRule>
    <cfRule type="cellIs" dxfId="42" priority="94" operator="greaterThan">
      <formula>0.8</formula>
    </cfRule>
  </conditionalFormatting>
  <conditionalFormatting sqref="I77:I81">
    <cfRule type="cellIs" dxfId="41" priority="73" operator="greaterThan">
      <formula>0.8</formula>
    </cfRule>
  </conditionalFormatting>
  <conditionalFormatting sqref="I82">
    <cfRule type="cellIs" dxfId="40" priority="80" operator="greaterThan">
      <formula>0.8</formula>
    </cfRule>
  </conditionalFormatting>
  <conditionalFormatting sqref="I89:I95">
    <cfRule type="cellIs" dxfId="39" priority="70" operator="greaterThan">
      <formula>0.8</formula>
    </cfRule>
  </conditionalFormatting>
  <conditionalFormatting sqref="I96">
    <cfRule type="cellIs" dxfId="38" priority="76" operator="greaterThan">
      <formula>0.8</formula>
    </cfRule>
  </conditionalFormatting>
  <conditionalFormatting sqref="I102:I108">
    <cfRule type="cellIs" dxfId="37" priority="58" operator="greaterThan">
      <formula>0.25</formula>
    </cfRule>
  </conditionalFormatting>
  <conditionalFormatting sqref="I109">
    <cfRule type="cellIs" dxfId="36" priority="57" operator="greaterThan">
      <formula>0.8</formula>
    </cfRule>
  </conditionalFormatting>
  <conditionalFormatting sqref="I115:I120">
    <cfRule type="cellIs" dxfId="35" priority="48" operator="greaterThan">
      <formula>0.8</formula>
    </cfRule>
  </conditionalFormatting>
  <conditionalFormatting sqref="I121">
    <cfRule type="cellIs" dxfId="34" priority="52" operator="greaterThan">
      <formula>0.8</formula>
    </cfRule>
  </conditionalFormatting>
  <conditionalFormatting sqref="I137">
    <cfRule type="cellIs" dxfId="33" priority="51" operator="greaterThan">
      <formula>0.8</formula>
    </cfRule>
  </conditionalFormatting>
  <conditionalFormatting sqref="I143">
    <cfRule type="cellIs" dxfId="32" priority="1" operator="greaterThan">
      <formula>0.8</formula>
    </cfRule>
  </conditionalFormatting>
  <conditionalFormatting sqref="I144:I151 I185:I188">
    <cfRule type="cellIs" dxfId="31" priority="53" operator="greaterThan">
      <formula>0.8</formula>
    </cfRule>
    <cfRule type="cellIs" dxfId="30" priority="41" operator="greaterThan">
      <formula>0.25</formula>
    </cfRule>
  </conditionalFormatting>
  <conditionalFormatting sqref="I152">
    <cfRule type="cellIs" dxfId="29" priority="40" operator="greaterThan">
      <formula>0.8</formula>
    </cfRule>
  </conditionalFormatting>
  <conditionalFormatting sqref="I163">
    <cfRule type="cellIs" dxfId="28" priority="30" operator="greaterThan">
      <formula>0.8</formula>
    </cfRule>
  </conditionalFormatting>
  <conditionalFormatting sqref="I177">
    <cfRule type="cellIs" dxfId="27" priority="29" operator="greaterThan">
      <formula>0.8</formula>
    </cfRule>
  </conditionalFormatting>
  <conditionalFormatting sqref="I183:I184">
    <cfRule type="cellIs" dxfId="26" priority="2" operator="greaterThan">
      <formula>0.8</formula>
    </cfRule>
  </conditionalFormatting>
  <conditionalFormatting sqref="I189">
    <cfRule type="cellIs" dxfId="25" priority="24" operator="greaterThan">
      <formula>0.8</formula>
    </cfRule>
  </conditionalFormatting>
  <pageMargins left="0.7" right="0.7" top="0.75" bottom="0.75" header="0.3" footer="0.3"/>
  <pageSetup orientation="portrait" r:id="rId1"/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2981-3376-49F0-992D-36D17F259087}">
  <sheetPr>
    <tabColor rgb="FF00B050"/>
  </sheetPr>
  <dimension ref="A1:I36"/>
  <sheetViews>
    <sheetView zoomScale="83" zoomScaleNormal="83" workbookViewId="0">
      <selection activeCell="B1" sqref="B1:I1"/>
    </sheetView>
  </sheetViews>
  <sheetFormatPr defaultRowHeight="14.5" x14ac:dyDescent="0.35"/>
  <cols>
    <col min="2" max="2" width="24.54296875" bestFit="1" customWidth="1"/>
    <col min="3" max="3" width="10.54296875" bestFit="1" customWidth="1"/>
    <col min="9" max="9" width="10.6328125" customWidth="1"/>
  </cols>
  <sheetData>
    <row r="1" spans="1:9" ht="18.5" x14ac:dyDescent="0.35">
      <c r="A1" s="34"/>
      <c r="B1" s="189" t="s">
        <v>3455</v>
      </c>
      <c r="C1" s="189"/>
      <c r="D1" s="189"/>
      <c r="E1" s="189"/>
      <c r="F1" s="189"/>
      <c r="G1" s="189"/>
      <c r="H1" s="189"/>
      <c r="I1" s="189"/>
    </row>
    <row r="3" spans="1:9" x14ac:dyDescent="0.35">
      <c r="A3" s="24" t="s">
        <v>26</v>
      </c>
      <c r="B3" s="24" t="s">
        <v>574</v>
      </c>
      <c r="C3" s="24" t="s">
        <v>571</v>
      </c>
      <c r="D3" s="24" t="s">
        <v>27</v>
      </c>
      <c r="E3" s="24" t="s">
        <v>28</v>
      </c>
      <c r="F3" s="24" t="s">
        <v>29</v>
      </c>
      <c r="G3" s="45" t="s">
        <v>30</v>
      </c>
      <c r="H3" s="46" t="s">
        <v>31</v>
      </c>
      <c r="I3" s="47" t="s">
        <v>32</v>
      </c>
    </row>
    <row r="4" spans="1:9" x14ac:dyDescent="0.35">
      <c r="A4" s="32">
        <v>1</v>
      </c>
      <c r="B4" s="27" t="s">
        <v>559</v>
      </c>
      <c r="C4" s="32">
        <f>COUNTIFS('atm total'!E:E,B4,'atm total'!AM:AM,"CRM")</f>
        <v>0</v>
      </c>
      <c r="D4" s="32">
        <f>SUMIFS('atm total'!N:N,'atm total'!E:E,B4,'atm total'!AM:AM,"CRM")</f>
        <v>0</v>
      </c>
      <c r="E4" s="32">
        <f>SUMIFS('atm total'!O:O,'atm total'!E:E,B4,'atm total'!AM:AM,"CRM")</f>
        <v>0</v>
      </c>
      <c r="F4" s="32">
        <f>SUMIFS('atm total'!Q:Q,'atm total'!E:E,B4,'atm total'!AM:AM,"CRM")</f>
        <v>0</v>
      </c>
      <c r="G4" s="35">
        <v>99.2</v>
      </c>
      <c r="H4" s="33" t="e">
        <f>100-I4</f>
        <v>#DIV/0!</v>
      </c>
      <c r="I4" s="36" t="e">
        <f t="shared" ref="I4:I10" si="0">(E4/F4)*100</f>
        <v>#DIV/0!</v>
      </c>
    </row>
    <row r="5" spans="1:9" x14ac:dyDescent="0.35">
      <c r="A5" s="32">
        <v>2</v>
      </c>
      <c r="B5" s="27" t="s">
        <v>72</v>
      </c>
      <c r="C5" s="32">
        <f>COUNTIFS('atm total'!E:E,B5,'atm total'!AM:AM,"CRM")</f>
        <v>0</v>
      </c>
      <c r="D5" s="32">
        <f>SUMIFS('atm total'!N:N,'atm total'!E:E,B5,'atm total'!AM:AM,"CRM")</f>
        <v>0</v>
      </c>
      <c r="E5" s="32">
        <f>SUMIFS('atm total'!O:O,'atm total'!E:E,B5,'atm total'!AM:AM,"CRM")</f>
        <v>0</v>
      </c>
      <c r="F5" s="32">
        <f>SUMIFS('atm total'!Q:Q,'atm total'!E:E,B5,'atm total'!AM:AM,"CRM")</f>
        <v>0</v>
      </c>
      <c r="G5" s="35">
        <v>99.2</v>
      </c>
      <c r="H5" s="33" t="e">
        <f t="shared" ref="H5:H10" si="1">100-I5</f>
        <v>#DIV/0!</v>
      </c>
      <c r="I5" s="36" t="e">
        <f t="shared" si="0"/>
        <v>#DIV/0!</v>
      </c>
    </row>
    <row r="6" spans="1:9" x14ac:dyDescent="0.35">
      <c r="A6" s="32">
        <v>3</v>
      </c>
      <c r="B6" s="27" t="s">
        <v>112</v>
      </c>
      <c r="C6" s="32">
        <f>COUNTIFS('atm total'!E:E,B6,'atm total'!AM:AM,"CRM")</f>
        <v>0</v>
      </c>
      <c r="D6" s="32">
        <f>SUMIFS('atm total'!N:N,'atm total'!E:E,B6,'atm total'!AM:AM,"CRM")</f>
        <v>0</v>
      </c>
      <c r="E6" s="32">
        <f>SUMIFS('atm total'!O:O,'atm total'!E:E,B6,'atm total'!AM:AM,"CRM")</f>
        <v>0</v>
      </c>
      <c r="F6" s="32">
        <f>SUMIFS('atm total'!Q:Q,'atm total'!E:E,B6,'atm total'!AM:AM,"CRM")</f>
        <v>0</v>
      </c>
      <c r="G6" s="35">
        <v>99.2</v>
      </c>
      <c r="H6" s="33" t="e">
        <f t="shared" si="1"/>
        <v>#DIV/0!</v>
      </c>
      <c r="I6" s="36" t="e">
        <f t="shared" si="0"/>
        <v>#DIV/0!</v>
      </c>
    </row>
    <row r="7" spans="1:9" x14ac:dyDescent="0.35">
      <c r="A7" s="32">
        <v>4</v>
      </c>
      <c r="B7" s="27" t="s">
        <v>119</v>
      </c>
      <c r="C7" s="32">
        <f>COUNTIFS('atm total'!E:E,B7,'atm total'!AM:AM,"CRM")</f>
        <v>0</v>
      </c>
      <c r="D7" s="32">
        <f>SUMIFS('atm total'!N:N,'atm total'!E:E,B7,'atm total'!AM:AM,"CRM")</f>
        <v>0</v>
      </c>
      <c r="E7" s="32">
        <f>SUMIFS('atm total'!O:O,'atm total'!E:E,B7,'atm total'!AM:AM,"CRM")</f>
        <v>0</v>
      </c>
      <c r="F7" s="32">
        <f>SUMIFS('atm total'!Q:Q,'atm total'!E:E,B7,'atm total'!AM:AM,"CRM")</f>
        <v>0</v>
      </c>
      <c r="G7" s="35">
        <v>99.2</v>
      </c>
      <c r="H7" s="33" t="e">
        <f>100-I7</f>
        <v>#DIV/0!</v>
      </c>
      <c r="I7" s="36" t="e">
        <f>(E7/F7)*100</f>
        <v>#DIV/0!</v>
      </c>
    </row>
    <row r="8" spans="1:9" x14ac:dyDescent="0.35">
      <c r="A8" s="32">
        <v>5</v>
      </c>
      <c r="B8" s="27" t="s">
        <v>136</v>
      </c>
      <c r="C8" s="32">
        <f>COUNTIFS('atm total'!E:E,B8,'atm total'!AM:AM,"CRM")</f>
        <v>0</v>
      </c>
      <c r="D8" s="32">
        <f>SUMIFS('atm total'!N:N,'atm total'!E:E,B8,'atm total'!AM:AM,"CRM")</f>
        <v>0</v>
      </c>
      <c r="E8" s="32">
        <f>SUMIFS('atm total'!O:O,'atm total'!E:E,B8,'atm total'!AM:AM,"CRM")</f>
        <v>0</v>
      </c>
      <c r="F8" s="32">
        <f>SUMIFS('atm total'!Q:Q,'atm total'!E:E,B8,'atm total'!AM:AM,"CRM")</f>
        <v>0</v>
      </c>
      <c r="G8" s="35">
        <v>99.2</v>
      </c>
      <c r="H8" s="33" t="e">
        <f>100-I8</f>
        <v>#DIV/0!</v>
      </c>
      <c r="I8" s="36" t="e">
        <f>(E8/F8)*100</f>
        <v>#DIV/0!</v>
      </c>
    </row>
    <row r="9" spans="1:9" x14ac:dyDescent="0.35">
      <c r="A9" s="32">
        <v>6</v>
      </c>
      <c r="B9" s="27" t="s">
        <v>442</v>
      </c>
      <c r="C9" s="32">
        <f>COUNTIFS('atm total'!E:E,B9,'atm total'!AM:AM,"CRM")</f>
        <v>0</v>
      </c>
      <c r="D9" s="32">
        <f>SUMIFS('atm total'!N:N,'atm total'!E:E,B9,'atm total'!AM:AM,"CRM")</f>
        <v>0</v>
      </c>
      <c r="E9" s="32">
        <f>SUMIFS('atm total'!O:O,'atm total'!E:E,B9,'atm total'!AM:AM,"CRM")</f>
        <v>0</v>
      </c>
      <c r="F9" s="32">
        <f>SUMIFS('atm total'!Q:Q,'atm total'!E:E,B9,'atm total'!AM:AM,"CRM")</f>
        <v>0</v>
      </c>
      <c r="G9" s="35">
        <v>99.2</v>
      </c>
      <c r="H9" s="33" t="e">
        <f>100-I9</f>
        <v>#DIV/0!</v>
      </c>
      <c r="I9" s="36" t="e">
        <f>(E9/F9)*100</f>
        <v>#DIV/0!</v>
      </c>
    </row>
    <row r="10" spans="1:9" x14ac:dyDescent="0.35">
      <c r="A10" s="32">
        <v>7</v>
      </c>
      <c r="B10" s="27" t="s">
        <v>95</v>
      </c>
      <c r="C10" s="32">
        <f>COUNTIFS('atm total'!E:E,B10,'atm total'!AM:AM,"CRM")</f>
        <v>0</v>
      </c>
      <c r="D10" s="32">
        <f>SUMIFS('atm total'!N:N,'atm total'!E:E,B10,'atm total'!AM:AM,"CRM")</f>
        <v>0</v>
      </c>
      <c r="E10" s="32">
        <f>SUMIFS('atm total'!O:O,'atm total'!E:E,B10,'atm total'!AM:AM,"CRM")</f>
        <v>0</v>
      </c>
      <c r="F10" s="32">
        <f>SUMIFS('atm total'!Q:Q,'atm total'!E:E,B10,'atm total'!AM:AM,"CRM")</f>
        <v>0</v>
      </c>
      <c r="G10" s="35">
        <v>99.2</v>
      </c>
      <c r="H10" s="33" t="e">
        <f t="shared" si="1"/>
        <v>#DIV/0!</v>
      </c>
      <c r="I10" s="36" t="e">
        <f t="shared" si="0"/>
        <v>#DIV/0!</v>
      </c>
    </row>
    <row r="11" spans="1:9" x14ac:dyDescent="0.35">
      <c r="A11" s="28"/>
      <c r="B11" s="28" t="s">
        <v>33</v>
      </c>
      <c r="C11" s="29">
        <f>SUM(C4:C10)</f>
        <v>0</v>
      </c>
      <c r="D11" s="29">
        <f>SUM(D4:D10)</f>
        <v>0</v>
      </c>
      <c r="E11" s="29">
        <f>SUM(E4:E10)</f>
        <v>0</v>
      </c>
      <c r="F11" s="29">
        <f>SUM(F4:F10)</f>
        <v>0</v>
      </c>
      <c r="G11" s="37">
        <v>99.2</v>
      </c>
      <c r="H11" s="38" t="e">
        <f>100-I11</f>
        <v>#DIV/0!</v>
      </c>
      <c r="I11" s="39" t="e">
        <f>(E11/F11)*100</f>
        <v>#DIV/0!</v>
      </c>
    </row>
    <row r="12" spans="1:9" s="48" customFormat="1" x14ac:dyDescent="0.35">
      <c r="C12" s="87"/>
      <c r="D12" s="87"/>
      <c r="E12" s="87"/>
      <c r="F12" s="87"/>
      <c r="G12" s="87"/>
      <c r="H12" s="88"/>
      <c r="I12" s="88"/>
    </row>
    <row r="13" spans="1:9" s="48" customFormat="1" x14ac:dyDescent="0.35">
      <c r="C13" s="87"/>
      <c r="D13" s="87"/>
      <c r="E13" s="87"/>
      <c r="F13" s="87"/>
      <c r="G13" s="87"/>
      <c r="H13" s="88"/>
      <c r="I13" s="88"/>
    </row>
    <row r="14" spans="1:9" ht="21" x14ac:dyDescent="0.35">
      <c r="A14" s="34"/>
      <c r="B14" s="182" t="s">
        <v>3456</v>
      </c>
      <c r="C14" s="182"/>
      <c r="D14" s="182"/>
      <c r="E14" s="182"/>
      <c r="F14" s="182"/>
      <c r="G14" s="182"/>
      <c r="H14" s="182"/>
      <c r="I14" s="182"/>
    </row>
    <row r="16" spans="1:9" x14ac:dyDescent="0.35">
      <c r="A16" s="24" t="s">
        <v>26</v>
      </c>
      <c r="B16" s="24" t="s">
        <v>574</v>
      </c>
      <c r="C16" s="24" t="s">
        <v>35</v>
      </c>
      <c r="D16" s="24" t="s">
        <v>27</v>
      </c>
      <c r="E16" s="24" t="s">
        <v>28</v>
      </c>
      <c r="F16" s="24" t="s">
        <v>29</v>
      </c>
      <c r="G16" s="24" t="s">
        <v>30</v>
      </c>
      <c r="H16" s="24" t="s">
        <v>31</v>
      </c>
      <c r="I16" s="24" t="s">
        <v>32</v>
      </c>
    </row>
    <row r="17" spans="1:9" x14ac:dyDescent="0.35">
      <c r="A17" s="32">
        <v>1</v>
      </c>
      <c r="B17" s="27" t="s">
        <v>559</v>
      </c>
      <c r="C17" s="32">
        <f>COUNTIFS('atm total'!E:E,B17,'atm total'!I:I,"CRML")</f>
        <v>0</v>
      </c>
      <c r="D17" s="32">
        <f>SUMIFS('atm total'!N:N,'atm total'!E:E,B17,'atm total'!I:I,"CRML")</f>
        <v>0</v>
      </c>
      <c r="E17" s="32">
        <f>SUMIFS('atm total'!O:O,'atm total'!E:E,B17,'atm total'!I:I,"CRML")</f>
        <v>0</v>
      </c>
      <c r="F17" s="32">
        <f>SUMIFS('atm total'!Q:Q,'atm total'!E:E,B17,'atm total'!I:I,"CRML")</f>
        <v>0</v>
      </c>
      <c r="G17" s="32">
        <v>99.2</v>
      </c>
      <c r="H17" s="33" t="e">
        <f>100-I17</f>
        <v>#DIV/0!</v>
      </c>
      <c r="I17" s="33" t="e">
        <f>(E17/F17)*100</f>
        <v>#DIV/0!</v>
      </c>
    </row>
    <row r="18" spans="1:9" x14ac:dyDescent="0.35">
      <c r="A18" s="32">
        <v>2</v>
      </c>
      <c r="B18" s="27" t="s">
        <v>72</v>
      </c>
      <c r="C18" s="32">
        <f>COUNTIFS('atm total'!E:E,B18,'atm total'!I:I,"CRML")</f>
        <v>0</v>
      </c>
      <c r="D18" s="32">
        <f>SUMIFS('atm total'!N:N,'atm total'!E:E,B18,'atm total'!I:I,"CRML")</f>
        <v>0</v>
      </c>
      <c r="E18" s="32">
        <f>SUMIFS('atm total'!O:O,'atm total'!E:E,B18,'atm total'!I:I,"CRML")</f>
        <v>0</v>
      </c>
      <c r="F18" s="32">
        <f>SUMIFS('atm total'!Q:Q,'atm total'!E:E,B18,'atm total'!I:I,"CRML")</f>
        <v>0</v>
      </c>
      <c r="G18" s="32">
        <v>99.2</v>
      </c>
      <c r="H18" s="33" t="e">
        <f t="shared" ref="H18:H23" si="2">100-I18</f>
        <v>#DIV/0!</v>
      </c>
      <c r="I18" s="33" t="e">
        <f t="shared" ref="I18:I23" si="3">(E18/F18)*100</f>
        <v>#DIV/0!</v>
      </c>
    </row>
    <row r="19" spans="1:9" x14ac:dyDescent="0.35">
      <c r="A19" s="32">
        <v>3</v>
      </c>
      <c r="B19" s="27" t="s">
        <v>112</v>
      </c>
      <c r="C19" s="32">
        <f>COUNTIFS('atm total'!E:E,B19,'atm total'!I:I,"CRML")</f>
        <v>0</v>
      </c>
      <c r="D19" s="32">
        <f>SUMIFS('atm total'!N:N,'atm total'!E:E,B19,'atm total'!I:I,"CRML")</f>
        <v>0</v>
      </c>
      <c r="E19" s="32">
        <f>SUMIFS('atm total'!O:O,'atm total'!E:E,B19,'atm total'!I:I,"CRML")</f>
        <v>0</v>
      </c>
      <c r="F19" s="32">
        <f>SUMIFS('atm total'!Q:Q,'atm total'!E:E,B19,'atm total'!I:I,"CRML")</f>
        <v>0</v>
      </c>
      <c r="G19" s="32">
        <v>99.2</v>
      </c>
      <c r="H19" s="33" t="e">
        <f t="shared" si="2"/>
        <v>#DIV/0!</v>
      </c>
      <c r="I19" s="33" t="e">
        <f t="shared" si="3"/>
        <v>#DIV/0!</v>
      </c>
    </row>
    <row r="20" spans="1:9" x14ac:dyDescent="0.35">
      <c r="A20" s="32">
        <v>4</v>
      </c>
      <c r="B20" s="27" t="s">
        <v>119</v>
      </c>
      <c r="C20" s="32">
        <f>COUNTIFS('atm total'!E:E,B20,'atm total'!I:I,"CRML")</f>
        <v>0</v>
      </c>
      <c r="D20" s="32">
        <f>SUMIFS('atm total'!N:N,'atm total'!E:E,B20,'atm total'!I:I,"CRML")</f>
        <v>0</v>
      </c>
      <c r="E20" s="32">
        <f>SUMIFS('atm total'!O:O,'atm total'!E:E,B20,'atm total'!I:I,"CRML")</f>
        <v>0</v>
      </c>
      <c r="F20" s="32">
        <f>SUMIFS('atm total'!Q:Q,'atm total'!E:E,B20,'atm total'!I:I,"CRML")</f>
        <v>0</v>
      </c>
      <c r="G20" s="32">
        <v>99.2</v>
      </c>
      <c r="H20" s="33" t="e">
        <f t="shared" si="2"/>
        <v>#DIV/0!</v>
      </c>
      <c r="I20" s="33" t="e">
        <f t="shared" si="3"/>
        <v>#DIV/0!</v>
      </c>
    </row>
    <row r="21" spans="1:9" x14ac:dyDescent="0.35">
      <c r="A21" s="32">
        <v>5</v>
      </c>
      <c r="B21" s="27" t="s">
        <v>136</v>
      </c>
      <c r="C21" s="32">
        <f>COUNTIFS('atm total'!E:E,B21,'atm total'!I:I,"CRML")</f>
        <v>0</v>
      </c>
      <c r="D21" s="32">
        <f>SUMIFS('atm total'!N:N,'atm total'!E:E,B21,'atm total'!I:I,"CRML")</f>
        <v>0</v>
      </c>
      <c r="E21" s="32">
        <f>SUMIFS('atm total'!O:O,'atm total'!E:E,B21,'atm total'!I:I,"CRML")</f>
        <v>0</v>
      </c>
      <c r="F21" s="32">
        <f>SUMIFS('atm total'!Q:Q,'atm total'!E:E,B21,'atm total'!I:I,"CRML")</f>
        <v>0</v>
      </c>
      <c r="G21" s="32">
        <v>99.2</v>
      </c>
      <c r="H21" s="33" t="e">
        <f t="shared" si="2"/>
        <v>#DIV/0!</v>
      </c>
      <c r="I21" s="33" t="e">
        <f t="shared" si="3"/>
        <v>#DIV/0!</v>
      </c>
    </row>
    <row r="22" spans="1:9" x14ac:dyDescent="0.35">
      <c r="A22" s="32">
        <v>6</v>
      </c>
      <c r="B22" s="27" t="s">
        <v>442</v>
      </c>
      <c r="C22" s="32">
        <f>COUNTIFS('atm total'!E:E,B22,'atm total'!I:I,"CRML")</f>
        <v>0</v>
      </c>
      <c r="D22" s="32">
        <f>SUMIFS('atm total'!N:N,'atm total'!E:E,B22,'atm total'!I:I,"CRML")</f>
        <v>0</v>
      </c>
      <c r="E22" s="32">
        <f>SUMIFS('atm total'!O:O,'atm total'!E:E,B22,'atm total'!I:I,"CRML")</f>
        <v>0</v>
      </c>
      <c r="F22" s="32">
        <f>SUMIFS('atm total'!Q:Q,'atm total'!E:E,B22,'atm total'!I:I,"CRML")</f>
        <v>0</v>
      </c>
      <c r="G22" s="32">
        <v>99.2</v>
      </c>
      <c r="H22" s="33" t="e">
        <f t="shared" si="2"/>
        <v>#DIV/0!</v>
      </c>
      <c r="I22" s="33" t="e">
        <f t="shared" si="3"/>
        <v>#DIV/0!</v>
      </c>
    </row>
    <row r="23" spans="1:9" x14ac:dyDescent="0.35">
      <c r="A23" s="32">
        <v>7</v>
      </c>
      <c r="B23" s="27" t="s">
        <v>95</v>
      </c>
      <c r="C23" s="32">
        <f>COUNTIFS('atm total'!E:E,B23,'atm total'!I:I,"CRML")</f>
        <v>0</v>
      </c>
      <c r="D23" s="32">
        <f>SUMIFS('atm total'!N:N,'atm total'!E:E,B23,'atm total'!I:I,"CRML")</f>
        <v>0</v>
      </c>
      <c r="E23" s="32">
        <f>SUMIFS('atm total'!O:O,'atm total'!E:E,B23,'atm total'!I:I,"CRML")</f>
        <v>0</v>
      </c>
      <c r="F23" s="32">
        <f>SUMIFS('atm total'!Q:Q,'atm total'!E:E,B23,'atm total'!I:I,"CRML")</f>
        <v>0</v>
      </c>
      <c r="G23" s="32">
        <v>99.2</v>
      </c>
      <c r="H23" s="33" t="e">
        <f t="shared" si="2"/>
        <v>#DIV/0!</v>
      </c>
      <c r="I23" s="33" t="e">
        <f t="shared" si="3"/>
        <v>#DIV/0!</v>
      </c>
    </row>
    <row r="24" spans="1:9" x14ac:dyDescent="0.35">
      <c r="B24" s="3"/>
      <c r="C24" s="4"/>
      <c r="D24" s="4"/>
      <c r="E24" s="4"/>
      <c r="F24" s="4"/>
      <c r="G24" s="4"/>
      <c r="H24" s="5"/>
      <c r="I24" s="5"/>
    </row>
    <row r="25" spans="1:9" x14ac:dyDescent="0.35">
      <c r="A25" s="141"/>
      <c r="B25" s="28" t="s">
        <v>33</v>
      </c>
      <c r="C25" s="29">
        <f>SUM(C17:C24)</f>
        <v>0</v>
      </c>
      <c r="D25" s="29">
        <f>SUM(D17:D24)</f>
        <v>0</v>
      </c>
      <c r="E25" s="29">
        <f>SUM(E17:E23)</f>
        <v>0</v>
      </c>
      <c r="F25" s="29">
        <f>SUM(F17:F23)</f>
        <v>0</v>
      </c>
      <c r="G25" s="29">
        <v>99.2</v>
      </c>
      <c r="H25" s="30" t="e">
        <f>100-I25</f>
        <v>#DIV/0!</v>
      </c>
      <c r="I25" s="30" t="e">
        <f>(E25/F25)*100</f>
        <v>#DIV/0!</v>
      </c>
    </row>
    <row r="27" spans="1:9" ht="21" x14ac:dyDescent="0.35">
      <c r="A27" s="34"/>
      <c r="B27" s="182" t="s">
        <v>3457</v>
      </c>
      <c r="C27" s="182"/>
      <c r="D27" s="182"/>
      <c r="E27" s="182"/>
      <c r="F27" s="182"/>
      <c r="G27" s="182"/>
      <c r="H27" s="182"/>
      <c r="I27" s="182"/>
    </row>
    <row r="29" spans="1:9" x14ac:dyDescent="0.35">
      <c r="A29" s="24" t="s">
        <v>26</v>
      </c>
      <c r="B29" s="24" t="s">
        <v>574</v>
      </c>
      <c r="C29" s="24" t="s">
        <v>37</v>
      </c>
      <c r="D29" s="24" t="s">
        <v>27</v>
      </c>
      <c r="E29" s="24" t="s">
        <v>28</v>
      </c>
      <c r="F29" s="24" t="s">
        <v>29</v>
      </c>
      <c r="G29" s="24" t="s">
        <v>30</v>
      </c>
      <c r="H29" s="24" t="s">
        <v>31</v>
      </c>
      <c r="I29" s="24" t="s">
        <v>32</v>
      </c>
    </row>
    <row r="30" spans="1:9" x14ac:dyDescent="0.35">
      <c r="A30" s="32">
        <v>1</v>
      </c>
      <c r="B30" s="27" t="s">
        <v>559</v>
      </c>
      <c r="C30" s="32">
        <f>COUNTIFS('atm total'!E:E,B30,'atm total'!I:I,"CRMS")</f>
        <v>0</v>
      </c>
      <c r="D30" s="32">
        <f>SUMIFS('atm total'!N:N,'atm total'!E:E,B30,'atm total'!I:I,"CRMS")</f>
        <v>0</v>
      </c>
      <c r="E30" s="32">
        <f>SUMIFS('atm total'!O:O,'atm total'!E:E,B30,'atm total'!I:I,"CRMS")</f>
        <v>0</v>
      </c>
      <c r="F30" s="32">
        <f>SUMIFS('atm total'!Q:Q,'atm total'!E:E,B30,'atm total'!I:I,"CRMS")</f>
        <v>0</v>
      </c>
      <c r="G30" s="32">
        <v>99.2</v>
      </c>
      <c r="H30" s="33" t="e">
        <f>100-I30</f>
        <v>#DIV/0!</v>
      </c>
      <c r="I30" s="33" t="e">
        <f>(E30/F30)*100</f>
        <v>#DIV/0!</v>
      </c>
    </row>
    <row r="31" spans="1:9" x14ac:dyDescent="0.35">
      <c r="A31" s="32">
        <v>2</v>
      </c>
      <c r="B31" s="27" t="s">
        <v>72</v>
      </c>
      <c r="C31" s="32">
        <f>COUNTIFS('atm total'!E:E,B31,'atm total'!I:I,"CRMS")</f>
        <v>0</v>
      </c>
      <c r="D31" s="32">
        <f>SUMIFS('atm total'!N:N,'atm total'!E:E,B31,'atm total'!I:I,"CRMS")</f>
        <v>0</v>
      </c>
      <c r="E31" s="32">
        <f>SUMIFS('atm total'!O:O,'atm total'!E:E,B31,'atm total'!I:I,"CRMS")</f>
        <v>0</v>
      </c>
      <c r="F31" s="32">
        <f>SUMIFS('atm total'!Q:Q,'atm total'!E:E,B31,'atm total'!I:I,"CRMS")</f>
        <v>0</v>
      </c>
      <c r="G31" s="32">
        <v>99.2</v>
      </c>
      <c r="H31" s="33" t="e">
        <f t="shared" ref="H31:H34" si="4">100-I31</f>
        <v>#DIV/0!</v>
      </c>
      <c r="I31" s="33" t="e">
        <f t="shared" ref="I31:I34" si="5">(E31/F31)*100</f>
        <v>#DIV/0!</v>
      </c>
    </row>
    <row r="32" spans="1:9" x14ac:dyDescent="0.35">
      <c r="A32" s="32">
        <v>3</v>
      </c>
      <c r="B32" s="27" t="s">
        <v>112</v>
      </c>
      <c r="C32" s="32">
        <f>COUNTIFS('atm total'!E:E,B32,'atm total'!I:I,"CRMS")</f>
        <v>0</v>
      </c>
      <c r="D32" s="32">
        <f>SUMIFS('atm total'!N:N,'atm total'!E:E,B32,'atm total'!I:I,"CRMS")</f>
        <v>0</v>
      </c>
      <c r="E32" s="32">
        <f>SUMIFS('atm total'!O:O,'atm total'!E:E,B32,'atm total'!I:I,"CRMS")</f>
        <v>0</v>
      </c>
      <c r="F32" s="32">
        <f>SUMIFS('atm total'!Q:Q,'atm total'!E:E,B32,'atm total'!I:I,"CRMS")</f>
        <v>0</v>
      </c>
      <c r="G32" s="32">
        <v>99.2</v>
      </c>
      <c r="H32" s="33" t="e">
        <f t="shared" si="4"/>
        <v>#DIV/0!</v>
      </c>
      <c r="I32" s="33" t="e">
        <f t="shared" si="5"/>
        <v>#DIV/0!</v>
      </c>
    </row>
    <row r="33" spans="1:9" x14ac:dyDescent="0.35">
      <c r="A33" s="32">
        <v>4</v>
      </c>
      <c r="B33" s="27" t="s">
        <v>119</v>
      </c>
      <c r="C33" s="32">
        <f>COUNTIFS('atm total'!E:E,B33,'atm total'!I:I,"CRMS")</f>
        <v>0</v>
      </c>
      <c r="D33" s="32">
        <f>SUMIFS('atm total'!N:N,'atm total'!E:E,B33,'atm total'!I:I,"CRMS")</f>
        <v>0</v>
      </c>
      <c r="E33" s="32">
        <f>SUMIFS('atm total'!O:O,'atm total'!E:E,B33,'atm total'!I:I,"CRMS")</f>
        <v>0</v>
      </c>
      <c r="F33" s="32">
        <f>SUMIFS('atm total'!Q:Q,'atm total'!E:E,B33,'atm total'!I:I,"CRMS")</f>
        <v>0</v>
      </c>
      <c r="G33" s="32">
        <v>99.2</v>
      </c>
      <c r="H33" s="33" t="e">
        <f t="shared" si="4"/>
        <v>#DIV/0!</v>
      </c>
      <c r="I33" s="33" t="e">
        <f t="shared" si="5"/>
        <v>#DIV/0!</v>
      </c>
    </row>
    <row r="34" spans="1:9" x14ac:dyDescent="0.35">
      <c r="A34" s="32">
        <v>5</v>
      </c>
      <c r="B34" s="27" t="s">
        <v>136</v>
      </c>
      <c r="C34" s="32">
        <f>COUNTIFS('atm total'!E:E,B34,'atm total'!I:I,"CRMS")</f>
        <v>0</v>
      </c>
      <c r="D34" s="32">
        <f>SUMIFS('atm total'!N:N,'atm total'!E:E,B34,'atm total'!I:I,"CRMS")</f>
        <v>0</v>
      </c>
      <c r="E34" s="32">
        <f>SUMIFS('atm total'!O:O,'atm total'!E:E,B34,'atm total'!I:I,"CRMS")</f>
        <v>0</v>
      </c>
      <c r="F34" s="32">
        <f>SUMIFS('atm total'!Q:Q,'atm total'!E:E,B34,'atm total'!I:I,"CRMS")</f>
        <v>0</v>
      </c>
      <c r="G34" s="32">
        <v>99.2</v>
      </c>
      <c r="H34" s="33" t="e">
        <f t="shared" si="4"/>
        <v>#DIV/0!</v>
      </c>
      <c r="I34" s="33" t="e">
        <f t="shared" si="5"/>
        <v>#DIV/0!</v>
      </c>
    </row>
    <row r="35" spans="1:9" x14ac:dyDescent="0.35">
      <c r="B35" s="3"/>
      <c r="C35" s="4"/>
      <c r="D35" s="4"/>
      <c r="E35" s="4"/>
      <c r="F35" s="4"/>
      <c r="G35" s="4"/>
      <c r="H35" s="5"/>
      <c r="I35" s="5"/>
    </row>
    <row r="36" spans="1:9" x14ac:dyDescent="0.35">
      <c r="A36" s="141"/>
      <c r="B36" s="28" t="s">
        <v>33</v>
      </c>
      <c r="C36" s="29">
        <f>SUM(C30:C34)</f>
        <v>0</v>
      </c>
      <c r="D36" s="29">
        <f>SUM(D30:D34)</f>
        <v>0</v>
      </c>
      <c r="E36" s="29">
        <f>SUM(E30:E34)</f>
        <v>0</v>
      </c>
      <c r="F36" s="29">
        <f>SUM(F30:F34)</f>
        <v>0</v>
      </c>
      <c r="G36" s="29">
        <v>99.2</v>
      </c>
      <c r="H36" s="30" t="e">
        <f>100-I36</f>
        <v>#DIV/0!</v>
      </c>
      <c r="I36" s="30" t="e">
        <f>(E36/F36)*100</f>
        <v>#DIV/0!</v>
      </c>
    </row>
  </sheetData>
  <mergeCells count="3">
    <mergeCell ref="B14:I14"/>
    <mergeCell ref="B27:I27"/>
    <mergeCell ref="B1:I1"/>
  </mergeCells>
  <conditionalFormatting sqref="H4:H13">
    <cfRule type="cellIs" dxfId="24" priority="8" operator="between">
      <formula>99.2</formula>
      <formula>100</formula>
    </cfRule>
    <cfRule type="cellIs" dxfId="23" priority="9" operator="between">
      <formula>99.19</formula>
      <formula>0</formula>
    </cfRule>
  </conditionalFormatting>
  <conditionalFormatting sqref="H17:H25 H30:H36">
    <cfRule type="cellIs" dxfId="22" priority="16" operator="between">
      <formula>99.2</formula>
      <formula>100</formula>
    </cfRule>
    <cfRule type="cellIs" dxfId="21" priority="17" operator="between">
      <formula>99.19</formula>
      <formula>0</formula>
    </cfRule>
  </conditionalFormatting>
  <conditionalFormatting sqref="I4:I11">
    <cfRule type="cellIs" dxfId="20" priority="1" operator="greaterThan">
      <formula>0.8</formula>
    </cfRule>
    <cfRule type="cellIs" dxfId="19" priority="2" operator="lessThan">
      <formula>0.8</formula>
    </cfRule>
  </conditionalFormatting>
  <conditionalFormatting sqref="I11:I13">
    <cfRule type="cellIs" dxfId="18" priority="7" operator="greaterThan">
      <formula>0.8</formula>
    </cfRule>
  </conditionalFormatting>
  <conditionalFormatting sqref="I17:I25">
    <cfRule type="cellIs" dxfId="17" priority="5" operator="lessThan">
      <formula>0.8</formula>
    </cfRule>
    <cfRule type="cellIs" dxfId="16" priority="6" operator="greaterThan">
      <formula>0.8</formula>
    </cfRule>
  </conditionalFormatting>
  <conditionalFormatting sqref="I30:I36">
    <cfRule type="cellIs" dxfId="15" priority="3" operator="lessThan">
      <formula>0.8</formula>
    </cfRule>
    <cfRule type="cellIs" dxfId="14" priority="4" operator="greaterThan">
      <formula>0.8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51F80-6146-41F7-93E6-F030EB9A0A3B}">
  <sheetPr>
    <tabColor rgb="FF00B0F0"/>
  </sheetPr>
  <dimension ref="A1:AH40"/>
  <sheetViews>
    <sheetView zoomScale="56" zoomScaleNormal="56" workbookViewId="0">
      <selection activeCell="A9" sqref="A9"/>
    </sheetView>
  </sheetViews>
  <sheetFormatPr defaultRowHeight="14.5" x14ac:dyDescent="0.35"/>
  <cols>
    <col min="1" max="1" width="12.453125" customWidth="1"/>
    <col min="2" max="2" width="20.7265625" customWidth="1"/>
    <col min="4" max="4" width="6.7265625" customWidth="1"/>
    <col min="6" max="6" width="8.1796875" customWidth="1"/>
    <col min="7" max="7" width="10" bestFit="1" customWidth="1"/>
    <col min="9" max="10" width="13.36328125" customWidth="1"/>
    <col min="11" max="13" width="7.7265625" customWidth="1"/>
    <col min="14" max="14" width="8.26953125" customWidth="1"/>
    <col min="15" max="15" width="9" customWidth="1"/>
    <col min="16" max="16" width="6.6328125" customWidth="1"/>
    <col min="17" max="17" width="7.36328125" bestFit="1" customWidth="1"/>
    <col min="18" max="19" width="6.6328125" customWidth="1"/>
    <col min="20" max="20" width="28.26953125" customWidth="1"/>
    <col min="21" max="21" width="16" customWidth="1"/>
    <col min="22" max="22" width="10" customWidth="1"/>
    <col min="23" max="23" width="13.08984375" customWidth="1"/>
    <col min="24" max="24" width="11.7265625" customWidth="1"/>
  </cols>
  <sheetData>
    <row r="1" spans="1:34" ht="15" thickBot="1" x14ac:dyDescent="0.4">
      <c r="A1" s="71" t="s">
        <v>579</v>
      </c>
      <c r="B1" s="79" t="s">
        <v>580</v>
      </c>
    </row>
    <row r="2" spans="1:34" s="101" customFormat="1" x14ac:dyDescent="0.35">
      <c r="A2" s="128">
        <f>_xlfn.MAXIFS(MainVisit!N:N,MainVisit!E:E,A6)</f>
        <v>0</v>
      </c>
      <c r="B2" s="130" t="e" cm="1">
        <f t="array" ref="B2">_xlfn.XLOOKUP(1,(MainVisit!E:E=A6)*(MainVisit!N:N=_xlfn.MAXIFS(MainVisit!N:N,MainVisit!E:E,A6)),MainVisit!X:X)</f>
        <v>#N/A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100"/>
    </row>
    <row r="3" spans="1:34" ht="15" thickBot="1" x14ac:dyDescent="0.4">
      <c r="A3" s="82" t="s">
        <v>2048</v>
      </c>
      <c r="B3" s="129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1"/>
    </row>
    <row r="4" spans="1:34" ht="15" thickBot="1" x14ac:dyDescent="0.4">
      <c r="A4" s="142" t="e">
        <f>VLOOKUP(A6,'atm total'!B:I,8,0)</f>
        <v>#N/A</v>
      </c>
      <c r="B4" s="83" t="str">
        <f>VLOOKUP(A6,'SITE BLNS'!A:Z,26,0)</f>
        <v>Bali Nusra</v>
      </c>
      <c r="C4" s="196" t="str">
        <f>VLOOKUP(A6,'SITE BLNS'!A:C,3,)</f>
        <v>BCA WAINGAPU</v>
      </c>
      <c r="D4" s="197"/>
      <c r="E4" s="197"/>
      <c r="F4" s="198"/>
      <c r="G4" s="196" t="str">
        <f>VLOOKUP(A6,'SITE BLNS'!A:Q,17,0)</f>
        <v>BCA 0314-Kupang</v>
      </c>
      <c r="H4" s="197"/>
      <c r="I4" s="198"/>
    </row>
    <row r="5" spans="1:34" ht="15" thickBot="1" x14ac:dyDescent="0.4">
      <c r="A5" s="70" t="s">
        <v>25</v>
      </c>
      <c r="B5" s="67" t="s">
        <v>2047</v>
      </c>
      <c r="C5" s="67" t="s">
        <v>27</v>
      </c>
      <c r="D5" s="67" t="s">
        <v>28</v>
      </c>
      <c r="E5" s="67" t="s">
        <v>29</v>
      </c>
      <c r="F5" s="67" t="s">
        <v>30</v>
      </c>
      <c r="G5" s="67" t="s">
        <v>31</v>
      </c>
      <c r="H5" s="67" t="s">
        <v>32</v>
      </c>
      <c r="I5" s="67" t="s">
        <v>576</v>
      </c>
      <c r="J5" s="67" t="s">
        <v>2033</v>
      </c>
      <c r="K5" s="67" t="s">
        <v>6</v>
      </c>
      <c r="L5" s="201" t="s">
        <v>3377</v>
      </c>
      <c r="M5" s="202"/>
      <c r="N5" s="203"/>
      <c r="O5" s="207" t="s">
        <v>3381</v>
      </c>
      <c r="P5" s="208"/>
      <c r="Q5" s="208"/>
      <c r="R5" s="209"/>
      <c r="V5" s="164" t="s">
        <v>14</v>
      </c>
      <c r="W5" s="164" t="e">
        <f>VLOOKUP(A6,'SITE BLNS'!A:AK,37,0)</f>
        <v>#N/A</v>
      </c>
      <c r="AA5" s="62"/>
      <c r="AB5" s="62"/>
      <c r="AC5" s="61"/>
      <c r="AD5" s="62"/>
      <c r="AE5" s="62"/>
      <c r="AF5" s="61"/>
      <c r="AG5" s="62"/>
      <c r="AH5" s="62"/>
    </row>
    <row r="6" spans="1:34" ht="15" customHeight="1" thickBot="1" x14ac:dyDescent="0.4">
      <c r="A6" s="192" t="s">
        <v>3440</v>
      </c>
      <c r="B6" s="66" t="e">
        <f>VLOOKUP(A6,'atm total'!B:C,2,0)</f>
        <v>#N/A</v>
      </c>
      <c r="C6" s="63">
        <f>SUBTOTAL(9,B10:B39)</f>
        <v>0</v>
      </c>
      <c r="D6" s="63">
        <f>SUBTOTAL(9,C10:C39)</f>
        <v>0</v>
      </c>
      <c r="E6" s="63" t="e">
        <f>VLOOKUP(A6,'atm total'!B:Q,16,0)</f>
        <v>#N/A</v>
      </c>
      <c r="F6" s="63">
        <v>99.2</v>
      </c>
      <c r="G6" s="64" t="e">
        <f>100-H6</f>
        <v>#N/A</v>
      </c>
      <c r="H6" s="65" t="e">
        <f>(D6/E6)*100</f>
        <v>#N/A</v>
      </c>
      <c r="I6" s="65" t="e">
        <f>VLOOKUP(A6,'atm total'!B:AK,36,0)</f>
        <v>#N/A</v>
      </c>
      <c r="J6" s="65" t="e">
        <f>VLOOKUP(A6,'atm total'!B:AN,39,0)</f>
        <v>#N/A</v>
      </c>
      <c r="K6" s="65" t="e">
        <f>VLOOKUP(A6,'atm total'!B:AH,33,0)</f>
        <v>#N/A</v>
      </c>
      <c r="L6" s="204" t="e">
        <f>W5-W6</f>
        <v>#N/A</v>
      </c>
      <c r="M6" s="205"/>
      <c r="N6" s="206"/>
      <c r="O6" s="162" t="e">
        <f>D6/C6</f>
        <v>#DIV/0!</v>
      </c>
      <c r="P6" s="160" t="s">
        <v>3379</v>
      </c>
      <c r="Q6" s="163" t="e">
        <f>O6/60</f>
        <v>#DIV/0!</v>
      </c>
      <c r="R6" s="161" t="s">
        <v>3380</v>
      </c>
      <c r="V6" s="164"/>
      <c r="W6" s="164">
        <f>D6/60</f>
        <v>0</v>
      </c>
    </row>
    <row r="7" spans="1:34" ht="15" customHeight="1" thickBot="1" x14ac:dyDescent="0.4">
      <c r="A7" s="193"/>
    </row>
    <row r="8" spans="1:34" ht="15" customHeight="1" thickBot="1" x14ac:dyDescent="0.4">
      <c r="A8" s="194"/>
      <c r="B8" s="199" t="s">
        <v>2046</v>
      </c>
      <c r="C8" s="195"/>
      <c r="D8" s="195"/>
      <c r="E8" s="199" t="s">
        <v>56</v>
      </c>
      <c r="F8" s="195"/>
      <c r="G8" s="195"/>
      <c r="H8" s="195" t="s">
        <v>57</v>
      </c>
      <c r="I8" s="195"/>
      <c r="J8" s="195"/>
      <c r="K8" s="195" t="s">
        <v>58</v>
      </c>
      <c r="L8" s="195"/>
      <c r="M8" s="195"/>
      <c r="N8" s="195" t="s">
        <v>59</v>
      </c>
      <c r="O8" s="195"/>
      <c r="P8" s="195"/>
      <c r="Q8" s="195" t="s">
        <v>60</v>
      </c>
      <c r="R8" s="195"/>
      <c r="S8" s="200"/>
      <c r="T8" s="190" t="s">
        <v>2043</v>
      </c>
      <c r="U8" s="190" t="s">
        <v>2044</v>
      </c>
    </row>
    <row r="9" spans="1:34" ht="15" customHeight="1" thickBot="1" x14ac:dyDescent="0.4">
      <c r="A9" s="98" t="s">
        <v>2025</v>
      </c>
      <c r="B9" s="137" t="s">
        <v>27</v>
      </c>
      <c r="C9" s="138" t="s">
        <v>28</v>
      </c>
      <c r="D9" s="138" t="s">
        <v>32</v>
      </c>
      <c r="E9" s="138" t="s">
        <v>27</v>
      </c>
      <c r="F9" s="138" t="s">
        <v>28</v>
      </c>
      <c r="G9" s="138" t="s">
        <v>32</v>
      </c>
      <c r="H9" s="138" t="s">
        <v>27</v>
      </c>
      <c r="I9" s="138" t="s">
        <v>28</v>
      </c>
      <c r="J9" s="138" t="s">
        <v>32</v>
      </c>
      <c r="K9" s="138" t="s">
        <v>27</v>
      </c>
      <c r="L9" s="138" t="s">
        <v>28</v>
      </c>
      <c r="M9" s="138" t="s">
        <v>32</v>
      </c>
      <c r="N9" s="138" t="s">
        <v>27</v>
      </c>
      <c r="O9" s="138" t="s">
        <v>28</v>
      </c>
      <c r="P9" s="139" t="s">
        <v>32</v>
      </c>
      <c r="Q9" s="138" t="s">
        <v>27</v>
      </c>
      <c r="R9" s="138" t="s">
        <v>28</v>
      </c>
      <c r="S9" s="139" t="s">
        <v>32</v>
      </c>
      <c r="T9" s="191"/>
      <c r="U9" s="191"/>
    </row>
    <row r="10" spans="1:34" ht="15" customHeight="1" thickBot="1" x14ac:dyDescent="0.4">
      <c r="A10" s="131">
        <v>46266</v>
      </c>
      <c r="B10" s="117" t="str">
        <f>IFERROR(VLOOKUP(A6,'1'!B:N,13,0),"")</f>
        <v/>
      </c>
      <c r="C10" s="117" t="str">
        <f>IFERROR(VLOOKUP(A6,'1'!B:O,14,0),"")</f>
        <v/>
      </c>
      <c r="D10" s="117" t="str">
        <f>IFERROR(VLOOKUP(A6,'1'!B:P,15,0),"")</f>
        <v/>
      </c>
      <c r="E10" s="117" t="str">
        <f>IFERROR(VLOOKUP(A6,'1'!B:R,17,0),"")</f>
        <v/>
      </c>
      <c r="F10" s="117" t="str">
        <f>IFERROR(VLOOKUP(A6,'1'!B:S,18,0),"")</f>
        <v/>
      </c>
      <c r="G10" s="117" t="str">
        <f>IFERROR(VLOOKUP(A6,'1'!B:T,19,0),"")</f>
        <v/>
      </c>
      <c r="H10" s="117" t="str">
        <f>IFERROR(VLOOKUP(A6,'1'!B:U,20,0),"")</f>
        <v/>
      </c>
      <c r="I10" s="117" t="str">
        <f>IFERROR(VLOOKUP(A6,'1'!B:V,21,0),"")</f>
        <v/>
      </c>
      <c r="J10" s="117" t="str">
        <f>IFERROR(VLOOKUP(A6,'1'!B:W,22,0),"")</f>
        <v/>
      </c>
      <c r="K10" s="117" t="str">
        <f>IFERROR(VLOOKUP(A6,'1'!B:X,23,0),"")</f>
        <v/>
      </c>
      <c r="L10" s="117" t="str">
        <f>IFERROR(VLOOKUP(A6,'1'!B:Y,24,0),"")</f>
        <v/>
      </c>
      <c r="M10" s="117" t="str">
        <f>IFERROR(VLOOKUP(A6,'1'!B:Z,25,0),"")</f>
        <v/>
      </c>
      <c r="N10" s="117" t="str">
        <f>IFERROR(VLOOKUP(A6,'1'!B:AA,26,0),"")</f>
        <v/>
      </c>
      <c r="O10" s="117" t="str">
        <f>IFERROR(VLOOKUP(A6,'1'!B:AB,27,0),"")</f>
        <v/>
      </c>
      <c r="P10" s="117" t="str">
        <f>IFERROR(VLOOKUP(A6,'1'!B:AC,28,0),"")</f>
        <v/>
      </c>
      <c r="Q10" s="117" t="str">
        <f>IFERROR(VLOOKUP(A6,'1'!B:AD,28,0),"")</f>
        <v/>
      </c>
      <c r="R10" s="117" t="str">
        <f>IFERROR(VLOOKUP(A6,'1'!B:AE,30,0),"")</f>
        <v/>
      </c>
      <c r="S10" s="117" t="str">
        <f>IFERROR(VLOOKUP(A6,'1'!B:AF,31,0),"")</f>
        <v/>
      </c>
      <c r="T10" s="135" t="str" cm="1">
        <f t="array" ref="T10">IFERROR(_xlfn.XLOOKUP(A10,_xlfn._xlws.FILTER(MainVisit!P:P,MainVisit!E:E=$A$6),_xlfn._xlws.FILTER(MainVisit!V:V,MainVisit!E:E=$A$6),""),"")</f>
        <v/>
      </c>
      <c r="U10" s="135" t="str" cm="1">
        <f t="array" ref="U10">IFERROR(_xlfn.XLOOKUP(A10,_xlfn._xlws.FILTER(MainVisit!P:P,MainVisit!E:E=$A$6),_xlfn._xlws.FILTER(MainVisit!AJ:AJ,MainVisit!E:E=$A$6),""),"")</f>
        <v/>
      </c>
    </row>
    <row r="11" spans="1:34" ht="16" thickBot="1" x14ac:dyDescent="0.4">
      <c r="A11" s="131">
        <v>46267</v>
      </c>
      <c r="B11" s="117" t="str">
        <f>IFERROR(VLOOKUP(A6,'2'!B:N,13,0),"")</f>
        <v/>
      </c>
      <c r="C11" s="117" t="str">
        <f>IFERROR(VLOOKUP(A6,'2'!B:O,14,0),"")</f>
        <v/>
      </c>
      <c r="D11" s="117" t="str">
        <f>IFERROR(VLOOKUP(A6,'2'!B:P,15,0),"")</f>
        <v/>
      </c>
      <c r="E11" s="117" t="str">
        <f>IFERROR(VLOOKUP(A6,'2'!B:R,17,0),"")</f>
        <v/>
      </c>
      <c r="F11" s="117" t="str">
        <f>IFERROR(VLOOKUP(A6,'2'!B:S,18,0),"")</f>
        <v/>
      </c>
      <c r="G11" s="117" t="str">
        <f>IFERROR(VLOOKUP(A6,'2'!B:T,19,0),"")</f>
        <v/>
      </c>
      <c r="H11" s="117" t="str">
        <f>IFERROR(VLOOKUP(A6,'2'!B:U,20,0),"")</f>
        <v/>
      </c>
      <c r="I11" s="117" t="str">
        <f>IFERROR(VLOOKUP(A6,'2'!B:V,21,0),"")</f>
        <v/>
      </c>
      <c r="J11" s="117" t="str">
        <f>IFERROR(VLOOKUP(A6,'2'!B:W,22,0),"")</f>
        <v/>
      </c>
      <c r="K11" s="117" t="str">
        <f>IFERROR(VLOOKUP(A6,'2'!B:X,23,0),"")</f>
        <v/>
      </c>
      <c r="L11" s="117" t="str">
        <f>IFERROR(VLOOKUP(A6,'2'!B:Y,24,0),"")</f>
        <v/>
      </c>
      <c r="M11" s="117" t="str">
        <f>IFERROR(VLOOKUP(A6,'2'!B:Z,25,0),"")</f>
        <v/>
      </c>
      <c r="N11" s="117" t="str">
        <f>IFERROR(VLOOKUP(A6,'2'!B:AA,26,0),"")</f>
        <v/>
      </c>
      <c r="O11" s="117" t="str">
        <f>IFERROR(VLOOKUP(A6,'2'!B:AB,27,0),"")</f>
        <v/>
      </c>
      <c r="P11" s="117" t="str">
        <f>IFERROR(VLOOKUP(A6,'2'!B:AC,28,0),"")</f>
        <v/>
      </c>
      <c r="Q11" s="117" t="str">
        <f>IFERROR(VLOOKUP(A6,'2'!B:AD,29,0),"")</f>
        <v/>
      </c>
      <c r="R11" s="117" t="str">
        <f>IFERROR(VLOOKUP(A6,'2'!B:AE,30,0),"")</f>
        <v/>
      </c>
      <c r="S11" s="117" t="str">
        <f>IFERROR(VLOOKUP(A6,'2'!B:AF,31,0),"")</f>
        <v/>
      </c>
      <c r="T11" s="136" t="str" cm="1">
        <f t="array" ref="T11">IFERROR(_xlfn.XLOOKUP(A11,_xlfn._xlws.FILTER(MainVisit!P:P,MainVisit!E:E=$A$6),_xlfn._xlws.FILTER(MainVisit!V:V,MainVisit!E:E=$A$6),""),"")</f>
        <v/>
      </c>
      <c r="U11" s="135" t="str" cm="1">
        <f t="array" ref="U11">IFERROR(_xlfn.XLOOKUP(A11,_xlfn._xlws.FILTER(MainVisit!P:P,MainVisit!E:E=$A$6),_xlfn._xlws.FILTER(MainVisit!AJ:AJ,MainVisit!E:E=$A$6),""),"")</f>
        <v/>
      </c>
    </row>
    <row r="12" spans="1:34" ht="16" thickBot="1" x14ac:dyDescent="0.4">
      <c r="A12" s="131">
        <v>46268</v>
      </c>
      <c r="B12" s="117" t="str">
        <f>IFERROR(VLOOKUP(A6,'3'!B:N,13,0),"")</f>
        <v/>
      </c>
      <c r="C12" s="117" t="str">
        <f>IFERROR(VLOOKUP(A6,'3'!B:O,14,0),"")</f>
        <v/>
      </c>
      <c r="D12" s="117" t="str">
        <f>IFERROR(VLOOKUP(A6,'3'!B:P,15,0),"")</f>
        <v/>
      </c>
      <c r="E12" s="117" t="str">
        <f>IFERROR(VLOOKUP(A6,'3'!B:R,17,0),"")</f>
        <v/>
      </c>
      <c r="F12" s="117" t="str">
        <f>IFERROR(VLOOKUP(A6,'3'!B:S,18,0),"")</f>
        <v/>
      </c>
      <c r="G12" s="117" t="str">
        <f>IFERROR(VLOOKUP(A6,'3'!B:T,19,0),"")</f>
        <v/>
      </c>
      <c r="H12" s="117" t="str">
        <f>IFERROR(VLOOKUP(A6,'3'!B:U,20,0),"")</f>
        <v/>
      </c>
      <c r="I12" s="117" t="str">
        <f>IFERROR(VLOOKUP(A6,'3'!B:V,21,0),"")</f>
        <v/>
      </c>
      <c r="J12" s="117" t="str">
        <f>IFERROR(VLOOKUP(A6,'3'!B:W,22,0),"")</f>
        <v/>
      </c>
      <c r="K12" s="117" t="str">
        <f>IFERROR(VLOOKUP(A6,'3'!B:X,23,0),"")</f>
        <v/>
      </c>
      <c r="L12" s="117" t="str">
        <f>IFERROR(VLOOKUP(A6,'3'!B:Y,24,0),"")</f>
        <v/>
      </c>
      <c r="M12" s="117" t="str">
        <f>IFERROR(VLOOKUP(A6,'3'!B:Z,25,0),"")</f>
        <v/>
      </c>
      <c r="N12" s="117" t="str">
        <f>IFERROR(VLOOKUP(A6,'3'!B:AA,26,0),"")</f>
        <v/>
      </c>
      <c r="O12" s="117" t="str">
        <f>IFERROR(VLOOKUP(A6,'3'!B:AB,27,0),"")</f>
        <v/>
      </c>
      <c r="P12" s="117" t="str">
        <f>IFERROR(VLOOKUP(A6,'3'!B:AC,28,0),"")</f>
        <v/>
      </c>
      <c r="Q12" s="117" t="str">
        <f>IFERROR(VLOOKUP(A6,'3'!B:AD,29,0),"")</f>
        <v/>
      </c>
      <c r="R12" s="117" t="str">
        <f>IFERROR(VLOOKUP(A6,'3'!B:AE,30,0),"")</f>
        <v/>
      </c>
      <c r="S12" s="117" t="str">
        <f>IFERROR(VLOOKUP(A6,'3'!B:AF,31,0),"")</f>
        <v/>
      </c>
      <c r="T12" s="136" t="str" cm="1">
        <f t="array" ref="T12">IFERROR(_xlfn.XLOOKUP(A12,_xlfn._xlws.FILTER(MainVisit!P:P,MainVisit!E:E=$A$6),_xlfn._xlws.FILTER(MainVisit!V:V,MainVisit!E:E=$A$6),""),"")</f>
        <v/>
      </c>
      <c r="U12" s="135" t="str" cm="1">
        <f t="array" ref="U12">IFERROR(_xlfn.XLOOKUP(A12,_xlfn._xlws.FILTER(MainVisit!P:P,MainVisit!E:E=$A$6),_xlfn._xlws.FILTER(MainVisit!AJ:AJ,MainVisit!E:E=$A$6),""),"")</f>
        <v/>
      </c>
    </row>
    <row r="13" spans="1:34" ht="16" thickBot="1" x14ac:dyDescent="0.4">
      <c r="A13" s="131">
        <v>46269</v>
      </c>
      <c r="B13" s="117" t="str">
        <f>IFERROR(VLOOKUP(A6,'4'!B:N,13,0),"")</f>
        <v/>
      </c>
      <c r="C13" s="117" t="str">
        <f>IFERROR(VLOOKUP(A6,'4'!B:O,14,0),"")</f>
        <v/>
      </c>
      <c r="D13" s="117" t="str">
        <f>IFERROR(VLOOKUP(A6,'4'!B:P,15,0),"")</f>
        <v/>
      </c>
      <c r="E13" s="117" t="str">
        <f>IFERROR(VLOOKUP(A6,'4'!B:R,17,0),"")</f>
        <v/>
      </c>
      <c r="F13" s="117" t="str">
        <f>IFERROR(VLOOKUP(A6,'4'!B:S,18,0),"")</f>
        <v/>
      </c>
      <c r="G13" s="117" t="str">
        <f>IFERROR(VLOOKUP(A6,'4'!B:T,19,0),"")</f>
        <v/>
      </c>
      <c r="H13" s="117" t="str">
        <f>IFERROR(VLOOKUP(A6,'4'!B:U,20,0),"")</f>
        <v/>
      </c>
      <c r="I13" s="117" t="str">
        <f>IFERROR(VLOOKUP(A6,'4'!B:V,21,0),"")</f>
        <v/>
      </c>
      <c r="J13" s="117" t="str">
        <f>IFERROR(VLOOKUP(A6,'4'!B:W,22,0),"")</f>
        <v/>
      </c>
      <c r="K13" s="117" t="str">
        <f>IFERROR(VLOOKUP(A6,'4'!B:X,23,0),"")</f>
        <v/>
      </c>
      <c r="L13" s="117" t="str">
        <f>IFERROR(VLOOKUP(A6,'4'!B:Y,24,0),"")</f>
        <v/>
      </c>
      <c r="M13" s="117" t="str">
        <f>IFERROR(VLOOKUP(A6,'4'!B:Z,25,0),"")</f>
        <v/>
      </c>
      <c r="N13" s="117" t="str">
        <f>IFERROR(VLOOKUP(A6,'4'!B:AA,26,0),"")</f>
        <v/>
      </c>
      <c r="O13" s="117" t="str">
        <f>IFERROR(VLOOKUP(A6,'4'!B:AB,27,0),"")</f>
        <v/>
      </c>
      <c r="P13" s="117" t="str">
        <f>IFERROR(VLOOKUP(A6,'4'!B:AC,28,0),"")</f>
        <v/>
      </c>
      <c r="Q13" s="117" t="str">
        <f>IFERROR(VLOOKUP(A6,'4'!B:AD,29,0),"")</f>
        <v/>
      </c>
      <c r="R13" s="117" t="str">
        <f>IFERROR(VLOOKUP(A6,'4'!B:AE,30,0),"")</f>
        <v/>
      </c>
      <c r="S13" s="117" t="str">
        <f>IFERROR(VLOOKUP(A6,'4'!B:AF,31,0),"")</f>
        <v/>
      </c>
      <c r="T13" s="136" t="str" cm="1">
        <f t="array" ref="T13">IFERROR(_xlfn.XLOOKUP(A13,_xlfn._xlws.FILTER(MainVisit!P:P,MainVisit!E:E=$A$6),_xlfn._xlws.FILTER(MainVisit!V:V,MainVisit!E:E=$A$6),""),"")</f>
        <v/>
      </c>
      <c r="U13" s="135" t="str" cm="1">
        <f t="array" ref="U13">IFERROR(_xlfn.XLOOKUP(A13,_xlfn._xlws.FILTER(MainVisit!P:P,MainVisit!E:E=$A$6),_xlfn._xlws.FILTER(MainVisit!AJ:AJ,MainVisit!E:E=$A$6),""),"")</f>
        <v/>
      </c>
    </row>
    <row r="14" spans="1:34" ht="16" thickBot="1" x14ac:dyDescent="0.4">
      <c r="A14" s="131">
        <v>46270</v>
      </c>
      <c r="B14" s="117" t="str">
        <f>IFERROR(VLOOKUP(A6,'5'!B:N,13,0),"")</f>
        <v/>
      </c>
      <c r="C14" s="117" t="str">
        <f>IFERROR(VLOOKUP(A6,'5'!B:O,14,0),"")</f>
        <v/>
      </c>
      <c r="D14" s="117" t="str">
        <f>IFERROR(VLOOKUP(A6,'5'!B:P,15,0),"")</f>
        <v/>
      </c>
      <c r="E14" s="117" t="str">
        <f>IFERROR(VLOOKUP(A6,'5'!B:R,17,0),"")</f>
        <v/>
      </c>
      <c r="F14" s="117" t="str">
        <f>IFERROR(VLOOKUP(A6,'5'!B:S,18,0),"")</f>
        <v/>
      </c>
      <c r="G14" s="117" t="str">
        <f>IFERROR(VLOOKUP(A6,'5'!B:T,19,0),"")</f>
        <v/>
      </c>
      <c r="H14" s="117" t="str">
        <f>IFERROR(VLOOKUP(A6,'5'!B:U,20,0),"")</f>
        <v/>
      </c>
      <c r="I14" s="117" t="str">
        <f>IFERROR(VLOOKUP(A6,'5'!B:V,21,0),"")</f>
        <v/>
      </c>
      <c r="J14" s="117" t="str">
        <f>IFERROR(VLOOKUP(A6,'5'!B:W,22,0),"")</f>
        <v/>
      </c>
      <c r="K14" s="117" t="str">
        <f>IFERROR(VLOOKUP(A6,'5'!B:X,23,0),"")</f>
        <v/>
      </c>
      <c r="L14" s="117" t="str">
        <f>IFERROR(VLOOKUP(A6,'5'!B:Y,24,0),"")</f>
        <v/>
      </c>
      <c r="M14" s="117" t="str">
        <f>IFERROR(VLOOKUP(A6,'5'!B:Z,25,0),"")</f>
        <v/>
      </c>
      <c r="N14" s="117" t="str">
        <f>IFERROR(VLOOKUP(A6,'5'!B:AA,26,0),"")</f>
        <v/>
      </c>
      <c r="O14" s="117" t="str">
        <f>IFERROR(VLOOKUP(A6,'5'!B:AB,27,0),"")</f>
        <v/>
      </c>
      <c r="P14" s="117" t="str">
        <f>IFERROR(VLOOKUP(A6,'5'!B:AC,28,0),"")</f>
        <v/>
      </c>
      <c r="Q14" s="117" t="str">
        <f>IFERROR(VLOOKUP(A6,'5'!B:AD,29,0),"")</f>
        <v/>
      </c>
      <c r="R14" s="117" t="str">
        <f>IFERROR(VLOOKUP(A6,'5'!B:AE,30,0),"")</f>
        <v/>
      </c>
      <c r="S14" s="117" t="str">
        <f>IFERROR(VLOOKUP(A6,'5'!B:AF,31,0),"")</f>
        <v/>
      </c>
      <c r="T14" s="136" t="str" cm="1">
        <f t="array" ref="T14">IFERROR(_xlfn.XLOOKUP(A14,_xlfn._xlws.FILTER(MainVisit!P:P,MainVisit!E:E=$A$6),_xlfn._xlws.FILTER(MainVisit!V:V,MainVisit!E:E=$A$6),""),"")</f>
        <v/>
      </c>
      <c r="U14" s="135" t="str" cm="1">
        <f t="array" ref="U14">IFERROR(_xlfn.XLOOKUP(A14,_xlfn._xlws.FILTER(MainVisit!P:P,MainVisit!E:E=$A$6),_xlfn._xlws.FILTER(MainVisit!AJ:AJ,MainVisit!E:E=$A$6),""),"")</f>
        <v/>
      </c>
    </row>
    <row r="15" spans="1:34" ht="16" thickBot="1" x14ac:dyDescent="0.4">
      <c r="A15" s="131">
        <v>46271</v>
      </c>
      <c r="B15" s="117" t="str">
        <f>IFERROR(VLOOKUP(A6,'6'!B:N,13,0),"")</f>
        <v/>
      </c>
      <c r="C15" s="117" t="str">
        <f>IFERROR(VLOOKUP(A6,'6'!B:O,14,0),"")</f>
        <v/>
      </c>
      <c r="D15" s="117" t="str">
        <f>IFERROR(VLOOKUP(A6,'6'!B:P,15,0),"")</f>
        <v/>
      </c>
      <c r="E15" s="117" t="str">
        <f>IFERROR(VLOOKUP(A6,'6'!B:R,17,0),"")</f>
        <v/>
      </c>
      <c r="F15" s="117" t="str">
        <f>IFERROR(VLOOKUP(A6,'6'!B:S,18,0),"")</f>
        <v/>
      </c>
      <c r="G15" s="117" t="str">
        <f>IFERROR(VLOOKUP(A6,'6'!B:T,19,0),"")</f>
        <v/>
      </c>
      <c r="H15" s="117" t="str">
        <f>IFERROR(VLOOKUP(A6,'6'!B:U,20,0),"")</f>
        <v/>
      </c>
      <c r="I15" s="117" t="str">
        <f>IFERROR(VLOOKUP(A6,'6'!B:V,21,0),"")</f>
        <v/>
      </c>
      <c r="J15" s="117" t="str">
        <f>IFERROR(VLOOKUP(A6,'6'!B:W,22,0),"")</f>
        <v/>
      </c>
      <c r="K15" s="117" t="str">
        <f>IFERROR(VLOOKUP(A6,'6'!B:X,23,0),"")</f>
        <v/>
      </c>
      <c r="L15" s="117" t="str">
        <f>IFERROR(VLOOKUP(A6,'6'!B:Y,24,0),"")</f>
        <v/>
      </c>
      <c r="M15" s="117" t="str">
        <f>IFERROR(VLOOKUP(A6,'6'!B:Z,25,0),"")</f>
        <v/>
      </c>
      <c r="N15" s="117" t="str">
        <f>IFERROR(VLOOKUP(A6,'6'!B:AA,26,0),"")</f>
        <v/>
      </c>
      <c r="O15" s="117" t="str">
        <f>IFERROR(VLOOKUP(A6,'6'!B:AB,27,0),"")</f>
        <v/>
      </c>
      <c r="P15" s="117" t="str">
        <f>IFERROR(VLOOKUP(A6,'6'!B:AC,28,0),"")</f>
        <v/>
      </c>
      <c r="Q15" s="117" t="str">
        <f>IFERROR(VLOOKUP(A6,'6'!B:AD,29,0),"")</f>
        <v/>
      </c>
      <c r="R15" s="117" t="str">
        <f>IFERROR(VLOOKUP(A6,'6'!B:AE,30,0),"")</f>
        <v/>
      </c>
      <c r="S15" s="117" t="str">
        <f>IFERROR(VLOOKUP(A6,'6'!B:AF,31,0),"")</f>
        <v/>
      </c>
      <c r="T15" s="136" t="str" cm="1">
        <f t="array" ref="T15">IFERROR(_xlfn.XLOOKUP(A15,_xlfn._xlws.FILTER(MainVisit!P:P,MainVisit!E:E=$A$6),_xlfn._xlws.FILTER(MainVisit!V:V,MainVisit!E:E=$A$6),""),"")</f>
        <v/>
      </c>
      <c r="U15" s="135" t="str" cm="1">
        <f t="array" ref="U15">IFERROR(_xlfn.XLOOKUP(A15,_xlfn._xlws.FILTER(MainVisit!P:P,MainVisit!E:E=$A$6),_xlfn._xlws.FILTER(MainVisit!AJ:AJ,MainVisit!E:E=$A$6),""),"")</f>
        <v/>
      </c>
    </row>
    <row r="16" spans="1:34" ht="16" thickBot="1" x14ac:dyDescent="0.4">
      <c r="A16" s="131">
        <v>46272</v>
      </c>
      <c r="B16" s="117" t="str">
        <f>IFERROR(VLOOKUP(A6,'7'!B:N,13,0),"")</f>
        <v/>
      </c>
      <c r="C16" s="117" t="str">
        <f>IFERROR(VLOOKUP(A6,'7'!B:O,14,0),"")</f>
        <v/>
      </c>
      <c r="D16" s="117" t="str">
        <f>IFERROR(VLOOKUP(A6,'7'!B:P,15,0),"")</f>
        <v/>
      </c>
      <c r="E16" s="117" t="str">
        <f>IFERROR(VLOOKUP(A6,'7'!B:R,17,0),"")</f>
        <v/>
      </c>
      <c r="F16" s="117" t="str">
        <f>IFERROR(VLOOKUP(A6,'7'!B:S,18,0),"")</f>
        <v/>
      </c>
      <c r="G16" s="117" t="str">
        <f>IFERROR(VLOOKUP(A6,'7'!B:T,19,0),"")</f>
        <v/>
      </c>
      <c r="H16" s="117" t="str">
        <f>IFERROR(VLOOKUP(A6,'7'!B:U,20,0),"")</f>
        <v/>
      </c>
      <c r="I16" s="117" t="str">
        <f>IFERROR(VLOOKUP(A6,'7'!B:V,21,0),"")</f>
        <v/>
      </c>
      <c r="J16" s="117" t="str">
        <f>IFERROR(VLOOKUP(A6,'7'!B:W,22,0),"")</f>
        <v/>
      </c>
      <c r="K16" s="117" t="str">
        <f>IFERROR(VLOOKUP(A6,'7'!B:X,23,0),"")</f>
        <v/>
      </c>
      <c r="L16" s="117" t="str">
        <f>IFERROR(VLOOKUP(A6,'7'!B:Y,24,0),"")</f>
        <v/>
      </c>
      <c r="M16" s="117" t="str">
        <f>IFERROR(VLOOKUP(A6,'7'!B:Z,25,0),"")</f>
        <v/>
      </c>
      <c r="N16" s="117" t="str">
        <f>IFERROR(VLOOKUP(A6,'7'!B:AA,26,0),"")</f>
        <v/>
      </c>
      <c r="O16" s="117" t="str">
        <f>IFERROR(VLOOKUP(A6,'7'!B:AB,27,0),"")</f>
        <v/>
      </c>
      <c r="P16" s="117" t="str">
        <f>IFERROR(VLOOKUP(A6,'7'!B:AC,28,0),"")</f>
        <v/>
      </c>
      <c r="Q16" s="117" t="str">
        <f>IFERROR(VLOOKUP(A6,'7'!B:AD,29,0),"")</f>
        <v/>
      </c>
      <c r="R16" s="117" t="str">
        <f>IFERROR(VLOOKUP(A6,'7'!B:AE,30,0),"")</f>
        <v/>
      </c>
      <c r="S16" s="117" t="str">
        <f>IFERROR(VLOOKUP(A6,'7'!B:AF,31,0),"")</f>
        <v/>
      </c>
      <c r="T16" s="136" t="str" cm="1">
        <f t="array" ref="T16">IFERROR(_xlfn.XLOOKUP(A16,_xlfn._xlws.FILTER(MainVisit!P:P,MainVisit!E:E=$A$6),_xlfn._xlws.FILTER(MainVisit!V:V,MainVisit!E:E=$A$6),""),"")</f>
        <v/>
      </c>
      <c r="U16" s="135" t="str" cm="1">
        <f t="array" ref="U16">IFERROR(_xlfn.XLOOKUP(A16,_xlfn._xlws.FILTER(MainVisit!P:P,MainVisit!E:E=$A$6),_xlfn._xlws.FILTER(MainVisit!AJ:AJ,MainVisit!E:E=$A$6),""),"")</f>
        <v/>
      </c>
    </row>
    <row r="17" spans="1:21" ht="16" thickBot="1" x14ac:dyDescent="0.4">
      <c r="A17" s="131">
        <v>46273</v>
      </c>
      <c r="B17" s="117" t="str">
        <f>IFERROR(VLOOKUP(A6,'8'!B:N,13,0),"")</f>
        <v/>
      </c>
      <c r="C17" s="117" t="str">
        <f>IFERROR(VLOOKUP(A6,'8'!B:O,14,0),"")</f>
        <v/>
      </c>
      <c r="D17" s="117" t="str">
        <f>IFERROR(VLOOKUP(A6,'8'!B:P,15,0),"")</f>
        <v/>
      </c>
      <c r="E17" s="117" t="str">
        <f>IFERROR(VLOOKUP(A6,'8'!B:R,17,0),"")</f>
        <v/>
      </c>
      <c r="F17" s="117" t="str">
        <f>IFERROR(VLOOKUP(A6,'8'!B:S,18,0),"")</f>
        <v/>
      </c>
      <c r="G17" s="117" t="str">
        <f>IFERROR(VLOOKUP(A6,'8'!B:T,19,0),"")</f>
        <v/>
      </c>
      <c r="H17" s="117" t="str">
        <f>IFERROR(VLOOKUP(A6,'8'!B:U,20,0),"")</f>
        <v/>
      </c>
      <c r="I17" s="117" t="str">
        <f>IFERROR(VLOOKUP(A6,'8'!B:V,21,0),"")</f>
        <v/>
      </c>
      <c r="J17" s="117" t="str">
        <f>IFERROR(VLOOKUP(A6,'8'!B:W,22,0),"")</f>
        <v/>
      </c>
      <c r="K17" s="117" t="str">
        <f>IFERROR(VLOOKUP(A6,'8'!B:X,23,0),"")</f>
        <v/>
      </c>
      <c r="L17" s="117" t="str">
        <f>IFERROR(VLOOKUP(A6,'8'!B:Y,24,0),"")</f>
        <v/>
      </c>
      <c r="M17" s="117" t="str">
        <f>IFERROR(VLOOKUP(A6,'8'!B:Z,25,0),"")</f>
        <v/>
      </c>
      <c r="N17" s="117" t="str">
        <f>IFERROR(VLOOKUP(A6,'8'!B:AA,26,0),"")</f>
        <v/>
      </c>
      <c r="O17" s="117" t="str">
        <f>IFERROR(VLOOKUP(A6,'8'!B:AB,27,0),"")</f>
        <v/>
      </c>
      <c r="P17" s="117" t="str">
        <f>IFERROR(VLOOKUP(A6,'8'!B:AC,28,0),"")</f>
        <v/>
      </c>
      <c r="Q17" s="117" t="str">
        <f>IFERROR(VLOOKUP(A6,'8'!B:AD,29,0),"")</f>
        <v/>
      </c>
      <c r="R17" s="117" t="str">
        <f>IFERROR(VLOOKUP(A6,'8'!B:AE,30,0),"")</f>
        <v/>
      </c>
      <c r="S17" s="117" t="str">
        <f>IFERROR(VLOOKUP(A6,'8'!B:AF,31,0),"")</f>
        <v/>
      </c>
      <c r="T17" s="136" t="str" cm="1">
        <f t="array" ref="T17">IFERROR(_xlfn.XLOOKUP(A17,_xlfn._xlws.FILTER(MainVisit!P:P,MainVisit!E:E=$A$6),_xlfn._xlws.FILTER(MainVisit!V:V,MainVisit!E:E=$A$6),""),"")</f>
        <v/>
      </c>
      <c r="U17" s="135" t="str" cm="1">
        <f t="array" ref="U17">IFERROR(_xlfn.XLOOKUP(A17,_xlfn._xlws.FILTER(MainVisit!P:P,MainVisit!E:E=$A$6),_xlfn._xlws.FILTER(MainVisit!AJ:AJ,MainVisit!E:E=$A$6),""),"")</f>
        <v/>
      </c>
    </row>
    <row r="18" spans="1:21" ht="16" thickBot="1" x14ac:dyDescent="0.4">
      <c r="A18" s="131">
        <v>46274</v>
      </c>
      <c r="B18" s="117" t="str">
        <f>IFERROR(VLOOKUP(A6,'9'!B:N,13,0),"")</f>
        <v/>
      </c>
      <c r="C18" s="117" t="str">
        <f>IFERROR(VLOOKUP(A6,'9'!B:O,14,0),"")</f>
        <v/>
      </c>
      <c r="D18" s="117" t="str">
        <f>IFERROR(VLOOKUP(A6,'9'!B:P,15,0),"")</f>
        <v/>
      </c>
      <c r="E18" s="117" t="str">
        <f>IFERROR(VLOOKUP(A6,'9'!B:R,17,0),"")</f>
        <v/>
      </c>
      <c r="F18" s="117" t="str">
        <f>IFERROR(VLOOKUP(A6,'9'!B:S,18,0),"")</f>
        <v/>
      </c>
      <c r="G18" s="117" t="str">
        <f>IFERROR(VLOOKUP(A6,'9'!B:T,19,0),"")</f>
        <v/>
      </c>
      <c r="H18" s="117" t="str">
        <f>IFERROR(VLOOKUP(A6,'9'!B:U,20,0),"")</f>
        <v/>
      </c>
      <c r="I18" s="117" t="str">
        <f>IFERROR(VLOOKUP(A6,'9'!B:V,21,0),"")</f>
        <v/>
      </c>
      <c r="J18" s="117" t="str">
        <f>IFERROR(VLOOKUP(A6,'9'!B:W,22,0),"")</f>
        <v/>
      </c>
      <c r="K18" s="117" t="str">
        <f>IFERROR(VLOOKUP(A6,'9'!B:X,23,0),"")</f>
        <v/>
      </c>
      <c r="L18" s="117" t="str">
        <f>IFERROR(VLOOKUP(A6,'9'!B:Y,24,0),"")</f>
        <v/>
      </c>
      <c r="M18" s="117" t="str">
        <f>IFERROR(VLOOKUP(A6,'9'!B:Z,25,0),"")</f>
        <v/>
      </c>
      <c r="N18" s="117" t="str">
        <f>IFERROR(VLOOKUP(A6,'9'!B:AA,26,0),"")</f>
        <v/>
      </c>
      <c r="O18" s="117" t="str">
        <f>IFERROR(VLOOKUP(A6,'9'!B:AB,27,0),"")</f>
        <v/>
      </c>
      <c r="P18" s="117" t="str">
        <f>IFERROR(VLOOKUP(A6,'9'!B:AC,28,0),"")</f>
        <v/>
      </c>
      <c r="Q18" s="117" t="str">
        <f>IFERROR(VLOOKUP(A6,'9'!B:AD,29,0),"")</f>
        <v/>
      </c>
      <c r="R18" s="117" t="str">
        <f>IFERROR(VLOOKUP(A6,'9'!B:AE,30,0),"")</f>
        <v/>
      </c>
      <c r="S18" s="117" t="str">
        <f>IFERROR(VLOOKUP(A6,'9'!B:AF,31,0),"")</f>
        <v/>
      </c>
      <c r="T18" s="136" t="str" cm="1">
        <f t="array" ref="T18">IFERROR(_xlfn.XLOOKUP(A18,_xlfn._xlws.FILTER(MainVisit!P:P,MainVisit!E:E=$A$6),_xlfn._xlws.FILTER(MainVisit!V:V,MainVisit!E:E=$A$6),""),"")</f>
        <v/>
      </c>
      <c r="U18" s="135" t="str" cm="1">
        <f t="array" ref="U18">IFERROR(_xlfn.XLOOKUP(A18,_xlfn._xlws.FILTER(MainVisit!P:P,MainVisit!E:E=$A$6),_xlfn._xlws.FILTER(MainVisit!AJ:AJ,MainVisit!E:E=$A$6),""),"")</f>
        <v/>
      </c>
    </row>
    <row r="19" spans="1:21" ht="16" thickBot="1" x14ac:dyDescent="0.4">
      <c r="A19" s="131">
        <v>46275</v>
      </c>
      <c r="B19" s="117" t="str">
        <f>IFERROR(VLOOKUP(A6,'10'!B:N,13,0),"")</f>
        <v/>
      </c>
      <c r="C19" s="117" t="str">
        <f>IFERROR(VLOOKUP(A6,'10'!B:O,14,0),"")</f>
        <v/>
      </c>
      <c r="D19" s="117" t="str">
        <f>IFERROR(VLOOKUP(A6,'10'!B:P,15,0),"")</f>
        <v/>
      </c>
      <c r="E19" s="117" t="str">
        <f>IFERROR(VLOOKUP(A6,'10'!B:R,17,0),"")</f>
        <v/>
      </c>
      <c r="F19" s="117" t="str">
        <f>IFERROR(VLOOKUP(A6,'10'!B:S,18,0),"")</f>
        <v/>
      </c>
      <c r="G19" s="117" t="str">
        <f>IFERROR(VLOOKUP(A6,'10'!B:T,19,0),"")</f>
        <v/>
      </c>
      <c r="H19" s="117" t="str">
        <f>IFERROR(VLOOKUP(A6,'10'!B:U,20,0),"")</f>
        <v/>
      </c>
      <c r="I19" s="117" t="str">
        <f>IFERROR(VLOOKUP(A6,'10'!B:V,21,0),"")</f>
        <v/>
      </c>
      <c r="J19" s="117" t="str">
        <f>IFERROR(VLOOKUP(A6,'10'!B:W,22,0),"")</f>
        <v/>
      </c>
      <c r="K19" s="117" t="str">
        <f>IFERROR(VLOOKUP(A6,'10'!B:X,23,0),"")</f>
        <v/>
      </c>
      <c r="L19" s="117" t="str">
        <f>IFERROR(VLOOKUP(A6,'10'!B:Y,24,0),"")</f>
        <v/>
      </c>
      <c r="M19" s="117" t="str">
        <f>IFERROR(VLOOKUP(A6,'10'!B:Z,25,0),"")</f>
        <v/>
      </c>
      <c r="N19" s="117" t="str">
        <f>IFERROR(VLOOKUP(A6,'10'!B:AA,26,0),"")</f>
        <v/>
      </c>
      <c r="O19" s="117" t="str">
        <f>IFERROR(VLOOKUP(A6,'10'!B:AB,27,0),"")</f>
        <v/>
      </c>
      <c r="P19" s="117" t="str">
        <f>IFERROR(VLOOKUP(A6,'10'!B:AC,28,0),"")</f>
        <v/>
      </c>
      <c r="Q19" s="117" t="str">
        <f>IFERROR(VLOOKUP(A6,'10'!B:AD,29,0),"")</f>
        <v/>
      </c>
      <c r="R19" s="117" t="str">
        <f>IFERROR(VLOOKUP(A6,'10'!B:AE,30,0),"")</f>
        <v/>
      </c>
      <c r="S19" s="117" t="str">
        <f>IFERROR(VLOOKUP(A6,'10'!B:AF,31,0),"")</f>
        <v/>
      </c>
      <c r="T19" s="136" t="str" cm="1">
        <f t="array" ref="T19">IFERROR(_xlfn.XLOOKUP(A19,_xlfn._xlws.FILTER(MainVisit!P:P,MainVisit!E:E=$A$6),_xlfn._xlws.FILTER(MainVisit!V:V,MainVisit!E:E=$A$6),""),"")</f>
        <v/>
      </c>
      <c r="U19" s="135" t="str" cm="1">
        <f t="array" ref="U19">IFERROR(_xlfn.XLOOKUP(A19,_xlfn._xlws.FILTER(MainVisit!P:P,MainVisit!E:E=$A$6),_xlfn._xlws.FILTER(MainVisit!AJ:AJ,MainVisit!E:E=$A$6),""),"")</f>
        <v/>
      </c>
    </row>
    <row r="20" spans="1:21" ht="16" thickBot="1" x14ac:dyDescent="0.4">
      <c r="A20" s="131">
        <v>46276</v>
      </c>
      <c r="B20" s="117" t="str">
        <f>IFERROR(VLOOKUP(A6,'11'!B:N,13,0),"")</f>
        <v/>
      </c>
      <c r="C20" s="117" t="str">
        <f>IFERROR(VLOOKUP(A6,'11'!B:O,14,0),"")</f>
        <v/>
      </c>
      <c r="D20" s="117" t="str">
        <f>IFERROR(VLOOKUP(A6,'11'!B:P,15,0),"")</f>
        <v/>
      </c>
      <c r="E20" s="117" t="str">
        <f>IFERROR(VLOOKUP(A6,'11'!B:R,17,0),"")</f>
        <v/>
      </c>
      <c r="F20" s="117" t="str">
        <f>IFERROR(VLOOKUP(A6,'11'!B:S,18,0),"")</f>
        <v/>
      </c>
      <c r="G20" s="117" t="str">
        <f>IFERROR(VLOOKUP(A6,'11'!B:T,19,0),"")</f>
        <v/>
      </c>
      <c r="H20" s="117" t="str">
        <f>IFERROR(VLOOKUP(A6,'11'!B:U,20,0),"")</f>
        <v/>
      </c>
      <c r="I20" s="117" t="str">
        <f>IFERROR(VLOOKUP(A6,'12'!B:V,21,0),"")</f>
        <v/>
      </c>
      <c r="J20" s="117" t="str">
        <f>IFERROR(VLOOKUP(A6,'11'!B:W,22,0),"")</f>
        <v/>
      </c>
      <c r="K20" s="117" t="str">
        <f>IFERROR(VLOOKUP(A6,'11'!B:X,23,0),"")</f>
        <v/>
      </c>
      <c r="L20" s="117" t="str">
        <f>IFERROR(VLOOKUP(A6,'11'!B:Y,24,0),"")</f>
        <v/>
      </c>
      <c r="M20" s="117" t="str">
        <f>IFERROR(VLOOKUP(A6,'11'!B:Z,25,0),"")</f>
        <v/>
      </c>
      <c r="N20" s="117" t="str">
        <f>IFERROR(VLOOKUP(A6,'11'!B:AA,26,0),"")</f>
        <v/>
      </c>
      <c r="O20" s="117" t="str">
        <f>IFERROR(VLOOKUP(A6,'11'!B:AB,27,0),"")</f>
        <v/>
      </c>
      <c r="P20" s="117" t="str">
        <f>IFERROR(VLOOKUP(A6,'11'!B:AC,28,0),"")</f>
        <v/>
      </c>
      <c r="Q20" s="117" t="str">
        <f>IFERROR(VLOOKUP(A6,'11'!B:AD,29,0),"")</f>
        <v/>
      </c>
      <c r="R20" s="117" t="str">
        <f>IFERROR(VLOOKUP(A6,'11'!B:AE,30,0),"")</f>
        <v/>
      </c>
      <c r="S20" s="117" t="str">
        <f>IFERROR(VLOOKUP(A6,'11'!B:AF,31,0),"")</f>
        <v/>
      </c>
      <c r="T20" s="136" t="str" cm="1">
        <f t="array" ref="T20">IFERROR(_xlfn.XLOOKUP(A20,_xlfn._xlws.FILTER(MainVisit!P:P,MainVisit!E:E=$A$6),_xlfn._xlws.FILTER(MainVisit!V:V,MainVisit!E:E=$A$6),""),"")</f>
        <v/>
      </c>
      <c r="U20" s="135" t="str" cm="1">
        <f t="array" ref="U20">IFERROR(_xlfn.XLOOKUP(A20,_xlfn._xlws.FILTER(MainVisit!P:P,MainVisit!E:E=$A$6),_xlfn._xlws.FILTER(MainVisit!AJ:AJ,MainVisit!E:E=$A$6),""),"")</f>
        <v/>
      </c>
    </row>
    <row r="21" spans="1:21" ht="16" thickBot="1" x14ac:dyDescent="0.4">
      <c r="A21" s="131">
        <v>46277</v>
      </c>
      <c r="B21" s="117" t="str">
        <f>IFERROR(VLOOKUP(A6,'12'!B:N,13,0),"")</f>
        <v/>
      </c>
      <c r="C21" s="117" t="str">
        <f>IFERROR(VLOOKUP(A6,'12'!B:O,14,0),"")</f>
        <v/>
      </c>
      <c r="D21" s="117" t="str">
        <f>IFERROR(VLOOKUP(A6,'12'!B:P,15,0),"")</f>
        <v/>
      </c>
      <c r="E21" s="117" t="str">
        <f>IFERROR(VLOOKUP(A6,'12'!B:R,17,0),"")</f>
        <v/>
      </c>
      <c r="F21" s="117" t="str">
        <f>IFERROR(VLOOKUP(A6,'12'!B:S,18,0),"")</f>
        <v/>
      </c>
      <c r="G21" s="117" t="str">
        <f>IFERROR(VLOOKUP(A6,'12'!B:T,19,0),"")</f>
        <v/>
      </c>
      <c r="H21" s="117" t="str">
        <f>IFERROR(VLOOKUP(A6,'12'!B:U,20,0),"")</f>
        <v/>
      </c>
      <c r="I21" s="117" t="str">
        <f>IFERROR(VLOOKUP(A6,'12'!B:V,21,0),"")</f>
        <v/>
      </c>
      <c r="J21" s="117" t="str">
        <f>IFERROR(VLOOKUP(A6,'12'!B:W,22,0),"")</f>
        <v/>
      </c>
      <c r="K21" s="117" t="str">
        <f>IFERROR(VLOOKUP(A6,'12'!B:X,23,0),"")</f>
        <v/>
      </c>
      <c r="L21" s="117" t="str">
        <f>IFERROR(VLOOKUP(A6,'12'!B:Y,24,0),"")</f>
        <v/>
      </c>
      <c r="M21" s="117" t="str">
        <f>IFERROR(VLOOKUP(A6,'12'!B:Z,25,0),"")</f>
        <v/>
      </c>
      <c r="N21" s="117" t="str">
        <f>IFERROR(VLOOKUP(A6,'12'!B:AA,26,0),"")</f>
        <v/>
      </c>
      <c r="O21" s="117" t="str">
        <f>IFERROR(VLOOKUP(A6,'12'!B:AB,27,0),"")</f>
        <v/>
      </c>
      <c r="P21" s="117" t="str">
        <f>IFERROR(VLOOKUP(A6,'12'!B:AC,28,0),"")</f>
        <v/>
      </c>
      <c r="Q21" s="117" t="str">
        <f>IFERROR(VLOOKUP(A6,'12'!B:AD,29,0),"")</f>
        <v/>
      </c>
      <c r="R21" s="117" t="str">
        <f>IFERROR(VLOOKUP(A6,'12'!B:AE,30,0),"")</f>
        <v/>
      </c>
      <c r="S21" s="117" t="str">
        <f>IFERROR(VLOOKUP(A6,'12'!B:AF,31,0),"")</f>
        <v/>
      </c>
      <c r="T21" s="136" t="str" cm="1">
        <f t="array" ref="T21">IFERROR(_xlfn.XLOOKUP(A21,_xlfn._xlws.FILTER(MainVisit!P:P,MainVisit!E:E=$A$6),_xlfn._xlws.FILTER(MainVisit!V:V,MainVisit!E:E=$A$6),""),"")</f>
        <v/>
      </c>
      <c r="U21" s="135" t="str" cm="1">
        <f t="array" ref="U21">IFERROR(_xlfn.XLOOKUP(A21,_xlfn._xlws.FILTER(MainVisit!P:P,MainVisit!E:E=$A$6),_xlfn._xlws.FILTER(MainVisit!AJ:AJ,MainVisit!E:E=$A$6),""),"")</f>
        <v/>
      </c>
    </row>
    <row r="22" spans="1:21" ht="16" thickBot="1" x14ac:dyDescent="0.4">
      <c r="A22" s="131">
        <v>46278</v>
      </c>
      <c r="B22" s="117" t="str">
        <f>IFERROR(VLOOKUP(A6,'13'!B:N,13,0),"")</f>
        <v/>
      </c>
      <c r="C22" s="117" t="str">
        <f>IFERROR(VLOOKUP(A6,'13'!B:O,14,0),"")</f>
        <v/>
      </c>
      <c r="D22" s="117" t="str">
        <f>IFERROR(VLOOKUP(A6,'13'!B:P,15,0),"")</f>
        <v/>
      </c>
      <c r="E22" s="117" t="str">
        <f>IFERROR(VLOOKUP(A6,'13'!B:R,17,0),"")</f>
        <v/>
      </c>
      <c r="F22" s="117" t="str">
        <f>IFERROR(VLOOKUP(A6,'13'!B:S,18,0),"")</f>
        <v/>
      </c>
      <c r="G22" s="117" t="str">
        <f>IFERROR(VLOOKUP(A6,'13'!B:T,19,0),"")</f>
        <v/>
      </c>
      <c r="H22" s="117" t="str">
        <f>IFERROR(VLOOKUP(A6,'13'!B:U,20,0),"")</f>
        <v/>
      </c>
      <c r="I22" s="117" t="str">
        <f>IFERROR(VLOOKUP(A6,'13'!B:V,21,0),"")</f>
        <v/>
      </c>
      <c r="J22" s="117" t="str">
        <f>IFERROR(VLOOKUP(A6,'13'!B:W,22,0),"")</f>
        <v/>
      </c>
      <c r="K22" s="117" t="str">
        <f>IFERROR(VLOOKUP(A6,'13'!B:X,23,0),"")</f>
        <v/>
      </c>
      <c r="L22" s="117" t="str">
        <f>IFERROR(VLOOKUP(A6,'13'!B:Y,24,0),"")</f>
        <v/>
      </c>
      <c r="M22" s="117" t="str">
        <f>IFERROR(VLOOKUP(A6,'13'!B:Z,25,0),"")</f>
        <v/>
      </c>
      <c r="N22" s="117" t="str">
        <f>IFERROR(VLOOKUP(A6,'13'!B:AA,26,0),"")</f>
        <v/>
      </c>
      <c r="O22" s="117" t="str">
        <f>IFERROR(VLOOKUP(A6,'13'!B:AB,27,0),"")</f>
        <v/>
      </c>
      <c r="P22" s="117" t="str">
        <f>IFERROR(VLOOKUP(A6,'13'!B:AC,28,0),"")</f>
        <v/>
      </c>
      <c r="Q22" s="117" t="str">
        <f>IFERROR(VLOOKUP(A6,'13'!B:AD,29,0),"")</f>
        <v/>
      </c>
      <c r="R22" s="117" t="str">
        <f>IFERROR(VLOOKUP(A6,'13'!B:AE,30,0),"")</f>
        <v/>
      </c>
      <c r="S22" s="117" t="str">
        <f>IFERROR(VLOOKUP(A6,'13'!B:AF,31,0),"")</f>
        <v/>
      </c>
      <c r="T22" s="136" t="str" cm="1">
        <f t="array" ref="T22">IFERROR(_xlfn.XLOOKUP(A22,_xlfn._xlws.FILTER(MainVisit!P:P,MainVisit!E:E=$A$6),_xlfn._xlws.FILTER(MainVisit!V:V,MainVisit!E:E=$A$6),""),"")</f>
        <v/>
      </c>
      <c r="U22" s="135" t="str" cm="1">
        <f t="array" ref="U22">IFERROR(_xlfn.XLOOKUP(A22,_xlfn._xlws.FILTER(MainVisit!P:P,MainVisit!E:E=$A$6),_xlfn._xlws.FILTER(MainVisit!AJ:AJ,MainVisit!E:E=$A$6),""),"")</f>
        <v/>
      </c>
    </row>
    <row r="23" spans="1:21" ht="16" thickBot="1" x14ac:dyDescent="0.4">
      <c r="A23" s="131">
        <v>46279</v>
      </c>
      <c r="B23" s="117" t="str">
        <f>IFERROR(VLOOKUP(A6,'14'!B:N,13,0),"")</f>
        <v/>
      </c>
      <c r="C23" s="117" t="str">
        <f>IFERROR(VLOOKUP(A6,'14'!B:O,14,0),"")</f>
        <v/>
      </c>
      <c r="D23" s="117" t="str">
        <f>IFERROR(VLOOKUP(A6,'14'!B:P,15,0),"")</f>
        <v/>
      </c>
      <c r="E23" s="117" t="str">
        <f>IFERROR(VLOOKUP(A6,'14'!B:R,17,0),"")</f>
        <v/>
      </c>
      <c r="F23" s="117" t="str">
        <f>IFERROR(VLOOKUP(A6,'14'!B:S,18,0),"")</f>
        <v/>
      </c>
      <c r="G23" s="117" t="str">
        <f>IFERROR(VLOOKUP(A6,'14'!B:T,19,0),"")</f>
        <v/>
      </c>
      <c r="H23" s="117" t="str">
        <f>IFERROR(VLOOKUP(A6,'14'!B:U,20,0),"")</f>
        <v/>
      </c>
      <c r="I23" s="117" t="str">
        <f>IFERROR(VLOOKUP(A6,'14'!B:V,21,0),"")</f>
        <v/>
      </c>
      <c r="J23" s="117" t="str">
        <f>IFERROR(VLOOKUP(A6,'14'!B:W,22,0),"")</f>
        <v/>
      </c>
      <c r="K23" s="117" t="str">
        <f>IFERROR(VLOOKUP(A6,'14'!B:X,23,0),"")</f>
        <v/>
      </c>
      <c r="L23" s="117" t="str">
        <f>IFERROR(VLOOKUP(A6,'14'!B:Y,24,0),"")</f>
        <v/>
      </c>
      <c r="M23" s="117" t="str">
        <f>IFERROR(VLOOKUP(A6,'14'!B:Z,25,0),"")</f>
        <v/>
      </c>
      <c r="N23" s="117" t="str">
        <f>IFERROR(VLOOKUP(A6,'14'!B:AA,26,0),"")</f>
        <v/>
      </c>
      <c r="O23" s="117" t="str">
        <f>IFERROR(VLOOKUP(A6,'14'!B:AB,27,0),"")</f>
        <v/>
      </c>
      <c r="P23" s="117" t="str">
        <f>IFERROR(VLOOKUP(A6,'14'!B:AC,28,0),"")</f>
        <v/>
      </c>
      <c r="Q23" s="117" t="str">
        <f>IFERROR(VLOOKUP(A6,'14'!B:AD,29,0),"")</f>
        <v/>
      </c>
      <c r="R23" s="117" t="str">
        <f>IFERROR(VLOOKUP(A6,'14'!B:AE,30,0),"")</f>
        <v/>
      </c>
      <c r="S23" s="117" t="str">
        <f>IFERROR(VLOOKUP(A6,'14'!B:AF,31,0),"")</f>
        <v/>
      </c>
      <c r="T23" s="136" t="str" cm="1">
        <f t="array" ref="T23">IFERROR(_xlfn.XLOOKUP(A23,_xlfn._xlws.FILTER(MainVisit!P:P,MainVisit!E:E=$A$6),_xlfn._xlws.FILTER(MainVisit!V:V,MainVisit!E:E=$A$6),""),"")</f>
        <v/>
      </c>
      <c r="U23" s="135" t="str" cm="1">
        <f t="array" ref="U23">IFERROR(_xlfn.XLOOKUP(A23,_xlfn._xlws.FILTER(MainVisit!P:P,MainVisit!E:E=$A$6),_xlfn._xlws.FILTER(MainVisit!AJ:AJ,MainVisit!E:E=$A$6),""),"")</f>
        <v/>
      </c>
    </row>
    <row r="24" spans="1:21" ht="16" thickBot="1" x14ac:dyDescent="0.4">
      <c r="A24" s="131">
        <v>46280</v>
      </c>
      <c r="B24" s="117" t="str">
        <f>IFERROR(VLOOKUP(A6,'15'!B:N,13,0),"")</f>
        <v/>
      </c>
      <c r="C24" s="117" t="str">
        <f>IFERROR(VLOOKUP(A6,'15'!B:O,14,0),"")</f>
        <v/>
      </c>
      <c r="D24" s="117" t="str">
        <f>IFERROR(VLOOKUP(A6,'15'!B:P,15,0),"")</f>
        <v/>
      </c>
      <c r="E24" s="117" t="str">
        <f>IFERROR(VLOOKUP(A6,'15'!B:R,17,0),"")</f>
        <v/>
      </c>
      <c r="F24" s="117" t="str">
        <f>IFERROR(VLOOKUP(A6,'15'!B:S,18,0),"")</f>
        <v/>
      </c>
      <c r="G24" s="117" t="str">
        <f>IFERROR(VLOOKUP(A6,'15'!B:T,19,0),"")</f>
        <v/>
      </c>
      <c r="H24" s="117" t="str">
        <f>IFERROR(VLOOKUP(A6,'15'!B:U,20,0),"")</f>
        <v/>
      </c>
      <c r="I24" s="117" t="str">
        <f>IFERROR(VLOOKUP(A6,'15'!B:V,21,0),"")</f>
        <v/>
      </c>
      <c r="J24" s="117" t="str">
        <f>IFERROR(VLOOKUP(A6,'15'!B:W,22,0),"")</f>
        <v/>
      </c>
      <c r="K24" s="117" t="str">
        <f>IFERROR(VLOOKUP(A6,'15'!B:X,23,0),"")</f>
        <v/>
      </c>
      <c r="L24" s="117" t="str">
        <f>IFERROR(VLOOKUP(A6,'15'!B:Y,24,0),"")</f>
        <v/>
      </c>
      <c r="M24" s="117" t="str">
        <f>IFERROR(VLOOKUP(A6,'15'!B:Z,25,0),"")</f>
        <v/>
      </c>
      <c r="N24" s="117" t="str">
        <f>IFERROR(VLOOKUP(A6,'15'!B:AA,26,0),"")</f>
        <v/>
      </c>
      <c r="O24" s="117" t="str">
        <f>IFERROR(VLOOKUP(A6,'15'!B:AB,27,0),"")</f>
        <v/>
      </c>
      <c r="P24" s="117" t="str">
        <f>IFERROR(VLOOKUP(A6,'15'!B:AC,28,0),"")</f>
        <v/>
      </c>
      <c r="Q24" s="117" t="str">
        <f>IFERROR(VLOOKUP(A6,'15'!B:AD,29,0),"")</f>
        <v/>
      </c>
      <c r="R24" s="117" t="str">
        <f>IFERROR(VLOOKUP(A6,'15'!B:AE,30,0),"")</f>
        <v/>
      </c>
      <c r="S24" s="117" t="str">
        <f>IFERROR(VLOOKUP(A6,'15'!B:AF,31,0),"")</f>
        <v/>
      </c>
      <c r="T24" s="136" t="str" cm="1">
        <f t="array" ref="T24">IFERROR(_xlfn.XLOOKUP(A24,_xlfn._xlws.FILTER(MainVisit!P:P,MainVisit!E:E=$A$6),_xlfn._xlws.FILTER(MainVisit!V:V,MainVisit!E:E=$A$6),""),"")</f>
        <v/>
      </c>
      <c r="U24" s="135" t="str" cm="1">
        <f t="array" ref="U24">IFERROR(_xlfn.XLOOKUP(A24,_xlfn._xlws.FILTER(MainVisit!P:P,MainVisit!E:E=$A$6),_xlfn._xlws.FILTER(MainVisit!AJ:AJ,MainVisit!E:E=$A$6),""),"")</f>
        <v/>
      </c>
    </row>
    <row r="25" spans="1:21" ht="16" thickBot="1" x14ac:dyDescent="0.4">
      <c r="A25" s="131">
        <v>46281</v>
      </c>
      <c r="B25" s="117" t="str">
        <f>IFERROR(VLOOKUP(A6,'16'!B:N,13,0),"")</f>
        <v/>
      </c>
      <c r="C25" s="117" t="str">
        <f>IFERROR(VLOOKUP(A6,'16'!B:O,14,0),"")</f>
        <v/>
      </c>
      <c r="D25" s="117" t="str">
        <f>IFERROR(VLOOKUP(A6,'16'!B:P,15,0),"")</f>
        <v/>
      </c>
      <c r="E25" s="117" t="str">
        <f>IFERROR(VLOOKUP(A6,'16'!B:R,17,0),"")</f>
        <v/>
      </c>
      <c r="F25" s="117" t="str">
        <f>IFERROR(VLOOKUP(A6,'16'!B:S,18,0),"")</f>
        <v/>
      </c>
      <c r="G25" s="117" t="str">
        <f>IFERROR(VLOOKUP(A6,'16'!B:T,19,0),"")</f>
        <v/>
      </c>
      <c r="H25" s="117" t="str">
        <f>IFERROR(VLOOKUP(A6,'16'!B:U,20,0),"")</f>
        <v/>
      </c>
      <c r="I25" s="117" t="str">
        <f>IFERROR(VLOOKUP(A6,'16'!B:V,21,0),"")</f>
        <v/>
      </c>
      <c r="J25" s="117" t="str">
        <f>IFERROR(VLOOKUP(A6,'16'!B:W,22,0),"")</f>
        <v/>
      </c>
      <c r="K25" s="117" t="str">
        <f>IFERROR(VLOOKUP(A6,'16'!B:X,23,0),"")</f>
        <v/>
      </c>
      <c r="L25" s="117" t="str">
        <f>IFERROR(VLOOKUP(A6,'16'!B:Y,24,0),"")</f>
        <v/>
      </c>
      <c r="M25" s="117" t="str">
        <f>IFERROR(VLOOKUP(A6,'16'!B:Z,25,0),"")</f>
        <v/>
      </c>
      <c r="N25" s="117" t="str">
        <f>IFERROR(VLOOKUP(A6,'16'!B:AA,26,0),"")</f>
        <v/>
      </c>
      <c r="O25" s="117" t="str">
        <f>IFERROR(VLOOKUP(A6,'16'!B:AB,27,0),"")</f>
        <v/>
      </c>
      <c r="P25" s="117" t="str">
        <f>IFERROR(VLOOKUP(A6,'16'!B:AC,28,0),"")</f>
        <v/>
      </c>
      <c r="Q25" s="117" t="str">
        <f>IFERROR(VLOOKUP(A6,'16'!B:AD,29,0),"")</f>
        <v/>
      </c>
      <c r="R25" s="117" t="str">
        <f>IFERROR(VLOOKUP(A6,'16'!B:AE,30,0),"")</f>
        <v/>
      </c>
      <c r="S25" s="117" t="str">
        <f>IFERROR(VLOOKUP(A6,'16'!B:AF,31,0),"")</f>
        <v/>
      </c>
      <c r="T25" s="136" t="str" cm="1">
        <f t="array" ref="T25">IFERROR(_xlfn.XLOOKUP(A25,_xlfn._xlws.FILTER(MainVisit!P:P,MainVisit!E:E=$A$6),_xlfn._xlws.FILTER(MainVisit!V:V,MainVisit!E:E=$A$6),""),"")</f>
        <v/>
      </c>
      <c r="U25" s="135" t="str" cm="1">
        <f t="array" ref="U25">IFERROR(_xlfn.XLOOKUP(A25,_xlfn._xlws.FILTER(MainVisit!P:P,MainVisit!E:E=$A$6),_xlfn._xlws.FILTER(MainVisit!AJ:AJ,MainVisit!E:E=$A$6),""),"")</f>
        <v/>
      </c>
    </row>
    <row r="26" spans="1:21" ht="16" thickBot="1" x14ac:dyDescent="0.4">
      <c r="A26" s="131">
        <v>46282</v>
      </c>
      <c r="B26" s="117" t="str">
        <f>IFERROR(VLOOKUP(A6,'17'!B:N,13,0),"")</f>
        <v/>
      </c>
      <c r="C26" s="117" t="str">
        <f>IFERROR(VLOOKUP(A6,'17'!B:O,14,0),"")</f>
        <v/>
      </c>
      <c r="D26" s="117" t="str">
        <f>IFERROR(VLOOKUP(A6,'17'!B:P,15,0),"")</f>
        <v/>
      </c>
      <c r="E26" s="117" t="str">
        <f>IFERROR(VLOOKUP(A6,'17'!B:R,17,0),"")</f>
        <v/>
      </c>
      <c r="F26" s="117" t="str">
        <f>IFERROR(VLOOKUP(A6,'17'!B:S,18,0),"")</f>
        <v/>
      </c>
      <c r="G26" s="117" t="str">
        <f>IFERROR(VLOOKUP(A6,'17'!B:T,19,0),"")</f>
        <v/>
      </c>
      <c r="H26" s="117" t="str">
        <f>IFERROR(VLOOKUP(A6,'17'!B:U,20,0),"")</f>
        <v/>
      </c>
      <c r="I26" s="117" t="str">
        <f>IFERROR(VLOOKUP(A6,'17'!B:V,21,0),"")</f>
        <v/>
      </c>
      <c r="J26" s="117" t="str">
        <f>IFERROR(VLOOKUP(A6,'17'!B:W,22,0),"")</f>
        <v/>
      </c>
      <c r="K26" s="117" t="str">
        <f>IFERROR(VLOOKUP(A6,'17'!B:X,23,0),"")</f>
        <v/>
      </c>
      <c r="L26" s="117" t="str">
        <f>IFERROR(VLOOKUP(A6,'17'!B:Y,24,0),"")</f>
        <v/>
      </c>
      <c r="M26" s="117" t="str">
        <f>IFERROR(VLOOKUP(A6,'17'!B:Z,25,0),"")</f>
        <v/>
      </c>
      <c r="N26" s="117" t="str">
        <f>IFERROR(VLOOKUP(A6,'17'!B:AA,26,0),"")</f>
        <v/>
      </c>
      <c r="O26" s="117" t="str">
        <f>IFERROR(VLOOKUP(A6,'17'!B:AB,27,0),"")</f>
        <v/>
      </c>
      <c r="P26" s="117" t="str">
        <f>IFERROR(VLOOKUP(A6,'17'!B:AC,28,0),"")</f>
        <v/>
      </c>
      <c r="Q26" s="117" t="str">
        <f>IFERROR(VLOOKUP(A6,'17'!B:AD,29,0),"")</f>
        <v/>
      </c>
      <c r="R26" s="117" t="str">
        <f>IFERROR(VLOOKUP(A6,'17'!B:AE,30,0),"")</f>
        <v/>
      </c>
      <c r="S26" s="117" t="str">
        <f>IFERROR(VLOOKUP(A6,'17'!B:AF,31,0),"")</f>
        <v/>
      </c>
      <c r="T26" s="136" t="str" cm="1">
        <f t="array" ref="T26">IFERROR(_xlfn.XLOOKUP(A26,_xlfn._xlws.FILTER(MainVisit!P:P,MainVisit!E:E=$A$6),_xlfn._xlws.FILTER(MainVisit!V:V,MainVisit!E:E=$A$6),""),"")</f>
        <v/>
      </c>
      <c r="U26" s="135" t="str" cm="1">
        <f t="array" ref="U26">IFERROR(_xlfn.XLOOKUP(A26,_xlfn._xlws.FILTER(MainVisit!P:P,MainVisit!E:E=$A$6),_xlfn._xlws.FILTER(MainVisit!AJ:AJ,MainVisit!E:E=$A$6),""),"")</f>
        <v/>
      </c>
    </row>
    <row r="27" spans="1:21" ht="16" thickBot="1" x14ac:dyDescent="0.4">
      <c r="A27" s="131">
        <v>46283</v>
      </c>
      <c r="B27" s="117" t="str">
        <f>IFERROR(VLOOKUP(A6,'18'!B:N,13,0),"")</f>
        <v/>
      </c>
      <c r="C27" s="117" t="str">
        <f>IFERROR(VLOOKUP(A6,'18'!B:O,14,0),"")</f>
        <v/>
      </c>
      <c r="D27" s="117" t="str">
        <f>IFERROR(VLOOKUP(A6,'18'!B:P,15,0),"")</f>
        <v/>
      </c>
      <c r="E27" s="117" t="str">
        <f>IFERROR(VLOOKUP(A6,'18'!B:R,17,0),"")</f>
        <v/>
      </c>
      <c r="F27" s="117" t="str">
        <f>IFERROR(VLOOKUP(A6,'18'!B:S,18,0),"")</f>
        <v/>
      </c>
      <c r="G27" s="117" t="str">
        <f>IFERROR(VLOOKUP(A6,'18'!B:T,19,0),"")</f>
        <v/>
      </c>
      <c r="H27" s="117" t="str">
        <f>IFERROR(VLOOKUP(A6,'18'!B:U,20,0),"")</f>
        <v/>
      </c>
      <c r="I27" s="117" t="str">
        <f>IFERROR(VLOOKUP(A6,'18'!B:V,21,0),"")</f>
        <v/>
      </c>
      <c r="J27" s="117" t="str">
        <f>IFERROR(VLOOKUP(A6,'18'!B:W,22,0),"")</f>
        <v/>
      </c>
      <c r="K27" s="117" t="str">
        <f>IFERROR(VLOOKUP(A6,'18'!B:X,23,0),"")</f>
        <v/>
      </c>
      <c r="L27" s="117" t="str">
        <f>IFERROR(VLOOKUP(A6,'18'!B:Y,24,0),"")</f>
        <v/>
      </c>
      <c r="M27" s="117" t="str">
        <f>IFERROR(VLOOKUP(A6,'18'!B:Z,25,0),"")</f>
        <v/>
      </c>
      <c r="N27" s="117" t="str">
        <f>IFERROR(VLOOKUP(A6,'18'!B:AA,26,0),"")</f>
        <v/>
      </c>
      <c r="O27" s="117" t="str">
        <f>IFERROR(VLOOKUP(A6,'18'!B:AB,27,0),"")</f>
        <v/>
      </c>
      <c r="P27" s="117" t="str">
        <f>IFERROR(VLOOKUP(A6,'18'!B:AC,28,0),"")</f>
        <v/>
      </c>
      <c r="Q27" s="117" t="str">
        <f>IFERROR(VLOOKUP(A6,'18'!B:AD,29,0),"")</f>
        <v/>
      </c>
      <c r="R27" s="117" t="str">
        <f>IFERROR(VLOOKUP(A6,'18'!B:AE,30,0),"")</f>
        <v/>
      </c>
      <c r="S27" s="117" t="str">
        <f>IFERROR(VLOOKUP(A6,'18'!B:AF,31,0),"")</f>
        <v/>
      </c>
      <c r="T27" s="136" t="str" cm="1">
        <f t="array" ref="T27">IFERROR(_xlfn.XLOOKUP(A27,_xlfn._xlws.FILTER(MainVisit!P:P,MainVisit!E:E=$A$6),_xlfn._xlws.FILTER(MainVisit!V:V,MainVisit!E:E=$A$6),""),"")</f>
        <v/>
      </c>
      <c r="U27" s="135" t="str" cm="1">
        <f t="array" ref="U27">IFERROR(_xlfn.XLOOKUP(A27,_xlfn._xlws.FILTER(MainVisit!P:P,MainVisit!E:E=$A$6),_xlfn._xlws.FILTER(MainVisit!AJ:AJ,MainVisit!E:E=$A$6),""),"")</f>
        <v/>
      </c>
    </row>
    <row r="28" spans="1:21" ht="16" thickBot="1" x14ac:dyDescent="0.4">
      <c r="A28" s="131">
        <v>46284</v>
      </c>
      <c r="B28" s="117" t="str">
        <f>IFERROR(VLOOKUP(A6,'19'!B:N,13,0),"")</f>
        <v/>
      </c>
      <c r="C28" s="117" t="str">
        <f>IFERROR(VLOOKUP(A6,'19'!B:O,14,0),"")</f>
        <v/>
      </c>
      <c r="D28" s="117" t="str">
        <f>IFERROR(VLOOKUP(A6,'19'!B:P,15,0),"")</f>
        <v/>
      </c>
      <c r="E28" s="117" t="str">
        <f>IFERROR(VLOOKUP(A6,'19'!B:R,17,0),"")</f>
        <v/>
      </c>
      <c r="F28" s="117" t="str">
        <f>IFERROR(VLOOKUP(A6,'19'!B:S,18,0),"")</f>
        <v/>
      </c>
      <c r="G28" s="117" t="str">
        <f>IFERROR(VLOOKUP(A6,'19'!B:T,19,0),"")</f>
        <v/>
      </c>
      <c r="H28" s="117" t="str">
        <f>IFERROR(VLOOKUP(A6,'19'!B:U,20,0),"")</f>
        <v/>
      </c>
      <c r="I28" s="117" t="str">
        <f>IFERROR(VLOOKUP(A6,'19'!B:V,21,0),"")</f>
        <v/>
      </c>
      <c r="J28" s="117" t="str">
        <f>IFERROR(VLOOKUP(A6,'19'!B:W,22,0),"")</f>
        <v/>
      </c>
      <c r="K28" s="117" t="str">
        <f>IFERROR(VLOOKUP(A6,'19'!B:X,23,0),"")</f>
        <v/>
      </c>
      <c r="L28" s="117" t="str">
        <f>IFERROR(VLOOKUP(A6,'19'!B:Y,24,0),"")</f>
        <v/>
      </c>
      <c r="M28" s="117" t="str">
        <f>IFERROR(VLOOKUP(A6,'19'!B:Z,25,0),"")</f>
        <v/>
      </c>
      <c r="N28" s="117" t="str">
        <f>IFERROR(VLOOKUP(A6,'19'!B:AA,26,0),"")</f>
        <v/>
      </c>
      <c r="O28" s="117" t="str">
        <f>IFERROR(VLOOKUP(A6,'19'!B:AB,27,0),"")</f>
        <v/>
      </c>
      <c r="P28" s="117" t="str">
        <f>IFERROR(VLOOKUP(A6,'19'!B:AC,28,0),"")</f>
        <v/>
      </c>
      <c r="Q28" s="117" t="str">
        <f>IFERROR(VLOOKUP(A6,'19'!B:AD,29,0),"")</f>
        <v/>
      </c>
      <c r="R28" s="117" t="str">
        <f>IFERROR(VLOOKUP(A6,'19'!B:AE,30,0),"")</f>
        <v/>
      </c>
      <c r="S28" s="117" t="str">
        <f>IFERROR(VLOOKUP(A6,'19'!B:AF,31,0),"")</f>
        <v/>
      </c>
      <c r="T28" s="136" t="str" cm="1">
        <f t="array" ref="T28">IFERROR(_xlfn.XLOOKUP(A28,_xlfn._xlws.FILTER(MainVisit!P:P,MainVisit!E:E=$A$6),_xlfn._xlws.FILTER(MainVisit!V:V,MainVisit!E:E=$A$6),""),"")</f>
        <v/>
      </c>
      <c r="U28" s="135" t="str" cm="1">
        <f t="array" ref="U28">IFERROR(_xlfn.XLOOKUP(A28,_xlfn._xlws.FILTER(MainVisit!P:P,MainVisit!E:E=$A$6),_xlfn._xlws.FILTER(MainVisit!AJ:AJ,MainVisit!E:E=$A$6),""),"")</f>
        <v/>
      </c>
    </row>
    <row r="29" spans="1:21" ht="16" thickBot="1" x14ac:dyDescent="0.4">
      <c r="A29" s="131">
        <v>46285</v>
      </c>
      <c r="B29" s="117" t="str">
        <f>IFERROR(VLOOKUP(A6,'20'!B:N,13,0),"")</f>
        <v/>
      </c>
      <c r="C29" s="117" t="str">
        <f>IFERROR(VLOOKUP(A6,'20'!B:O,14,0),"")</f>
        <v/>
      </c>
      <c r="D29" s="117" t="str">
        <f>IFERROR(VLOOKUP(A6,'20'!B:P,15,0),"")</f>
        <v/>
      </c>
      <c r="E29" s="117" t="str">
        <f>IFERROR(VLOOKUP(A6,'20'!B:R,17,0),"")</f>
        <v/>
      </c>
      <c r="F29" s="117" t="str">
        <f>IFERROR(VLOOKUP(A6,'20'!B:S,18,0),"")</f>
        <v/>
      </c>
      <c r="G29" s="117" t="str">
        <f>IFERROR(VLOOKUP(A6,'20'!B:T,19,0),"")</f>
        <v/>
      </c>
      <c r="H29" s="117" t="str">
        <f>IFERROR(VLOOKUP(A6,'20'!B:U,20,0),"")</f>
        <v/>
      </c>
      <c r="I29" s="117" t="str">
        <f>IFERROR(VLOOKUP(A6,'20'!B:V,21,0),"")</f>
        <v/>
      </c>
      <c r="J29" s="117" t="str">
        <f>IFERROR(VLOOKUP(A6,'20'!B:W,22,0),"")</f>
        <v/>
      </c>
      <c r="K29" s="117" t="str">
        <f>IFERROR(VLOOKUP(A6,'20'!B:X,23,0),"")</f>
        <v/>
      </c>
      <c r="L29" s="117" t="str">
        <f>IFERROR(VLOOKUP(A6,'20'!B:Y,24,0),"")</f>
        <v/>
      </c>
      <c r="M29" s="117" t="str">
        <f>IFERROR(VLOOKUP(A6,'20'!B:Z,25,0),"")</f>
        <v/>
      </c>
      <c r="N29" s="117" t="str">
        <f>IFERROR(VLOOKUP(A6,'20'!B:AA,26,0),"")</f>
        <v/>
      </c>
      <c r="O29" s="117" t="str">
        <f>IFERROR(VLOOKUP(A6,'20'!B:AB,27,0),"")</f>
        <v/>
      </c>
      <c r="P29" s="117" t="str">
        <f>IFERROR(VLOOKUP(A6,'20'!B:AC,28,0),"")</f>
        <v/>
      </c>
      <c r="Q29" s="117" t="str">
        <f>IFERROR(VLOOKUP(A6,'20'!B:AD,29,0),"")</f>
        <v/>
      </c>
      <c r="R29" s="117" t="str">
        <f>IFERROR(VLOOKUP(A6,'20'!B:AE,30,0),"")</f>
        <v/>
      </c>
      <c r="S29" s="117" t="str">
        <f>IFERROR(VLOOKUP(A6,'20'!B:AF,31,0),"")</f>
        <v/>
      </c>
      <c r="T29" s="136" t="str" cm="1">
        <f t="array" ref="T29">IFERROR(_xlfn.XLOOKUP(A29,_xlfn._xlws.FILTER(MainVisit!P:P,MainVisit!E:E=$A$6),_xlfn._xlws.FILTER(MainVisit!V:V,MainVisit!E:E=$A$6),""),"")</f>
        <v/>
      </c>
      <c r="U29" s="135" t="str" cm="1">
        <f t="array" ref="U29">IFERROR(_xlfn.XLOOKUP(A29,_xlfn._xlws.FILTER(MainVisit!P:P,MainVisit!E:E=$A$6),_xlfn._xlws.FILTER(MainVisit!AJ:AJ,MainVisit!E:E=$A$6),""),"")</f>
        <v/>
      </c>
    </row>
    <row r="30" spans="1:21" ht="16" thickBot="1" x14ac:dyDescent="0.4">
      <c r="A30" s="131">
        <v>46286</v>
      </c>
      <c r="B30" s="117" t="str">
        <f>IFERROR(VLOOKUP(A6,'21'!B:N,13,0),"")</f>
        <v/>
      </c>
      <c r="C30" s="117" t="str">
        <f>IFERROR(VLOOKUP(A6,'21'!B:O,14,0),"")</f>
        <v/>
      </c>
      <c r="D30" s="117" t="str">
        <f>IFERROR(VLOOKUP(A6,'21'!B:P,15,0),"")</f>
        <v/>
      </c>
      <c r="E30" s="117" t="str">
        <f>IFERROR(VLOOKUP(A6,'21'!B:R,17,0),"")</f>
        <v/>
      </c>
      <c r="F30" s="117" t="str">
        <f>IFERROR(VLOOKUP(A6,'21'!B:S,18,0),"")</f>
        <v/>
      </c>
      <c r="G30" s="117" t="str">
        <f>IFERROR(VLOOKUP(A6,'21'!B:T,19,0),"")</f>
        <v/>
      </c>
      <c r="H30" s="117" t="str">
        <f>IFERROR(VLOOKUP(A6,'21'!B:U,20,0),"")</f>
        <v/>
      </c>
      <c r="I30" s="117" t="str">
        <f>IFERROR(VLOOKUP(A6,'21'!B:V,21,0),"")</f>
        <v/>
      </c>
      <c r="J30" s="117" t="str">
        <f>IFERROR(VLOOKUP(A6,'21'!B:W,22,0),"")</f>
        <v/>
      </c>
      <c r="K30" s="117" t="str">
        <f>IFERROR(VLOOKUP(A6,'21'!B:X,23,0),"")</f>
        <v/>
      </c>
      <c r="L30" s="117" t="str">
        <f>IFERROR(VLOOKUP(A6,'21'!B:Y,24,0),"")</f>
        <v/>
      </c>
      <c r="M30" s="117" t="str">
        <f>IFERROR(VLOOKUP(A6,'21'!B:Z,25,0),"")</f>
        <v/>
      </c>
      <c r="N30" s="117" t="str">
        <f>IFERROR(VLOOKUP(A6,'21'!B:AA,26,0),"")</f>
        <v/>
      </c>
      <c r="O30" s="117" t="str">
        <f>IFERROR(VLOOKUP(A6,'21'!B:AB,27,0),"")</f>
        <v/>
      </c>
      <c r="P30" s="117" t="str">
        <f>IFERROR(VLOOKUP(A6,'21'!B:AC,28,0),"")</f>
        <v/>
      </c>
      <c r="Q30" s="117" t="str">
        <f>IFERROR(VLOOKUP(A6,'21'!B:AD,29,0),"")</f>
        <v/>
      </c>
      <c r="R30" s="117" t="str">
        <f>IFERROR(VLOOKUP(A6,'21'!B:AE,30,0),"")</f>
        <v/>
      </c>
      <c r="S30" s="117" t="str">
        <f>IFERROR(VLOOKUP(A6,'21'!B:AF,31,0),"")</f>
        <v/>
      </c>
      <c r="T30" s="136" t="str" cm="1">
        <f t="array" ref="T30">IFERROR(_xlfn.XLOOKUP(A30,_xlfn._xlws.FILTER(MainVisit!P:P,MainVisit!E:E=$A$6),_xlfn._xlws.FILTER(MainVisit!V:V,MainVisit!E:E=$A$6),""),"")</f>
        <v/>
      </c>
      <c r="U30" s="135" t="str" cm="1">
        <f t="array" ref="U30">IFERROR(_xlfn.XLOOKUP(A30,_xlfn._xlws.FILTER(MainVisit!P:P,MainVisit!E:E=$A$6),_xlfn._xlws.FILTER(MainVisit!AJ:AJ,MainVisit!E:E=$A$6),""),"")</f>
        <v/>
      </c>
    </row>
    <row r="31" spans="1:21" ht="16" thickBot="1" x14ac:dyDescent="0.4">
      <c r="A31" s="131">
        <v>46287</v>
      </c>
      <c r="B31" s="117" t="str">
        <f>IFERROR(VLOOKUP(A6,'22'!B:N,13,0),"")</f>
        <v/>
      </c>
      <c r="C31" s="117" t="str">
        <f>IFERROR(VLOOKUP(A6,'22'!B:O,14,0),"")</f>
        <v/>
      </c>
      <c r="D31" s="117" t="str">
        <f>IFERROR(VLOOKUP(A6,'22'!B:P,15,0),"")</f>
        <v/>
      </c>
      <c r="E31" s="117" t="str">
        <f>IFERROR(VLOOKUP(A6,'22'!B:R,17,0),"")</f>
        <v/>
      </c>
      <c r="F31" s="117" t="str">
        <f>IFERROR(VLOOKUP(A6,'22'!B:S,18,0),"")</f>
        <v/>
      </c>
      <c r="G31" s="117" t="str">
        <f>IFERROR(VLOOKUP(A6,'22'!B:T,19,0),"")</f>
        <v/>
      </c>
      <c r="H31" s="117" t="str">
        <f>IFERROR(VLOOKUP(A6,'22'!B:U,20,0),"")</f>
        <v/>
      </c>
      <c r="I31" s="117" t="str">
        <f>IFERROR(VLOOKUP(A6,'22'!B:V,21,0),"")</f>
        <v/>
      </c>
      <c r="J31" s="117" t="str">
        <f>IFERROR(VLOOKUP(A6,'22'!B:W,22,0),"")</f>
        <v/>
      </c>
      <c r="K31" s="117" t="str">
        <f>IFERROR(VLOOKUP(A6,'22'!B:X,23,0),"")</f>
        <v/>
      </c>
      <c r="L31" s="117" t="str">
        <f>IFERROR(VLOOKUP(A6,'22'!B:Y,24,0),"")</f>
        <v/>
      </c>
      <c r="M31" s="117" t="str">
        <f>IFERROR(VLOOKUP(A6,'22'!B:Z,25,0),"")</f>
        <v/>
      </c>
      <c r="N31" s="117" t="str">
        <f>IFERROR(VLOOKUP(A6,'22'!B:AA,26,0),"")</f>
        <v/>
      </c>
      <c r="O31" s="117" t="str">
        <f>IFERROR(VLOOKUP(A6,'22'!B:AB,27,0),"")</f>
        <v/>
      </c>
      <c r="P31" s="117" t="str">
        <f>IFERROR(VLOOKUP(A6,'22'!B:AC,28,0),"")</f>
        <v/>
      </c>
      <c r="Q31" s="117" t="str">
        <f>IFERROR(VLOOKUP(A6,'22'!B:AD,29,0),"")</f>
        <v/>
      </c>
      <c r="R31" s="117" t="str">
        <f>IFERROR(VLOOKUP(A6,'22'!B:AE,30,0),"")</f>
        <v/>
      </c>
      <c r="S31" s="117" t="str">
        <f>IFERROR(VLOOKUP(A6,'22'!B:AF,31,0),"")</f>
        <v/>
      </c>
      <c r="T31" s="136" t="str" cm="1">
        <f t="array" ref="T31">IFERROR(_xlfn.XLOOKUP(A31,_xlfn._xlws.FILTER(MainVisit!P:P,MainVisit!E:E=$A$6),_xlfn._xlws.FILTER(MainVisit!V:V,MainVisit!E:E=$A$6),""),"")</f>
        <v/>
      </c>
      <c r="U31" s="135" t="str" cm="1">
        <f t="array" ref="U31">IFERROR(_xlfn.XLOOKUP(A31,_xlfn._xlws.FILTER(MainVisit!P:P,MainVisit!E:E=$A$6),_xlfn._xlws.FILTER(MainVisit!AJ:AJ,MainVisit!E:E=$A$6),""),"")</f>
        <v/>
      </c>
    </row>
    <row r="32" spans="1:21" ht="16" thickBot="1" x14ac:dyDescent="0.4">
      <c r="A32" s="131">
        <v>46288</v>
      </c>
      <c r="B32" s="117" t="str">
        <f>IFERROR(VLOOKUP(A6,'23'!B:N,13,0),"")</f>
        <v/>
      </c>
      <c r="C32" s="117" t="str">
        <f>IFERROR(VLOOKUP(A6,'23'!B:O,14,0),"")</f>
        <v/>
      </c>
      <c r="D32" s="117" t="str">
        <f>IFERROR(VLOOKUP(A6,'23'!B:P,15,0),"")</f>
        <v/>
      </c>
      <c r="E32" s="117" t="str">
        <f>IFERROR(VLOOKUP(A6,'23'!B:R,17,0),"")</f>
        <v/>
      </c>
      <c r="F32" s="117" t="str">
        <f>IFERROR(VLOOKUP(A6,'23'!B:S,18,0),"")</f>
        <v/>
      </c>
      <c r="G32" s="117" t="str">
        <f>IFERROR(VLOOKUP(A6,'23'!B:T,19,0),"")</f>
        <v/>
      </c>
      <c r="H32" s="117" t="str">
        <f>IFERROR(VLOOKUP(A6,'23'!B:U,20,0),"")</f>
        <v/>
      </c>
      <c r="I32" s="117" t="str">
        <f>IFERROR(VLOOKUP(A6,'23'!B:V,21,0),"")</f>
        <v/>
      </c>
      <c r="J32" s="117" t="str">
        <f>IFERROR(VLOOKUP(A6,'23'!B:W,22,0),"")</f>
        <v/>
      </c>
      <c r="K32" s="117" t="str">
        <f>IFERROR(VLOOKUP(A6,'23'!B:X,23,0),"")</f>
        <v/>
      </c>
      <c r="L32" s="117" t="str">
        <f>IFERROR(VLOOKUP(A6,'23'!B:Y,24,0),"")</f>
        <v/>
      </c>
      <c r="M32" s="117" t="str">
        <f>IFERROR(VLOOKUP(A6,'23'!B:Z,25,0),"")</f>
        <v/>
      </c>
      <c r="N32" s="117" t="str">
        <f>IFERROR(VLOOKUP(A6,'23'!B:AA,26,0),"")</f>
        <v/>
      </c>
      <c r="O32" s="117" t="str">
        <f>IFERROR(VLOOKUP(A6,'23'!B:AB,27,0),"")</f>
        <v/>
      </c>
      <c r="P32" s="117" t="str">
        <f>IFERROR(VLOOKUP(A6,'23'!B:AC,28,0),"")</f>
        <v/>
      </c>
      <c r="Q32" s="117" t="str">
        <f>IFERROR(VLOOKUP(A6,'23'!B:AD,29,0),"")</f>
        <v/>
      </c>
      <c r="R32" s="117" t="str">
        <f>IFERROR(VLOOKUP(A6,'23'!B:AE,30,0),"")</f>
        <v/>
      </c>
      <c r="S32" s="117" t="str">
        <f>IFERROR(VLOOKUP(A6,'23'!B:AF,31,0),"")</f>
        <v/>
      </c>
      <c r="T32" s="136" t="str" cm="1">
        <f t="array" ref="T32">IFERROR(_xlfn.XLOOKUP(A32,_xlfn._xlws.FILTER(MainVisit!P:P,MainVisit!E:E=$A$6),_xlfn._xlws.FILTER(MainVisit!V:V,MainVisit!E:E=$A$6),""),"")</f>
        <v/>
      </c>
      <c r="U32" s="135" t="str" cm="1">
        <f t="array" ref="U32">IFERROR(_xlfn.XLOOKUP(A32,_xlfn._xlws.FILTER(MainVisit!P:P,MainVisit!E:E=$A$6),_xlfn._xlws.FILTER(MainVisit!AJ:AJ,MainVisit!E:E=$A$6),""),"")</f>
        <v/>
      </c>
    </row>
    <row r="33" spans="1:21" ht="16" thickBot="1" x14ac:dyDescent="0.4">
      <c r="A33" s="131">
        <v>46289</v>
      </c>
      <c r="B33" s="117" t="str">
        <f>IFERROR(VLOOKUP(A6,'24'!B:N,13,0),"")</f>
        <v/>
      </c>
      <c r="C33" s="117" t="str">
        <f>IFERROR(VLOOKUP(A6,'24'!B:O,14,0),"")</f>
        <v/>
      </c>
      <c r="D33" s="117" t="str">
        <f>IFERROR(VLOOKUP(A6,'24'!B:P,15,0),"")</f>
        <v/>
      </c>
      <c r="E33" s="117" t="str">
        <f>IFERROR(VLOOKUP(A6,'24'!B:R,17,0),"")</f>
        <v/>
      </c>
      <c r="F33" s="117" t="str">
        <f>IFERROR(VLOOKUP(A6,'24'!B:S,18,0),"")</f>
        <v/>
      </c>
      <c r="G33" s="117" t="str">
        <f>IFERROR(VLOOKUP(A6,'24'!B:T,19,0),"")</f>
        <v/>
      </c>
      <c r="H33" s="117" t="str">
        <f>IFERROR(VLOOKUP(A6,'24'!B:U,20,0),"")</f>
        <v/>
      </c>
      <c r="I33" s="117" t="str">
        <f>IFERROR(VLOOKUP(A6,'24'!B:V,21,0),"")</f>
        <v/>
      </c>
      <c r="J33" s="117" t="str">
        <f>IFERROR(VLOOKUP(A6,'24'!B:W,22,0),"")</f>
        <v/>
      </c>
      <c r="K33" s="117" t="str">
        <f>IFERROR(VLOOKUP(A6,'24'!B:X,23,0),"")</f>
        <v/>
      </c>
      <c r="L33" s="117" t="str">
        <f>IFERROR(VLOOKUP(A6,'24'!B:Y,24,0),"")</f>
        <v/>
      </c>
      <c r="M33" s="117" t="str">
        <f>IFERROR(VLOOKUP(A6,'24'!B:Z,25,0),"")</f>
        <v/>
      </c>
      <c r="N33" s="117" t="str">
        <f>IFERROR(VLOOKUP(A6,'24'!B:AA,26,0),"")</f>
        <v/>
      </c>
      <c r="O33" s="117" t="str">
        <f>IFERROR(VLOOKUP(A6,'24'!B:AB,27,0),"")</f>
        <v/>
      </c>
      <c r="P33" s="117" t="str">
        <f>IFERROR(VLOOKUP(A6,'24'!B:AC,28,0),"")</f>
        <v/>
      </c>
      <c r="Q33" s="117" t="str">
        <f>IFERROR(VLOOKUP(A6,'24'!B:AD,29,0),"")</f>
        <v/>
      </c>
      <c r="R33" s="117" t="str">
        <f>IFERROR(VLOOKUP(A6,'24'!B:AE,30,0),"")</f>
        <v/>
      </c>
      <c r="S33" s="117" t="str">
        <f>IFERROR(VLOOKUP(A6,'24'!B:AF,31,0),"")</f>
        <v/>
      </c>
      <c r="T33" s="136" t="str" cm="1">
        <f t="array" ref="T33">IFERROR(_xlfn.XLOOKUP(A33,_xlfn._xlws.FILTER(MainVisit!P:P,MainVisit!E:E=$A$6),_xlfn._xlws.FILTER(MainVisit!V:V,MainVisit!E:E=$A$6),""),"")</f>
        <v/>
      </c>
      <c r="U33" s="135" t="str" cm="1">
        <f t="array" ref="U33">IFERROR(_xlfn.XLOOKUP(A33,_xlfn._xlws.FILTER(MainVisit!P:P,MainVisit!E:E=$A$6),_xlfn._xlws.FILTER(MainVisit!AJ:AJ,MainVisit!E:E=$A$6),""),"")</f>
        <v/>
      </c>
    </row>
    <row r="34" spans="1:21" ht="16" thickBot="1" x14ac:dyDescent="0.4">
      <c r="A34" s="131">
        <v>46290</v>
      </c>
      <c r="B34" s="117" t="str">
        <f>IFERROR(VLOOKUP(A6,'25'!B:N,13,0),"")</f>
        <v/>
      </c>
      <c r="C34" s="117" t="str">
        <f>IFERROR(VLOOKUP(A6,'25'!B:O,14,0),"")</f>
        <v/>
      </c>
      <c r="D34" s="117" t="str">
        <f>IFERROR(VLOOKUP(A6,'25'!B:P,15,0),"")</f>
        <v/>
      </c>
      <c r="E34" s="117" t="str">
        <f>IFERROR(VLOOKUP(A6,'25'!B:R,17,0),"")</f>
        <v/>
      </c>
      <c r="F34" s="117" t="str">
        <f>IFERROR(VLOOKUP(A6,'25'!B:S,18,0),"")</f>
        <v/>
      </c>
      <c r="G34" s="117" t="str">
        <f>IFERROR(VLOOKUP(A6,'25'!B:T,19,0),"")</f>
        <v/>
      </c>
      <c r="H34" s="117" t="str">
        <f>IFERROR(VLOOKUP(A6,'25'!B:U,20,0),"")</f>
        <v/>
      </c>
      <c r="I34" s="117" t="str">
        <f>IFERROR(VLOOKUP(A6,'25'!B:V,21,0),"")</f>
        <v/>
      </c>
      <c r="J34" s="117" t="str">
        <f>IFERROR(VLOOKUP(A6,'25'!B:W,22,0),"")</f>
        <v/>
      </c>
      <c r="K34" s="117" t="str">
        <f>IFERROR(VLOOKUP(A6,'25'!B:X,23,0),"")</f>
        <v/>
      </c>
      <c r="L34" s="117" t="str">
        <f>IFERROR(VLOOKUP(A6,'25'!B:Y,24,0),"")</f>
        <v/>
      </c>
      <c r="M34" s="117" t="str">
        <f>IFERROR(VLOOKUP(A6,'25'!B:Z,25,0),"")</f>
        <v/>
      </c>
      <c r="N34" s="117" t="str">
        <f>IFERROR(VLOOKUP(A6,'25'!B:AA,26,0),"")</f>
        <v/>
      </c>
      <c r="O34" s="117" t="str">
        <f>IFERROR(VLOOKUP(A6,'25'!B:AB,27,0),"")</f>
        <v/>
      </c>
      <c r="P34" s="117" t="str">
        <f>IFERROR(VLOOKUP(A6,'25'!B:AC,28,0),"")</f>
        <v/>
      </c>
      <c r="Q34" s="117" t="str">
        <f>IFERROR(VLOOKUP(A6,'25'!B:AD,29,0),"")</f>
        <v/>
      </c>
      <c r="R34" s="117" t="str">
        <f>IFERROR(VLOOKUP(A6,'25'!B:AE,30,0),"")</f>
        <v/>
      </c>
      <c r="S34" s="117" t="str">
        <f>IFERROR(VLOOKUP(A6,'25'!B:AF,31,0),"")</f>
        <v/>
      </c>
      <c r="T34" s="136" t="str" cm="1">
        <f t="array" ref="T34">IFERROR(_xlfn.XLOOKUP(A34,_xlfn._xlws.FILTER(MainVisit!P:P,MainVisit!E:E=$A$6),_xlfn._xlws.FILTER(MainVisit!V:V,MainVisit!E:E=$A$6),""),"")</f>
        <v/>
      </c>
      <c r="U34" s="135" t="str" cm="1">
        <f t="array" ref="U34">IFERROR(_xlfn.XLOOKUP(A34,_xlfn._xlws.FILTER(MainVisit!P:P,MainVisit!E:E=$A$6),_xlfn._xlws.FILTER(MainVisit!AJ:AJ,MainVisit!E:E=$A$6),""),"")</f>
        <v/>
      </c>
    </row>
    <row r="35" spans="1:21" ht="16" thickBot="1" x14ac:dyDescent="0.4">
      <c r="A35" s="131">
        <v>46291</v>
      </c>
      <c r="B35" s="117" t="str">
        <f>IFERROR(VLOOKUP(A6,'26'!B:N,13,0),"")</f>
        <v/>
      </c>
      <c r="C35" s="117" t="str">
        <f>IFERROR(VLOOKUP(A6,'26'!B:O,14,0),"")</f>
        <v/>
      </c>
      <c r="D35" s="117" t="str">
        <f>IFERROR(VLOOKUP(A6,'26'!B:P,15,0),"")</f>
        <v/>
      </c>
      <c r="E35" s="117" t="str">
        <f>IFERROR(VLOOKUP(A6,'26'!B:R,17,0),"")</f>
        <v/>
      </c>
      <c r="F35" s="117" t="str">
        <f>IFERROR(VLOOKUP(A6,'26'!B:S,18,0),"")</f>
        <v/>
      </c>
      <c r="G35" s="117" t="str">
        <f>IFERROR(VLOOKUP(A6,'26'!B:T,19,0),"")</f>
        <v/>
      </c>
      <c r="H35" s="117" t="str">
        <f>IFERROR(VLOOKUP(A6,'26'!B:U,20,0),"")</f>
        <v/>
      </c>
      <c r="I35" s="117" t="str">
        <f>IFERROR(VLOOKUP(A6,'26'!B:V,21,0),"")</f>
        <v/>
      </c>
      <c r="J35" s="117" t="str">
        <f>IFERROR(VLOOKUP(A6,'26'!B:W,22,0),"")</f>
        <v/>
      </c>
      <c r="K35" s="117" t="str">
        <f>IFERROR(VLOOKUP(A6,'26'!B:X,23,0),"")</f>
        <v/>
      </c>
      <c r="L35" s="117" t="str">
        <f>IFERROR(VLOOKUP(A6,'26'!B:Y,24,0),"")</f>
        <v/>
      </c>
      <c r="M35" s="117" t="str">
        <f>IFERROR(VLOOKUP(A6,'26'!B:Z,25,0),"")</f>
        <v/>
      </c>
      <c r="N35" s="117" t="str">
        <f>IFERROR(VLOOKUP(A6,'26'!B:AA,26,0),"")</f>
        <v/>
      </c>
      <c r="O35" s="117" t="str">
        <f>IFERROR(VLOOKUP(A6,'26'!B:AB,27,0),"")</f>
        <v/>
      </c>
      <c r="P35" s="117" t="str">
        <f>IFERROR(VLOOKUP(A6,'26'!B:AC,28,0),"")</f>
        <v/>
      </c>
      <c r="Q35" s="117" t="str">
        <f>IFERROR(VLOOKUP(A6,'26'!B:AD,29,0),"")</f>
        <v/>
      </c>
      <c r="R35" s="117" t="str">
        <f>IFERROR(VLOOKUP(A6,'26'!B:AE,30,0),"")</f>
        <v/>
      </c>
      <c r="S35" s="117" t="str">
        <f>IFERROR(VLOOKUP(A6,'26'!B:AF,31,0),"")</f>
        <v/>
      </c>
      <c r="T35" s="136" t="str" cm="1">
        <f t="array" ref="T35">IFERROR(_xlfn.XLOOKUP(A35,_xlfn._xlws.FILTER(MainVisit!P:P,MainVisit!E:E=$A$6),_xlfn._xlws.FILTER(MainVisit!V:V,MainVisit!E:E=$A$6),""),"")</f>
        <v/>
      </c>
      <c r="U35" s="135" t="str" cm="1">
        <f t="array" ref="U35">IFERROR(_xlfn.XLOOKUP(A35,_xlfn._xlws.FILTER(MainVisit!P:P,MainVisit!E:E=$A$6),_xlfn._xlws.FILTER(MainVisit!AJ:AJ,MainVisit!E:E=$A$6),""),"")</f>
        <v/>
      </c>
    </row>
    <row r="36" spans="1:21" ht="16" thickBot="1" x14ac:dyDescent="0.4">
      <c r="A36" s="131">
        <v>46292</v>
      </c>
      <c r="B36" s="117" t="str">
        <f>IFERROR(VLOOKUP(A6,'27'!B:N,13,0),"")</f>
        <v/>
      </c>
      <c r="C36" s="117" t="str">
        <f>IFERROR(VLOOKUP(A6,'27'!B:O,14,0),"")</f>
        <v/>
      </c>
      <c r="D36" s="117" t="str">
        <f>IFERROR(VLOOKUP(A6,'27'!B:P,15,0),"")</f>
        <v/>
      </c>
      <c r="E36" s="117" t="str">
        <f>IFERROR(VLOOKUP(A6,'27'!B:R,17,0),"")</f>
        <v/>
      </c>
      <c r="F36" s="117" t="str">
        <f>IFERROR(VLOOKUP(A6,'27'!B:S,18,0),"")</f>
        <v/>
      </c>
      <c r="G36" s="117" t="str">
        <f>IFERROR(VLOOKUP(A6,'27'!B:T,19,0),"")</f>
        <v/>
      </c>
      <c r="H36" s="117" t="str">
        <f>IFERROR(VLOOKUP(A6,'27'!B:U,20,0),"")</f>
        <v/>
      </c>
      <c r="I36" s="117" t="str">
        <f>IFERROR(VLOOKUP(A6,'27'!B:V,21,0),"")</f>
        <v/>
      </c>
      <c r="J36" s="117" t="str">
        <f>IFERROR(VLOOKUP(A6,'27'!B:W,22,0),"")</f>
        <v/>
      </c>
      <c r="K36" s="117" t="str">
        <f>IFERROR(VLOOKUP(A6,'27'!B:X,23,0),"")</f>
        <v/>
      </c>
      <c r="L36" s="117" t="str">
        <f>IFERROR(VLOOKUP(A6,'27'!B:Y,24,0),"")</f>
        <v/>
      </c>
      <c r="M36" s="117" t="str">
        <f>IFERROR(VLOOKUP(A6,'27'!B:Z,25,0),"")</f>
        <v/>
      </c>
      <c r="N36" s="117" t="str">
        <f>IFERROR(VLOOKUP(A6,'27'!B:AA,26,0),"")</f>
        <v/>
      </c>
      <c r="O36" s="117" t="str">
        <f>IFERROR(VLOOKUP(A6,'27'!B:AB,27,0),"")</f>
        <v/>
      </c>
      <c r="P36" s="117" t="str">
        <f>IFERROR(VLOOKUP(A6,'27'!B:AC,28,0),"")</f>
        <v/>
      </c>
      <c r="Q36" s="117" t="str">
        <f>IFERROR(VLOOKUP(A6,'27'!B:AD,29,0),"")</f>
        <v/>
      </c>
      <c r="R36" s="117" t="str">
        <f>IFERROR(VLOOKUP(A6,'27'!B:AE,30,0),"")</f>
        <v/>
      </c>
      <c r="S36" s="117" t="str">
        <f>IFERROR(VLOOKUP(A6,'27'!B:AF,31,0),"")</f>
        <v/>
      </c>
      <c r="T36" s="136" t="str" cm="1">
        <f t="array" ref="T36">IFERROR(_xlfn.XLOOKUP(A36,_xlfn._xlws.FILTER(MainVisit!P:P,MainVisit!E:E=$A$6),_xlfn._xlws.FILTER(MainVisit!V:V,MainVisit!E:E=$A$6),""),"")</f>
        <v/>
      </c>
      <c r="U36" s="135" t="str" cm="1">
        <f t="array" ref="U36">IFERROR(_xlfn.XLOOKUP(A36,_xlfn._xlws.FILTER(MainVisit!P:P,MainVisit!E:E=$A$6),_xlfn._xlws.FILTER(MainVisit!AJ:AJ,MainVisit!E:E=$A$6),""),"")</f>
        <v/>
      </c>
    </row>
    <row r="37" spans="1:21" ht="16" thickBot="1" x14ac:dyDescent="0.4">
      <c r="A37" s="131">
        <v>46293</v>
      </c>
      <c r="B37" s="117" t="str">
        <f>IFERROR(VLOOKUP(A6,'28'!B:N,13,0),"")</f>
        <v/>
      </c>
      <c r="C37" s="117" t="str">
        <f>IFERROR(VLOOKUP(A6,'28'!B:O,14,0),"")</f>
        <v/>
      </c>
      <c r="D37" s="117" t="str">
        <f>IFERROR(VLOOKUP(A6,'28'!B:P,15,0),"")</f>
        <v/>
      </c>
      <c r="E37" s="117" t="str">
        <f>IFERROR(VLOOKUP(A6,'28'!B:R,17,0),"")</f>
        <v/>
      </c>
      <c r="F37" s="117" t="str">
        <f>IFERROR(VLOOKUP(A6,'28'!B:S,18,0),"")</f>
        <v/>
      </c>
      <c r="G37" s="117" t="str">
        <f>IFERROR(VLOOKUP(A6,'28'!B:T,19,0),"")</f>
        <v/>
      </c>
      <c r="H37" s="117" t="str">
        <f>IFERROR(VLOOKUP(A6,'28'!B:U,20,0),"")</f>
        <v/>
      </c>
      <c r="I37" s="117" t="str">
        <f>IFERROR(VLOOKUP(A6,'28'!B:V,21,0),"")</f>
        <v/>
      </c>
      <c r="J37" s="117" t="str">
        <f>IFERROR(VLOOKUP(A6,'28'!B:W,22,0),"")</f>
        <v/>
      </c>
      <c r="K37" s="117" t="str">
        <f>IFERROR(VLOOKUP(A6,'28'!B:X,23,0),"")</f>
        <v/>
      </c>
      <c r="L37" s="117" t="str">
        <f>IFERROR(VLOOKUP(A6,'28'!B:Y,24,0),"")</f>
        <v/>
      </c>
      <c r="M37" s="117" t="str">
        <f>IFERROR(VLOOKUP(A6,'28'!B:Z,25,0),"")</f>
        <v/>
      </c>
      <c r="N37" s="117" t="str">
        <f>IFERROR(VLOOKUP(A6,'28'!B:AA,26,0),"")</f>
        <v/>
      </c>
      <c r="O37" s="117" t="str">
        <f>IFERROR(VLOOKUP(A6,'28'!B:AB,27,0),"")</f>
        <v/>
      </c>
      <c r="P37" s="117" t="str">
        <f>IFERROR(VLOOKUP(A6,'28'!B:AC,28,0),"")</f>
        <v/>
      </c>
      <c r="Q37" s="117" t="str">
        <f>IFERROR(VLOOKUP(A6,'28'!B:AD,29,0),"")</f>
        <v/>
      </c>
      <c r="R37" s="117" t="str">
        <f>IFERROR(VLOOKUP(A6,'28'!B:AE,30,0),"")</f>
        <v/>
      </c>
      <c r="S37" s="117" t="str">
        <f>IFERROR(VLOOKUP(A6,'28'!B:AF,31,0),"")</f>
        <v/>
      </c>
      <c r="T37" s="136" t="str" cm="1">
        <f t="array" ref="T37">IFERROR(_xlfn.XLOOKUP(A37,_xlfn._xlws.FILTER(MainVisit!P:P,MainVisit!E:E=$A$6),_xlfn._xlws.FILTER(MainVisit!V:V,MainVisit!E:E=$A$6),""),"")</f>
        <v/>
      </c>
      <c r="U37" s="135" t="str" cm="1">
        <f t="array" ref="U37">IFERROR(_xlfn.XLOOKUP(A37,_xlfn._xlws.FILTER(MainVisit!P:P,MainVisit!E:E=$A$6),_xlfn._xlws.FILTER(MainVisit!AJ:AJ,MainVisit!E:E=$A$6),""),"")</f>
        <v/>
      </c>
    </row>
    <row r="38" spans="1:21" ht="16" thickBot="1" x14ac:dyDescent="0.4">
      <c r="A38" s="131">
        <v>46294</v>
      </c>
      <c r="B38" s="117" t="str">
        <f>IFERROR(VLOOKUP(A6,'29'!B:N,13,0),"")</f>
        <v/>
      </c>
      <c r="C38" s="117" t="str">
        <f>IFERROR(VLOOKUP(A6,'29'!B:O,14,0),"")</f>
        <v/>
      </c>
      <c r="D38" s="117" t="str">
        <f>IFERROR(VLOOKUP(A6,'29'!B:P,15,0),"")</f>
        <v/>
      </c>
      <c r="E38" s="117" t="str">
        <f>IFERROR(VLOOKUP(A6,'29'!B:R,17,0),"")</f>
        <v/>
      </c>
      <c r="F38" s="117" t="str">
        <f>IFERROR(VLOOKUP(A6,'29'!B:S,18,0),"")</f>
        <v/>
      </c>
      <c r="G38" s="117" t="str">
        <f>IFERROR(VLOOKUP(A6,'29'!B:T,19,0),"")</f>
        <v/>
      </c>
      <c r="H38" s="117" t="str">
        <f>IFERROR(VLOOKUP(A6,'29'!B:U,20,0),"")</f>
        <v/>
      </c>
      <c r="I38" s="117" t="str">
        <f>IFERROR(VLOOKUP(A6,'29'!B:V,21,0),"")</f>
        <v/>
      </c>
      <c r="J38" s="117" t="str">
        <f>IFERROR(VLOOKUP(A6,'29'!B:W,22,0),"")</f>
        <v/>
      </c>
      <c r="K38" s="117" t="str">
        <f>IFERROR(VLOOKUP(A6,'29'!B:X,23,0),"")</f>
        <v/>
      </c>
      <c r="L38" s="117" t="str">
        <f>IFERROR(VLOOKUP(A6,'29'!B:Y,24,0),"")</f>
        <v/>
      </c>
      <c r="M38" s="117" t="str">
        <f>IFERROR(VLOOKUP(A6,'29'!B:Z,25,0),"")</f>
        <v/>
      </c>
      <c r="N38" s="117" t="str">
        <f>IFERROR(VLOOKUP(A6,'29'!B:AA,26,0),"")</f>
        <v/>
      </c>
      <c r="O38" s="117" t="str">
        <f>IFERROR(VLOOKUP(A6,'29'!B:AB,27,0),"")</f>
        <v/>
      </c>
      <c r="P38" s="117" t="str">
        <f>IFERROR(VLOOKUP(A6,'29'!B:AC,28,0),"")</f>
        <v/>
      </c>
      <c r="Q38" s="117" t="str">
        <f>IFERROR(VLOOKUP(A6,'29'!B:AD,29,0),"")</f>
        <v/>
      </c>
      <c r="R38" s="117" t="str">
        <f>IFERROR(VLOOKUP(A6,'29'!B:AE,30,0),"")</f>
        <v/>
      </c>
      <c r="S38" s="117" t="str">
        <f>IFERROR(VLOOKUP(A6,'29'!B:AF,31,0),"")</f>
        <v/>
      </c>
      <c r="T38" s="136" t="str" cm="1">
        <f t="array" ref="T38">IFERROR(_xlfn.XLOOKUP(A38,_xlfn._xlws.FILTER(MainVisit!P:P,MainVisit!E:E=$A$6),_xlfn._xlws.FILTER(MainVisit!V:V,MainVisit!E:E=$A$6),""),"")</f>
        <v/>
      </c>
      <c r="U38" s="135" t="str" cm="1">
        <f t="array" ref="U38">IFERROR(_xlfn.XLOOKUP(A38,_xlfn._xlws.FILTER(MainVisit!P:P,MainVisit!E:E=$A$6),_xlfn._xlws.FILTER(MainVisit!AJ:AJ,MainVisit!E:E=$A$6),""),"")</f>
        <v/>
      </c>
    </row>
    <row r="39" spans="1:21" ht="16" thickBot="1" x14ac:dyDescent="0.4">
      <c r="A39" s="131">
        <v>46295</v>
      </c>
      <c r="B39" s="117" t="str">
        <f>IFERROR(VLOOKUP(A6,'30'!B:N,13,0),"")</f>
        <v/>
      </c>
      <c r="C39" s="117" t="str">
        <f>IFERROR(VLOOKUP(A6,'30'!B:O,14,0),"")</f>
        <v/>
      </c>
      <c r="D39" s="117" t="str">
        <f>IFERROR(VLOOKUP(A6,'30'!B:P,15,0),"")</f>
        <v/>
      </c>
      <c r="E39" s="117" t="str">
        <f>IFERROR(VLOOKUP(A6,'30'!B:R,17,0),"")</f>
        <v/>
      </c>
      <c r="F39" s="117" t="str">
        <f>IFERROR(VLOOKUP(A6,'30'!B:S,18,0),"")</f>
        <v/>
      </c>
      <c r="G39" s="117" t="str">
        <f>IFERROR(VLOOKUP(A6,'30'!B:T,19,0),"")</f>
        <v/>
      </c>
      <c r="H39" s="117" t="str">
        <f>IFERROR(VLOOKUP(A6,'30'!B:U,20,0),"")</f>
        <v/>
      </c>
      <c r="I39" s="117" t="str">
        <f>IFERROR(VLOOKUP(A6,'30'!B:V,21,0),"")</f>
        <v/>
      </c>
      <c r="J39" s="117" t="str">
        <f>IFERROR(VLOOKUP(A6,'30'!B:W,22,0),"")</f>
        <v/>
      </c>
      <c r="K39" s="117" t="str">
        <f>IFERROR(VLOOKUP(A6,'30'!B:X,23,0),"")</f>
        <v/>
      </c>
      <c r="L39" s="117" t="str">
        <f>IFERROR(VLOOKUP(A6,'30'!B:Y,24,0),"")</f>
        <v/>
      </c>
      <c r="M39" s="117" t="str">
        <f>IFERROR(VLOOKUP(A6,'30'!B:Z,25,0),"")</f>
        <v/>
      </c>
      <c r="N39" s="117" t="str">
        <f>IFERROR(VLOOKUP(A6,'30'!B:AA,26,0),"")</f>
        <v/>
      </c>
      <c r="O39" s="117" t="str">
        <f>IFERROR(VLOOKUP(A6,'30'!B:AB,27,0),"")</f>
        <v/>
      </c>
      <c r="P39" s="117" t="str">
        <f>IFERROR(VLOOKUP(A6,'30'!B:AC,28,0),"")</f>
        <v/>
      </c>
      <c r="Q39" s="117" t="str">
        <f>IFERROR(VLOOKUP(A6,'30'!B:AD,29,0),"")</f>
        <v/>
      </c>
      <c r="R39" s="117" t="str">
        <f>IFERROR(VLOOKUP(A6,'30'!B:AE,30,0),"")</f>
        <v/>
      </c>
      <c r="S39" s="117" t="str">
        <f>IFERROR(VLOOKUP(A7,'29'!B:AF,31,0),"")</f>
        <v/>
      </c>
      <c r="T39" s="136" t="str" cm="1">
        <f t="array" ref="T39">IFERROR(_xlfn.XLOOKUP(A39,_xlfn._xlws.FILTER(MainVisit!P:P,MainVisit!E:E=$A$6),_xlfn._xlws.FILTER(MainVisit!V:V,MainVisit!E:E=$A$6),""),"")</f>
        <v/>
      </c>
      <c r="U39" s="135" t="str" cm="1">
        <f t="array" ref="U39">IFERROR(_xlfn.XLOOKUP(A39,_xlfn._xlws.FILTER(MainVisit!P:P,MainVisit!E:E=$A$6),_xlfn._xlws.FILTER(MainVisit!AJ:AJ,MainVisit!E:E=$A$6),""),"")</f>
        <v/>
      </c>
    </row>
    <row r="40" spans="1:21" ht="16" thickBot="1" x14ac:dyDescent="0.4">
      <c r="A40" s="131">
        <v>46296</v>
      </c>
      <c r="B40" s="117" t="str">
        <f>IFERROR(VLOOKUP(A6,'31'!B:N,13,0),"")</f>
        <v/>
      </c>
      <c r="C40" s="117" t="str">
        <f>IFERROR(VLOOKUP(A6,'31'!B:O,14,0),"")</f>
        <v/>
      </c>
      <c r="D40" s="117" t="str">
        <f>IFERROR(VLOOKUP(A6,'31'!B:P,15,0),"")</f>
        <v/>
      </c>
      <c r="E40" s="117" t="str">
        <f>IFERROR(VLOOKUP(A6,'31'!B:R,17,0),"")</f>
        <v/>
      </c>
      <c r="F40" s="117" t="str">
        <f>IFERROR(VLOOKUP(A6,'31'!B:S,18,0),"")</f>
        <v/>
      </c>
      <c r="G40" s="117" t="str">
        <f>IFERROR(VLOOKUP(A6,'31'!B:T,19,0),"")</f>
        <v/>
      </c>
      <c r="H40" s="117" t="str">
        <f>IFERROR(VLOOKUP(A6,'31'!B:U,20,0),"")</f>
        <v/>
      </c>
      <c r="I40" s="117" t="str">
        <f>IFERROR(VLOOKUP(A6,'31'!B:V,21,0),"")</f>
        <v/>
      </c>
      <c r="J40" s="117" t="str">
        <f>IFERROR(VLOOKUP(A6,'31'!B:W,22,0),"")</f>
        <v/>
      </c>
      <c r="K40" s="117" t="str">
        <f>IFERROR(VLOOKUP(A6,'31'!B:X,23,0),"")</f>
        <v/>
      </c>
      <c r="L40" s="117" t="str">
        <f>IFERROR(VLOOKUP(A6,'31'!B:Y,24,0),"")</f>
        <v/>
      </c>
      <c r="M40" s="117" t="str">
        <f>IFERROR(VLOOKUP(A6,'31'!B:Z,25,0),"")</f>
        <v/>
      </c>
      <c r="N40" s="117" t="str">
        <f>IFERROR(VLOOKUP(A6,'31'!B:AA,26,0),"")</f>
        <v/>
      </c>
      <c r="O40" s="117" t="str">
        <f>IFERROR(VLOOKUP(A6,'31'!B:AB,27,0),"")</f>
        <v/>
      </c>
      <c r="P40" s="117" t="str">
        <f>IFERROR(VLOOKUP(A6,'31'!B:AC,28,0),"")</f>
        <v/>
      </c>
      <c r="Q40" s="117" t="str">
        <f>IFERROR(VLOOKUP(A6,'31'!B:AD,29,0),"")</f>
        <v/>
      </c>
      <c r="R40" s="117" t="str">
        <f>IFERROR(VLOOKUP(A6,'31'!B:AE,30,0),"")</f>
        <v/>
      </c>
      <c r="S40" s="117" t="str">
        <f>IFERROR(VLOOKUP(A6,'31'!B:AF,31,0),"")</f>
        <v/>
      </c>
      <c r="T40" s="136" t="str" cm="1">
        <f t="array" ref="T40">IFERROR(_xlfn.XLOOKUP(A40,_xlfn._xlws.FILTER(MainVisit!P:P,MainVisit!E:E=$A$6),_xlfn._xlws.FILTER(MainVisit!V:V,MainVisit!E:E=$A$6),""),"")</f>
        <v/>
      </c>
      <c r="U40" s="135" t="str" cm="1">
        <f t="array" ref="U40">IFERROR(_xlfn.XLOOKUP(A40,_xlfn._xlws.FILTER(MainVisit!P:P,MainVisit!E:E=$A$6),_xlfn._xlws.FILTER(MainVisit!AJ:AJ,MainVisit!E:E=$A$6),""),"")</f>
        <v/>
      </c>
    </row>
  </sheetData>
  <mergeCells count="14">
    <mergeCell ref="T8:T9"/>
    <mergeCell ref="U8:U9"/>
    <mergeCell ref="A6:A8"/>
    <mergeCell ref="N8:P8"/>
    <mergeCell ref="C4:F4"/>
    <mergeCell ref="G4:I4"/>
    <mergeCell ref="B8:D8"/>
    <mergeCell ref="E8:G8"/>
    <mergeCell ref="H8:J8"/>
    <mergeCell ref="K8:M8"/>
    <mergeCell ref="Q8:S8"/>
    <mergeCell ref="L5:N5"/>
    <mergeCell ref="L6:N6"/>
    <mergeCell ref="O5:R5"/>
  </mergeCells>
  <conditionalFormatting sqref="B10:S40">
    <cfRule type="cellIs" dxfId="13" priority="3" operator="greaterThan">
      <formula>0</formula>
    </cfRule>
    <cfRule type="expression" dxfId="12" priority="4">
      <formula>AND(B10&lt;&gt;"",B10=0)</formula>
    </cfRule>
    <cfRule type="expression" dxfId="11" priority="5">
      <formula>B10</formula>
    </cfRule>
  </conditionalFormatting>
  <conditionalFormatting sqref="G6">
    <cfRule type="cellIs" dxfId="10" priority="16" operator="lessThan">
      <formula>99.2</formula>
    </cfRule>
    <cfRule type="cellIs" dxfId="9" priority="17" operator="greaterThan">
      <formula>99.2</formula>
    </cfRule>
    <cfRule type="cellIs" dxfId="8" priority="24" operator="between">
      <formula>99.2</formula>
      <formula>100</formula>
    </cfRule>
    <cfRule type="cellIs" dxfId="7" priority="25" operator="between">
      <formula>99.19</formula>
      <formula>0</formula>
    </cfRule>
  </conditionalFormatting>
  <conditionalFormatting sqref="H6">
    <cfRule type="cellIs" dxfId="6" priority="13" operator="greaterThan">
      <formula>0.8</formula>
    </cfRule>
    <cfRule type="cellIs" dxfId="5" priority="14" operator="lessThan">
      <formula>0.8</formula>
    </cfRule>
  </conditionalFormatting>
  <conditionalFormatting sqref="I6:L6">
    <cfRule type="containsText" dxfId="4" priority="11" operator="containsText" text="tidak tercapai">
      <formula>NOT(ISERROR(SEARCH("tidak tercapai",I6)))</formula>
    </cfRule>
    <cfRule type="containsText" dxfId="3" priority="12" operator="containsText" text="tercapai">
      <formula>NOT(ISERROR(SEARCH("tercapai",I6)))</formula>
    </cfRule>
  </conditionalFormatting>
  <conditionalFormatting sqref="J6">
    <cfRule type="colorScale" priority="10">
      <colorScale>
        <cfvo type="formula" val="&quot;Sangat Tinggi&quot;"/>
        <cfvo type="formula" val="&quot;Tinggi&quot;"/>
        <cfvo type="formula" val="&quot;Rendah&quot;"/>
        <color rgb="FFF8696B"/>
        <color rgb="FFFFEB84"/>
        <color rgb="FF63BE7B"/>
      </colorScale>
    </cfRule>
  </conditionalFormatting>
  <conditionalFormatting sqref="L6:N6">
    <cfRule type="cellIs" dxfId="2" priority="1" operator="greaterThan">
      <formula>0</formula>
    </cfRule>
    <cfRule type="cellIs" dxfId="1" priority="2" operator="lessThan">
      <formula>0</formula>
    </cfRule>
  </conditionalFormatting>
  <conditionalFormatting sqref="W22">
    <cfRule type="cellIs" dxfId="0" priority="9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N8034"/>
  <sheetViews>
    <sheetView zoomScale="96" zoomScaleNormal="96" workbookViewId="0">
      <selection activeCell="A7" sqref="A7"/>
    </sheetView>
  </sheetViews>
  <sheetFormatPr defaultRowHeight="14.5" x14ac:dyDescent="0.35"/>
  <cols>
    <col min="1" max="1" width="3.7265625" bestFit="1" customWidth="1"/>
    <col min="2" max="2" width="7.7265625" customWidth="1"/>
    <col min="3" max="3" width="10.7265625" customWidth="1"/>
    <col min="4" max="4" width="30.7265625" customWidth="1"/>
    <col min="5" max="5" width="15.7265625" customWidth="1"/>
    <col min="6" max="6" width="5.7265625" customWidth="1"/>
    <col min="7" max="7" width="15.7265625" customWidth="1"/>
    <col min="8" max="8" width="3.7265625" customWidth="1"/>
    <col min="9" max="9" width="6.7265625" customWidth="1"/>
    <col min="10" max="11" width="7.7265625" customWidth="1"/>
    <col min="12" max="13" width="4.7265625" customWidth="1"/>
    <col min="14" max="32" width="5.7265625" customWidth="1"/>
    <col min="33" max="33" width="11.7265625" customWidth="1"/>
    <col min="34" max="34" width="5.7265625" customWidth="1"/>
    <col min="35" max="35" width="4.7265625" customWidth="1"/>
    <col min="36" max="36" width="7.7265625" customWidth="1"/>
    <col min="37" max="37" width="12.7265625" customWidth="1"/>
  </cols>
  <sheetData>
    <row r="1" spans="1:40" s="1" customFormat="1" ht="24.75" customHeight="1" x14ac:dyDescent="0.25">
      <c r="B1" s="6" t="s">
        <v>49</v>
      </c>
      <c r="C1" s="6"/>
      <c r="D1" s="6"/>
    </row>
    <row r="2" spans="1:40" ht="15" customHeight="1" x14ac:dyDescent="0.35">
      <c r="A2" s="1"/>
      <c r="B2" s="7" t="s">
        <v>50</v>
      </c>
      <c r="C2" t="s">
        <v>3399</v>
      </c>
      <c r="D2" s="8" t="s">
        <v>51</v>
      </c>
      <c r="G2" t="s">
        <v>3439</v>
      </c>
    </row>
    <row r="3" spans="1:40" x14ac:dyDescent="0.35">
      <c r="A3" s="1"/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4" spans="1:40" x14ac:dyDescent="0.35">
      <c r="A4" s="1"/>
      <c r="B4" s="14"/>
      <c r="C4" s="15"/>
      <c r="D4" s="15"/>
      <c r="E4" s="15"/>
      <c r="F4" s="16"/>
      <c r="G4" s="16"/>
      <c r="H4" s="16"/>
      <c r="I4" s="16"/>
      <c r="J4" s="16"/>
      <c r="K4" s="16"/>
      <c r="L4" s="13"/>
      <c r="M4" s="13"/>
      <c r="N4" s="13"/>
      <c r="O4" s="13"/>
      <c r="P4" s="13"/>
      <c r="Q4" s="13"/>
    </row>
    <row r="5" spans="1:40" ht="15" customHeight="1" x14ac:dyDescent="0.35">
      <c r="A5" s="1"/>
      <c r="B5" s="13" t="s">
        <v>53</v>
      </c>
      <c r="C5" s="13"/>
      <c r="D5" s="17"/>
      <c r="E5" s="132" t="s">
        <v>54</v>
      </c>
      <c r="F5" s="132" t="s">
        <v>54</v>
      </c>
      <c r="G5" s="133" t="s">
        <v>54</v>
      </c>
      <c r="H5" s="134"/>
      <c r="I5" s="134"/>
      <c r="J5" s="134"/>
      <c r="K5" s="134"/>
      <c r="L5" s="134"/>
      <c r="M5" s="134"/>
      <c r="N5" s="102" t="s">
        <v>55</v>
      </c>
      <c r="O5" s="102"/>
      <c r="P5" s="102"/>
      <c r="Q5" s="103"/>
      <c r="R5" s="104" t="s">
        <v>56</v>
      </c>
      <c r="S5" s="105"/>
      <c r="T5" s="106"/>
      <c r="U5" s="104" t="s">
        <v>57</v>
      </c>
      <c r="V5" s="105"/>
      <c r="W5" s="106"/>
      <c r="X5" s="104" t="s">
        <v>58</v>
      </c>
      <c r="Y5" s="105"/>
      <c r="Z5" s="106"/>
      <c r="AA5" s="104" t="s">
        <v>59</v>
      </c>
      <c r="AB5" s="105"/>
      <c r="AC5" s="106"/>
      <c r="AD5" s="104" t="s">
        <v>60</v>
      </c>
      <c r="AE5" s="105"/>
      <c r="AF5" s="106"/>
    </row>
    <row r="6" spans="1:40" ht="15" customHeight="1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25" t="s">
        <v>564</v>
      </c>
      <c r="AN6" s="108" t="s">
        <v>2026</v>
      </c>
    </row>
    <row r="7" spans="1:40" ht="15" thickTop="1" x14ac:dyDescent="0.35">
      <c r="AH7" s="21"/>
      <c r="AI7" s="21"/>
      <c r="AJ7" s="21"/>
      <c r="AK7" s="21"/>
      <c r="AM7" t="s">
        <v>53</v>
      </c>
    </row>
    <row r="8" spans="1:40" x14ac:dyDescent="0.35">
      <c r="AH8" s="21"/>
      <c r="AI8" s="21"/>
      <c r="AJ8" s="21"/>
      <c r="AK8" s="21"/>
      <c r="AM8" t="s">
        <v>53</v>
      </c>
    </row>
    <row r="9" spans="1:40" x14ac:dyDescent="0.35">
      <c r="AH9" s="21"/>
      <c r="AI9" s="21"/>
      <c r="AJ9" s="21"/>
      <c r="AK9" s="21"/>
      <c r="AM9" t="s">
        <v>53</v>
      </c>
    </row>
    <row r="10" spans="1:40" x14ac:dyDescent="0.35">
      <c r="AH10" s="21"/>
      <c r="AI10" s="21"/>
      <c r="AJ10" s="21"/>
      <c r="AK10" s="21"/>
      <c r="AM10" t="s">
        <v>53</v>
      </c>
    </row>
    <row r="11" spans="1:40" x14ac:dyDescent="0.35">
      <c r="AH11" s="21"/>
      <c r="AI11" s="21"/>
      <c r="AJ11" s="21"/>
      <c r="AK11" s="21"/>
      <c r="AM11" t="s">
        <v>53</v>
      </c>
    </row>
    <row r="12" spans="1:40" x14ac:dyDescent="0.35">
      <c r="AH12" s="21"/>
      <c r="AI12" s="21"/>
      <c r="AJ12" s="21"/>
      <c r="AK12" s="21"/>
      <c r="AM12" t="s">
        <v>53</v>
      </c>
    </row>
    <row r="13" spans="1:40" x14ac:dyDescent="0.35">
      <c r="AH13" s="21"/>
      <c r="AI13" s="21"/>
      <c r="AJ13" s="21"/>
      <c r="AK13" s="21"/>
      <c r="AM13" t="s">
        <v>53</v>
      </c>
    </row>
    <row r="14" spans="1:40" x14ac:dyDescent="0.35">
      <c r="AH14" s="21"/>
      <c r="AI14" s="21"/>
      <c r="AJ14" s="21"/>
      <c r="AK14" s="21"/>
      <c r="AM14" t="s">
        <v>53</v>
      </c>
    </row>
    <row r="15" spans="1:40" x14ac:dyDescent="0.35">
      <c r="AH15" s="21"/>
      <c r="AI15" s="21"/>
      <c r="AJ15" s="21"/>
      <c r="AK15" s="21"/>
      <c r="AM15" t="s">
        <v>53</v>
      </c>
    </row>
    <row r="16" spans="1:40" x14ac:dyDescent="0.35">
      <c r="AH16" s="21"/>
      <c r="AI16" s="21"/>
      <c r="AJ16" s="21"/>
      <c r="AK16" s="21"/>
      <c r="AM16" t="s">
        <v>53</v>
      </c>
    </row>
    <row r="17" spans="34:39" x14ac:dyDescent="0.35">
      <c r="AH17" s="21"/>
      <c r="AI17" s="21"/>
      <c r="AJ17" s="21"/>
      <c r="AK17" s="21"/>
      <c r="AM17" t="s">
        <v>53</v>
      </c>
    </row>
    <row r="18" spans="34:39" x14ac:dyDescent="0.35">
      <c r="AH18" s="21"/>
      <c r="AI18" s="21"/>
      <c r="AJ18" s="21"/>
      <c r="AK18" s="21"/>
      <c r="AM18" t="s">
        <v>53</v>
      </c>
    </row>
    <row r="19" spans="34:39" x14ac:dyDescent="0.35">
      <c r="AH19" s="21"/>
      <c r="AI19" s="21"/>
      <c r="AJ19" s="21"/>
      <c r="AK19" s="21"/>
      <c r="AM19" t="s">
        <v>53</v>
      </c>
    </row>
    <row r="20" spans="34:39" x14ac:dyDescent="0.35">
      <c r="AH20" s="21"/>
      <c r="AI20" s="21"/>
      <c r="AJ20" s="21"/>
      <c r="AK20" s="21"/>
      <c r="AM20" t="s">
        <v>53</v>
      </c>
    </row>
    <row r="21" spans="34:39" x14ac:dyDescent="0.35">
      <c r="AH21" s="21"/>
      <c r="AI21" s="21"/>
      <c r="AJ21" s="21"/>
      <c r="AK21" s="21"/>
      <c r="AM21" t="s">
        <v>53</v>
      </c>
    </row>
    <row r="22" spans="34:39" x14ac:dyDescent="0.35">
      <c r="AH22" s="21"/>
      <c r="AI22" s="21"/>
      <c r="AJ22" s="21"/>
      <c r="AK22" s="21"/>
      <c r="AM22" t="s">
        <v>53</v>
      </c>
    </row>
    <row r="23" spans="34:39" x14ac:dyDescent="0.35">
      <c r="AH23" s="21"/>
      <c r="AI23" s="21"/>
      <c r="AJ23" s="21"/>
      <c r="AK23" s="21"/>
      <c r="AM23" t="s">
        <v>53</v>
      </c>
    </row>
    <row r="24" spans="34:39" x14ac:dyDescent="0.35">
      <c r="AH24" s="21"/>
      <c r="AI24" s="21"/>
      <c r="AJ24" s="21"/>
      <c r="AK24" s="21"/>
      <c r="AM24" t="s">
        <v>53</v>
      </c>
    </row>
    <row r="25" spans="34:39" x14ac:dyDescent="0.35">
      <c r="AH25" s="21"/>
      <c r="AI25" s="21"/>
      <c r="AJ25" s="21"/>
      <c r="AK25" s="21"/>
      <c r="AM25" t="s">
        <v>53</v>
      </c>
    </row>
    <row r="26" spans="34:39" x14ac:dyDescent="0.35">
      <c r="AH26" s="21"/>
      <c r="AI26" s="21"/>
      <c r="AJ26" s="21"/>
      <c r="AK26" s="21"/>
      <c r="AM26" t="s">
        <v>53</v>
      </c>
    </row>
    <row r="27" spans="34:39" x14ac:dyDescent="0.35">
      <c r="AH27" s="21"/>
      <c r="AI27" s="21"/>
      <c r="AJ27" s="21"/>
      <c r="AK27" s="21"/>
      <c r="AM27" t="s">
        <v>53</v>
      </c>
    </row>
    <row r="28" spans="34:39" x14ac:dyDescent="0.35">
      <c r="AH28" s="21"/>
      <c r="AI28" s="21"/>
      <c r="AJ28" s="21"/>
      <c r="AK28" s="21"/>
      <c r="AM28" t="s">
        <v>53</v>
      </c>
    </row>
    <row r="29" spans="34:39" x14ac:dyDescent="0.35">
      <c r="AH29" s="21"/>
      <c r="AI29" s="21"/>
      <c r="AJ29" s="21"/>
      <c r="AK29" s="21"/>
      <c r="AM29" t="s">
        <v>53</v>
      </c>
    </row>
    <row r="30" spans="34:39" x14ac:dyDescent="0.35">
      <c r="AH30" s="21"/>
      <c r="AI30" s="21"/>
      <c r="AJ30" s="21"/>
      <c r="AK30" s="21"/>
      <c r="AM30" t="s">
        <v>53</v>
      </c>
    </row>
    <row r="31" spans="34:39" x14ac:dyDescent="0.35">
      <c r="AH31" s="21"/>
      <c r="AI31" s="21"/>
      <c r="AJ31" s="21"/>
      <c r="AK31" s="21"/>
      <c r="AM31" t="s">
        <v>53</v>
      </c>
    </row>
    <row r="32" spans="34:39" x14ac:dyDescent="0.35">
      <c r="AH32" s="21"/>
      <c r="AI32" s="21"/>
      <c r="AJ32" s="21"/>
      <c r="AK32" s="21"/>
      <c r="AM32" t="s">
        <v>53</v>
      </c>
    </row>
    <row r="33" spans="34:39" x14ac:dyDescent="0.35">
      <c r="AH33" s="21"/>
      <c r="AI33" s="21"/>
      <c r="AJ33" s="21"/>
      <c r="AK33" s="21"/>
      <c r="AM33" t="s">
        <v>53</v>
      </c>
    </row>
    <row r="34" spans="34:39" x14ac:dyDescent="0.35">
      <c r="AH34" s="21"/>
      <c r="AI34" s="21"/>
      <c r="AJ34" s="21"/>
      <c r="AK34" s="21"/>
      <c r="AM34" t="s">
        <v>53</v>
      </c>
    </row>
    <row r="35" spans="34:39" x14ac:dyDescent="0.35">
      <c r="AH35" s="21"/>
      <c r="AI35" s="21"/>
      <c r="AJ35" s="21"/>
      <c r="AK35" s="21"/>
      <c r="AM35" t="s">
        <v>53</v>
      </c>
    </row>
    <row r="36" spans="34:39" x14ac:dyDescent="0.35">
      <c r="AH36" s="21"/>
      <c r="AI36" s="21"/>
      <c r="AJ36" s="21"/>
      <c r="AK36" s="21"/>
      <c r="AM36" t="s">
        <v>53</v>
      </c>
    </row>
    <row r="37" spans="34:39" x14ac:dyDescent="0.35">
      <c r="AH37" s="21"/>
      <c r="AI37" s="21"/>
      <c r="AJ37" s="21"/>
      <c r="AK37" s="21"/>
      <c r="AM37" t="s">
        <v>53</v>
      </c>
    </row>
    <row r="38" spans="34:39" x14ac:dyDescent="0.35">
      <c r="AH38" s="21"/>
      <c r="AI38" s="21"/>
      <c r="AJ38" s="21"/>
      <c r="AK38" s="21"/>
      <c r="AM38" t="s">
        <v>53</v>
      </c>
    </row>
    <row r="39" spans="34:39" x14ac:dyDescent="0.35">
      <c r="AH39" s="21"/>
      <c r="AI39" s="21"/>
      <c r="AJ39" s="21"/>
      <c r="AK39" s="21"/>
      <c r="AM39" t="s">
        <v>53</v>
      </c>
    </row>
    <row r="40" spans="34:39" x14ac:dyDescent="0.35">
      <c r="AH40" s="21"/>
      <c r="AI40" s="21"/>
      <c r="AJ40" s="21"/>
      <c r="AK40" s="21"/>
      <c r="AM40" t="s">
        <v>53</v>
      </c>
    </row>
    <row r="41" spans="34:39" x14ac:dyDescent="0.35">
      <c r="AH41" s="21"/>
      <c r="AI41" s="21"/>
      <c r="AJ41" s="21"/>
      <c r="AK41" s="21"/>
      <c r="AM41" t="s">
        <v>53</v>
      </c>
    </row>
    <row r="42" spans="34:39" x14ac:dyDescent="0.35">
      <c r="AH42" s="21"/>
      <c r="AI42" s="21"/>
      <c r="AJ42" s="21"/>
      <c r="AK42" s="21"/>
      <c r="AM42" t="s">
        <v>53</v>
      </c>
    </row>
    <row r="43" spans="34:39" x14ac:dyDescent="0.35">
      <c r="AH43" s="21"/>
      <c r="AI43" s="21"/>
      <c r="AJ43" s="21"/>
      <c r="AK43" s="21"/>
      <c r="AM43" t="s">
        <v>53</v>
      </c>
    </row>
    <row r="44" spans="34:39" x14ac:dyDescent="0.35">
      <c r="AH44" s="21"/>
      <c r="AI44" s="21"/>
      <c r="AJ44" s="21"/>
      <c r="AK44" s="21"/>
      <c r="AM44" t="s">
        <v>53</v>
      </c>
    </row>
    <row r="45" spans="34:39" x14ac:dyDescent="0.35">
      <c r="AH45" s="21"/>
      <c r="AI45" s="21"/>
      <c r="AJ45" s="21"/>
      <c r="AK45" s="21"/>
      <c r="AM45" t="s">
        <v>53</v>
      </c>
    </row>
    <row r="46" spans="34:39" x14ac:dyDescent="0.35">
      <c r="AH46" s="21"/>
      <c r="AI46" s="21"/>
      <c r="AJ46" s="21"/>
      <c r="AK46" s="21"/>
      <c r="AM46" t="s">
        <v>53</v>
      </c>
    </row>
    <row r="47" spans="34:39" x14ac:dyDescent="0.35">
      <c r="AH47" s="21"/>
      <c r="AI47" s="21"/>
      <c r="AJ47" s="21"/>
      <c r="AK47" s="21"/>
      <c r="AM47" t="s">
        <v>53</v>
      </c>
    </row>
    <row r="48" spans="34:39" x14ac:dyDescent="0.35">
      <c r="AH48" s="21"/>
      <c r="AI48" s="21"/>
      <c r="AJ48" s="21"/>
      <c r="AK48" s="21"/>
      <c r="AM48" t="s">
        <v>53</v>
      </c>
    </row>
    <row r="49" spans="34:39" x14ac:dyDescent="0.35">
      <c r="AH49" s="21"/>
      <c r="AI49" s="21"/>
      <c r="AJ49" s="21"/>
      <c r="AK49" s="21"/>
      <c r="AM49" t="s">
        <v>53</v>
      </c>
    </row>
    <row r="50" spans="34:39" x14ac:dyDescent="0.35">
      <c r="AH50" s="21"/>
      <c r="AI50" s="21"/>
      <c r="AJ50" s="21"/>
      <c r="AK50" s="21"/>
      <c r="AM50" t="s">
        <v>53</v>
      </c>
    </row>
    <row r="51" spans="34:39" x14ac:dyDescent="0.35">
      <c r="AH51" s="21"/>
      <c r="AI51" s="21"/>
      <c r="AJ51" s="21"/>
      <c r="AK51" s="21"/>
      <c r="AM51" t="s">
        <v>53</v>
      </c>
    </row>
    <row r="52" spans="34:39" x14ac:dyDescent="0.35">
      <c r="AH52" s="21"/>
      <c r="AI52" s="21"/>
      <c r="AJ52" s="21"/>
      <c r="AK52" s="21"/>
      <c r="AM52" t="s">
        <v>53</v>
      </c>
    </row>
    <row r="53" spans="34:39" x14ac:dyDescent="0.35">
      <c r="AH53" s="21"/>
      <c r="AI53" s="21"/>
      <c r="AJ53" s="21"/>
      <c r="AK53" s="21"/>
      <c r="AM53" t="s">
        <v>53</v>
      </c>
    </row>
    <row r="54" spans="34:39" x14ac:dyDescent="0.35">
      <c r="AH54" s="21"/>
      <c r="AI54" s="21"/>
      <c r="AJ54" s="21"/>
      <c r="AK54" s="21"/>
      <c r="AM54" t="s">
        <v>53</v>
      </c>
    </row>
    <row r="55" spans="34:39" x14ac:dyDescent="0.35">
      <c r="AH55" s="21"/>
      <c r="AI55" s="21"/>
      <c r="AJ55" s="21"/>
      <c r="AK55" s="21"/>
      <c r="AM55" t="s">
        <v>53</v>
      </c>
    </row>
    <row r="56" spans="34:39" x14ac:dyDescent="0.35">
      <c r="AH56" s="21"/>
      <c r="AI56" s="21"/>
      <c r="AJ56" s="21"/>
      <c r="AK56" s="21"/>
      <c r="AM56" t="s">
        <v>53</v>
      </c>
    </row>
    <row r="57" spans="34:39" x14ac:dyDescent="0.35">
      <c r="AH57" s="21"/>
      <c r="AI57" s="21"/>
      <c r="AJ57" s="21"/>
      <c r="AK57" s="21"/>
      <c r="AM57" t="s">
        <v>53</v>
      </c>
    </row>
    <row r="58" spans="34:39" x14ac:dyDescent="0.35">
      <c r="AH58" s="21"/>
      <c r="AI58" s="21"/>
      <c r="AJ58" s="21"/>
      <c r="AK58" s="21"/>
      <c r="AM58" t="s">
        <v>53</v>
      </c>
    </row>
    <row r="59" spans="34:39" x14ac:dyDescent="0.35">
      <c r="AH59" s="21"/>
      <c r="AI59" s="21"/>
      <c r="AJ59" s="21"/>
      <c r="AK59" s="21"/>
      <c r="AM59" t="s">
        <v>53</v>
      </c>
    </row>
    <row r="60" spans="34:39" x14ac:dyDescent="0.35">
      <c r="AH60" s="21"/>
      <c r="AI60" s="21"/>
      <c r="AJ60" s="21"/>
      <c r="AK60" s="21"/>
      <c r="AM60" t="s">
        <v>53</v>
      </c>
    </row>
    <row r="61" spans="34:39" x14ac:dyDescent="0.35">
      <c r="AH61" s="21"/>
      <c r="AI61" s="21"/>
      <c r="AJ61" s="21"/>
      <c r="AK61" s="21"/>
      <c r="AM61" t="s">
        <v>53</v>
      </c>
    </row>
    <row r="62" spans="34:39" x14ac:dyDescent="0.35">
      <c r="AH62" s="21"/>
      <c r="AI62" s="21"/>
      <c r="AJ62" s="21"/>
      <c r="AK62" s="21"/>
      <c r="AM62" t="s">
        <v>53</v>
      </c>
    </row>
    <row r="63" spans="34:39" x14ac:dyDescent="0.35">
      <c r="AH63" s="21"/>
      <c r="AI63" s="21"/>
      <c r="AJ63" s="21"/>
      <c r="AK63" s="21"/>
      <c r="AM63" t="s">
        <v>53</v>
      </c>
    </row>
    <row r="64" spans="34:39" x14ac:dyDescent="0.35">
      <c r="AH64" s="21"/>
      <c r="AI64" s="21"/>
      <c r="AJ64" s="21"/>
      <c r="AK64" s="21"/>
      <c r="AM64" t="s">
        <v>53</v>
      </c>
    </row>
    <row r="65" spans="34:39" x14ac:dyDescent="0.35">
      <c r="AH65" s="21"/>
      <c r="AI65" s="21"/>
      <c r="AJ65" s="21"/>
      <c r="AK65" s="21"/>
      <c r="AM65" t="s">
        <v>53</v>
      </c>
    </row>
    <row r="66" spans="34:39" x14ac:dyDescent="0.35">
      <c r="AH66" s="21"/>
      <c r="AI66" s="21"/>
      <c r="AJ66" s="21"/>
      <c r="AK66" s="21"/>
      <c r="AM66" t="s">
        <v>53</v>
      </c>
    </row>
    <row r="67" spans="34:39" x14ac:dyDescent="0.35">
      <c r="AH67" s="21"/>
      <c r="AI67" s="21"/>
      <c r="AJ67" s="21"/>
      <c r="AK67" s="21"/>
      <c r="AM67" t="s">
        <v>53</v>
      </c>
    </row>
    <row r="68" spans="34:39" x14ac:dyDescent="0.35">
      <c r="AH68" s="21"/>
      <c r="AI68" s="21"/>
      <c r="AJ68" s="21"/>
      <c r="AK68" s="21"/>
      <c r="AM68" t="s">
        <v>53</v>
      </c>
    </row>
    <row r="69" spans="34:39" x14ac:dyDescent="0.35">
      <c r="AH69" s="21"/>
      <c r="AI69" s="21"/>
      <c r="AJ69" s="21"/>
      <c r="AK69" s="21"/>
      <c r="AM69" t="s">
        <v>53</v>
      </c>
    </row>
    <row r="70" spans="34:39" x14ac:dyDescent="0.35">
      <c r="AH70" s="21"/>
      <c r="AI70" s="21"/>
      <c r="AJ70" s="21"/>
      <c r="AK70" s="21"/>
      <c r="AM70" t="s">
        <v>53</v>
      </c>
    </row>
    <row r="71" spans="34:39" x14ac:dyDescent="0.35">
      <c r="AH71" s="21"/>
      <c r="AI71" s="21"/>
      <c r="AJ71" s="21"/>
      <c r="AK71" s="21"/>
      <c r="AM71" t="s">
        <v>53</v>
      </c>
    </row>
    <row r="72" spans="34:39" x14ac:dyDescent="0.35">
      <c r="AH72" s="21"/>
      <c r="AI72" s="21"/>
      <c r="AJ72" s="21"/>
      <c r="AK72" s="21"/>
      <c r="AM72" t="s">
        <v>53</v>
      </c>
    </row>
    <row r="73" spans="34:39" x14ac:dyDescent="0.35">
      <c r="AH73" s="21"/>
      <c r="AI73" s="21"/>
      <c r="AJ73" s="21"/>
      <c r="AK73" s="21"/>
      <c r="AM73" t="s">
        <v>53</v>
      </c>
    </row>
    <row r="74" spans="34:39" x14ac:dyDescent="0.35">
      <c r="AH74" s="21"/>
      <c r="AI74" s="21"/>
      <c r="AJ74" s="21"/>
      <c r="AK74" s="21"/>
      <c r="AM74" t="s">
        <v>53</v>
      </c>
    </row>
    <row r="75" spans="34:39" x14ac:dyDescent="0.35">
      <c r="AH75" s="21"/>
      <c r="AI75" s="21"/>
      <c r="AJ75" s="21"/>
      <c r="AK75" s="21"/>
      <c r="AM75" t="s">
        <v>53</v>
      </c>
    </row>
    <row r="76" spans="34:39" x14ac:dyDescent="0.35">
      <c r="AH76" s="21"/>
      <c r="AI76" s="21"/>
      <c r="AJ76" s="21"/>
      <c r="AK76" s="21"/>
      <c r="AM76" t="s">
        <v>53</v>
      </c>
    </row>
    <row r="77" spans="34:39" x14ac:dyDescent="0.35">
      <c r="AH77" s="21"/>
      <c r="AI77" s="21"/>
      <c r="AJ77" s="21"/>
      <c r="AK77" s="21"/>
      <c r="AM77" t="s">
        <v>53</v>
      </c>
    </row>
    <row r="78" spans="34:39" x14ac:dyDescent="0.35">
      <c r="AH78" s="21"/>
      <c r="AI78" s="21"/>
      <c r="AJ78" s="21"/>
      <c r="AK78" s="21"/>
      <c r="AM78" t="s">
        <v>53</v>
      </c>
    </row>
    <row r="79" spans="34:39" x14ac:dyDescent="0.35">
      <c r="AH79" s="21"/>
      <c r="AI79" s="21"/>
      <c r="AJ79" s="21"/>
      <c r="AK79" s="21"/>
      <c r="AM79" t="s">
        <v>53</v>
      </c>
    </row>
    <row r="80" spans="34:39" x14ac:dyDescent="0.35">
      <c r="AH80" s="21"/>
      <c r="AI80" s="21"/>
      <c r="AJ80" s="21"/>
      <c r="AK80" s="21"/>
      <c r="AM80" t="s">
        <v>53</v>
      </c>
    </row>
    <row r="81" spans="34:39" x14ac:dyDescent="0.35">
      <c r="AH81" s="21"/>
      <c r="AI81" s="21"/>
      <c r="AJ81" s="21"/>
      <c r="AK81" s="21"/>
      <c r="AM81" t="s">
        <v>53</v>
      </c>
    </row>
    <row r="82" spans="34:39" x14ac:dyDescent="0.35">
      <c r="AH82" s="21"/>
      <c r="AI82" s="21"/>
      <c r="AJ82" s="21"/>
      <c r="AK82" s="21"/>
      <c r="AM82" t="s">
        <v>53</v>
      </c>
    </row>
    <row r="83" spans="34:39" x14ac:dyDescent="0.35">
      <c r="AH83" s="21"/>
      <c r="AI83" s="21"/>
      <c r="AJ83" s="21"/>
      <c r="AK83" s="21"/>
      <c r="AM83" t="s">
        <v>53</v>
      </c>
    </row>
    <row r="84" spans="34:39" x14ac:dyDescent="0.35">
      <c r="AH84" s="21"/>
      <c r="AI84" s="21"/>
      <c r="AJ84" s="21"/>
      <c r="AK84" s="21"/>
      <c r="AM84" t="s">
        <v>53</v>
      </c>
    </row>
    <row r="85" spans="34:39" x14ac:dyDescent="0.35">
      <c r="AH85" s="21"/>
      <c r="AI85" s="21"/>
      <c r="AJ85" s="21"/>
      <c r="AK85" s="21"/>
      <c r="AM85" t="s">
        <v>53</v>
      </c>
    </row>
    <row r="86" spans="34:39" x14ac:dyDescent="0.35">
      <c r="AH86" s="21"/>
      <c r="AI86" s="21"/>
      <c r="AJ86" s="21"/>
      <c r="AK86" s="21"/>
      <c r="AM86" t="s">
        <v>53</v>
      </c>
    </row>
    <row r="87" spans="34:39" x14ac:dyDescent="0.35">
      <c r="AH87" s="21"/>
      <c r="AI87" s="21"/>
      <c r="AJ87" s="21"/>
      <c r="AK87" s="21"/>
      <c r="AM87" t="s">
        <v>53</v>
      </c>
    </row>
    <row r="88" spans="34:39" x14ac:dyDescent="0.35">
      <c r="AH88" s="21"/>
      <c r="AI88" s="21"/>
      <c r="AJ88" s="21"/>
      <c r="AK88" s="21"/>
      <c r="AM88" t="s">
        <v>53</v>
      </c>
    </row>
    <row r="89" spans="34:39" x14ac:dyDescent="0.35">
      <c r="AH89" s="21"/>
      <c r="AI89" s="21"/>
      <c r="AJ89" s="21"/>
      <c r="AK89" s="21"/>
      <c r="AM89" t="s">
        <v>53</v>
      </c>
    </row>
    <row r="90" spans="34:39" x14ac:dyDescent="0.35">
      <c r="AH90" s="21"/>
      <c r="AI90" s="21"/>
      <c r="AJ90" s="21"/>
      <c r="AK90" s="21"/>
      <c r="AM90" t="s">
        <v>53</v>
      </c>
    </row>
    <row r="91" spans="34:39" x14ac:dyDescent="0.35">
      <c r="AH91" s="21"/>
      <c r="AI91" s="21"/>
      <c r="AJ91" s="21"/>
      <c r="AK91" s="21"/>
      <c r="AM91" t="s">
        <v>53</v>
      </c>
    </row>
    <row r="92" spans="34:39" x14ac:dyDescent="0.35">
      <c r="AH92" s="21"/>
      <c r="AI92" s="21"/>
      <c r="AJ92" s="21"/>
      <c r="AK92" s="21"/>
      <c r="AM92" t="s">
        <v>53</v>
      </c>
    </row>
    <row r="93" spans="34:39" x14ac:dyDescent="0.35">
      <c r="AH93" s="21"/>
      <c r="AI93" s="21"/>
      <c r="AJ93" s="21"/>
      <c r="AK93" s="21"/>
      <c r="AM93" t="s">
        <v>53</v>
      </c>
    </row>
    <row r="94" spans="34:39" x14ac:dyDescent="0.35">
      <c r="AH94" s="21"/>
      <c r="AI94" s="21"/>
      <c r="AJ94" s="21"/>
      <c r="AK94" s="21"/>
      <c r="AM94" t="s">
        <v>53</v>
      </c>
    </row>
    <row r="95" spans="34:39" x14ac:dyDescent="0.35">
      <c r="AH95" s="21"/>
      <c r="AI95" s="21"/>
      <c r="AJ95" s="21"/>
      <c r="AK95" s="21"/>
      <c r="AM95" t="s">
        <v>53</v>
      </c>
    </row>
    <row r="96" spans="34:39" x14ac:dyDescent="0.35">
      <c r="AH96" s="21"/>
      <c r="AI96" s="21"/>
      <c r="AJ96" s="21"/>
      <c r="AK96" s="21"/>
      <c r="AM96" t="s">
        <v>53</v>
      </c>
    </row>
    <row r="97" spans="34:39" x14ac:dyDescent="0.35">
      <c r="AH97" s="21"/>
      <c r="AI97" s="21"/>
      <c r="AJ97" s="21"/>
      <c r="AK97" s="21"/>
      <c r="AM97" t="s">
        <v>53</v>
      </c>
    </row>
    <row r="98" spans="34:39" x14ac:dyDescent="0.35">
      <c r="AH98" s="21"/>
      <c r="AI98" s="21"/>
      <c r="AJ98" s="21"/>
      <c r="AK98" s="21"/>
      <c r="AM98" t="s">
        <v>53</v>
      </c>
    </row>
    <row r="99" spans="34:39" x14ac:dyDescent="0.35">
      <c r="AH99" s="21"/>
      <c r="AI99" s="21"/>
      <c r="AJ99" s="21"/>
      <c r="AK99" s="21"/>
      <c r="AM99" t="s">
        <v>53</v>
      </c>
    </row>
    <row r="100" spans="34:39" x14ac:dyDescent="0.35">
      <c r="AH100" s="21"/>
      <c r="AI100" s="21"/>
      <c r="AJ100" s="21"/>
      <c r="AK100" s="21"/>
      <c r="AM100" t="s">
        <v>53</v>
      </c>
    </row>
    <row r="101" spans="34:39" x14ac:dyDescent="0.35">
      <c r="AH101" s="21"/>
      <c r="AI101" s="21"/>
      <c r="AJ101" s="21"/>
      <c r="AK101" s="21"/>
      <c r="AM101" t="s">
        <v>53</v>
      </c>
    </row>
    <row r="102" spans="34:39" x14ac:dyDescent="0.35">
      <c r="AH102" s="21"/>
      <c r="AI102" s="21"/>
      <c r="AJ102" s="21"/>
      <c r="AK102" s="21"/>
      <c r="AM102" t="s">
        <v>53</v>
      </c>
    </row>
    <row r="103" spans="34:39" x14ac:dyDescent="0.35">
      <c r="AH103" s="21"/>
      <c r="AI103" s="21"/>
      <c r="AJ103" s="21"/>
      <c r="AK103" s="21"/>
      <c r="AM103" t="s">
        <v>53</v>
      </c>
    </row>
    <row r="104" spans="34:39" x14ac:dyDescent="0.35">
      <c r="AH104" s="21"/>
      <c r="AI104" s="21"/>
      <c r="AJ104" s="21"/>
      <c r="AK104" s="21"/>
      <c r="AM104" t="s">
        <v>53</v>
      </c>
    </row>
    <row r="105" spans="34:39" x14ac:dyDescent="0.35">
      <c r="AH105" s="21"/>
      <c r="AI105" s="21"/>
      <c r="AJ105" s="21"/>
      <c r="AK105" s="21"/>
      <c r="AM105" t="s">
        <v>53</v>
      </c>
    </row>
    <row r="106" spans="34:39" x14ac:dyDescent="0.35">
      <c r="AH106" s="21"/>
      <c r="AI106" s="21"/>
      <c r="AJ106" s="21"/>
      <c r="AK106" s="21"/>
      <c r="AM106" t="s">
        <v>53</v>
      </c>
    </row>
    <row r="107" spans="34:39" x14ac:dyDescent="0.35">
      <c r="AH107" s="21"/>
      <c r="AI107" s="21"/>
      <c r="AJ107" s="21"/>
      <c r="AK107" s="21"/>
      <c r="AM107" t="s">
        <v>53</v>
      </c>
    </row>
    <row r="108" spans="34:39" x14ac:dyDescent="0.35">
      <c r="AH108" s="21"/>
      <c r="AI108" s="21"/>
      <c r="AJ108" s="21"/>
      <c r="AK108" s="21"/>
      <c r="AM108" t="s">
        <v>53</v>
      </c>
    </row>
    <row r="109" spans="34:39" x14ac:dyDescent="0.35">
      <c r="AH109" s="21"/>
      <c r="AI109" s="21"/>
      <c r="AJ109" s="21"/>
      <c r="AK109" s="21"/>
      <c r="AM109" t="s">
        <v>53</v>
      </c>
    </row>
    <row r="110" spans="34:39" x14ac:dyDescent="0.35">
      <c r="AH110" s="21"/>
      <c r="AI110" s="21"/>
      <c r="AJ110" s="21"/>
      <c r="AK110" s="21"/>
      <c r="AM110" t="s">
        <v>53</v>
      </c>
    </row>
    <row r="111" spans="34:39" x14ac:dyDescent="0.35">
      <c r="AH111" s="21"/>
      <c r="AI111" s="21"/>
      <c r="AJ111" s="21"/>
      <c r="AK111" s="21"/>
      <c r="AM111" t="s">
        <v>53</v>
      </c>
    </row>
    <row r="112" spans="34:39" x14ac:dyDescent="0.35">
      <c r="AH112" s="21"/>
      <c r="AI112" s="21"/>
      <c r="AJ112" s="21"/>
      <c r="AK112" s="21"/>
      <c r="AM112" t="s">
        <v>53</v>
      </c>
    </row>
    <row r="113" spans="34:39" x14ac:dyDescent="0.35">
      <c r="AH113" s="21"/>
      <c r="AI113" s="21"/>
      <c r="AJ113" s="21"/>
      <c r="AK113" s="21"/>
      <c r="AM113" t="s">
        <v>53</v>
      </c>
    </row>
    <row r="114" spans="34:39" x14ac:dyDescent="0.35">
      <c r="AH114" s="21"/>
      <c r="AI114" s="21"/>
      <c r="AJ114" s="21"/>
      <c r="AK114" s="21"/>
      <c r="AM114" t="s">
        <v>53</v>
      </c>
    </row>
    <row r="115" spans="34:39" x14ac:dyDescent="0.35">
      <c r="AH115" s="21"/>
      <c r="AI115" s="21"/>
      <c r="AJ115" s="21"/>
      <c r="AK115" s="21"/>
      <c r="AM115" t="s">
        <v>53</v>
      </c>
    </row>
    <row r="116" spans="34:39" x14ac:dyDescent="0.35">
      <c r="AH116" s="21"/>
      <c r="AI116" s="21"/>
      <c r="AJ116" s="21"/>
      <c r="AK116" s="21"/>
      <c r="AM116" t="s">
        <v>53</v>
      </c>
    </row>
    <row r="117" spans="34:39" x14ac:dyDescent="0.35">
      <c r="AH117" s="21"/>
      <c r="AI117" s="21"/>
      <c r="AJ117" s="21"/>
      <c r="AK117" s="21"/>
      <c r="AM117" t="s">
        <v>53</v>
      </c>
    </row>
    <row r="118" spans="34:39" x14ac:dyDescent="0.35">
      <c r="AH118" s="21"/>
      <c r="AI118" s="21"/>
      <c r="AJ118" s="21"/>
      <c r="AK118" s="21"/>
      <c r="AM118" t="s">
        <v>53</v>
      </c>
    </row>
    <row r="119" spans="34:39" x14ac:dyDescent="0.35">
      <c r="AH119" s="21"/>
      <c r="AI119" s="21"/>
      <c r="AJ119" s="21"/>
      <c r="AK119" s="21"/>
      <c r="AM119" t="s">
        <v>53</v>
      </c>
    </row>
    <row r="120" spans="34:39" x14ac:dyDescent="0.35">
      <c r="AH120" s="21"/>
      <c r="AI120" s="21"/>
      <c r="AJ120" s="21"/>
      <c r="AK120" s="21"/>
      <c r="AM120" t="s">
        <v>53</v>
      </c>
    </row>
    <row r="121" spans="34:39" x14ac:dyDescent="0.35">
      <c r="AH121" s="21"/>
      <c r="AI121" s="21"/>
      <c r="AJ121" s="21"/>
      <c r="AK121" s="21"/>
      <c r="AM121" t="s">
        <v>53</v>
      </c>
    </row>
    <row r="122" spans="34:39" x14ac:dyDescent="0.35">
      <c r="AH122" s="21"/>
      <c r="AI122" s="21"/>
      <c r="AJ122" s="21"/>
      <c r="AK122" s="21"/>
      <c r="AM122" t="s">
        <v>53</v>
      </c>
    </row>
    <row r="123" spans="34:39" x14ac:dyDescent="0.35">
      <c r="AH123" s="21"/>
      <c r="AI123" s="21"/>
      <c r="AJ123" s="21"/>
      <c r="AK123" s="21"/>
      <c r="AM123" t="s">
        <v>53</v>
      </c>
    </row>
    <row r="124" spans="34:39" x14ac:dyDescent="0.35">
      <c r="AH124" s="21"/>
      <c r="AI124" s="21"/>
      <c r="AJ124" s="21"/>
      <c r="AK124" s="21"/>
      <c r="AM124" t="s">
        <v>53</v>
      </c>
    </row>
    <row r="125" spans="34:39" x14ac:dyDescent="0.35">
      <c r="AH125" s="21"/>
      <c r="AI125" s="21"/>
      <c r="AJ125" s="21"/>
      <c r="AK125" s="21"/>
      <c r="AM125" t="s">
        <v>53</v>
      </c>
    </row>
    <row r="126" spans="34:39" x14ac:dyDescent="0.35">
      <c r="AH126" s="21"/>
      <c r="AI126" s="21"/>
      <c r="AJ126" s="21"/>
      <c r="AK126" s="21"/>
      <c r="AM126" t="s">
        <v>53</v>
      </c>
    </row>
    <row r="127" spans="34:39" x14ac:dyDescent="0.35">
      <c r="AH127" s="21"/>
      <c r="AI127" s="21"/>
      <c r="AJ127" s="21"/>
      <c r="AK127" s="21"/>
      <c r="AM127" t="s">
        <v>53</v>
      </c>
    </row>
    <row r="128" spans="34:39" x14ac:dyDescent="0.35">
      <c r="AH128" s="21"/>
      <c r="AI128" s="21"/>
      <c r="AJ128" s="21"/>
      <c r="AK128" s="21"/>
      <c r="AM128" t="s">
        <v>53</v>
      </c>
    </row>
    <row r="129" spans="34:39" x14ac:dyDescent="0.35">
      <c r="AH129" s="21"/>
      <c r="AI129" s="21"/>
      <c r="AJ129" s="21"/>
      <c r="AK129" s="21"/>
      <c r="AM129" t="s">
        <v>53</v>
      </c>
    </row>
    <row r="130" spans="34:39" x14ac:dyDescent="0.35">
      <c r="AH130" s="21"/>
      <c r="AI130" s="21"/>
      <c r="AJ130" s="21"/>
      <c r="AK130" s="21"/>
      <c r="AM130" t="s">
        <v>53</v>
      </c>
    </row>
    <row r="131" spans="34:39" x14ac:dyDescent="0.35">
      <c r="AH131" s="21"/>
      <c r="AI131" s="21"/>
      <c r="AJ131" s="21"/>
      <c r="AK131" s="21"/>
      <c r="AM131" t="s">
        <v>53</v>
      </c>
    </row>
    <row r="132" spans="34:39" x14ac:dyDescent="0.35">
      <c r="AH132" s="21"/>
      <c r="AI132" s="21"/>
      <c r="AJ132" s="21"/>
      <c r="AK132" s="21"/>
      <c r="AM132" t="s">
        <v>53</v>
      </c>
    </row>
    <row r="133" spans="34:39" x14ac:dyDescent="0.35">
      <c r="AH133" s="21"/>
      <c r="AI133" s="21"/>
      <c r="AJ133" s="21"/>
      <c r="AK133" s="21"/>
      <c r="AM133" t="s">
        <v>53</v>
      </c>
    </row>
    <row r="134" spans="34:39" x14ac:dyDescent="0.35">
      <c r="AH134" s="21"/>
      <c r="AI134" s="21"/>
      <c r="AJ134" s="21"/>
      <c r="AK134" s="21"/>
      <c r="AM134" t="s">
        <v>53</v>
      </c>
    </row>
    <row r="135" spans="34:39" x14ac:dyDescent="0.35">
      <c r="AH135" s="21"/>
      <c r="AI135" s="21"/>
      <c r="AJ135" s="21"/>
      <c r="AK135" s="21"/>
      <c r="AM135" t="s">
        <v>53</v>
      </c>
    </row>
    <row r="136" spans="34:39" x14ac:dyDescent="0.35">
      <c r="AH136" s="21"/>
      <c r="AI136" s="21"/>
      <c r="AJ136" s="21"/>
      <c r="AK136" s="21"/>
      <c r="AM136" t="s">
        <v>53</v>
      </c>
    </row>
    <row r="137" spans="34:39" x14ac:dyDescent="0.35">
      <c r="AH137" s="21"/>
      <c r="AI137" s="21"/>
      <c r="AJ137" s="21"/>
      <c r="AK137" s="21"/>
      <c r="AM137" t="s">
        <v>53</v>
      </c>
    </row>
    <row r="138" spans="34:39" x14ac:dyDescent="0.35">
      <c r="AH138" s="21"/>
      <c r="AI138" s="21"/>
      <c r="AJ138" s="21"/>
      <c r="AK138" s="21"/>
      <c r="AM138" t="s">
        <v>53</v>
      </c>
    </row>
    <row r="139" spans="34:39" x14ac:dyDescent="0.35">
      <c r="AH139" s="21"/>
      <c r="AI139" s="21"/>
      <c r="AJ139" s="21"/>
      <c r="AK139" s="21"/>
      <c r="AM139" t="s">
        <v>53</v>
      </c>
    </row>
    <row r="140" spans="34:39" ht="0.5" customHeight="1" x14ac:dyDescent="0.35">
      <c r="AH140" s="21"/>
      <c r="AI140" s="21"/>
      <c r="AJ140" s="21"/>
      <c r="AK140" s="21"/>
      <c r="AM140" t="s">
        <v>53</v>
      </c>
    </row>
    <row r="141" spans="34:39" x14ac:dyDescent="0.35">
      <c r="AH141" s="21"/>
      <c r="AI141" s="21"/>
      <c r="AJ141" s="21"/>
      <c r="AK141" s="21"/>
      <c r="AM141" t="s">
        <v>53</v>
      </c>
    </row>
    <row r="142" spans="34:39" x14ac:dyDescent="0.35">
      <c r="AH142" s="21"/>
      <c r="AI142" s="21"/>
      <c r="AJ142" s="21"/>
      <c r="AK142" s="21"/>
      <c r="AM142" t="s">
        <v>53</v>
      </c>
    </row>
    <row r="143" spans="34:39" x14ac:dyDescent="0.35">
      <c r="AH143" s="21"/>
      <c r="AI143" s="21"/>
      <c r="AJ143" s="21"/>
      <c r="AK143" s="21"/>
      <c r="AM143" t="s">
        <v>53</v>
      </c>
    </row>
    <row r="144" spans="34:39" x14ac:dyDescent="0.35">
      <c r="AH144" s="21"/>
      <c r="AI144" s="21"/>
      <c r="AJ144" s="21"/>
      <c r="AK144" s="21"/>
      <c r="AM144" t="s">
        <v>53</v>
      </c>
    </row>
    <row r="145" spans="34:39" x14ac:dyDescent="0.35">
      <c r="AH145" s="21"/>
      <c r="AI145" s="21"/>
      <c r="AJ145" s="21"/>
      <c r="AK145" s="21"/>
      <c r="AM145" t="s">
        <v>53</v>
      </c>
    </row>
    <row r="146" spans="34:39" x14ac:dyDescent="0.35">
      <c r="AH146" s="21"/>
      <c r="AI146" s="21"/>
      <c r="AJ146" s="21"/>
      <c r="AK146" s="21"/>
      <c r="AM146" t="s">
        <v>53</v>
      </c>
    </row>
    <row r="147" spans="34:39" x14ac:dyDescent="0.35">
      <c r="AH147" s="21"/>
      <c r="AI147" s="21"/>
      <c r="AJ147" s="21"/>
      <c r="AK147" s="21"/>
      <c r="AM147" t="s">
        <v>53</v>
      </c>
    </row>
    <row r="148" spans="34:39" x14ac:dyDescent="0.35">
      <c r="AH148" s="21"/>
      <c r="AI148" s="21"/>
      <c r="AJ148" s="21"/>
      <c r="AK148" s="21"/>
      <c r="AM148" t="s">
        <v>53</v>
      </c>
    </row>
    <row r="149" spans="34:39" x14ac:dyDescent="0.35">
      <c r="AH149" s="21"/>
      <c r="AI149" s="21"/>
      <c r="AJ149" s="21"/>
      <c r="AK149" s="21"/>
      <c r="AM149" t="s">
        <v>53</v>
      </c>
    </row>
    <row r="150" spans="34:39" x14ac:dyDescent="0.35">
      <c r="AH150" s="21"/>
      <c r="AI150" s="21"/>
      <c r="AJ150" s="21"/>
      <c r="AK150" s="21"/>
      <c r="AM150" t="s">
        <v>53</v>
      </c>
    </row>
    <row r="151" spans="34:39" x14ac:dyDescent="0.35">
      <c r="AH151" s="21"/>
      <c r="AI151" s="21"/>
      <c r="AJ151" s="21"/>
      <c r="AK151" s="21"/>
      <c r="AM151" t="s">
        <v>53</v>
      </c>
    </row>
    <row r="152" spans="34:39" x14ac:dyDescent="0.35">
      <c r="AH152" s="21"/>
      <c r="AI152" s="21"/>
      <c r="AJ152" s="21"/>
      <c r="AK152" s="21"/>
      <c r="AM152" t="s">
        <v>53</v>
      </c>
    </row>
    <row r="153" spans="34:39" x14ac:dyDescent="0.35">
      <c r="AH153" s="21"/>
      <c r="AI153" s="21"/>
      <c r="AJ153" s="21"/>
      <c r="AK153" s="21"/>
      <c r="AM153" t="s">
        <v>53</v>
      </c>
    </row>
    <row r="154" spans="34:39" x14ac:dyDescent="0.35">
      <c r="AH154" s="21"/>
      <c r="AI154" s="21"/>
      <c r="AJ154" s="21"/>
      <c r="AK154" s="21"/>
      <c r="AM154" t="s">
        <v>53</v>
      </c>
    </row>
    <row r="155" spans="34:39" x14ac:dyDescent="0.35">
      <c r="AH155" s="21"/>
      <c r="AI155" s="21"/>
      <c r="AJ155" s="21"/>
      <c r="AK155" s="21"/>
      <c r="AM155" t="s">
        <v>53</v>
      </c>
    </row>
    <row r="156" spans="34:39" x14ac:dyDescent="0.35">
      <c r="AH156" s="21"/>
      <c r="AI156" s="21"/>
      <c r="AJ156" s="21"/>
      <c r="AK156" s="21"/>
      <c r="AM156" t="s">
        <v>53</v>
      </c>
    </row>
    <row r="157" spans="34:39" x14ac:dyDescent="0.35">
      <c r="AH157" s="21"/>
      <c r="AI157" s="21"/>
      <c r="AJ157" s="21"/>
      <c r="AK157" s="21"/>
      <c r="AM157" t="s">
        <v>53</v>
      </c>
    </row>
    <row r="158" spans="34:39" x14ac:dyDescent="0.35">
      <c r="AH158" s="21"/>
      <c r="AI158" s="21"/>
      <c r="AJ158" s="21"/>
      <c r="AK158" s="21"/>
      <c r="AM158" t="s">
        <v>53</v>
      </c>
    </row>
    <row r="159" spans="34:39" x14ac:dyDescent="0.35">
      <c r="AH159" s="21"/>
      <c r="AI159" s="21"/>
      <c r="AJ159" s="21"/>
      <c r="AK159" s="21"/>
      <c r="AM159" t="s">
        <v>53</v>
      </c>
    </row>
    <row r="160" spans="34:39" x14ac:dyDescent="0.35">
      <c r="AH160" s="21"/>
      <c r="AI160" s="21"/>
      <c r="AJ160" s="21"/>
      <c r="AK160" s="21"/>
      <c r="AM160" t="s">
        <v>53</v>
      </c>
    </row>
    <row r="161" spans="34:39" x14ac:dyDescent="0.35">
      <c r="AH161" s="21"/>
      <c r="AI161" s="21"/>
      <c r="AJ161" s="21"/>
      <c r="AK161" s="21"/>
      <c r="AM161" t="s">
        <v>53</v>
      </c>
    </row>
    <row r="162" spans="34:39" x14ac:dyDescent="0.35">
      <c r="AH162" s="21"/>
      <c r="AI162" s="21"/>
      <c r="AJ162" s="21"/>
      <c r="AK162" s="21"/>
      <c r="AM162" t="s">
        <v>53</v>
      </c>
    </row>
    <row r="163" spans="34:39" x14ac:dyDescent="0.35">
      <c r="AH163" s="21"/>
      <c r="AI163" s="21"/>
      <c r="AJ163" s="21"/>
      <c r="AK163" s="21"/>
      <c r="AM163" t="s">
        <v>53</v>
      </c>
    </row>
    <row r="164" spans="34:39" x14ac:dyDescent="0.35">
      <c r="AH164" s="21"/>
      <c r="AI164" s="21"/>
      <c r="AJ164" s="21"/>
      <c r="AK164" s="21"/>
      <c r="AM164" t="s">
        <v>53</v>
      </c>
    </row>
    <row r="165" spans="34:39" x14ac:dyDescent="0.35">
      <c r="AH165" s="21"/>
      <c r="AI165" s="21"/>
      <c r="AJ165" s="21"/>
      <c r="AK165" s="21"/>
      <c r="AM165" t="s">
        <v>53</v>
      </c>
    </row>
    <row r="166" spans="34:39" x14ac:dyDescent="0.35">
      <c r="AH166" s="21"/>
      <c r="AI166" s="21"/>
      <c r="AJ166" s="21"/>
      <c r="AK166" s="21"/>
      <c r="AM166" t="s">
        <v>53</v>
      </c>
    </row>
    <row r="167" spans="34:39" x14ac:dyDescent="0.35">
      <c r="AH167" s="21"/>
      <c r="AI167" s="21"/>
      <c r="AJ167" s="21"/>
      <c r="AK167" s="21"/>
      <c r="AM167" t="s">
        <v>53</v>
      </c>
    </row>
    <row r="168" spans="34:39" x14ac:dyDescent="0.35">
      <c r="AH168" s="21"/>
      <c r="AI168" s="21"/>
      <c r="AJ168" s="21"/>
      <c r="AK168" s="21"/>
      <c r="AM168" t="s">
        <v>53</v>
      </c>
    </row>
    <row r="169" spans="34:39" x14ac:dyDescent="0.35">
      <c r="AH169" s="21"/>
      <c r="AI169" s="21"/>
      <c r="AJ169" s="21"/>
      <c r="AK169" s="21"/>
      <c r="AM169" t="s">
        <v>53</v>
      </c>
    </row>
    <row r="170" spans="34:39" x14ac:dyDescent="0.35">
      <c r="AH170" s="21"/>
      <c r="AI170" s="21"/>
      <c r="AJ170" s="21"/>
      <c r="AK170" s="21"/>
      <c r="AM170" t="s">
        <v>53</v>
      </c>
    </row>
    <row r="171" spans="34:39" x14ac:dyDescent="0.35">
      <c r="AH171" s="21"/>
      <c r="AI171" s="21"/>
      <c r="AJ171" s="21"/>
      <c r="AK171" s="21"/>
      <c r="AM171" t="s">
        <v>53</v>
      </c>
    </row>
    <row r="172" spans="34:39" x14ac:dyDescent="0.35">
      <c r="AH172" s="21"/>
      <c r="AI172" s="21"/>
      <c r="AJ172" s="21"/>
      <c r="AK172" s="21"/>
      <c r="AM172" t="s">
        <v>53</v>
      </c>
    </row>
    <row r="173" spans="34:39" x14ac:dyDescent="0.35">
      <c r="AH173" s="21"/>
      <c r="AI173" s="21"/>
      <c r="AJ173" s="21"/>
      <c r="AK173" s="21"/>
      <c r="AM173" t="s">
        <v>53</v>
      </c>
    </row>
    <row r="174" spans="34:39" x14ac:dyDescent="0.35">
      <c r="AH174" s="21"/>
      <c r="AI174" s="21"/>
      <c r="AJ174" s="21"/>
      <c r="AK174" s="21"/>
      <c r="AM174" t="s">
        <v>53</v>
      </c>
    </row>
    <row r="175" spans="34:39" x14ac:dyDescent="0.35">
      <c r="AH175" s="21"/>
      <c r="AI175" s="21"/>
      <c r="AJ175" s="21"/>
      <c r="AK175" s="21"/>
      <c r="AM175" t="s">
        <v>53</v>
      </c>
    </row>
    <row r="176" spans="34:39" x14ac:dyDescent="0.35">
      <c r="AH176" s="21"/>
      <c r="AI176" s="21"/>
      <c r="AJ176" s="21"/>
      <c r="AK176" s="21"/>
      <c r="AM176" t="s">
        <v>53</v>
      </c>
    </row>
    <row r="177" spans="34:39" x14ac:dyDescent="0.35">
      <c r="AH177" s="21"/>
      <c r="AI177" s="21"/>
      <c r="AJ177" s="21"/>
      <c r="AK177" s="21"/>
      <c r="AM177" t="s">
        <v>53</v>
      </c>
    </row>
    <row r="178" spans="34:39" x14ac:dyDescent="0.35">
      <c r="AH178" s="21"/>
      <c r="AI178" s="21"/>
      <c r="AJ178" s="21"/>
      <c r="AK178" s="21"/>
      <c r="AM178" t="s">
        <v>53</v>
      </c>
    </row>
    <row r="179" spans="34:39" x14ac:dyDescent="0.35">
      <c r="AH179" s="21"/>
      <c r="AI179" s="21"/>
      <c r="AJ179" s="21"/>
      <c r="AK179" s="21"/>
      <c r="AM179" t="s">
        <v>53</v>
      </c>
    </row>
    <row r="180" spans="34:39" x14ac:dyDescent="0.35">
      <c r="AH180" s="21"/>
      <c r="AI180" s="21"/>
      <c r="AJ180" s="21"/>
      <c r="AK180" s="21"/>
      <c r="AM180" t="s">
        <v>53</v>
      </c>
    </row>
    <row r="181" spans="34:39" x14ac:dyDescent="0.35">
      <c r="AH181" s="21"/>
      <c r="AI181" s="21"/>
      <c r="AJ181" s="21"/>
      <c r="AK181" s="21"/>
      <c r="AM181" t="s">
        <v>53</v>
      </c>
    </row>
    <row r="182" spans="34:39" x14ac:dyDescent="0.35">
      <c r="AH182" s="21"/>
      <c r="AI182" s="21"/>
      <c r="AJ182" s="21"/>
      <c r="AK182" s="21"/>
      <c r="AM182" t="s">
        <v>53</v>
      </c>
    </row>
    <row r="183" spans="34:39" x14ac:dyDescent="0.35">
      <c r="AH183" s="21"/>
      <c r="AI183" s="21"/>
      <c r="AJ183" s="21"/>
      <c r="AK183" s="21"/>
      <c r="AM183" t="s">
        <v>53</v>
      </c>
    </row>
    <row r="184" spans="34:39" x14ac:dyDescent="0.35">
      <c r="AH184" s="21"/>
      <c r="AI184" s="21"/>
      <c r="AJ184" s="21"/>
      <c r="AK184" s="21"/>
      <c r="AM184" t="s">
        <v>53</v>
      </c>
    </row>
    <row r="185" spans="34:39" x14ac:dyDescent="0.35">
      <c r="AH185" s="21"/>
      <c r="AI185" s="21"/>
      <c r="AJ185" s="21"/>
      <c r="AK185" s="21"/>
      <c r="AM185" t="s">
        <v>53</v>
      </c>
    </row>
    <row r="186" spans="34:39" x14ac:dyDescent="0.35">
      <c r="AH186" s="21"/>
      <c r="AI186" s="21"/>
      <c r="AJ186" s="21"/>
      <c r="AK186" s="21"/>
      <c r="AM186" t="s">
        <v>53</v>
      </c>
    </row>
    <row r="187" spans="34:39" x14ac:dyDescent="0.35">
      <c r="AH187" s="21"/>
      <c r="AI187" s="21"/>
      <c r="AJ187" s="21"/>
      <c r="AK187" s="21"/>
      <c r="AM187" t="s">
        <v>53</v>
      </c>
    </row>
    <row r="188" spans="34:39" x14ac:dyDescent="0.35">
      <c r="AH188" s="21"/>
      <c r="AI188" s="21"/>
      <c r="AJ188" s="21"/>
      <c r="AK188" s="21"/>
      <c r="AM188" t="s">
        <v>53</v>
      </c>
    </row>
    <row r="189" spans="34:39" x14ac:dyDescent="0.35">
      <c r="AH189" s="21"/>
      <c r="AI189" s="21"/>
      <c r="AJ189" s="21"/>
      <c r="AK189" s="21"/>
      <c r="AM189" t="s">
        <v>53</v>
      </c>
    </row>
    <row r="190" spans="34:39" x14ac:dyDescent="0.35">
      <c r="AH190" s="21"/>
      <c r="AI190" s="21"/>
      <c r="AJ190" s="21"/>
      <c r="AK190" s="21"/>
      <c r="AM190" t="s">
        <v>53</v>
      </c>
    </row>
    <row r="191" spans="34:39" x14ac:dyDescent="0.35">
      <c r="AH191" s="21"/>
      <c r="AI191" s="21"/>
      <c r="AJ191" s="21"/>
      <c r="AK191" s="21"/>
      <c r="AM191" t="s">
        <v>53</v>
      </c>
    </row>
    <row r="192" spans="34:39" x14ac:dyDescent="0.35">
      <c r="AH192" s="21"/>
      <c r="AI192" s="21"/>
      <c r="AJ192" s="21"/>
      <c r="AK192" s="21"/>
      <c r="AM192" t="s">
        <v>53</v>
      </c>
    </row>
    <row r="193" spans="34:39" x14ac:dyDescent="0.35">
      <c r="AH193" s="21"/>
      <c r="AI193" s="21"/>
      <c r="AJ193" s="21"/>
      <c r="AK193" s="21"/>
      <c r="AM193" t="s">
        <v>53</v>
      </c>
    </row>
    <row r="194" spans="34:39" x14ac:dyDescent="0.35">
      <c r="AH194" s="21"/>
      <c r="AI194" s="21"/>
      <c r="AJ194" s="21"/>
      <c r="AK194" s="21"/>
      <c r="AM194" t="s">
        <v>53</v>
      </c>
    </row>
    <row r="195" spans="34:39" x14ac:dyDescent="0.35">
      <c r="AH195" s="21"/>
      <c r="AI195" s="21"/>
      <c r="AJ195" s="21"/>
      <c r="AK195" s="21"/>
      <c r="AM195" t="s">
        <v>53</v>
      </c>
    </row>
    <row r="196" spans="34:39" x14ac:dyDescent="0.35">
      <c r="AH196" s="21"/>
      <c r="AI196" s="21"/>
      <c r="AJ196" s="21"/>
      <c r="AK196" s="21"/>
      <c r="AM196" t="s">
        <v>53</v>
      </c>
    </row>
    <row r="197" spans="34:39" x14ac:dyDescent="0.35">
      <c r="AH197" s="21"/>
      <c r="AI197" s="21"/>
      <c r="AJ197" s="21"/>
      <c r="AK197" s="21"/>
      <c r="AM197" t="s">
        <v>53</v>
      </c>
    </row>
    <row r="198" spans="34:39" x14ac:dyDescent="0.35">
      <c r="AH198" s="21"/>
      <c r="AI198" s="21"/>
      <c r="AJ198" s="21"/>
      <c r="AK198" s="21"/>
      <c r="AM198" t="s">
        <v>53</v>
      </c>
    </row>
    <row r="199" spans="34:39" x14ac:dyDescent="0.35">
      <c r="AH199" s="21"/>
      <c r="AI199" s="21"/>
      <c r="AJ199" s="21"/>
      <c r="AK199" s="21"/>
      <c r="AM199" t="s">
        <v>53</v>
      </c>
    </row>
    <row r="200" spans="34:39" x14ac:dyDescent="0.35">
      <c r="AH200" s="21"/>
      <c r="AI200" s="21"/>
      <c r="AJ200" s="21"/>
      <c r="AK200" s="21"/>
      <c r="AM200" t="s">
        <v>53</v>
      </c>
    </row>
    <row r="201" spans="34:39" x14ac:dyDescent="0.35">
      <c r="AH201" s="21"/>
      <c r="AI201" s="21"/>
      <c r="AJ201" s="21"/>
      <c r="AK201" s="21"/>
      <c r="AM201" t="s">
        <v>53</v>
      </c>
    </row>
    <row r="202" spans="34:39" x14ac:dyDescent="0.35">
      <c r="AH202" s="21"/>
      <c r="AI202" s="21"/>
      <c r="AJ202" s="21"/>
      <c r="AK202" s="21"/>
      <c r="AM202" t="s">
        <v>53</v>
      </c>
    </row>
    <row r="203" spans="34:39" x14ac:dyDescent="0.35">
      <c r="AH203" s="21"/>
      <c r="AI203" s="21"/>
      <c r="AJ203" s="21"/>
      <c r="AK203" s="21"/>
      <c r="AM203" t="s">
        <v>53</v>
      </c>
    </row>
    <row r="204" spans="34:39" x14ac:dyDescent="0.35">
      <c r="AH204" s="21"/>
      <c r="AI204" s="21"/>
      <c r="AJ204" s="21"/>
      <c r="AK204" s="21"/>
      <c r="AM204" t="s">
        <v>53</v>
      </c>
    </row>
    <row r="205" spans="34:39" x14ac:dyDescent="0.35">
      <c r="AH205" s="21"/>
      <c r="AI205" s="21"/>
      <c r="AJ205" s="21"/>
      <c r="AK205" s="21"/>
      <c r="AM205" t="s">
        <v>53</v>
      </c>
    </row>
    <row r="206" spans="34:39" x14ac:dyDescent="0.35">
      <c r="AH206" s="21"/>
      <c r="AI206" s="21"/>
      <c r="AJ206" s="21"/>
      <c r="AK206" s="21"/>
      <c r="AM206" t="s">
        <v>53</v>
      </c>
    </row>
    <row r="207" spans="34:39" x14ac:dyDescent="0.35">
      <c r="AH207" s="21"/>
      <c r="AI207" s="21"/>
      <c r="AJ207" s="21"/>
      <c r="AK207" s="21"/>
      <c r="AM207" t="s">
        <v>53</v>
      </c>
    </row>
    <row r="208" spans="34:39" x14ac:dyDescent="0.35">
      <c r="AH208" s="21"/>
      <c r="AI208" s="21"/>
      <c r="AJ208" s="21"/>
      <c r="AK208" s="21"/>
      <c r="AM208" t="s">
        <v>53</v>
      </c>
    </row>
    <row r="209" spans="34:39" x14ac:dyDescent="0.35">
      <c r="AH209" s="21"/>
      <c r="AI209" s="21"/>
      <c r="AJ209" s="21"/>
      <c r="AK209" s="21"/>
      <c r="AM209" t="s">
        <v>53</v>
      </c>
    </row>
    <row r="210" spans="34:39" x14ac:dyDescent="0.35">
      <c r="AH210" s="21"/>
      <c r="AI210" s="21"/>
      <c r="AJ210" s="21"/>
      <c r="AK210" s="21"/>
      <c r="AM210" t="s">
        <v>53</v>
      </c>
    </row>
    <row r="211" spans="34:39" x14ac:dyDescent="0.35">
      <c r="AH211" s="21"/>
      <c r="AI211" s="21"/>
      <c r="AJ211" s="21"/>
      <c r="AK211" s="21"/>
      <c r="AM211" t="s">
        <v>53</v>
      </c>
    </row>
    <row r="212" spans="34:39" x14ac:dyDescent="0.35">
      <c r="AH212" s="21"/>
      <c r="AI212" s="21"/>
      <c r="AJ212" s="21"/>
      <c r="AK212" s="21"/>
      <c r="AM212" t="s">
        <v>53</v>
      </c>
    </row>
    <row r="213" spans="34:39" x14ac:dyDescent="0.35">
      <c r="AH213" s="21"/>
      <c r="AI213" s="21"/>
      <c r="AJ213" s="21"/>
      <c r="AK213" s="21"/>
      <c r="AM213" t="s">
        <v>53</v>
      </c>
    </row>
    <row r="214" spans="34:39" x14ac:dyDescent="0.35">
      <c r="AH214" s="21"/>
      <c r="AI214" s="21"/>
      <c r="AJ214" s="21"/>
      <c r="AK214" s="21"/>
      <c r="AM214" t="s">
        <v>53</v>
      </c>
    </row>
    <row r="215" spans="34:39" x14ac:dyDescent="0.35">
      <c r="AH215" s="21"/>
      <c r="AI215" s="21"/>
      <c r="AJ215" s="21"/>
      <c r="AK215" s="21"/>
      <c r="AM215" t="s">
        <v>53</v>
      </c>
    </row>
    <row r="216" spans="34:39" x14ac:dyDescent="0.35">
      <c r="AH216" s="21"/>
      <c r="AI216" s="21"/>
      <c r="AJ216" s="21"/>
      <c r="AK216" s="21"/>
      <c r="AM216" t="s">
        <v>53</v>
      </c>
    </row>
    <row r="217" spans="34:39" x14ac:dyDescent="0.35">
      <c r="AH217" s="21"/>
      <c r="AI217" s="21"/>
      <c r="AJ217" s="21"/>
      <c r="AK217" s="21"/>
      <c r="AM217" t="s">
        <v>53</v>
      </c>
    </row>
    <row r="218" spans="34:39" x14ac:dyDescent="0.35">
      <c r="AH218" s="21"/>
      <c r="AI218" s="21"/>
      <c r="AJ218" s="21"/>
      <c r="AK218" s="21"/>
      <c r="AM218" t="s">
        <v>53</v>
      </c>
    </row>
    <row r="219" spans="34:39" x14ac:dyDescent="0.35">
      <c r="AH219" s="21"/>
      <c r="AI219" s="21"/>
      <c r="AJ219" s="21"/>
      <c r="AK219" s="21"/>
      <c r="AM219" t="s">
        <v>53</v>
      </c>
    </row>
    <row r="220" spans="34:39" x14ac:dyDescent="0.35">
      <c r="AH220" s="21"/>
      <c r="AI220" s="21"/>
      <c r="AJ220" s="21"/>
      <c r="AK220" s="21"/>
      <c r="AM220" t="s">
        <v>53</v>
      </c>
    </row>
    <row r="221" spans="34:39" x14ac:dyDescent="0.35">
      <c r="AH221" s="21"/>
      <c r="AI221" s="21"/>
      <c r="AJ221" s="21"/>
      <c r="AK221" s="21"/>
      <c r="AM221" t="s">
        <v>53</v>
      </c>
    </row>
    <row r="222" spans="34:39" x14ac:dyDescent="0.35">
      <c r="AH222" s="21"/>
      <c r="AI222" s="21"/>
      <c r="AJ222" s="21"/>
      <c r="AK222" s="21"/>
      <c r="AM222" t="s">
        <v>53</v>
      </c>
    </row>
    <row r="223" spans="34:39" x14ac:dyDescent="0.35">
      <c r="AH223" s="21"/>
      <c r="AI223" s="21"/>
      <c r="AJ223" s="21"/>
      <c r="AK223" s="21"/>
      <c r="AM223" t="s">
        <v>53</v>
      </c>
    </row>
    <row r="224" spans="34:39" x14ac:dyDescent="0.35">
      <c r="AH224" s="21"/>
      <c r="AI224" s="21"/>
      <c r="AJ224" s="21"/>
      <c r="AK224" s="21"/>
      <c r="AM224" t="s">
        <v>53</v>
      </c>
    </row>
    <row r="225" spans="34:39" x14ac:dyDescent="0.35">
      <c r="AH225" s="21"/>
      <c r="AI225" s="21"/>
      <c r="AJ225" s="21"/>
      <c r="AK225" s="21"/>
      <c r="AM225" t="s">
        <v>53</v>
      </c>
    </row>
    <row r="226" spans="34:39" x14ac:dyDescent="0.35">
      <c r="AH226" s="21"/>
      <c r="AI226" s="21"/>
      <c r="AJ226" s="21"/>
      <c r="AK226" s="21"/>
      <c r="AM226" t="s">
        <v>53</v>
      </c>
    </row>
    <row r="227" spans="34:39" x14ac:dyDescent="0.35">
      <c r="AH227" s="21"/>
      <c r="AI227" s="21"/>
      <c r="AJ227" s="21"/>
      <c r="AK227" s="21"/>
      <c r="AM227" t="s">
        <v>53</v>
      </c>
    </row>
    <row r="228" spans="34:39" x14ac:dyDescent="0.35">
      <c r="AH228" s="21"/>
      <c r="AI228" s="21"/>
      <c r="AJ228" s="21"/>
      <c r="AK228" s="21"/>
      <c r="AM228" t="s">
        <v>53</v>
      </c>
    </row>
    <row r="229" spans="34:39" x14ac:dyDescent="0.35">
      <c r="AH229" s="21"/>
      <c r="AI229" s="21"/>
      <c r="AJ229" s="21"/>
      <c r="AK229" s="21"/>
      <c r="AM229" t="s">
        <v>53</v>
      </c>
    </row>
    <row r="230" spans="34:39" x14ac:dyDescent="0.35">
      <c r="AH230" s="21"/>
      <c r="AI230" s="21"/>
      <c r="AJ230" s="21"/>
      <c r="AK230" s="21"/>
      <c r="AM230" t="s">
        <v>53</v>
      </c>
    </row>
    <row r="231" spans="34:39" x14ac:dyDescent="0.35">
      <c r="AH231" s="21"/>
      <c r="AI231" s="21"/>
      <c r="AJ231" s="21"/>
      <c r="AK231" s="21"/>
      <c r="AM231" t="s">
        <v>53</v>
      </c>
    </row>
    <row r="232" spans="34:39" x14ac:dyDescent="0.35">
      <c r="AH232" s="21"/>
      <c r="AI232" s="21"/>
      <c r="AJ232" s="21"/>
      <c r="AK232" s="21"/>
      <c r="AM232" t="s">
        <v>53</v>
      </c>
    </row>
    <row r="233" spans="34:39" x14ac:dyDescent="0.35">
      <c r="AH233" s="21"/>
      <c r="AI233" s="21"/>
      <c r="AJ233" s="21"/>
      <c r="AK233" s="21"/>
      <c r="AM233" t="s">
        <v>53</v>
      </c>
    </row>
    <row r="234" spans="34:39" x14ac:dyDescent="0.35">
      <c r="AH234" s="21"/>
      <c r="AI234" s="21"/>
      <c r="AJ234" s="21"/>
      <c r="AK234" s="21"/>
      <c r="AM234" t="s">
        <v>53</v>
      </c>
    </row>
    <row r="235" spans="34:39" x14ac:dyDescent="0.35">
      <c r="AH235" s="21"/>
      <c r="AI235" s="21"/>
      <c r="AJ235" s="21"/>
      <c r="AK235" s="21"/>
      <c r="AM235" t="s">
        <v>53</v>
      </c>
    </row>
    <row r="236" spans="34:39" x14ac:dyDescent="0.35">
      <c r="AH236" s="21"/>
      <c r="AI236" s="21"/>
      <c r="AJ236" s="21"/>
      <c r="AK236" s="21"/>
      <c r="AM236" t="s">
        <v>53</v>
      </c>
    </row>
    <row r="237" spans="34:39" x14ac:dyDescent="0.35">
      <c r="AH237" s="21"/>
      <c r="AI237" s="21"/>
      <c r="AJ237" s="21"/>
      <c r="AK237" s="21"/>
      <c r="AM237" t="s">
        <v>53</v>
      </c>
    </row>
    <row r="238" spans="34:39" x14ac:dyDescent="0.35">
      <c r="AH238" s="21"/>
      <c r="AI238" s="21"/>
      <c r="AJ238" s="21"/>
      <c r="AK238" s="21"/>
      <c r="AM238" t="s">
        <v>53</v>
      </c>
    </row>
    <row r="239" spans="34:39" x14ac:dyDescent="0.35">
      <c r="AH239" s="21"/>
      <c r="AI239" s="21"/>
      <c r="AJ239" s="21"/>
      <c r="AK239" s="21"/>
      <c r="AM239" t="s">
        <v>53</v>
      </c>
    </row>
    <row r="240" spans="34:39" x14ac:dyDescent="0.35">
      <c r="AH240" s="21"/>
      <c r="AI240" s="21"/>
      <c r="AJ240" s="21"/>
      <c r="AK240" s="21"/>
      <c r="AM240" t="s">
        <v>53</v>
      </c>
    </row>
    <row r="241" spans="34:39" x14ac:dyDescent="0.35">
      <c r="AH241" s="21"/>
      <c r="AI241" s="21"/>
      <c r="AJ241" s="21"/>
      <c r="AK241" s="21"/>
      <c r="AM241" t="s">
        <v>53</v>
      </c>
    </row>
    <row r="242" spans="34:39" x14ac:dyDescent="0.35">
      <c r="AH242" s="21"/>
      <c r="AI242" s="21"/>
      <c r="AJ242" s="21"/>
      <c r="AK242" s="21"/>
      <c r="AM242" t="s">
        <v>53</v>
      </c>
    </row>
    <row r="243" spans="34:39" x14ac:dyDescent="0.35">
      <c r="AH243" s="21"/>
      <c r="AI243" s="21"/>
      <c r="AJ243" s="21"/>
      <c r="AK243" s="21"/>
      <c r="AM243" t="s">
        <v>53</v>
      </c>
    </row>
    <row r="244" spans="34:39" x14ac:dyDescent="0.35">
      <c r="AH244" s="21"/>
      <c r="AI244" s="21"/>
      <c r="AJ244" s="21"/>
      <c r="AK244" s="21"/>
      <c r="AM244" t="s">
        <v>53</v>
      </c>
    </row>
    <row r="245" spans="34:39" x14ac:dyDescent="0.35">
      <c r="AH245" s="21"/>
      <c r="AI245" s="21"/>
      <c r="AJ245" s="21"/>
      <c r="AK245" s="21"/>
      <c r="AM245" t="s">
        <v>53</v>
      </c>
    </row>
    <row r="246" spans="34:39" x14ac:dyDescent="0.35">
      <c r="AH246" s="21"/>
      <c r="AI246" s="21"/>
      <c r="AJ246" s="21"/>
      <c r="AK246" s="21"/>
      <c r="AM246" t="s">
        <v>53</v>
      </c>
    </row>
    <row r="247" spans="34:39" x14ac:dyDescent="0.35">
      <c r="AH247" s="21"/>
      <c r="AI247" s="21"/>
      <c r="AJ247" s="21"/>
      <c r="AK247" s="21"/>
      <c r="AM247" t="s">
        <v>53</v>
      </c>
    </row>
    <row r="248" spans="34:39" x14ac:dyDescent="0.35">
      <c r="AH248" s="21"/>
      <c r="AI248" s="21"/>
      <c r="AJ248" s="21"/>
      <c r="AK248" s="21"/>
      <c r="AM248" t="s">
        <v>53</v>
      </c>
    </row>
    <row r="249" spans="34:39" x14ac:dyDescent="0.35">
      <c r="AH249" s="21"/>
      <c r="AI249" s="21"/>
      <c r="AJ249" s="21"/>
      <c r="AK249" s="21"/>
      <c r="AM249" t="s">
        <v>53</v>
      </c>
    </row>
    <row r="250" spans="34:39" x14ac:dyDescent="0.35">
      <c r="AH250" s="21"/>
      <c r="AI250" s="21"/>
      <c r="AJ250" s="21"/>
      <c r="AK250" s="21"/>
      <c r="AM250" t="s">
        <v>53</v>
      </c>
    </row>
    <row r="251" spans="34:39" x14ac:dyDescent="0.35">
      <c r="AH251" s="21"/>
      <c r="AI251" s="21"/>
      <c r="AJ251" s="21"/>
      <c r="AK251" s="21"/>
      <c r="AM251" t="s">
        <v>53</v>
      </c>
    </row>
    <row r="252" spans="34:39" x14ac:dyDescent="0.35">
      <c r="AH252" s="21"/>
      <c r="AI252" s="21"/>
      <c r="AJ252" s="21"/>
      <c r="AK252" s="21"/>
      <c r="AM252" t="s">
        <v>53</v>
      </c>
    </row>
    <row r="253" spans="34:39" x14ac:dyDescent="0.35">
      <c r="AH253" s="21"/>
      <c r="AI253" s="21"/>
      <c r="AJ253" s="21"/>
      <c r="AK253" s="21"/>
      <c r="AM253" t="s">
        <v>53</v>
      </c>
    </row>
    <row r="254" spans="34:39" x14ac:dyDescent="0.35">
      <c r="AH254" s="21"/>
      <c r="AI254" s="21"/>
      <c r="AJ254" s="21"/>
      <c r="AK254" s="21"/>
      <c r="AM254" t="s">
        <v>53</v>
      </c>
    </row>
    <row r="255" spans="34:39" x14ac:dyDescent="0.35">
      <c r="AH255" s="21"/>
      <c r="AI255" s="21"/>
      <c r="AJ255" s="21"/>
      <c r="AK255" s="21"/>
      <c r="AM255" t="s">
        <v>53</v>
      </c>
    </row>
    <row r="256" spans="34:39" x14ac:dyDescent="0.35">
      <c r="AH256" s="21"/>
      <c r="AI256" s="21"/>
      <c r="AJ256" s="21"/>
      <c r="AK256" s="21"/>
      <c r="AM256" t="s">
        <v>53</v>
      </c>
    </row>
    <row r="257" spans="34:39" x14ac:dyDescent="0.35">
      <c r="AH257" s="21"/>
      <c r="AI257" s="21"/>
      <c r="AJ257" s="21"/>
      <c r="AK257" s="21"/>
      <c r="AM257" t="s">
        <v>53</v>
      </c>
    </row>
    <row r="258" spans="34:39" x14ac:dyDescent="0.35">
      <c r="AH258" s="21"/>
      <c r="AI258" s="21"/>
      <c r="AJ258" s="21"/>
      <c r="AK258" s="21"/>
      <c r="AM258" t="s">
        <v>53</v>
      </c>
    </row>
    <row r="259" spans="34:39" x14ac:dyDescent="0.35">
      <c r="AH259" s="21"/>
      <c r="AI259" s="21"/>
      <c r="AJ259" s="21"/>
      <c r="AK259" s="21"/>
      <c r="AM259" t="s">
        <v>53</v>
      </c>
    </row>
    <row r="260" spans="34:39" x14ac:dyDescent="0.35">
      <c r="AH260" s="21"/>
      <c r="AI260" s="21"/>
      <c r="AJ260" s="21"/>
      <c r="AK260" s="21"/>
      <c r="AM260" t="s">
        <v>53</v>
      </c>
    </row>
    <row r="261" spans="34:39" x14ac:dyDescent="0.35">
      <c r="AH261" s="21"/>
      <c r="AI261" s="21"/>
      <c r="AJ261" s="21"/>
      <c r="AK261" s="21"/>
      <c r="AM261" t="s">
        <v>53</v>
      </c>
    </row>
    <row r="262" spans="34:39" x14ac:dyDescent="0.35">
      <c r="AH262" s="21"/>
      <c r="AI262" s="21"/>
      <c r="AJ262" s="21"/>
      <c r="AK262" s="21"/>
      <c r="AM262" t="s">
        <v>53</v>
      </c>
    </row>
    <row r="263" spans="34:39" x14ac:dyDescent="0.35">
      <c r="AH263" s="21"/>
      <c r="AI263" s="21"/>
      <c r="AJ263" s="21"/>
      <c r="AK263" s="21"/>
      <c r="AM263" t="s">
        <v>53</v>
      </c>
    </row>
    <row r="264" spans="34:39" x14ac:dyDescent="0.35">
      <c r="AH264" s="21"/>
      <c r="AI264" s="21"/>
      <c r="AJ264" s="21"/>
      <c r="AK264" s="21"/>
      <c r="AM264" t="s">
        <v>53</v>
      </c>
    </row>
    <row r="265" spans="34:39" x14ac:dyDescent="0.35">
      <c r="AH265" s="21"/>
      <c r="AI265" s="21"/>
      <c r="AJ265" s="21"/>
      <c r="AK265" s="21"/>
      <c r="AM265" t="s">
        <v>53</v>
      </c>
    </row>
    <row r="266" spans="34:39" x14ac:dyDescent="0.35">
      <c r="AH266" s="21"/>
      <c r="AI266" s="21"/>
      <c r="AJ266" s="21"/>
      <c r="AK266" s="21"/>
      <c r="AM266" t="s">
        <v>53</v>
      </c>
    </row>
    <row r="267" spans="34:39" x14ac:dyDescent="0.35">
      <c r="AH267" s="21"/>
      <c r="AI267" s="21"/>
      <c r="AJ267" s="21"/>
      <c r="AK267" s="21"/>
      <c r="AM267" t="s">
        <v>53</v>
      </c>
    </row>
    <row r="268" spans="34:39" x14ac:dyDescent="0.35">
      <c r="AH268" s="21"/>
      <c r="AI268" s="21"/>
      <c r="AJ268" s="21"/>
      <c r="AK268" s="21"/>
      <c r="AM268" t="s">
        <v>53</v>
      </c>
    </row>
    <row r="269" spans="34:39" x14ac:dyDescent="0.35">
      <c r="AH269" s="21"/>
      <c r="AI269" s="21"/>
      <c r="AJ269" s="21"/>
      <c r="AK269" s="21"/>
      <c r="AM269" t="s">
        <v>53</v>
      </c>
    </row>
    <row r="270" spans="34:39" x14ac:dyDescent="0.35">
      <c r="AH270" s="21"/>
      <c r="AI270" s="21"/>
      <c r="AJ270" s="21"/>
      <c r="AK270" s="21"/>
      <c r="AM270" t="s">
        <v>53</v>
      </c>
    </row>
    <row r="271" spans="34:39" x14ac:dyDescent="0.35">
      <c r="AH271" s="21"/>
      <c r="AI271" s="21"/>
      <c r="AJ271" s="21"/>
      <c r="AK271" s="21"/>
      <c r="AM271" t="s">
        <v>53</v>
      </c>
    </row>
    <row r="272" spans="34:39" x14ac:dyDescent="0.35">
      <c r="AH272" s="21"/>
      <c r="AI272" s="21"/>
      <c r="AJ272" s="21"/>
      <c r="AK272" s="21"/>
      <c r="AM272" t="s">
        <v>53</v>
      </c>
    </row>
    <row r="273" spans="34:39" x14ac:dyDescent="0.35">
      <c r="AH273" s="21"/>
      <c r="AI273" s="21"/>
      <c r="AJ273" s="21"/>
      <c r="AK273" s="21"/>
      <c r="AM273" t="s">
        <v>53</v>
      </c>
    </row>
    <row r="274" spans="34:39" x14ac:dyDescent="0.35">
      <c r="AH274" s="21"/>
      <c r="AI274" s="21"/>
      <c r="AJ274" s="21"/>
      <c r="AK274" s="21"/>
      <c r="AM274" t="s">
        <v>53</v>
      </c>
    </row>
    <row r="275" spans="34:39" x14ac:dyDescent="0.35">
      <c r="AH275" s="21"/>
      <c r="AI275" s="21"/>
      <c r="AJ275" s="21"/>
      <c r="AK275" s="21"/>
      <c r="AM275" t="s">
        <v>53</v>
      </c>
    </row>
    <row r="276" spans="34:39" x14ac:dyDescent="0.35">
      <c r="AH276" s="21"/>
      <c r="AI276" s="21"/>
      <c r="AJ276" s="21"/>
      <c r="AK276" s="21"/>
      <c r="AM276" t="s">
        <v>53</v>
      </c>
    </row>
    <row r="277" spans="34:39" x14ac:dyDescent="0.35">
      <c r="AH277" s="21"/>
      <c r="AI277" s="21"/>
      <c r="AJ277" s="21"/>
      <c r="AK277" s="21"/>
      <c r="AM277" t="s">
        <v>53</v>
      </c>
    </row>
    <row r="278" spans="34:39" x14ac:dyDescent="0.35">
      <c r="AH278" s="21"/>
      <c r="AI278" s="21"/>
      <c r="AJ278" s="21"/>
      <c r="AK278" s="21"/>
      <c r="AM278" t="s">
        <v>53</v>
      </c>
    </row>
    <row r="279" spans="34:39" x14ac:dyDescent="0.35">
      <c r="AH279" s="21"/>
      <c r="AI279" s="21"/>
      <c r="AJ279" s="21"/>
      <c r="AK279" s="21"/>
      <c r="AM279" t="s">
        <v>53</v>
      </c>
    </row>
    <row r="280" spans="34:39" x14ac:dyDescent="0.35">
      <c r="AH280" s="21"/>
      <c r="AI280" s="21"/>
      <c r="AJ280" s="21"/>
      <c r="AK280" s="21"/>
      <c r="AM280" t="s">
        <v>53</v>
      </c>
    </row>
    <row r="281" spans="34:39" x14ac:dyDescent="0.35">
      <c r="AH281" s="21"/>
      <c r="AI281" s="21"/>
      <c r="AJ281" s="21"/>
      <c r="AK281" s="21"/>
      <c r="AM281" t="s">
        <v>53</v>
      </c>
    </row>
    <row r="282" spans="34:39" x14ac:dyDescent="0.35">
      <c r="AH282" s="21"/>
      <c r="AI282" s="21"/>
      <c r="AJ282" s="21"/>
      <c r="AK282" s="21"/>
      <c r="AM282" t="s">
        <v>53</v>
      </c>
    </row>
    <row r="283" spans="34:39" x14ac:dyDescent="0.35">
      <c r="AH283" s="21"/>
      <c r="AI283" s="21"/>
      <c r="AJ283" s="21"/>
      <c r="AK283" s="21"/>
      <c r="AM283" t="s">
        <v>53</v>
      </c>
    </row>
    <row r="284" spans="34:39" x14ac:dyDescent="0.35">
      <c r="AH284" s="21"/>
      <c r="AI284" s="21"/>
      <c r="AJ284" s="21"/>
      <c r="AK284" s="21"/>
      <c r="AM284" t="s">
        <v>53</v>
      </c>
    </row>
    <row r="285" spans="34:39" x14ac:dyDescent="0.35">
      <c r="AH285" s="21"/>
      <c r="AI285" s="21"/>
      <c r="AJ285" s="21"/>
      <c r="AK285" s="21"/>
      <c r="AM285" t="s">
        <v>53</v>
      </c>
    </row>
    <row r="286" spans="34:39" x14ac:dyDescent="0.35">
      <c r="AH286" s="21"/>
      <c r="AI286" s="21"/>
      <c r="AJ286" s="21"/>
      <c r="AK286" s="21"/>
      <c r="AM286" t="s">
        <v>53</v>
      </c>
    </row>
    <row r="287" spans="34:39" x14ac:dyDescent="0.35">
      <c r="AH287" s="21"/>
      <c r="AI287" s="21"/>
      <c r="AJ287" s="21"/>
      <c r="AK287" s="21"/>
      <c r="AM287" t="s">
        <v>53</v>
      </c>
    </row>
    <row r="288" spans="34:39" x14ac:dyDescent="0.35">
      <c r="AH288" s="21"/>
      <c r="AI288" s="21"/>
      <c r="AJ288" s="21"/>
      <c r="AK288" s="21"/>
      <c r="AM288" t="s">
        <v>53</v>
      </c>
    </row>
    <row r="289" spans="34:39" x14ac:dyDescent="0.35">
      <c r="AH289" s="21"/>
      <c r="AI289" s="21"/>
      <c r="AJ289" s="21"/>
      <c r="AK289" s="21"/>
      <c r="AM289" t="s">
        <v>53</v>
      </c>
    </row>
    <row r="290" spans="34:39" x14ac:dyDescent="0.35">
      <c r="AH290" s="21"/>
      <c r="AI290" s="21"/>
      <c r="AJ290" s="21"/>
      <c r="AK290" s="21"/>
      <c r="AM290" t="s">
        <v>53</v>
      </c>
    </row>
    <row r="291" spans="34:39" x14ac:dyDescent="0.35">
      <c r="AH291" s="21"/>
      <c r="AI291" s="21"/>
      <c r="AJ291" s="21"/>
      <c r="AK291" s="21"/>
      <c r="AM291" t="s">
        <v>53</v>
      </c>
    </row>
    <row r="292" spans="34:39" x14ac:dyDescent="0.35">
      <c r="AH292" s="21"/>
      <c r="AI292" s="21"/>
      <c r="AJ292" s="21"/>
      <c r="AK292" s="21"/>
      <c r="AM292" t="s">
        <v>53</v>
      </c>
    </row>
    <row r="293" spans="34:39" x14ac:dyDescent="0.35">
      <c r="AH293" s="21"/>
      <c r="AI293" s="21"/>
      <c r="AJ293" s="21"/>
      <c r="AK293" s="21"/>
      <c r="AM293" t="s">
        <v>53</v>
      </c>
    </row>
    <row r="294" spans="34:39" x14ac:dyDescent="0.35">
      <c r="AH294" s="21"/>
      <c r="AI294" s="21"/>
      <c r="AJ294" s="21"/>
      <c r="AK294" s="21"/>
      <c r="AM294" t="s">
        <v>53</v>
      </c>
    </row>
    <row r="295" spans="34:39" x14ac:dyDescent="0.35">
      <c r="AH295" s="21"/>
      <c r="AI295" s="21"/>
      <c r="AJ295" s="21"/>
      <c r="AK295" s="21"/>
      <c r="AM295" t="s">
        <v>53</v>
      </c>
    </row>
    <row r="296" spans="34:39" x14ac:dyDescent="0.35">
      <c r="AH296" s="21"/>
      <c r="AI296" s="21"/>
      <c r="AJ296" s="21"/>
      <c r="AK296" s="21"/>
      <c r="AM296" t="s">
        <v>53</v>
      </c>
    </row>
    <row r="297" spans="34:39" x14ac:dyDescent="0.35">
      <c r="AH297" s="21"/>
      <c r="AI297" s="21"/>
      <c r="AJ297" s="21"/>
      <c r="AK297" s="21"/>
      <c r="AM297" t="s">
        <v>53</v>
      </c>
    </row>
    <row r="298" spans="34:39" x14ac:dyDescent="0.35">
      <c r="AH298" s="21"/>
      <c r="AI298" s="21"/>
      <c r="AJ298" s="21"/>
      <c r="AK298" s="21"/>
      <c r="AM298" t="s">
        <v>53</v>
      </c>
    </row>
    <row r="299" spans="34:39" x14ac:dyDescent="0.35">
      <c r="AH299" s="21"/>
      <c r="AI299" s="21"/>
      <c r="AJ299" s="21"/>
      <c r="AK299" s="21"/>
      <c r="AM299" t="s">
        <v>53</v>
      </c>
    </row>
    <row r="300" spans="34:39" x14ac:dyDescent="0.35">
      <c r="AH300" s="21"/>
      <c r="AI300" s="21"/>
      <c r="AJ300" s="21"/>
      <c r="AK300" s="21"/>
      <c r="AM300" t="s">
        <v>53</v>
      </c>
    </row>
    <row r="301" spans="34:39" x14ac:dyDescent="0.35">
      <c r="AH301" s="21"/>
      <c r="AI301" s="21"/>
      <c r="AJ301" s="21"/>
      <c r="AK301" s="21"/>
      <c r="AM301" t="s">
        <v>53</v>
      </c>
    </row>
    <row r="302" spans="34:39" x14ac:dyDescent="0.35">
      <c r="AH302" s="21"/>
      <c r="AI302" s="21"/>
      <c r="AJ302" s="21"/>
      <c r="AK302" s="21"/>
      <c r="AM302" t="s">
        <v>53</v>
      </c>
    </row>
    <row r="303" spans="34:39" x14ac:dyDescent="0.35">
      <c r="AH303" s="21"/>
      <c r="AI303" s="21"/>
      <c r="AJ303" s="21"/>
      <c r="AK303" s="21"/>
      <c r="AM303" t="s">
        <v>53</v>
      </c>
    </row>
    <row r="304" spans="34:39" x14ac:dyDescent="0.35">
      <c r="AH304" s="21"/>
      <c r="AI304" s="21"/>
      <c r="AJ304" s="21"/>
      <c r="AK304" s="21"/>
      <c r="AM304" t="s">
        <v>53</v>
      </c>
    </row>
    <row r="305" spans="34:39" x14ac:dyDescent="0.35">
      <c r="AH305" s="21"/>
      <c r="AI305" s="21"/>
      <c r="AJ305" s="21"/>
      <c r="AK305" s="21"/>
      <c r="AM305" t="s">
        <v>53</v>
      </c>
    </row>
    <row r="306" spans="34:39" x14ac:dyDescent="0.35">
      <c r="AH306" s="21"/>
      <c r="AI306" s="21"/>
      <c r="AJ306" s="21"/>
      <c r="AK306" s="21"/>
      <c r="AM306" t="s">
        <v>53</v>
      </c>
    </row>
    <row r="307" spans="34:39" x14ac:dyDescent="0.35">
      <c r="AH307" s="21"/>
      <c r="AI307" s="21"/>
      <c r="AJ307" s="21"/>
      <c r="AK307" s="21"/>
      <c r="AM307" t="s">
        <v>53</v>
      </c>
    </row>
    <row r="308" spans="34:39" x14ac:dyDescent="0.35">
      <c r="AH308" s="21"/>
      <c r="AI308" s="21"/>
      <c r="AJ308" s="21"/>
      <c r="AK308" s="21"/>
      <c r="AM308" t="s">
        <v>53</v>
      </c>
    </row>
    <row r="309" spans="34:39" x14ac:dyDescent="0.35">
      <c r="AH309" s="21"/>
      <c r="AI309" s="21"/>
      <c r="AJ309" s="21"/>
      <c r="AK309" s="21"/>
      <c r="AM309" t="s">
        <v>53</v>
      </c>
    </row>
    <row r="310" spans="34:39" x14ac:dyDescent="0.35">
      <c r="AH310" s="21"/>
      <c r="AI310" s="21"/>
      <c r="AJ310" s="21"/>
      <c r="AK310" s="21"/>
      <c r="AM310" t="s">
        <v>53</v>
      </c>
    </row>
    <row r="311" spans="34:39" x14ac:dyDescent="0.35">
      <c r="AH311" s="21"/>
      <c r="AI311" s="21"/>
      <c r="AJ311" s="21"/>
      <c r="AK311" s="21"/>
      <c r="AM311" t="s">
        <v>53</v>
      </c>
    </row>
    <row r="312" spans="34:39" x14ac:dyDescent="0.35">
      <c r="AH312" s="21"/>
      <c r="AI312" s="21"/>
      <c r="AJ312" s="21"/>
      <c r="AK312" s="21"/>
      <c r="AM312" t="s">
        <v>53</v>
      </c>
    </row>
    <row r="313" spans="34:39" x14ac:dyDescent="0.35">
      <c r="AH313" s="21"/>
      <c r="AI313" s="21"/>
      <c r="AJ313" s="21"/>
      <c r="AK313" s="21"/>
      <c r="AM313" t="s">
        <v>53</v>
      </c>
    </row>
    <row r="314" spans="34:39" x14ac:dyDescent="0.35">
      <c r="AH314" s="21"/>
      <c r="AI314" s="21"/>
      <c r="AJ314" s="21"/>
      <c r="AK314" s="21"/>
      <c r="AM314" t="s">
        <v>53</v>
      </c>
    </row>
    <row r="315" spans="34:39" x14ac:dyDescent="0.35">
      <c r="AH315" s="21"/>
      <c r="AI315" s="21"/>
      <c r="AJ315" s="21"/>
      <c r="AK315" s="21"/>
      <c r="AM315" t="s">
        <v>53</v>
      </c>
    </row>
    <row r="316" spans="34:39" x14ac:dyDescent="0.35">
      <c r="AH316" s="21"/>
      <c r="AI316" s="21"/>
      <c r="AJ316" s="21"/>
      <c r="AK316" s="21"/>
      <c r="AM316" t="s">
        <v>53</v>
      </c>
    </row>
    <row r="317" spans="34:39" x14ac:dyDescent="0.35">
      <c r="AH317" s="21"/>
      <c r="AI317" s="21"/>
      <c r="AJ317" s="21"/>
      <c r="AK317" s="21"/>
      <c r="AM317" t="s">
        <v>53</v>
      </c>
    </row>
    <row r="318" spans="34:39" x14ac:dyDescent="0.35">
      <c r="AH318" s="21"/>
      <c r="AI318" s="21"/>
      <c r="AJ318" s="21"/>
      <c r="AK318" s="21"/>
      <c r="AM318" t="s">
        <v>53</v>
      </c>
    </row>
    <row r="319" spans="34:39" x14ac:dyDescent="0.35">
      <c r="AH319" s="21"/>
      <c r="AI319" s="21"/>
      <c r="AJ319" s="21"/>
      <c r="AK319" s="21"/>
      <c r="AM319" t="s">
        <v>53</v>
      </c>
    </row>
    <row r="320" spans="34:39" x14ac:dyDescent="0.35">
      <c r="AH320" s="21"/>
      <c r="AI320" s="21"/>
      <c r="AJ320" s="21"/>
      <c r="AK320" s="21"/>
      <c r="AM320" t="s">
        <v>53</v>
      </c>
    </row>
    <row r="321" spans="34:39" x14ac:dyDescent="0.35">
      <c r="AH321" s="21"/>
      <c r="AI321" s="21"/>
      <c r="AJ321" s="21"/>
      <c r="AK321" s="21"/>
      <c r="AM321" t="s">
        <v>53</v>
      </c>
    </row>
    <row r="322" spans="34:39" x14ac:dyDescent="0.35">
      <c r="AH322" s="21"/>
      <c r="AI322" s="21"/>
      <c r="AJ322" s="21"/>
      <c r="AK322" s="21"/>
      <c r="AM322" t="s">
        <v>53</v>
      </c>
    </row>
    <row r="323" spans="34:39" x14ac:dyDescent="0.35">
      <c r="AH323" s="21"/>
      <c r="AI323" s="21"/>
      <c r="AJ323" s="21"/>
      <c r="AK323" s="21"/>
      <c r="AM323" t="s">
        <v>53</v>
      </c>
    </row>
    <row r="324" spans="34:39" x14ac:dyDescent="0.35">
      <c r="AH324" s="21"/>
      <c r="AI324" s="21"/>
      <c r="AJ324" s="21"/>
      <c r="AK324" s="21"/>
      <c r="AM324" t="s">
        <v>53</v>
      </c>
    </row>
    <row r="325" spans="34:39" x14ac:dyDescent="0.35">
      <c r="AH325" s="21"/>
      <c r="AI325" s="21"/>
      <c r="AJ325" s="21"/>
      <c r="AK325" s="21"/>
      <c r="AM325" t="s">
        <v>53</v>
      </c>
    </row>
    <row r="326" spans="34:39" x14ac:dyDescent="0.35">
      <c r="AH326" s="21"/>
      <c r="AI326" s="21"/>
      <c r="AJ326" s="21"/>
      <c r="AK326" s="21"/>
      <c r="AM326" t="s">
        <v>53</v>
      </c>
    </row>
    <row r="327" spans="34:39" x14ac:dyDescent="0.35">
      <c r="AH327" s="21"/>
      <c r="AI327" s="21"/>
      <c r="AJ327" s="21"/>
      <c r="AK327" s="21"/>
      <c r="AM327" t="s">
        <v>53</v>
      </c>
    </row>
    <row r="328" spans="34:39" x14ac:dyDescent="0.35">
      <c r="AH328" s="21"/>
      <c r="AI328" s="21"/>
      <c r="AJ328" s="21"/>
      <c r="AK328" s="21"/>
      <c r="AM328" t="s">
        <v>53</v>
      </c>
    </row>
    <row r="329" spans="34:39" x14ac:dyDescent="0.35">
      <c r="AH329" s="21"/>
      <c r="AI329" s="21"/>
      <c r="AJ329" s="21"/>
      <c r="AK329" s="21"/>
      <c r="AM329" t="s">
        <v>53</v>
      </c>
    </row>
    <row r="330" spans="34:39" x14ac:dyDescent="0.35">
      <c r="AH330" s="21"/>
      <c r="AI330" s="21"/>
      <c r="AJ330" s="21"/>
      <c r="AK330" s="21"/>
      <c r="AM330" t="s">
        <v>53</v>
      </c>
    </row>
    <row r="331" spans="34:39" x14ac:dyDescent="0.35">
      <c r="AH331" s="21"/>
      <c r="AI331" s="21"/>
      <c r="AJ331" s="21"/>
      <c r="AK331" s="21"/>
      <c r="AM331" t="s">
        <v>53</v>
      </c>
    </row>
    <row r="332" spans="34:39" x14ac:dyDescent="0.35">
      <c r="AH332" s="21"/>
      <c r="AI332" s="21"/>
      <c r="AJ332" s="21"/>
      <c r="AK332" s="21"/>
      <c r="AM332" t="s">
        <v>53</v>
      </c>
    </row>
    <row r="333" spans="34:39" x14ac:dyDescent="0.35">
      <c r="AH333" s="21"/>
      <c r="AI333" s="21"/>
      <c r="AJ333" s="21"/>
      <c r="AK333" s="21"/>
      <c r="AM333" t="s">
        <v>53</v>
      </c>
    </row>
    <row r="334" spans="34:39" x14ac:dyDescent="0.35">
      <c r="AH334" s="21"/>
      <c r="AI334" s="21"/>
      <c r="AJ334" s="21"/>
      <c r="AK334" s="21"/>
      <c r="AM334" t="s">
        <v>53</v>
      </c>
    </row>
    <row r="335" spans="34:39" x14ac:dyDescent="0.35">
      <c r="AH335" s="21"/>
      <c r="AI335" s="21"/>
      <c r="AJ335" s="21"/>
      <c r="AK335" s="21"/>
      <c r="AM335" t="s">
        <v>53</v>
      </c>
    </row>
    <row r="336" spans="34:39" x14ac:dyDescent="0.35">
      <c r="AH336" s="21"/>
      <c r="AI336" s="21"/>
      <c r="AJ336" s="21"/>
      <c r="AK336" s="21"/>
      <c r="AM336" t="s">
        <v>53</v>
      </c>
    </row>
    <row r="337" spans="34:39" x14ac:dyDescent="0.35">
      <c r="AH337" s="21"/>
      <c r="AI337" s="21"/>
      <c r="AJ337" s="21"/>
      <c r="AK337" s="21"/>
      <c r="AM337" t="s">
        <v>53</v>
      </c>
    </row>
    <row r="338" spans="34:39" x14ac:dyDescent="0.35">
      <c r="AH338" s="21"/>
      <c r="AI338" s="21"/>
      <c r="AJ338" s="21"/>
      <c r="AK338" s="21"/>
      <c r="AM338" t="s">
        <v>53</v>
      </c>
    </row>
    <row r="339" spans="34:39" x14ac:dyDescent="0.35">
      <c r="AH339" s="21"/>
      <c r="AI339" s="21"/>
      <c r="AJ339" s="21"/>
      <c r="AK339" s="21"/>
      <c r="AM339" t="s">
        <v>53</v>
      </c>
    </row>
    <row r="340" spans="34:39" x14ac:dyDescent="0.35">
      <c r="AH340" s="21"/>
      <c r="AI340" s="21"/>
      <c r="AJ340" s="21"/>
      <c r="AK340" s="21"/>
      <c r="AM340" t="s">
        <v>53</v>
      </c>
    </row>
    <row r="341" spans="34:39" x14ac:dyDescent="0.35">
      <c r="AH341" s="21"/>
      <c r="AI341" s="21"/>
      <c r="AJ341" s="21"/>
      <c r="AK341" s="21"/>
      <c r="AM341" t="s">
        <v>53</v>
      </c>
    </row>
    <row r="342" spans="34:39" x14ac:dyDescent="0.35">
      <c r="AH342" s="21"/>
      <c r="AI342" s="21"/>
      <c r="AJ342" s="21"/>
      <c r="AK342" s="21"/>
      <c r="AM342" t="s">
        <v>53</v>
      </c>
    </row>
    <row r="343" spans="34:39" x14ac:dyDescent="0.35">
      <c r="AH343" s="21"/>
      <c r="AI343" s="21"/>
      <c r="AJ343" s="21"/>
      <c r="AK343" s="21"/>
      <c r="AM343" t="s">
        <v>53</v>
      </c>
    </row>
    <row r="344" spans="34:39" x14ac:dyDescent="0.35">
      <c r="AH344" s="21"/>
      <c r="AI344" s="21"/>
      <c r="AJ344" s="21"/>
      <c r="AK344" s="21"/>
      <c r="AM344" t="s">
        <v>53</v>
      </c>
    </row>
    <row r="345" spans="34:39" x14ac:dyDescent="0.35">
      <c r="AH345" s="21"/>
      <c r="AI345" s="21"/>
      <c r="AJ345" s="21"/>
      <c r="AK345" s="21"/>
      <c r="AM345" t="s">
        <v>53</v>
      </c>
    </row>
    <row r="346" spans="34:39" x14ac:dyDescent="0.35">
      <c r="AH346" s="21"/>
      <c r="AI346" s="21"/>
      <c r="AJ346" s="21"/>
      <c r="AK346" s="21"/>
      <c r="AM346" t="s">
        <v>53</v>
      </c>
    </row>
    <row r="347" spans="34:39" x14ac:dyDescent="0.35">
      <c r="AH347" s="21"/>
      <c r="AI347" s="21"/>
      <c r="AJ347" s="21"/>
      <c r="AK347" s="21"/>
      <c r="AM347" t="s">
        <v>53</v>
      </c>
    </row>
    <row r="348" spans="34:39" x14ac:dyDescent="0.35">
      <c r="AH348" s="21"/>
      <c r="AI348" s="21"/>
      <c r="AJ348" s="21"/>
      <c r="AK348" s="21"/>
      <c r="AM348" t="s">
        <v>53</v>
      </c>
    </row>
    <row r="349" spans="34:39" x14ac:dyDescent="0.35">
      <c r="AH349" s="21"/>
      <c r="AI349" s="21"/>
      <c r="AJ349" s="21"/>
      <c r="AK349" s="21"/>
      <c r="AM349" t="s">
        <v>53</v>
      </c>
    </row>
    <row r="350" spans="34:39" x14ac:dyDescent="0.35">
      <c r="AH350" s="21"/>
      <c r="AI350" s="21"/>
      <c r="AJ350" s="21"/>
      <c r="AK350" s="21"/>
      <c r="AM350" t="s">
        <v>53</v>
      </c>
    </row>
    <row r="351" spans="34:39" x14ac:dyDescent="0.35">
      <c r="AH351" s="21"/>
      <c r="AI351" s="21"/>
      <c r="AJ351" s="21"/>
      <c r="AK351" s="21"/>
      <c r="AM351" t="s">
        <v>53</v>
      </c>
    </row>
    <row r="352" spans="34:39" x14ac:dyDescent="0.35">
      <c r="AH352" s="21"/>
      <c r="AI352" s="21"/>
      <c r="AJ352" s="21"/>
      <c r="AK352" s="21"/>
      <c r="AM352" t="s">
        <v>53</v>
      </c>
    </row>
    <row r="353" spans="34:39" x14ac:dyDescent="0.35">
      <c r="AH353" s="21"/>
      <c r="AI353" s="21"/>
      <c r="AJ353" s="21"/>
      <c r="AK353" s="21"/>
      <c r="AM353" t="s">
        <v>53</v>
      </c>
    </row>
    <row r="354" spans="34:39" x14ac:dyDescent="0.35">
      <c r="AH354" s="21"/>
      <c r="AI354" s="21"/>
      <c r="AJ354" s="21"/>
      <c r="AK354" s="21"/>
      <c r="AM354" t="s">
        <v>53</v>
      </c>
    </row>
    <row r="355" spans="34:39" x14ac:dyDescent="0.35">
      <c r="AH355" s="21"/>
      <c r="AI355" s="21"/>
      <c r="AJ355" s="21"/>
      <c r="AK355" s="21"/>
      <c r="AM355" t="s">
        <v>53</v>
      </c>
    </row>
    <row r="356" spans="34:39" x14ac:dyDescent="0.35">
      <c r="AH356" s="21"/>
      <c r="AI356" s="21"/>
      <c r="AJ356" s="21"/>
      <c r="AK356" s="21"/>
      <c r="AM356" t="s">
        <v>53</v>
      </c>
    </row>
    <row r="357" spans="34:39" x14ac:dyDescent="0.35">
      <c r="AH357" s="21"/>
      <c r="AI357" s="21"/>
      <c r="AJ357" s="21"/>
      <c r="AK357" s="21"/>
      <c r="AM357" t="s">
        <v>53</v>
      </c>
    </row>
    <row r="358" spans="34:39" x14ac:dyDescent="0.35">
      <c r="AH358" s="21"/>
      <c r="AI358" s="21"/>
      <c r="AJ358" s="21"/>
      <c r="AK358" s="21"/>
      <c r="AM358" t="s">
        <v>53</v>
      </c>
    </row>
    <row r="359" spans="34:39" x14ac:dyDescent="0.35">
      <c r="AH359" s="21"/>
      <c r="AI359" s="21"/>
      <c r="AJ359" s="21"/>
      <c r="AK359" s="21"/>
      <c r="AM359" t="s">
        <v>53</v>
      </c>
    </row>
    <row r="360" spans="34:39" x14ac:dyDescent="0.35">
      <c r="AH360" s="21"/>
      <c r="AI360" s="21"/>
      <c r="AJ360" s="21"/>
      <c r="AK360" s="21"/>
      <c r="AM360" t="s">
        <v>53</v>
      </c>
    </row>
    <row r="361" spans="34:39" x14ac:dyDescent="0.35">
      <c r="AH361" s="21"/>
      <c r="AI361" s="21"/>
      <c r="AJ361" s="21"/>
      <c r="AK361" s="21"/>
      <c r="AM361" t="s">
        <v>53</v>
      </c>
    </row>
    <row r="362" spans="34:39" x14ac:dyDescent="0.35">
      <c r="AH362" s="21"/>
      <c r="AI362" s="21"/>
      <c r="AJ362" s="21"/>
      <c r="AK362" s="21"/>
      <c r="AM362" t="s">
        <v>53</v>
      </c>
    </row>
    <row r="363" spans="34:39" x14ac:dyDescent="0.35">
      <c r="AH363" s="21"/>
      <c r="AI363" s="21"/>
      <c r="AJ363" s="21"/>
      <c r="AK363" s="21"/>
      <c r="AM363" t="s">
        <v>53</v>
      </c>
    </row>
    <row r="364" spans="34:39" x14ac:dyDescent="0.35">
      <c r="AH364" s="21"/>
      <c r="AI364" s="21"/>
      <c r="AJ364" s="21"/>
      <c r="AK364" s="21"/>
      <c r="AM364" t="s">
        <v>53</v>
      </c>
    </row>
    <row r="365" spans="34:39" x14ac:dyDescent="0.35">
      <c r="AH365" s="21"/>
      <c r="AI365" s="21"/>
      <c r="AJ365" s="21"/>
      <c r="AK365" s="21"/>
      <c r="AM365" t="s">
        <v>53</v>
      </c>
    </row>
    <row r="366" spans="34:39" x14ac:dyDescent="0.35">
      <c r="AH366" s="21"/>
      <c r="AI366" s="21"/>
      <c r="AJ366" s="21"/>
      <c r="AK366" s="21"/>
      <c r="AM366" t="s">
        <v>53</v>
      </c>
    </row>
    <row r="367" spans="34:39" x14ac:dyDescent="0.35">
      <c r="AH367" s="21"/>
      <c r="AI367" s="21"/>
      <c r="AJ367" s="21"/>
      <c r="AK367" s="21"/>
      <c r="AM367" t="s">
        <v>53</v>
      </c>
    </row>
    <row r="368" spans="34:39" x14ac:dyDescent="0.35">
      <c r="AH368" s="21"/>
      <c r="AI368" s="21"/>
      <c r="AJ368" s="21"/>
      <c r="AK368" s="21"/>
      <c r="AM368" t="s">
        <v>53</v>
      </c>
    </row>
    <row r="369" spans="34:39" x14ac:dyDescent="0.35">
      <c r="AH369" s="21"/>
      <c r="AI369" s="21"/>
      <c r="AJ369" s="21"/>
      <c r="AK369" s="21"/>
      <c r="AM369" t="s">
        <v>53</v>
      </c>
    </row>
    <row r="370" spans="34:39" x14ac:dyDescent="0.35">
      <c r="AH370" s="21"/>
      <c r="AI370" s="21"/>
      <c r="AJ370" s="21"/>
      <c r="AK370" s="21"/>
      <c r="AM370" t="s">
        <v>53</v>
      </c>
    </row>
    <row r="371" spans="34:39" x14ac:dyDescent="0.35">
      <c r="AH371" s="21"/>
      <c r="AI371" s="21"/>
      <c r="AJ371" s="21"/>
      <c r="AK371" s="21"/>
      <c r="AM371" t="s">
        <v>53</v>
      </c>
    </row>
    <row r="372" spans="34:39" x14ac:dyDescent="0.35">
      <c r="AH372" s="21"/>
      <c r="AI372" s="21"/>
      <c r="AJ372" s="21"/>
      <c r="AK372" s="21"/>
      <c r="AM372" t="s">
        <v>53</v>
      </c>
    </row>
    <row r="373" spans="34:39" x14ac:dyDescent="0.35">
      <c r="AH373" s="21"/>
      <c r="AI373" s="21"/>
      <c r="AJ373" s="21"/>
      <c r="AK373" s="21"/>
      <c r="AM373" t="s">
        <v>53</v>
      </c>
    </row>
    <row r="374" spans="34:39" x14ac:dyDescent="0.35">
      <c r="AH374" s="21"/>
      <c r="AI374" s="21"/>
      <c r="AJ374" s="21"/>
      <c r="AK374" s="21"/>
      <c r="AM374" t="s">
        <v>53</v>
      </c>
    </row>
    <row r="375" spans="34:39" x14ac:dyDescent="0.35">
      <c r="AH375" s="21"/>
      <c r="AI375" s="21"/>
      <c r="AJ375" s="21"/>
      <c r="AK375" s="21"/>
      <c r="AM375" t="s">
        <v>53</v>
      </c>
    </row>
    <row r="376" spans="34:39" x14ac:dyDescent="0.35">
      <c r="AH376" s="21"/>
      <c r="AI376" s="21"/>
      <c r="AJ376" s="21"/>
      <c r="AK376" s="21"/>
      <c r="AM376" t="s">
        <v>53</v>
      </c>
    </row>
    <row r="377" spans="34:39" x14ac:dyDescent="0.35">
      <c r="AH377" s="21"/>
      <c r="AI377" s="21"/>
      <c r="AJ377" s="21"/>
      <c r="AK377" s="21"/>
      <c r="AM377" t="s">
        <v>53</v>
      </c>
    </row>
    <row r="378" spans="34:39" x14ac:dyDescent="0.35">
      <c r="AH378" s="21"/>
      <c r="AI378" s="21"/>
      <c r="AJ378" s="21"/>
      <c r="AK378" s="21"/>
      <c r="AM378" t="s">
        <v>53</v>
      </c>
    </row>
    <row r="379" spans="34:39" x14ac:dyDescent="0.35">
      <c r="AH379" s="21"/>
      <c r="AI379" s="21"/>
      <c r="AJ379" s="21"/>
      <c r="AK379" s="21"/>
      <c r="AM379" t="s">
        <v>53</v>
      </c>
    </row>
    <row r="380" spans="34:39" x14ac:dyDescent="0.35">
      <c r="AH380" s="21"/>
      <c r="AI380" s="21"/>
      <c r="AJ380" s="21"/>
      <c r="AK380" s="21"/>
      <c r="AM380" t="s">
        <v>53</v>
      </c>
    </row>
    <row r="381" spans="34:39" x14ac:dyDescent="0.35">
      <c r="AH381" s="21"/>
      <c r="AI381" s="21"/>
      <c r="AJ381" s="21"/>
      <c r="AK381" s="21"/>
      <c r="AM381" t="s">
        <v>53</v>
      </c>
    </row>
    <row r="382" spans="34:39" x14ac:dyDescent="0.35">
      <c r="AH382" s="21"/>
      <c r="AI382" s="21"/>
      <c r="AJ382" s="21"/>
      <c r="AK382" s="21"/>
      <c r="AM382" t="s">
        <v>53</v>
      </c>
    </row>
    <row r="383" spans="34:39" x14ac:dyDescent="0.35">
      <c r="AH383" s="21"/>
      <c r="AI383" s="21"/>
      <c r="AJ383" s="21"/>
      <c r="AK383" s="21"/>
      <c r="AM383" t="s">
        <v>53</v>
      </c>
    </row>
    <row r="384" spans="34:39" x14ac:dyDescent="0.35">
      <c r="AH384" s="21"/>
      <c r="AI384" s="21"/>
      <c r="AJ384" s="21"/>
      <c r="AK384" s="21"/>
      <c r="AM384" t="s">
        <v>53</v>
      </c>
    </row>
    <row r="385" spans="34:39" x14ac:dyDescent="0.35">
      <c r="AH385" s="21"/>
      <c r="AI385" s="21"/>
      <c r="AJ385" s="21"/>
      <c r="AK385" s="21"/>
      <c r="AM385" t="s">
        <v>53</v>
      </c>
    </row>
    <row r="386" spans="34:39" x14ac:dyDescent="0.35">
      <c r="AH386" s="21"/>
      <c r="AI386" s="21"/>
      <c r="AJ386" s="21"/>
      <c r="AK386" s="21"/>
      <c r="AM386" t="s">
        <v>53</v>
      </c>
    </row>
    <row r="387" spans="34:39" x14ac:dyDescent="0.35">
      <c r="AH387" s="21"/>
      <c r="AI387" s="21"/>
      <c r="AJ387" s="21"/>
      <c r="AK387" s="21"/>
      <c r="AM387" t="s">
        <v>53</v>
      </c>
    </row>
    <row r="388" spans="34:39" x14ac:dyDescent="0.35">
      <c r="AH388" s="21"/>
      <c r="AI388" s="21"/>
      <c r="AJ388" s="21"/>
      <c r="AK388" s="21"/>
      <c r="AM388" t="s">
        <v>53</v>
      </c>
    </row>
    <row r="389" spans="34:39" x14ac:dyDescent="0.35">
      <c r="AH389" s="21"/>
      <c r="AI389" s="21"/>
      <c r="AJ389" s="21"/>
      <c r="AK389" s="21"/>
      <c r="AM389" t="s">
        <v>53</v>
      </c>
    </row>
    <row r="390" spans="34:39" x14ac:dyDescent="0.35">
      <c r="AH390" s="21"/>
      <c r="AI390" s="21"/>
      <c r="AJ390" s="21"/>
      <c r="AK390" s="21"/>
      <c r="AM390" t="s">
        <v>53</v>
      </c>
    </row>
    <row r="391" spans="34:39" x14ac:dyDescent="0.35">
      <c r="AH391" s="21"/>
      <c r="AI391" s="21"/>
      <c r="AJ391" s="21"/>
      <c r="AK391" s="21"/>
      <c r="AM391" t="s">
        <v>53</v>
      </c>
    </row>
    <row r="392" spans="34:39" x14ac:dyDescent="0.35">
      <c r="AH392" s="21"/>
      <c r="AI392" s="21"/>
      <c r="AJ392" s="21"/>
      <c r="AK392" s="21"/>
      <c r="AM392" t="s">
        <v>53</v>
      </c>
    </row>
    <row r="393" spans="34:39" x14ac:dyDescent="0.35">
      <c r="AH393" s="21"/>
      <c r="AI393" s="21"/>
      <c r="AJ393" s="21"/>
      <c r="AK393" s="21"/>
      <c r="AM393" t="s">
        <v>53</v>
      </c>
    </row>
    <row r="394" spans="34:39" x14ac:dyDescent="0.35">
      <c r="AH394" s="21"/>
      <c r="AI394" s="21"/>
      <c r="AJ394" s="21"/>
      <c r="AK394" s="21"/>
      <c r="AM394" t="s">
        <v>53</v>
      </c>
    </row>
    <row r="395" spans="34:39" x14ac:dyDescent="0.35">
      <c r="AH395" s="21"/>
      <c r="AI395" s="21"/>
      <c r="AJ395" s="21"/>
      <c r="AK395" s="21"/>
      <c r="AM395" t="s">
        <v>53</v>
      </c>
    </row>
    <row r="396" spans="34:39" x14ac:dyDescent="0.35">
      <c r="AH396" s="21"/>
      <c r="AI396" s="21"/>
      <c r="AJ396" s="21"/>
      <c r="AK396" s="21"/>
      <c r="AM396" t="s">
        <v>53</v>
      </c>
    </row>
    <row r="397" spans="34:39" x14ac:dyDescent="0.35">
      <c r="AH397" s="21"/>
      <c r="AI397" s="21"/>
      <c r="AJ397" s="21"/>
      <c r="AK397" s="21"/>
      <c r="AM397" t="s">
        <v>53</v>
      </c>
    </row>
    <row r="398" spans="34:39" x14ac:dyDescent="0.35">
      <c r="AH398" s="21"/>
      <c r="AI398" s="21"/>
      <c r="AJ398" s="21"/>
      <c r="AK398" s="21"/>
      <c r="AM398" t="s">
        <v>53</v>
      </c>
    </row>
    <row r="399" spans="34:39" x14ac:dyDescent="0.35">
      <c r="AH399" s="21"/>
      <c r="AI399" s="21"/>
      <c r="AJ399" s="21"/>
      <c r="AK399" s="21"/>
      <c r="AM399" t="s">
        <v>53</v>
      </c>
    </row>
    <row r="400" spans="34:39" x14ac:dyDescent="0.35">
      <c r="AH400" s="21"/>
      <c r="AI400" s="21"/>
      <c r="AJ400" s="21"/>
      <c r="AK400" s="21"/>
      <c r="AM400" t="s">
        <v>53</v>
      </c>
    </row>
    <row r="401" spans="34:39" x14ac:dyDescent="0.35">
      <c r="AH401" s="21"/>
      <c r="AI401" s="21"/>
      <c r="AJ401" s="21"/>
      <c r="AK401" s="21"/>
      <c r="AM401" t="s">
        <v>53</v>
      </c>
    </row>
    <row r="402" spans="34:39" x14ac:dyDescent="0.35">
      <c r="AH402" s="21"/>
      <c r="AI402" s="21"/>
      <c r="AJ402" s="21"/>
      <c r="AK402" s="21"/>
      <c r="AM402" t="s">
        <v>53</v>
      </c>
    </row>
    <row r="403" spans="34:39" x14ac:dyDescent="0.35">
      <c r="AH403" s="21"/>
      <c r="AI403" s="21"/>
      <c r="AJ403" s="21"/>
      <c r="AK403" s="21"/>
      <c r="AM403" t="s">
        <v>53</v>
      </c>
    </row>
    <row r="404" spans="34:39" x14ac:dyDescent="0.35">
      <c r="AH404" s="21"/>
      <c r="AI404" s="21"/>
      <c r="AJ404" s="21"/>
      <c r="AK404" s="21"/>
      <c r="AM404" t="s">
        <v>53</v>
      </c>
    </row>
    <row r="405" spans="34:39" x14ac:dyDescent="0.35">
      <c r="AH405" s="21"/>
      <c r="AI405" s="21"/>
      <c r="AJ405" s="21"/>
      <c r="AK405" s="21"/>
      <c r="AM405" t="s">
        <v>53</v>
      </c>
    </row>
    <row r="406" spans="34:39" x14ac:dyDescent="0.35">
      <c r="AH406" s="21"/>
      <c r="AI406" s="21"/>
      <c r="AJ406" s="21"/>
      <c r="AK406" s="21"/>
      <c r="AM406" t="s">
        <v>53</v>
      </c>
    </row>
    <row r="407" spans="34:39" x14ac:dyDescent="0.35">
      <c r="AH407" s="21"/>
      <c r="AI407" s="21"/>
      <c r="AJ407" s="21"/>
      <c r="AK407" s="21"/>
      <c r="AM407" t="s">
        <v>53</v>
      </c>
    </row>
    <row r="408" spans="34:39" x14ac:dyDescent="0.35">
      <c r="AH408" s="21"/>
      <c r="AI408" s="21"/>
      <c r="AJ408" s="21"/>
      <c r="AK408" s="21"/>
      <c r="AM408" t="s">
        <v>53</v>
      </c>
    </row>
    <row r="409" spans="34:39" x14ac:dyDescent="0.35">
      <c r="AH409" s="21"/>
      <c r="AI409" s="21"/>
      <c r="AJ409" s="21"/>
      <c r="AK409" s="21"/>
      <c r="AM409" t="s">
        <v>53</v>
      </c>
    </row>
    <row r="410" spans="34:39" x14ac:dyDescent="0.35">
      <c r="AH410" s="21"/>
      <c r="AI410" s="21"/>
      <c r="AJ410" s="21"/>
      <c r="AK410" s="21"/>
      <c r="AM410" t="s">
        <v>53</v>
      </c>
    </row>
    <row r="411" spans="34:39" x14ac:dyDescent="0.35">
      <c r="AH411" s="21"/>
      <c r="AI411" s="21"/>
      <c r="AJ411" s="21"/>
      <c r="AK411" s="21"/>
      <c r="AM411" t="s">
        <v>53</v>
      </c>
    </row>
    <row r="412" spans="34:39" x14ac:dyDescent="0.35">
      <c r="AH412" s="21"/>
      <c r="AI412" s="21"/>
      <c r="AJ412" s="21"/>
      <c r="AK412" s="21"/>
      <c r="AM412" t="s">
        <v>53</v>
      </c>
    </row>
    <row r="413" spans="34:39" x14ac:dyDescent="0.35">
      <c r="AH413" s="21"/>
      <c r="AI413" s="21"/>
      <c r="AJ413" s="21"/>
      <c r="AK413" s="21"/>
      <c r="AM413" t="s">
        <v>53</v>
      </c>
    </row>
    <row r="414" spans="34:39" x14ac:dyDescent="0.35">
      <c r="AH414" s="21"/>
      <c r="AI414" s="21"/>
      <c r="AJ414" s="21"/>
      <c r="AK414" s="21"/>
      <c r="AM414" t="s">
        <v>53</v>
      </c>
    </row>
    <row r="415" spans="34:39" x14ac:dyDescent="0.35">
      <c r="AH415" s="21"/>
      <c r="AI415" s="21"/>
      <c r="AJ415" s="21"/>
      <c r="AK415" s="21"/>
      <c r="AM415" t="s">
        <v>53</v>
      </c>
    </row>
    <row r="416" spans="34:39" x14ac:dyDescent="0.35">
      <c r="AH416" s="21"/>
      <c r="AI416" s="21"/>
      <c r="AJ416" s="21"/>
      <c r="AK416" s="21"/>
      <c r="AM416" t="s">
        <v>53</v>
      </c>
    </row>
    <row r="417" spans="34:39" x14ac:dyDescent="0.35">
      <c r="AH417" s="21"/>
      <c r="AI417" s="21"/>
      <c r="AJ417" s="21"/>
      <c r="AK417" s="21"/>
      <c r="AM417" t="s">
        <v>53</v>
      </c>
    </row>
    <row r="418" spans="34:39" x14ac:dyDescent="0.35">
      <c r="AH418" s="21"/>
      <c r="AI418" s="21"/>
      <c r="AJ418" s="21"/>
      <c r="AK418" s="21"/>
      <c r="AM418" t="s">
        <v>53</v>
      </c>
    </row>
    <row r="419" spans="34:39" x14ac:dyDescent="0.35">
      <c r="AH419" s="21"/>
      <c r="AI419" s="21"/>
      <c r="AJ419" s="21"/>
      <c r="AK419" s="21"/>
      <c r="AM419" t="s">
        <v>53</v>
      </c>
    </row>
    <row r="420" spans="34:39" x14ac:dyDescent="0.35">
      <c r="AH420" s="21"/>
      <c r="AI420" s="21"/>
      <c r="AJ420" s="21"/>
      <c r="AK420" s="21"/>
      <c r="AM420" t="s">
        <v>53</v>
      </c>
    </row>
    <row r="421" spans="34:39" x14ac:dyDescent="0.35">
      <c r="AH421" s="21"/>
      <c r="AI421" s="21"/>
      <c r="AJ421" s="21"/>
      <c r="AK421" s="21"/>
      <c r="AM421" t="s">
        <v>53</v>
      </c>
    </row>
    <row r="422" spans="34:39" x14ac:dyDescent="0.35">
      <c r="AH422" s="21"/>
      <c r="AI422" s="21"/>
      <c r="AJ422" s="21"/>
      <c r="AK422" s="21"/>
      <c r="AM422" t="s">
        <v>53</v>
      </c>
    </row>
    <row r="423" spans="34:39" x14ac:dyDescent="0.35">
      <c r="AH423" s="21"/>
      <c r="AI423" s="21"/>
      <c r="AJ423" s="21"/>
      <c r="AK423" s="21"/>
      <c r="AM423" t="s">
        <v>53</v>
      </c>
    </row>
    <row r="424" spans="34:39" x14ac:dyDescent="0.35">
      <c r="AH424" s="21"/>
      <c r="AI424" s="21"/>
      <c r="AJ424" s="21"/>
      <c r="AK424" s="21"/>
      <c r="AM424" t="s">
        <v>53</v>
      </c>
    </row>
    <row r="425" spans="34:39" x14ac:dyDescent="0.35">
      <c r="AH425" s="21"/>
      <c r="AI425" s="21"/>
      <c r="AJ425" s="21"/>
      <c r="AK425" s="21"/>
      <c r="AM425" t="s">
        <v>53</v>
      </c>
    </row>
    <row r="426" spans="34:39" x14ac:dyDescent="0.35">
      <c r="AH426" s="21"/>
      <c r="AI426" s="21"/>
      <c r="AJ426" s="21"/>
      <c r="AK426" s="21"/>
      <c r="AM426" t="s">
        <v>53</v>
      </c>
    </row>
    <row r="427" spans="34:39" x14ac:dyDescent="0.35">
      <c r="AH427" s="21"/>
      <c r="AI427" s="21"/>
      <c r="AJ427" s="21"/>
      <c r="AK427" s="21"/>
      <c r="AM427" t="s">
        <v>53</v>
      </c>
    </row>
    <row r="428" spans="34:39" x14ac:dyDescent="0.35">
      <c r="AH428" s="21"/>
      <c r="AI428" s="21"/>
      <c r="AJ428" s="21"/>
      <c r="AK428" s="21"/>
      <c r="AM428" t="s">
        <v>53</v>
      </c>
    </row>
    <row r="429" spans="34:39" x14ac:dyDescent="0.35">
      <c r="AH429" s="21"/>
      <c r="AI429" s="21"/>
      <c r="AJ429" s="21"/>
      <c r="AK429" s="21"/>
      <c r="AM429" t="s">
        <v>53</v>
      </c>
    </row>
    <row r="430" spans="34:39" x14ac:dyDescent="0.35">
      <c r="AH430" s="21"/>
      <c r="AI430" s="21"/>
      <c r="AJ430" s="21"/>
      <c r="AK430" s="21"/>
      <c r="AM430" t="s">
        <v>53</v>
      </c>
    </row>
    <row r="431" spans="34:39" x14ac:dyDescent="0.35">
      <c r="AH431" s="21"/>
      <c r="AI431" s="21"/>
      <c r="AJ431" s="21"/>
      <c r="AK431" s="21"/>
      <c r="AM431" t="s">
        <v>53</v>
      </c>
    </row>
    <row r="432" spans="34:39" x14ac:dyDescent="0.35">
      <c r="AH432" s="21"/>
      <c r="AI432" s="21"/>
      <c r="AJ432" s="21"/>
      <c r="AK432" s="21"/>
      <c r="AM432" t="s">
        <v>53</v>
      </c>
    </row>
    <row r="433" spans="34:39" x14ac:dyDescent="0.35">
      <c r="AH433" s="21"/>
      <c r="AI433" s="21"/>
      <c r="AJ433" s="21"/>
      <c r="AK433" s="21"/>
      <c r="AM433" t="s">
        <v>53</v>
      </c>
    </row>
    <row r="434" spans="34:39" x14ac:dyDescent="0.35">
      <c r="AH434" s="21"/>
      <c r="AI434" s="21"/>
      <c r="AJ434" s="21"/>
      <c r="AK434" s="21"/>
      <c r="AM434" t="s">
        <v>53</v>
      </c>
    </row>
    <row r="435" spans="34:39" x14ac:dyDescent="0.35">
      <c r="AH435" s="21"/>
      <c r="AI435" s="21"/>
      <c r="AJ435" s="21"/>
      <c r="AK435" s="21"/>
      <c r="AM435" t="s">
        <v>53</v>
      </c>
    </row>
    <row r="436" spans="34:39" x14ac:dyDescent="0.35">
      <c r="AH436" s="21"/>
      <c r="AI436" s="21"/>
      <c r="AJ436" s="21"/>
      <c r="AK436" s="21"/>
      <c r="AM436" t="s">
        <v>53</v>
      </c>
    </row>
    <row r="437" spans="34:39" x14ac:dyDescent="0.35">
      <c r="AH437" s="21"/>
      <c r="AI437" s="21"/>
      <c r="AJ437" s="21"/>
      <c r="AK437" s="21"/>
      <c r="AM437" t="s">
        <v>53</v>
      </c>
    </row>
    <row r="438" spans="34:39" x14ac:dyDescent="0.35">
      <c r="AH438" s="21"/>
      <c r="AI438" s="21"/>
      <c r="AJ438" s="21"/>
      <c r="AK438" s="21"/>
      <c r="AM438" t="s">
        <v>53</v>
      </c>
    </row>
    <row r="439" spans="34:39" x14ac:dyDescent="0.35">
      <c r="AH439" s="21"/>
      <c r="AI439" s="21"/>
      <c r="AJ439" s="21"/>
      <c r="AK439" s="21"/>
      <c r="AM439" t="s">
        <v>53</v>
      </c>
    </row>
    <row r="440" spans="34:39" x14ac:dyDescent="0.35">
      <c r="AH440" s="21"/>
      <c r="AI440" s="21"/>
      <c r="AJ440" s="21"/>
      <c r="AK440" s="21"/>
      <c r="AM440" t="s">
        <v>53</v>
      </c>
    </row>
    <row r="441" spans="34:39" x14ac:dyDescent="0.35">
      <c r="AH441" s="21"/>
      <c r="AI441" s="21"/>
      <c r="AJ441" s="21"/>
      <c r="AK441" s="21"/>
      <c r="AM441" t="s">
        <v>53</v>
      </c>
    </row>
    <row r="442" spans="34:39" x14ac:dyDescent="0.35">
      <c r="AH442" s="21"/>
      <c r="AI442" s="21"/>
      <c r="AJ442" s="21"/>
      <c r="AK442" s="21"/>
      <c r="AM442" t="s">
        <v>53</v>
      </c>
    </row>
    <row r="443" spans="34:39" x14ac:dyDescent="0.35">
      <c r="AH443" s="21"/>
      <c r="AI443" s="21"/>
      <c r="AJ443" s="21"/>
      <c r="AK443" s="21"/>
      <c r="AM443" t="s">
        <v>53</v>
      </c>
    </row>
    <row r="444" spans="34:39" x14ac:dyDescent="0.35">
      <c r="AH444" s="21"/>
      <c r="AI444" s="21"/>
      <c r="AJ444" s="21"/>
      <c r="AK444" s="21"/>
      <c r="AM444" t="s">
        <v>53</v>
      </c>
    </row>
    <row r="445" spans="34:39" x14ac:dyDescent="0.35">
      <c r="AH445" s="21"/>
      <c r="AI445" s="21"/>
      <c r="AJ445" s="21"/>
      <c r="AK445" s="21"/>
      <c r="AM445" t="s">
        <v>53</v>
      </c>
    </row>
    <row r="446" spans="34:39" x14ac:dyDescent="0.35">
      <c r="AH446" s="21"/>
      <c r="AI446" s="21"/>
      <c r="AJ446" s="21"/>
      <c r="AK446" s="21"/>
      <c r="AM446" t="s">
        <v>53</v>
      </c>
    </row>
    <row r="447" spans="34:39" x14ac:dyDescent="0.35">
      <c r="AH447" s="21"/>
      <c r="AI447" s="21"/>
      <c r="AJ447" s="21"/>
      <c r="AK447" s="21"/>
      <c r="AM447" t="s">
        <v>53</v>
      </c>
    </row>
    <row r="448" spans="34:39" x14ac:dyDescent="0.35">
      <c r="AH448" s="21"/>
      <c r="AI448" s="21"/>
      <c r="AJ448" s="21"/>
      <c r="AK448" s="21"/>
      <c r="AM448" t="s">
        <v>53</v>
      </c>
    </row>
    <row r="449" spans="34:39" x14ac:dyDescent="0.35">
      <c r="AH449" s="21"/>
      <c r="AI449" s="21"/>
      <c r="AJ449" s="21"/>
      <c r="AK449" s="21"/>
      <c r="AM449" t="s">
        <v>53</v>
      </c>
    </row>
    <row r="450" spans="34:39" x14ac:dyDescent="0.35">
      <c r="AH450" s="21"/>
      <c r="AI450" s="21"/>
      <c r="AJ450" s="21"/>
      <c r="AK450" s="21"/>
      <c r="AM450" t="s">
        <v>53</v>
      </c>
    </row>
    <row r="451" spans="34:39" x14ac:dyDescent="0.35">
      <c r="AH451" s="21"/>
      <c r="AI451" s="21"/>
      <c r="AJ451" s="21"/>
      <c r="AK451" s="21"/>
      <c r="AM451" t="s">
        <v>53</v>
      </c>
    </row>
    <row r="452" spans="34:39" x14ac:dyDescent="0.35">
      <c r="AH452" s="21"/>
      <c r="AI452" s="21"/>
      <c r="AJ452" s="21"/>
      <c r="AK452" s="21"/>
      <c r="AM452" t="s">
        <v>53</v>
      </c>
    </row>
    <row r="453" spans="34:39" x14ac:dyDescent="0.35">
      <c r="AH453" s="21"/>
      <c r="AI453" s="21"/>
      <c r="AJ453" s="21"/>
      <c r="AK453" s="21"/>
      <c r="AM453" t="s">
        <v>53</v>
      </c>
    </row>
    <row r="454" spans="34:39" x14ac:dyDescent="0.35">
      <c r="AH454" s="21"/>
      <c r="AI454" s="21"/>
      <c r="AJ454" s="21"/>
      <c r="AK454" s="21"/>
      <c r="AM454" t="s">
        <v>53</v>
      </c>
    </row>
    <row r="455" spans="34:39" x14ac:dyDescent="0.35">
      <c r="AH455" s="21"/>
      <c r="AI455" s="21"/>
      <c r="AJ455" s="21"/>
      <c r="AK455" s="21"/>
      <c r="AM455" t="s">
        <v>53</v>
      </c>
    </row>
    <row r="456" spans="34:39" x14ac:dyDescent="0.35">
      <c r="AH456" s="21"/>
      <c r="AI456" s="21"/>
      <c r="AJ456" s="21"/>
      <c r="AK456" s="21"/>
      <c r="AM456" t="s">
        <v>53</v>
      </c>
    </row>
    <row r="457" spans="34:39" x14ac:dyDescent="0.35">
      <c r="AH457" s="21"/>
      <c r="AI457" s="21"/>
      <c r="AJ457" s="21"/>
      <c r="AK457" s="21"/>
      <c r="AM457" t="s">
        <v>53</v>
      </c>
    </row>
    <row r="458" spans="34:39" x14ac:dyDescent="0.35">
      <c r="AH458" s="21"/>
      <c r="AI458" s="21"/>
      <c r="AJ458" s="21"/>
      <c r="AK458" s="21"/>
      <c r="AM458" t="s">
        <v>53</v>
      </c>
    </row>
    <row r="459" spans="34:39" x14ac:dyDescent="0.35">
      <c r="AH459" s="21"/>
      <c r="AI459" s="21"/>
      <c r="AJ459" s="21"/>
      <c r="AK459" s="21"/>
      <c r="AM459" t="s">
        <v>53</v>
      </c>
    </row>
    <row r="460" spans="34:39" x14ac:dyDescent="0.35">
      <c r="AH460" s="21"/>
      <c r="AI460" s="21"/>
      <c r="AJ460" s="21"/>
      <c r="AK460" s="21"/>
      <c r="AM460" t="s">
        <v>53</v>
      </c>
    </row>
    <row r="461" spans="34:39" x14ac:dyDescent="0.35">
      <c r="AH461" s="21"/>
      <c r="AI461" s="21"/>
      <c r="AJ461" s="21"/>
      <c r="AK461" s="21"/>
      <c r="AM461" t="s">
        <v>53</v>
      </c>
    </row>
    <row r="462" spans="34:39" x14ac:dyDescent="0.35">
      <c r="AH462" s="21"/>
      <c r="AI462" s="21"/>
      <c r="AJ462" s="21"/>
      <c r="AK462" s="21"/>
      <c r="AM462" t="s">
        <v>53</v>
      </c>
    </row>
    <row r="463" spans="34:39" x14ac:dyDescent="0.35">
      <c r="AH463" s="21"/>
      <c r="AI463" s="21"/>
      <c r="AJ463" s="21"/>
      <c r="AK463" s="21"/>
      <c r="AM463" t="s">
        <v>53</v>
      </c>
    </row>
    <row r="464" spans="34:39" x14ac:dyDescent="0.35">
      <c r="AH464" s="21"/>
      <c r="AI464" s="21"/>
      <c r="AJ464" s="21"/>
      <c r="AK464" s="21"/>
      <c r="AM464" t="s">
        <v>53</v>
      </c>
    </row>
    <row r="465" spans="34:39" x14ac:dyDescent="0.35">
      <c r="AH465" s="21"/>
      <c r="AI465" s="21"/>
      <c r="AJ465" s="21"/>
      <c r="AK465" s="21"/>
      <c r="AM465" t="s">
        <v>53</v>
      </c>
    </row>
    <row r="466" spans="34:39" x14ac:dyDescent="0.35">
      <c r="AH466" s="21"/>
      <c r="AI466" s="21"/>
      <c r="AJ466" s="21"/>
      <c r="AK466" s="21"/>
      <c r="AM466" t="s">
        <v>53</v>
      </c>
    </row>
    <row r="467" spans="34:39" x14ac:dyDescent="0.35">
      <c r="AH467" s="21"/>
      <c r="AI467" s="21"/>
      <c r="AJ467" s="21"/>
      <c r="AK467" s="21"/>
      <c r="AM467" t="s">
        <v>53</v>
      </c>
    </row>
    <row r="468" spans="34:39" x14ac:dyDescent="0.35">
      <c r="AH468" s="21"/>
      <c r="AI468" s="21"/>
      <c r="AJ468" s="21"/>
      <c r="AK468" s="21"/>
      <c r="AM468" t="s">
        <v>53</v>
      </c>
    </row>
    <row r="469" spans="34:39" x14ac:dyDescent="0.35">
      <c r="AH469" s="21"/>
      <c r="AI469" s="21"/>
      <c r="AJ469" s="21"/>
      <c r="AK469" s="21"/>
      <c r="AM469" t="s">
        <v>53</v>
      </c>
    </row>
    <row r="470" spans="34:39" x14ac:dyDescent="0.35">
      <c r="AH470" s="21"/>
      <c r="AI470" s="21"/>
      <c r="AJ470" s="21"/>
      <c r="AK470" s="21"/>
      <c r="AM470" t="s">
        <v>53</v>
      </c>
    </row>
    <row r="471" spans="34:39" x14ac:dyDescent="0.35">
      <c r="AH471" s="21"/>
      <c r="AI471" s="21"/>
      <c r="AJ471" s="21"/>
      <c r="AK471" s="21"/>
      <c r="AM471" t="s">
        <v>53</v>
      </c>
    </row>
    <row r="472" spans="34:39" x14ac:dyDescent="0.35">
      <c r="AH472" s="21"/>
      <c r="AI472" s="21"/>
      <c r="AJ472" s="21"/>
      <c r="AK472" s="21"/>
      <c r="AM472" t="s">
        <v>53</v>
      </c>
    </row>
    <row r="473" spans="34:39" x14ac:dyDescent="0.35">
      <c r="AH473" s="21"/>
      <c r="AI473" s="21"/>
      <c r="AJ473" s="21"/>
      <c r="AK473" s="21"/>
      <c r="AM473" t="s">
        <v>53</v>
      </c>
    </row>
    <row r="474" spans="34:39" x14ac:dyDescent="0.35">
      <c r="AH474" s="21"/>
      <c r="AI474" s="21"/>
      <c r="AJ474" s="21"/>
      <c r="AK474" s="21"/>
      <c r="AM474" t="s">
        <v>53</v>
      </c>
    </row>
    <row r="475" spans="34:39" x14ac:dyDescent="0.35">
      <c r="AH475" s="21"/>
      <c r="AI475" s="21"/>
      <c r="AJ475" s="21"/>
      <c r="AK475" s="21"/>
      <c r="AM475" t="s">
        <v>53</v>
      </c>
    </row>
    <row r="476" spans="34:39" x14ac:dyDescent="0.35">
      <c r="AH476" s="21"/>
      <c r="AI476" s="21"/>
      <c r="AJ476" s="21"/>
      <c r="AK476" s="21"/>
      <c r="AM476" t="s">
        <v>53</v>
      </c>
    </row>
    <row r="477" spans="34:39" x14ac:dyDescent="0.35">
      <c r="AH477" s="21"/>
      <c r="AI477" s="21"/>
      <c r="AJ477" s="21"/>
      <c r="AK477" s="21"/>
      <c r="AM477" t="s">
        <v>53</v>
      </c>
    </row>
    <row r="478" spans="34:39" x14ac:dyDescent="0.35">
      <c r="AH478" s="21"/>
      <c r="AI478" s="21"/>
      <c r="AJ478" s="21"/>
      <c r="AK478" s="21"/>
      <c r="AM478" t="s">
        <v>53</v>
      </c>
    </row>
    <row r="479" spans="34:39" x14ac:dyDescent="0.35">
      <c r="AH479" s="21"/>
      <c r="AI479" s="21"/>
      <c r="AJ479" s="21"/>
      <c r="AK479" s="21"/>
      <c r="AM479" t="s">
        <v>53</v>
      </c>
    </row>
    <row r="480" spans="34:39" x14ac:dyDescent="0.35">
      <c r="AH480" s="21"/>
      <c r="AI480" s="21"/>
      <c r="AJ480" s="21"/>
      <c r="AK480" s="21"/>
      <c r="AM480" t="s">
        <v>53</v>
      </c>
    </row>
    <row r="481" spans="34:39" x14ac:dyDescent="0.35">
      <c r="AH481" s="21"/>
      <c r="AI481" s="21"/>
      <c r="AJ481" s="21"/>
      <c r="AK481" s="21"/>
      <c r="AM481" t="s">
        <v>53</v>
      </c>
    </row>
    <row r="482" spans="34:39" x14ac:dyDescent="0.35">
      <c r="AH482" s="21"/>
      <c r="AI482" s="21"/>
      <c r="AJ482" s="21"/>
      <c r="AK482" s="21"/>
      <c r="AM482" t="s">
        <v>53</v>
      </c>
    </row>
    <row r="483" spans="34:39" x14ac:dyDescent="0.35">
      <c r="AH483" s="21"/>
      <c r="AI483" s="21"/>
      <c r="AJ483" s="21"/>
      <c r="AK483" s="21"/>
      <c r="AM483" t="s">
        <v>53</v>
      </c>
    </row>
    <row r="484" spans="34:39" x14ac:dyDescent="0.35">
      <c r="AH484" s="21"/>
      <c r="AI484" s="21"/>
      <c r="AJ484" s="21"/>
      <c r="AK484" s="21"/>
      <c r="AM484" t="s">
        <v>53</v>
      </c>
    </row>
    <row r="485" spans="34:39" x14ac:dyDescent="0.35">
      <c r="AH485" s="21"/>
      <c r="AI485" s="21"/>
      <c r="AJ485" s="21"/>
      <c r="AK485" s="21"/>
      <c r="AM485" t="s">
        <v>53</v>
      </c>
    </row>
    <row r="486" spans="34:39" x14ac:dyDescent="0.35">
      <c r="AH486" s="21"/>
      <c r="AI486" s="21"/>
      <c r="AJ486" s="21"/>
      <c r="AK486" s="21"/>
      <c r="AM486" t="s">
        <v>53</v>
      </c>
    </row>
    <row r="487" spans="34:39" x14ac:dyDescent="0.35">
      <c r="AH487" s="21"/>
      <c r="AI487" s="21"/>
      <c r="AJ487" s="21"/>
      <c r="AK487" s="21"/>
      <c r="AM487" t="s">
        <v>53</v>
      </c>
    </row>
    <row r="488" spans="34:39" x14ac:dyDescent="0.35">
      <c r="AH488" s="21"/>
      <c r="AI488" s="21"/>
      <c r="AJ488" s="21"/>
      <c r="AK488" s="21"/>
      <c r="AM488" t="s">
        <v>53</v>
      </c>
    </row>
    <row r="489" spans="34:39" x14ac:dyDescent="0.35">
      <c r="AH489" s="21"/>
      <c r="AI489" s="21"/>
      <c r="AJ489" s="21"/>
      <c r="AK489" s="21"/>
      <c r="AM489" t="s">
        <v>53</v>
      </c>
    </row>
    <row r="490" spans="34:39" x14ac:dyDescent="0.35">
      <c r="AH490" s="21"/>
      <c r="AI490" s="21"/>
      <c r="AJ490" s="21"/>
      <c r="AK490" s="21"/>
      <c r="AM490" t="s">
        <v>53</v>
      </c>
    </row>
    <row r="491" spans="34:39" x14ac:dyDescent="0.35">
      <c r="AH491" s="21"/>
      <c r="AI491" s="21"/>
      <c r="AJ491" s="21"/>
      <c r="AK491" s="21"/>
      <c r="AM491" t="s">
        <v>53</v>
      </c>
    </row>
    <row r="492" spans="34:39" x14ac:dyDescent="0.35">
      <c r="AH492" s="21"/>
      <c r="AI492" s="21"/>
      <c r="AJ492" s="21"/>
      <c r="AK492" s="21"/>
      <c r="AM492" t="s">
        <v>53</v>
      </c>
    </row>
    <row r="493" spans="34:39" x14ac:dyDescent="0.35">
      <c r="AH493" s="21"/>
      <c r="AI493" s="21"/>
      <c r="AJ493" s="21"/>
      <c r="AK493" s="21"/>
      <c r="AM493" t="s">
        <v>53</v>
      </c>
    </row>
    <row r="494" spans="34:39" x14ac:dyDescent="0.35">
      <c r="AH494" s="21"/>
      <c r="AI494" s="21"/>
      <c r="AJ494" s="21"/>
      <c r="AK494" s="21"/>
      <c r="AM494" t="s">
        <v>53</v>
      </c>
    </row>
    <row r="495" spans="34:39" x14ac:dyDescent="0.35">
      <c r="AH495" s="21"/>
      <c r="AI495" s="21"/>
      <c r="AJ495" s="21"/>
      <c r="AK495" s="21"/>
      <c r="AM495" t="s">
        <v>53</v>
      </c>
    </row>
    <row r="496" spans="34:39" x14ac:dyDescent="0.35">
      <c r="AH496" s="21"/>
      <c r="AI496" s="21"/>
      <c r="AJ496" s="21"/>
      <c r="AK496" s="21"/>
      <c r="AM496" t="s">
        <v>53</v>
      </c>
    </row>
    <row r="497" spans="34:39" x14ac:dyDescent="0.35">
      <c r="AH497" s="21"/>
      <c r="AI497" s="21"/>
      <c r="AJ497" s="21"/>
      <c r="AK497" s="21"/>
      <c r="AM497" t="s">
        <v>53</v>
      </c>
    </row>
    <row r="498" spans="34:39" x14ac:dyDescent="0.35">
      <c r="AH498" s="21"/>
      <c r="AI498" s="21"/>
      <c r="AJ498" s="21"/>
      <c r="AK498" s="21"/>
      <c r="AM498" t="s">
        <v>53</v>
      </c>
    </row>
    <row r="499" spans="34:39" x14ac:dyDescent="0.35">
      <c r="AH499" s="21"/>
      <c r="AI499" s="21"/>
      <c r="AJ499" s="21"/>
      <c r="AK499" s="21"/>
      <c r="AM499" t="s">
        <v>53</v>
      </c>
    </row>
    <row r="500" spans="34:39" x14ac:dyDescent="0.35">
      <c r="AH500" s="21"/>
      <c r="AI500" s="21"/>
      <c r="AJ500" s="21"/>
      <c r="AK500" s="21"/>
      <c r="AM500" t="s">
        <v>53</v>
      </c>
    </row>
    <row r="501" spans="34:39" x14ac:dyDescent="0.35">
      <c r="AH501" s="21"/>
      <c r="AI501" s="21"/>
      <c r="AJ501" s="21"/>
      <c r="AK501" s="21"/>
      <c r="AM501" t="s">
        <v>53</v>
      </c>
    </row>
    <row r="502" spans="34:39" x14ac:dyDescent="0.35">
      <c r="AH502" s="21"/>
      <c r="AI502" s="21"/>
      <c r="AJ502" s="21"/>
      <c r="AK502" s="21"/>
      <c r="AM502" t="s">
        <v>53</v>
      </c>
    </row>
    <row r="503" spans="34:39" x14ac:dyDescent="0.35">
      <c r="AH503" s="21"/>
      <c r="AI503" s="21"/>
      <c r="AJ503" s="21"/>
      <c r="AK503" s="21"/>
      <c r="AM503" t="s">
        <v>53</v>
      </c>
    </row>
    <row r="504" spans="34:39" x14ac:dyDescent="0.35">
      <c r="AH504" s="21"/>
      <c r="AI504" s="21"/>
      <c r="AJ504" s="21"/>
      <c r="AK504" s="21"/>
      <c r="AM504" t="s">
        <v>53</v>
      </c>
    </row>
    <row r="505" spans="34:39" x14ac:dyDescent="0.35">
      <c r="AH505" s="21"/>
      <c r="AI505" s="21"/>
      <c r="AJ505" s="21"/>
      <c r="AK505" s="21"/>
      <c r="AM505" t="s">
        <v>53</v>
      </c>
    </row>
    <row r="506" spans="34:39" x14ac:dyDescent="0.35">
      <c r="AH506" s="21"/>
      <c r="AI506" s="21"/>
      <c r="AJ506" s="21"/>
      <c r="AK506" s="21"/>
      <c r="AM506" t="s">
        <v>53</v>
      </c>
    </row>
    <row r="507" spans="34:39" x14ac:dyDescent="0.35">
      <c r="AH507" s="21"/>
      <c r="AI507" s="21"/>
      <c r="AJ507" s="21"/>
      <c r="AK507" s="21"/>
      <c r="AM507" t="s">
        <v>53</v>
      </c>
    </row>
    <row r="508" spans="34:39" x14ac:dyDescent="0.35">
      <c r="AH508" s="21"/>
      <c r="AI508" s="21"/>
      <c r="AJ508" s="21"/>
      <c r="AK508" s="21"/>
      <c r="AM508" t="s">
        <v>53</v>
      </c>
    </row>
    <row r="509" spans="34:39" x14ac:dyDescent="0.35">
      <c r="AH509" s="21"/>
      <c r="AI509" s="21"/>
      <c r="AJ509" s="21"/>
      <c r="AK509" s="21"/>
      <c r="AM509" t="s">
        <v>53</v>
      </c>
    </row>
    <row r="510" spans="34:39" x14ac:dyDescent="0.35">
      <c r="AH510" s="21"/>
      <c r="AI510" s="21"/>
      <c r="AJ510" s="21"/>
      <c r="AK510" s="21"/>
      <c r="AM510" t="s">
        <v>53</v>
      </c>
    </row>
    <row r="511" spans="34:39" x14ac:dyDescent="0.35">
      <c r="AH511" s="21"/>
      <c r="AI511" s="21"/>
      <c r="AJ511" s="21"/>
      <c r="AK511" s="21"/>
      <c r="AM511" t="s">
        <v>53</v>
      </c>
    </row>
    <row r="512" spans="34:39" x14ac:dyDescent="0.35">
      <c r="AH512" s="21"/>
      <c r="AI512" s="21"/>
      <c r="AJ512" s="21"/>
      <c r="AK512" s="21"/>
      <c r="AM512" t="s">
        <v>53</v>
      </c>
    </row>
    <row r="513" spans="34:39" x14ac:dyDescent="0.35">
      <c r="AH513" s="21"/>
      <c r="AI513" s="21"/>
      <c r="AJ513" s="21"/>
      <c r="AK513" s="21"/>
      <c r="AM513" t="s">
        <v>53</v>
      </c>
    </row>
    <row r="514" spans="34:39" x14ac:dyDescent="0.35">
      <c r="AH514" s="21"/>
      <c r="AI514" s="21"/>
      <c r="AJ514" s="21"/>
      <c r="AK514" s="21"/>
      <c r="AM514" t="s">
        <v>53</v>
      </c>
    </row>
    <row r="515" spans="34:39" x14ac:dyDescent="0.35">
      <c r="AH515" s="21"/>
      <c r="AI515" s="21"/>
      <c r="AJ515" s="21"/>
      <c r="AK515" s="21"/>
      <c r="AM515" t="s">
        <v>53</v>
      </c>
    </row>
    <row r="516" spans="34:39" x14ac:dyDescent="0.35">
      <c r="AH516" s="21"/>
      <c r="AI516" s="21"/>
      <c r="AJ516" s="21"/>
      <c r="AK516" s="21"/>
      <c r="AM516" t="s">
        <v>53</v>
      </c>
    </row>
    <row r="517" spans="34:39" x14ac:dyDescent="0.35">
      <c r="AH517" s="21"/>
      <c r="AI517" s="21"/>
      <c r="AJ517" s="21"/>
      <c r="AK517" s="21"/>
      <c r="AM517" t="s">
        <v>53</v>
      </c>
    </row>
    <row r="518" spans="34:39" x14ac:dyDescent="0.35">
      <c r="AH518" s="21"/>
      <c r="AI518" s="21"/>
      <c r="AJ518" s="21"/>
      <c r="AK518" s="21"/>
      <c r="AM518" t="s">
        <v>53</v>
      </c>
    </row>
    <row r="519" spans="34:39" x14ac:dyDescent="0.35">
      <c r="AH519" s="21"/>
      <c r="AI519" s="21"/>
      <c r="AJ519" s="21"/>
      <c r="AK519" s="21"/>
      <c r="AM519" t="s">
        <v>53</v>
      </c>
    </row>
    <row r="520" spans="34:39" x14ac:dyDescent="0.35">
      <c r="AH520" s="21"/>
      <c r="AI520" s="21"/>
      <c r="AJ520" s="21"/>
      <c r="AK520" s="21"/>
      <c r="AM520" t="s">
        <v>53</v>
      </c>
    </row>
    <row r="521" spans="34:39" x14ac:dyDescent="0.35">
      <c r="AH521" s="21"/>
      <c r="AI521" s="21"/>
      <c r="AJ521" s="21"/>
      <c r="AK521" s="21"/>
      <c r="AM521" t="s">
        <v>53</v>
      </c>
    </row>
    <row r="522" spans="34:39" x14ac:dyDescent="0.35">
      <c r="AH522" s="21"/>
      <c r="AI522" s="21"/>
      <c r="AJ522" s="21"/>
      <c r="AK522" s="21"/>
      <c r="AM522" t="s">
        <v>53</v>
      </c>
    </row>
    <row r="523" spans="34:39" x14ac:dyDescent="0.35">
      <c r="AH523" s="21"/>
      <c r="AI523" s="21"/>
      <c r="AJ523" s="21"/>
      <c r="AK523" s="21"/>
      <c r="AM523" t="s">
        <v>53</v>
      </c>
    </row>
    <row r="524" spans="34:39" x14ac:dyDescent="0.35">
      <c r="AH524" s="21"/>
      <c r="AI524" s="21"/>
      <c r="AJ524" s="21"/>
      <c r="AK524" s="21"/>
      <c r="AM524" t="s">
        <v>53</v>
      </c>
    </row>
    <row r="525" spans="34:39" x14ac:dyDescent="0.35">
      <c r="AH525" s="21"/>
      <c r="AI525" s="21"/>
      <c r="AJ525" s="21"/>
      <c r="AK525" s="21"/>
      <c r="AM525" t="s">
        <v>53</v>
      </c>
    </row>
    <row r="526" spans="34:39" x14ac:dyDescent="0.35">
      <c r="AH526" s="21"/>
      <c r="AI526" s="21"/>
      <c r="AJ526" s="21"/>
      <c r="AK526" s="21"/>
      <c r="AM526" t="s">
        <v>53</v>
      </c>
    </row>
    <row r="527" spans="34:39" x14ac:dyDescent="0.35">
      <c r="AH527" s="21"/>
      <c r="AI527" s="21"/>
      <c r="AJ527" s="21"/>
      <c r="AK527" s="21"/>
      <c r="AM527" t="s">
        <v>53</v>
      </c>
    </row>
    <row r="528" spans="34:39" x14ac:dyDescent="0.35">
      <c r="AH528" s="21"/>
      <c r="AI528" s="21"/>
      <c r="AJ528" s="21"/>
      <c r="AK528" s="21"/>
      <c r="AM528" t="s">
        <v>53</v>
      </c>
    </row>
    <row r="529" spans="34:39" x14ac:dyDescent="0.35">
      <c r="AH529" s="21"/>
      <c r="AI529" s="21"/>
      <c r="AJ529" s="21"/>
      <c r="AK529" s="21"/>
      <c r="AM529" t="s">
        <v>53</v>
      </c>
    </row>
    <row r="530" spans="34:39" x14ac:dyDescent="0.35">
      <c r="AH530" s="21"/>
      <c r="AI530" s="21"/>
      <c r="AJ530" s="21"/>
      <c r="AK530" s="21"/>
      <c r="AM530" t="s">
        <v>53</v>
      </c>
    </row>
    <row r="531" spans="34:39" x14ac:dyDescent="0.35">
      <c r="AH531" s="21"/>
      <c r="AI531" s="21"/>
      <c r="AJ531" s="21"/>
      <c r="AK531" s="21"/>
      <c r="AM531" t="s">
        <v>53</v>
      </c>
    </row>
    <row r="532" spans="34:39" x14ac:dyDescent="0.35">
      <c r="AH532" s="21"/>
      <c r="AI532" s="21"/>
      <c r="AJ532" s="21"/>
      <c r="AK532" s="21"/>
      <c r="AM532" t="s">
        <v>53</v>
      </c>
    </row>
    <row r="533" spans="34:39" x14ac:dyDescent="0.35">
      <c r="AH533" s="21"/>
      <c r="AI533" s="21"/>
      <c r="AJ533" s="21"/>
      <c r="AK533" s="21"/>
      <c r="AM533" t="s">
        <v>53</v>
      </c>
    </row>
    <row r="534" spans="34:39" x14ac:dyDescent="0.35">
      <c r="AH534" s="21"/>
      <c r="AI534" s="21"/>
      <c r="AJ534" s="21"/>
      <c r="AK534" s="21"/>
      <c r="AM534" t="s">
        <v>53</v>
      </c>
    </row>
    <row r="535" spans="34:39" x14ac:dyDescent="0.35">
      <c r="AH535" s="21"/>
      <c r="AI535" s="21"/>
      <c r="AJ535" s="21"/>
      <c r="AK535" s="21"/>
      <c r="AM535" t="s">
        <v>53</v>
      </c>
    </row>
    <row r="536" spans="34:39" x14ac:dyDescent="0.35">
      <c r="AH536" s="21"/>
      <c r="AI536" s="21"/>
      <c r="AJ536" s="21"/>
      <c r="AK536" s="21"/>
      <c r="AM536" t="s">
        <v>53</v>
      </c>
    </row>
    <row r="537" spans="34:39" x14ac:dyDescent="0.35">
      <c r="AH537" s="21"/>
      <c r="AI537" s="21"/>
      <c r="AJ537" s="21"/>
      <c r="AK537" s="21"/>
      <c r="AM537" t="s">
        <v>53</v>
      </c>
    </row>
    <row r="538" spans="34:39" x14ac:dyDescent="0.35">
      <c r="AH538" s="21"/>
      <c r="AI538" s="21"/>
      <c r="AJ538" s="21"/>
      <c r="AK538" s="21"/>
      <c r="AM538" t="s">
        <v>53</v>
      </c>
    </row>
    <row r="539" spans="34:39" x14ac:dyDescent="0.35">
      <c r="AH539" s="21"/>
      <c r="AI539" s="21"/>
      <c r="AJ539" s="21"/>
      <c r="AK539" s="21"/>
      <c r="AM539" t="s">
        <v>53</v>
      </c>
    </row>
    <row r="540" spans="34:39" x14ac:dyDescent="0.35">
      <c r="AH540" s="21"/>
      <c r="AI540" s="21"/>
      <c r="AJ540" s="21"/>
      <c r="AK540" s="21"/>
      <c r="AM540" t="s">
        <v>53</v>
      </c>
    </row>
    <row r="541" spans="34:39" x14ac:dyDescent="0.35">
      <c r="AH541" s="21"/>
      <c r="AI541" s="21"/>
      <c r="AJ541" s="21"/>
      <c r="AK541" s="21"/>
      <c r="AM541" t="s">
        <v>53</v>
      </c>
    </row>
    <row r="542" spans="34:39" x14ac:dyDescent="0.35">
      <c r="AH542" s="21"/>
      <c r="AI542" s="21"/>
      <c r="AJ542" s="21"/>
      <c r="AK542" s="21"/>
      <c r="AM542" t="s">
        <v>53</v>
      </c>
    </row>
    <row r="543" spans="34:39" x14ac:dyDescent="0.35">
      <c r="AH543" s="21"/>
      <c r="AI543" s="21"/>
      <c r="AJ543" s="21"/>
      <c r="AK543" s="21"/>
      <c r="AM543" t="s">
        <v>53</v>
      </c>
    </row>
    <row r="544" spans="34:39" x14ac:dyDescent="0.35">
      <c r="AH544" s="21"/>
      <c r="AI544" s="21"/>
      <c r="AJ544" s="21"/>
      <c r="AK544" s="21"/>
      <c r="AM544" t="s">
        <v>53</v>
      </c>
    </row>
    <row r="545" spans="34:39" x14ac:dyDescent="0.35">
      <c r="AH545" s="21"/>
      <c r="AI545" s="21"/>
      <c r="AJ545" s="21"/>
      <c r="AK545" s="21"/>
      <c r="AM545" t="s">
        <v>53</v>
      </c>
    </row>
    <row r="546" spans="34:39" x14ac:dyDescent="0.35">
      <c r="AH546" s="21"/>
      <c r="AI546" s="21"/>
      <c r="AJ546" s="21"/>
      <c r="AK546" s="21"/>
      <c r="AM546" t="s">
        <v>53</v>
      </c>
    </row>
    <row r="547" spans="34:39" x14ac:dyDescent="0.35">
      <c r="AH547" s="21"/>
      <c r="AI547" s="21"/>
      <c r="AJ547" s="21"/>
      <c r="AK547" s="21"/>
      <c r="AM547" t="s">
        <v>53</v>
      </c>
    </row>
    <row r="548" spans="34:39" x14ac:dyDescent="0.35">
      <c r="AH548" s="21"/>
      <c r="AI548" s="21"/>
      <c r="AJ548" s="21"/>
      <c r="AK548" s="21"/>
      <c r="AM548" t="s">
        <v>53</v>
      </c>
    </row>
    <row r="549" spans="34:39" x14ac:dyDescent="0.35">
      <c r="AH549" s="21"/>
      <c r="AI549" s="21"/>
      <c r="AJ549" s="21"/>
      <c r="AK549" s="21"/>
      <c r="AM549" t="s">
        <v>53</v>
      </c>
    </row>
    <row r="550" spans="34:39" x14ac:dyDescent="0.35">
      <c r="AH550" s="21"/>
      <c r="AI550" s="21"/>
      <c r="AJ550" s="21"/>
      <c r="AK550" s="21"/>
      <c r="AM550" t="s">
        <v>53</v>
      </c>
    </row>
    <row r="551" spans="34:39" x14ac:dyDescent="0.35">
      <c r="AH551" s="21"/>
      <c r="AI551" s="21"/>
      <c r="AJ551" s="21"/>
      <c r="AK551" s="21"/>
      <c r="AM551" t="s">
        <v>53</v>
      </c>
    </row>
    <row r="552" spans="34:39" x14ac:dyDescent="0.35">
      <c r="AH552" s="21"/>
      <c r="AI552" s="21"/>
      <c r="AJ552" s="21"/>
      <c r="AK552" s="21"/>
      <c r="AM552" t="s">
        <v>53</v>
      </c>
    </row>
    <row r="553" spans="34:39" x14ac:dyDescent="0.35">
      <c r="AH553" s="21"/>
      <c r="AI553" s="21"/>
      <c r="AJ553" s="21"/>
      <c r="AK553" s="21"/>
      <c r="AM553" t="s">
        <v>53</v>
      </c>
    </row>
    <row r="554" spans="34:39" x14ac:dyDescent="0.35">
      <c r="AH554" s="21"/>
      <c r="AI554" s="21"/>
      <c r="AJ554" s="21"/>
      <c r="AK554" s="21"/>
      <c r="AM554" t="s">
        <v>53</v>
      </c>
    </row>
    <row r="555" spans="34:39" x14ac:dyDescent="0.35">
      <c r="AH555" s="21"/>
      <c r="AI555" s="21"/>
      <c r="AJ555" s="21"/>
      <c r="AK555" s="21"/>
      <c r="AM555" t="s">
        <v>53</v>
      </c>
    </row>
    <row r="556" spans="34:39" x14ac:dyDescent="0.35">
      <c r="AH556" s="21"/>
      <c r="AI556" s="21"/>
      <c r="AJ556" s="21"/>
      <c r="AK556" s="21"/>
      <c r="AM556" t="s">
        <v>53</v>
      </c>
    </row>
    <row r="557" spans="34:39" x14ac:dyDescent="0.35">
      <c r="AH557" s="21"/>
      <c r="AI557" s="21"/>
      <c r="AJ557" s="21"/>
      <c r="AK557" s="21"/>
      <c r="AM557" t="s">
        <v>53</v>
      </c>
    </row>
    <row r="558" spans="34:39" x14ac:dyDescent="0.35">
      <c r="AH558" s="21"/>
      <c r="AI558" s="21"/>
      <c r="AJ558" s="21"/>
      <c r="AK558" s="21"/>
      <c r="AM558" t="s">
        <v>53</v>
      </c>
    </row>
    <row r="559" spans="34:39" x14ac:dyDescent="0.35">
      <c r="AH559" s="21"/>
      <c r="AI559" s="21"/>
      <c r="AJ559" s="21"/>
      <c r="AK559" s="21"/>
      <c r="AM559" t="s">
        <v>53</v>
      </c>
    </row>
    <row r="560" spans="34:39" x14ac:dyDescent="0.35">
      <c r="AH560" s="21"/>
      <c r="AI560" s="21"/>
      <c r="AJ560" s="21"/>
      <c r="AK560" s="21"/>
      <c r="AM560" t="s">
        <v>53</v>
      </c>
    </row>
    <row r="561" spans="34:39" x14ac:dyDescent="0.35">
      <c r="AH561" s="21"/>
      <c r="AI561" s="21"/>
      <c r="AJ561" s="21"/>
      <c r="AK561" s="21"/>
      <c r="AM561" t="s">
        <v>53</v>
      </c>
    </row>
    <row r="562" spans="34:39" x14ac:dyDescent="0.35">
      <c r="AH562" s="21"/>
      <c r="AI562" s="21"/>
      <c r="AJ562" s="21"/>
      <c r="AK562" s="21"/>
      <c r="AM562" t="s">
        <v>53</v>
      </c>
    </row>
    <row r="563" spans="34:39" x14ac:dyDescent="0.35">
      <c r="AH563" s="21"/>
      <c r="AI563" s="21"/>
      <c r="AJ563" s="21"/>
      <c r="AK563" s="21"/>
      <c r="AM563" t="s">
        <v>53</v>
      </c>
    </row>
    <row r="564" spans="34:39" x14ac:dyDescent="0.35">
      <c r="AH564" s="21"/>
      <c r="AI564" s="21"/>
      <c r="AJ564" s="21"/>
      <c r="AK564" s="21"/>
      <c r="AM564" t="s">
        <v>53</v>
      </c>
    </row>
    <row r="565" spans="34:39" x14ac:dyDescent="0.35">
      <c r="AH565" s="21"/>
      <c r="AI565" s="21"/>
      <c r="AJ565" s="21"/>
      <c r="AK565" s="21"/>
      <c r="AM565" t="s">
        <v>53</v>
      </c>
    </row>
    <row r="566" spans="34:39" x14ac:dyDescent="0.35">
      <c r="AH566" s="21"/>
      <c r="AI566" s="21"/>
      <c r="AJ566" s="21"/>
      <c r="AK566" s="21"/>
      <c r="AM566" t="s">
        <v>53</v>
      </c>
    </row>
    <row r="567" spans="34:39" x14ac:dyDescent="0.35">
      <c r="AH567" s="21"/>
      <c r="AI567" s="21"/>
      <c r="AJ567" s="21"/>
      <c r="AK567" s="21"/>
      <c r="AM567" t="s">
        <v>53</v>
      </c>
    </row>
    <row r="568" spans="34:39" x14ac:dyDescent="0.35">
      <c r="AH568" s="21"/>
      <c r="AI568" s="21"/>
      <c r="AJ568" s="21"/>
      <c r="AK568" s="21"/>
      <c r="AM568" t="s">
        <v>53</v>
      </c>
    </row>
    <row r="569" spans="34:39" x14ac:dyDescent="0.35">
      <c r="AH569" s="21"/>
      <c r="AI569" s="21"/>
      <c r="AJ569" s="21"/>
      <c r="AK569" s="21"/>
      <c r="AM569" t="s">
        <v>53</v>
      </c>
    </row>
    <row r="570" spans="34:39" x14ac:dyDescent="0.35">
      <c r="AH570" s="21"/>
      <c r="AI570" s="21"/>
      <c r="AJ570" s="21"/>
      <c r="AK570" s="21"/>
      <c r="AM570" t="s">
        <v>53</v>
      </c>
    </row>
    <row r="571" spans="34:39" x14ac:dyDescent="0.35">
      <c r="AH571" s="21"/>
      <c r="AI571" s="21"/>
      <c r="AJ571" s="21"/>
      <c r="AK571" s="21"/>
      <c r="AM571" t="s">
        <v>53</v>
      </c>
    </row>
    <row r="572" spans="34:39" x14ac:dyDescent="0.35">
      <c r="AH572" s="21"/>
      <c r="AI572" s="21"/>
      <c r="AJ572" s="21"/>
      <c r="AK572" s="21"/>
      <c r="AM572" t="s">
        <v>53</v>
      </c>
    </row>
    <row r="573" spans="34:39" x14ac:dyDescent="0.35">
      <c r="AH573" s="21"/>
      <c r="AI573" s="21"/>
      <c r="AJ573" s="21"/>
      <c r="AK573" s="21"/>
      <c r="AM573" t="s">
        <v>53</v>
      </c>
    </row>
    <row r="574" spans="34:39" x14ac:dyDescent="0.35">
      <c r="AH574" s="21"/>
      <c r="AI574" s="21"/>
      <c r="AJ574" s="21"/>
      <c r="AK574" s="21"/>
      <c r="AM574" t="s">
        <v>53</v>
      </c>
    </row>
    <row r="575" spans="34:39" x14ac:dyDescent="0.35">
      <c r="AH575" s="21"/>
      <c r="AI575" s="21"/>
      <c r="AJ575" s="21"/>
      <c r="AK575" s="21"/>
      <c r="AM575" t="s">
        <v>53</v>
      </c>
    </row>
    <row r="576" spans="34:39" x14ac:dyDescent="0.35">
      <c r="AH576" s="21"/>
      <c r="AI576" s="21"/>
      <c r="AJ576" s="21"/>
      <c r="AK576" s="21"/>
      <c r="AM576" t="s">
        <v>53</v>
      </c>
    </row>
    <row r="577" spans="34:39" x14ac:dyDescent="0.35">
      <c r="AH577" s="21"/>
      <c r="AI577" s="21"/>
      <c r="AJ577" s="21"/>
      <c r="AK577" s="21"/>
      <c r="AM577" t="s">
        <v>53</v>
      </c>
    </row>
    <row r="578" spans="34:39" x14ac:dyDescent="0.35">
      <c r="AH578" s="21"/>
      <c r="AI578" s="21"/>
      <c r="AJ578" s="21"/>
      <c r="AK578" s="21"/>
      <c r="AM578" t="s">
        <v>53</v>
      </c>
    </row>
    <row r="579" spans="34:39" x14ac:dyDescent="0.35">
      <c r="AH579" s="21"/>
      <c r="AI579" s="21"/>
      <c r="AJ579" s="21"/>
      <c r="AK579" s="21"/>
      <c r="AM579" t="s">
        <v>53</v>
      </c>
    </row>
    <row r="580" spans="34:39" x14ac:dyDescent="0.35">
      <c r="AH580" s="21"/>
      <c r="AI580" s="21"/>
      <c r="AJ580" s="21"/>
      <c r="AK580" s="21"/>
      <c r="AM580" t="s">
        <v>53</v>
      </c>
    </row>
    <row r="581" spans="34:39" x14ac:dyDescent="0.35">
      <c r="AH581" s="21"/>
      <c r="AI581" s="21"/>
      <c r="AJ581" s="21"/>
      <c r="AK581" s="21"/>
      <c r="AM581" t="s">
        <v>53</v>
      </c>
    </row>
    <row r="582" spans="34:39" x14ac:dyDescent="0.35">
      <c r="AH582" s="21"/>
      <c r="AI582" s="21"/>
      <c r="AJ582" s="21"/>
      <c r="AK582" s="21"/>
      <c r="AM582" t="s">
        <v>53</v>
      </c>
    </row>
    <row r="583" spans="34:39" x14ac:dyDescent="0.35">
      <c r="AH583" s="21"/>
      <c r="AI583" s="21"/>
      <c r="AJ583" s="21"/>
      <c r="AK583" s="21"/>
      <c r="AM583" t="s">
        <v>53</v>
      </c>
    </row>
    <row r="584" spans="34:39" x14ac:dyDescent="0.35">
      <c r="AH584" s="21"/>
      <c r="AI584" s="21"/>
      <c r="AJ584" s="21"/>
      <c r="AK584" s="21"/>
      <c r="AM584" t="s">
        <v>53</v>
      </c>
    </row>
    <row r="585" spans="34:39" x14ac:dyDescent="0.35">
      <c r="AH585" s="21"/>
      <c r="AI585" s="21"/>
      <c r="AJ585" s="21"/>
      <c r="AK585" s="21"/>
      <c r="AM585" t="s">
        <v>53</v>
      </c>
    </row>
    <row r="586" spans="34:39" x14ac:dyDescent="0.35">
      <c r="AH586" s="21"/>
      <c r="AI586" s="21"/>
      <c r="AJ586" s="21"/>
      <c r="AK586" s="21"/>
      <c r="AM586" t="s">
        <v>53</v>
      </c>
    </row>
    <row r="587" spans="34:39" x14ac:dyDescent="0.35">
      <c r="AH587" s="21"/>
      <c r="AI587" s="21"/>
      <c r="AJ587" s="21"/>
      <c r="AK587" s="21"/>
      <c r="AM587" t="s">
        <v>53</v>
      </c>
    </row>
    <row r="588" spans="34:39" x14ac:dyDescent="0.35">
      <c r="AH588" s="21"/>
      <c r="AI588" s="21"/>
      <c r="AJ588" s="21"/>
      <c r="AK588" s="21"/>
      <c r="AM588" t="s">
        <v>53</v>
      </c>
    </row>
    <row r="589" spans="34:39" x14ac:dyDescent="0.35">
      <c r="AH589" s="21"/>
      <c r="AI589" s="21"/>
      <c r="AJ589" s="21"/>
      <c r="AK589" s="21"/>
      <c r="AM589" t="s">
        <v>53</v>
      </c>
    </row>
    <row r="590" spans="34:39" x14ac:dyDescent="0.35">
      <c r="AH590" s="21"/>
      <c r="AI590" s="21"/>
      <c r="AJ590" s="21"/>
      <c r="AK590" s="21"/>
      <c r="AM590" t="s">
        <v>53</v>
      </c>
    </row>
    <row r="591" spans="34:39" x14ac:dyDescent="0.35">
      <c r="AH591" s="21"/>
      <c r="AI591" s="21"/>
      <c r="AJ591" s="21"/>
      <c r="AK591" s="21"/>
      <c r="AM591" t="s">
        <v>53</v>
      </c>
    </row>
    <row r="592" spans="34:39" x14ac:dyDescent="0.35">
      <c r="AH592" s="21"/>
      <c r="AI592" s="21"/>
      <c r="AJ592" s="21"/>
      <c r="AK592" s="21"/>
      <c r="AM592" t="s">
        <v>53</v>
      </c>
    </row>
    <row r="593" spans="34:39" x14ac:dyDescent="0.35">
      <c r="AH593" s="21"/>
      <c r="AI593" s="21"/>
      <c r="AJ593" s="21"/>
      <c r="AK593" s="21"/>
      <c r="AM593" t="s">
        <v>53</v>
      </c>
    </row>
    <row r="594" spans="34:39" x14ac:dyDescent="0.35">
      <c r="AH594" s="21"/>
      <c r="AI594" s="21"/>
      <c r="AJ594" s="21"/>
      <c r="AK594" s="21"/>
      <c r="AM594" t="s">
        <v>53</v>
      </c>
    </row>
    <row r="595" spans="34:39" x14ac:dyDescent="0.35">
      <c r="AH595" s="21"/>
      <c r="AI595" s="21"/>
      <c r="AJ595" s="21"/>
      <c r="AK595" s="21"/>
      <c r="AM595" t="s">
        <v>53</v>
      </c>
    </row>
    <row r="596" spans="34:39" x14ac:dyDescent="0.35">
      <c r="AH596" s="21"/>
      <c r="AI596" s="21"/>
      <c r="AJ596" s="21"/>
      <c r="AK596" s="21"/>
      <c r="AM596" t="s">
        <v>53</v>
      </c>
    </row>
    <row r="597" spans="34:39" x14ac:dyDescent="0.35">
      <c r="AH597" s="21"/>
      <c r="AI597" s="21"/>
      <c r="AJ597" s="21"/>
      <c r="AK597" s="21"/>
      <c r="AM597" t="s">
        <v>53</v>
      </c>
    </row>
    <row r="598" spans="34:39" x14ac:dyDescent="0.35">
      <c r="AH598" s="21"/>
      <c r="AI598" s="21"/>
      <c r="AJ598" s="21"/>
      <c r="AK598" s="21"/>
      <c r="AM598" t="s">
        <v>53</v>
      </c>
    </row>
    <row r="599" spans="34:39" x14ac:dyDescent="0.35">
      <c r="AH599" s="21"/>
      <c r="AI599" s="21"/>
      <c r="AJ599" s="21"/>
      <c r="AK599" s="21"/>
      <c r="AM599" t="s">
        <v>53</v>
      </c>
    </row>
    <row r="600" spans="34:39" x14ac:dyDescent="0.35">
      <c r="AH600" s="21"/>
      <c r="AI600" s="21"/>
      <c r="AJ600" s="21"/>
      <c r="AK600" s="21"/>
      <c r="AM600" t="s">
        <v>53</v>
      </c>
    </row>
    <row r="601" spans="34:39" x14ac:dyDescent="0.35">
      <c r="AH601" s="21"/>
      <c r="AI601" s="21"/>
      <c r="AJ601" s="21"/>
      <c r="AK601" s="21"/>
      <c r="AM601" t="s">
        <v>53</v>
      </c>
    </row>
    <row r="602" spans="34:39" x14ac:dyDescent="0.35">
      <c r="AH602" s="21"/>
      <c r="AI602" s="21"/>
      <c r="AJ602" s="21"/>
      <c r="AK602" s="21"/>
      <c r="AM602" t="s">
        <v>53</v>
      </c>
    </row>
    <row r="603" spans="34:39" x14ac:dyDescent="0.35">
      <c r="AH603" s="21"/>
      <c r="AI603" s="21"/>
      <c r="AJ603" s="21"/>
      <c r="AK603" s="21"/>
      <c r="AM603" t="s">
        <v>53</v>
      </c>
    </row>
    <row r="604" spans="34:39" x14ac:dyDescent="0.35">
      <c r="AH604" s="21"/>
      <c r="AI604" s="21"/>
      <c r="AJ604" s="21"/>
      <c r="AK604" s="21"/>
      <c r="AM604" t="s">
        <v>53</v>
      </c>
    </row>
    <row r="605" spans="34:39" x14ac:dyDescent="0.35">
      <c r="AH605" s="21"/>
      <c r="AI605" s="21"/>
      <c r="AJ605" s="21"/>
      <c r="AK605" s="21"/>
      <c r="AM605" t="s">
        <v>53</v>
      </c>
    </row>
    <row r="606" spans="34:39" x14ac:dyDescent="0.35">
      <c r="AH606" s="21"/>
      <c r="AI606" s="21"/>
      <c r="AJ606" s="21"/>
      <c r="AK606" s="21"/>
      <c r="AM606" t="s">
        <v>53</v>
      </c>
    </row>
    <row r="607" spans="34:39" x14ac:dyDescent="0.35">
      <c r="AH607" s="21"/>
      <c r="AI607" s="21"/>
      <c r="AJ607" s="21"/>
      <c r="AK607" s="21"/>
      <c r="AM607" t="s">
        <v>53</v>
      </c>
    </row>
    <row r="608" spans="34:39" x14ac:dyDescent="0.35">
      <c r="AH608" s="21"/>
      <c r="AI608" s="21"/>
      <c r="AJ608" s="21"/>
      <c r="AK608" s="21"/>
      <c r="AM608" t="s">
        <v>53</v>
      </c>
    </row>
    <row r="609" spans="34:39" x14ac:dyDescent="0.35">
      <c r="AH609" s="21"/>
      <c r="AI609" s="21"/>
      <c r="AJ609" s="21"/>
      <c r="AK609" s="21"/>
      <c r="AM609" t="s">
        <v>53</v>
      </c>
    </row>
    <row r="610" spans="34:39" x14ac:dyDescent="0.35">
      <c r="AH610" s="21"/>
      <c r="AI610" s="21"/>
      <c r="AJ610" s="21"/>
      <c r="AK610" s="21"/>
      <c r="AM610" t="s">
        <v>53</v>
      </c>
    </row>
    <row r="611" spans="34:39" x14ac:dyDescent="0.35">
      <c r="AH611" s="21"/>
      <c r="AI611" s="21"/>
      <c r="AJ611" s="21"/>
      <c r="AK611" s="21"/>
      <c r="AM611" t="s">
        <v>53</v>
      </c>
    </row>
    <row r="612" spans="34:39" x14ac:dyDescent="0.35">
      <c r="AH612" s="21"/>
      <c r="AI612" s="21"/>
      <c r="AJ612" s="21"/>
      <c r="AK612" s="21"/>
      <c r="AM612" t="s">
        <v>53</v>
      </c>
    </row>
    <row r="613" spans="34:39" x14ac:dyDescent="0.35">
      <c r="AH613" s="21"/>
      <c r="AI613" s="21"/>
      <c r="AJ613" s="21"/>
      <c r="AK613" s="21"/>
      <c r="AM613" t="s">
        <v>53</v>
      </c>
    </row>
    <row r="614" spans="34:39" x14ac:dyDescent="0.35">
      <c r="AH614" s="21"/>
      <c r="AI614" s="21"/>
      <c r="AJ614" s="21"/>
      <c r="AK614" s="21"/>
      <c r="AM614" t="s">
        <v>53</v>
      </c>
    </row>
    <row r="615" spans="34:39" x14ac:dyDescent="0.35">
      <c r="AH615" s="21"/>
      <c r="AI615" s="21"/>
      <c r="AJ615" s="21"/>
      <c r="AK615" s="21"/>
      <c r="AM615" t="s">
        <v>53</v>
      </c>
    </row>
    <row r="616" spans="34:39" x14ac:dyDescent="0.35">
      <c r="AH616" s="21"/>
      <c r="AI616" s="21"/>
      <c r="AJ616" s="21"/>
      <c r="AK616" s="21"/>
      <c r="AM616" t="s">
        <v>53</v>
      </c>
    </row>
    <row r="617" spans="34:39" x14ac:dyDescent="0.35">
      <c r="AH617" s="21"/>
      <c r="AI617" s="21"/>
      <c r="AJ617" s="21"/>
      <c r="AK617" s="21"/>
      <c r="AM617" t="s">
        <v>53</v>
      </c>
    </row>
    <row r="618" spans="34:39" x14ac:dyDescent="0.35">
      <c r="AH618" s="21"/>
      <c r="AI618" s="21"/>
      <c r="AJ618" s="21"/>
      <c r="AK618" s="21"/>
      <c r="AM618" t="s">
        <v>53</v>
      </c>
    </row>
    <row r="619" spans="34:39" x14ac:dyDescent="0.35">
      <c r="AH619" s="21"/>
      <c r="AI619" s="21"/>
      <c r="AJ619" s="21"/>
      <c r="AK619" s="21"/>
      <c r="AM619" t="s">
        <v>53</v>
      </c>
    </row>
    <row r="620" spans="34:39" x14ac:dyDescent="0.35">
      <c r="AH620" s="21"/>
      <c r="AI620" s="21"/>
      <c r="AJ620" s="21"/>
      <c r="AK620" s="21"/>
      <c r="AM620" t="s">
        <v>53</v>
      </c>
    </row>
    <row r="621" spans="34:39" x14ac:dyDescent="0.35">
      <c r="AH621" s="21"/>
      <c r="AI621" s="21"/>
      <c r="AJ621" s="21"/>
      <c r="AK621" s="21"/>
      <c r="AM621" t="s">
        <v>53</v>
      </c>
    </row>
    <row r="622" spans="34:39" x14ac:dyDescent="0.35">
      <c r="AH622" s="21"/>
      <c r="AI622" s="21"/>
      <c r="AJ622" s="21"/>
      <c r="AK622" s="21"/>
      <c r="AM622" t="s">
        <v>53</v>
      </c>
    </row>
    <row r="623" spans="34:39" x14ac:dyDescent="0.35">
      <c r="AH623" s="21"/>
      <c r="AI623" s="21"/>
      <c r="AJ623" s="21"/>
      <c r="AK623" s="21"/>
      <c r="AM623" t="s">
        <v>53</v>
      </c>
    </row>
    <row r="624" spans="34:39" x14ac:dyDescent="0.35">
      <c r="AH624" s="21"/>
      <c r="AI624" s="21"/>
      <c r="AJ624" s="21"/>
      <c r="AK624" s="21"/>
      <c r="AM624" t="s">
        <v>53</v>
      </c>
    </row>
    <row r="625" spans="34:39" x14ac:dyDescent="0.35">
      <c r="AH625" s="21"/>
      <c r="AI625" s="21"/>
      <c r="AJ625" s="21"/>
      <c r="AK625" s="21"/>
      <c r="AM625" t="s">
        <v>53</v>
      </c>
    </row>
    <row r="626" spans="34:39" x14ac:dyDescent="0.35">
      <c r="AH626" s="21"/>
      <c r="AI626" s="21"/>
      <c r="AJ626" s="21"/>
      <c r="AK626" s="21"/>
      <c r="AM626" t="s">
        <v>53</v>
      </c>
    </row>
    <row r="627" spans="34:39" x14ac:dyDescent="0.35">
      <c r="AH627" s="21"/>
      <c r="AI627" s="21"/>
      <c r="AJ627" s="21"/>
      <c r="AK627" s="21"/>
      <c r="AM627" t="s">
        <v>53</v>
      </c>
    </row>
    <row r="628" spans="34:39" x14ac:dyDescent="0.35">
      <c r="AH628" s="21"/>
      <c r="AI628" s="21"/>
      <c r="AJ628" s="21"/>
      <c r="AK628" s="21"/>
      <c r="AM628" t="s">
        <v>53</v>
      </c>
    </row>
    <row r="629" spans="34:39" x14ac:dyDescent="0.35">
      <c r="AH629" s="21"/>
      <c r="AI629" s="21"/>
      <c r="AJ629" s="21"/>
      <c r="AK629" s="21"/>
      <c r="AM629" t="s">
        <v>53</v>
      </c>
    </row>
    <row r="630" spans="34:39" x14ac:dyDescent="0.35">
      <c r="AH630" s="21"/>
      <c r="AI630" s="21"/>
      <c r="AJ630" s="21"/>
      <c r="AK630" s="21"/>
      <c r="AM630" t="s">
        <v>53</v>
      </c>
    </row>
    <row r="631" spans="34:39" x14ac:dyDescent="0.35">
      <c r="AH631" s="21"/>
      <c r="AI631" s="21"/>
      <c r="AJ631" s="21"/>
      <c r="AK631" s="21"/>
      <c r="AM631" t="s">
        <v>53</v>
      </c>
    </row>
    <row r="632" spans="34:39" x14ac:dyDescent="0.35">
      <c r="AH632" s="21"/>
      <c r="AI632" s="21"/>
      <c r="AJ632" s="21"/>
      <c r="AK632" s="21"/>
      <c r="AM632" t="s">
        <v>53</v>
      </c>
    </row>
    <row r="633" spans="34:39" x14ac:dyDescent="0.35">
      <c r="AH633" s="21"/>
      <c r="AI633" s="21"/>
      <c r="AJ633" s="21"/>
      <c r="AK633" s="21"/>
      <c r="AM633" t="s">
        <v>53</v>
      </c>
    </row>
    <row r="634" spans="34:39" x14ac:dyDescent="0.35">
      <c r="AH634" s="21"/>
      <c r="AI634" s="21"/>
      <c r="AJ634" s="21"/>
      <c r="AK634" s="21"/>
      <c r="AM634" t="s">
        <v>53</v>
      </c>
    </row>
    <row r="635" spans="34:39" x14ac:dyDescent="0.35">
      <c r="AH635" s="21"/>
      <c r="AI635" s="21"/>
      <c r="AJ635" s="21"/>
      <c r="AK635" s="21"/>
      <c r="AM635" t="s">
        <v>53</v>
      </c>
    </row>
    <row r="636" spans="34:39" x14ac:dyDescent="0.35">
      <c r="AH636" s="21"/>
      <c r="AI636" s="21"/>
      <c r="AJ636" s="21"/>
      <c r="AK636" s="21"/>
      <c r="AM636" t="s">
        <v>53</v>
      </c>
    </row>
    <row r="637" spans="34:39" x14ac:dyDescent="0.35">
      <c r="AH637" s="21"/>
      <c r="AI637" s="21"/>
      <c r="AJ637" s="21"/>
      <c r="AK637" s="21"/>
      <c r="AM637" t="s">
        <v>53</v>
      </c>
    </row>
    <row r="638" spans="34:39" x14ac:dyDescent="0.35">
      <c r="AH638" s="21"/>
      <c r="AI638" s="21"/>
      <c r="AJ638" s="21"/>
      <c r="AK638" s="21"/>
      <c r="AM638" t="s">
        <v>53</v>
      </c>
    </row>
    <row r="639" spans="34:39" x14ac:dyDescent="0.35">
      <c r="AH639" s="21"/>
      <c r="AI639" s="21"/>
      <c r="AJ639" s="21"/>
      <c r="AK639" s="21"/>
      <c r="AM639" t="s">
        <v>53</v>
      </c>
    </row>
    <row r="640" spans="34:39" x14ac:dyDescent="0.35">
      <c r="AH640" s="21"/>
      <c r="AI640" s="21"/>
      <c r="AJ640" s="21"/>
      <c r="AK640" s="21"/>
      <c r="AM640" t="s">
        <v>53</v>
      </c>
    </row>
    <row r="641" spans="34:39" x14ac:dyDescent="0.35">
      <c r="AH641" s="21"/>
      <c r="AI641" s="21"/>
      <c r="AJ641" s="21"/>
      <c r="AK641" s="21"/>
      <c r="AM641" t="s">
        <v>53</v>
      </c>
    </row>
    <row r="642" spans="34:39" x14ac:dyDescent="0.35">
      <c r="AH642" s="21"/>
      <c r="AI642" s="21"/>
      <c r="AJ642" s="21"/>
      <c r="AK642" s="21"/>
      <c r="AM642" t="s">
        <v>53</v>
      </c>
    </row>
    <row r="643" spans="34:39" x14ac:dyDescent="0.35">
      <c r="AH643" s="21"/>
      <c r="AI643" s="21"/>
      <c r="AJ643" s="21"/>
      <c r="AK643" s="21"/>
      <c r="AM643" t="s">
        <v>53</v>
      </c>
    </row>
    <row r="644" spans="34:39" x14ac:dyDescent="0.35">
      <c r="AH644" s="21"/>
      <c r="AI644" s="21"/>
      <c r="AJ644" s="21"/>
      <c r="AK644" s="21"/>
      <c r="AM644" t="s">
        <v>53</v>
      </c>
    </row>
    <row r="645" spans="34:39" x14ac:dyDescent="0.35">
      <c r="AH645" s="21"/>
      <c r="AI645" s="21"/>
      <c r="AJ645" s="21"/>
      <c r="AK645" s="21"/>
      <c r="AM645" t="s">
        <v>53</v>
      </c>
    </row>
    <row r="646" spans="34:39" x14ac:dyDescent="0.35">
      <c r="AH646" s="21"/>
      <c r="AI646" s="21"/>
      <c r="AJ646" s="21"/>
      <c r="AK646" s="21"/>
      <c r="AM646" t="s">
        <v>53</v>
      </c>
    </row>
    <row r="647" spans="34:39" x14ac:dyDescent="0.35">
      <c r="AH647" s="21"/>
      <c r="AI647" s="21"/>
      <c r="AJ647" s="21"/>
      <c r="AK647" s="21"/>
      <c r="AM647" t="s">
        <v>53</v>
      </c>
    </row>
    <row r="648" spans="34:39" x14ac:dyDescent="0.35">
      <c r="AH648" s="21"/>
      <c r="AI648" s="21"/>
      <c r="AJ648" s="21"/>
      <c r="AK648" s="21"/>
      <c r="AM648" t="s">
        <v>53</v>
      </c>
    </row>
    <row r="649" spans="34:39" x14ac:dyDescent="0.35">
      <c r="AH649" s="21"/>
      <c r="AI649" s="21"/>
      <c r="AJ649" s="21"/>
      <c r="AK649" s="21"/>
      <c r="AM649" t="s">
        <v>53</v>
      </c>
    </row>
    <row r="650" spans="34:39" x14ac:dyDescent="0.35">
      <c r="AH650" s="21"/>
      <c r="AI650" s="21"/>
      <c r="AJ650" s="21"/>
      <c r="AK650" s="21"/>
      <c r="AM650" t="s">
        <v>53</v>
      </c>
    </row>
    <row r="651" spans="34:39" x14ac:dyDescent="0.35">
      <c r="AH651" s="21"/>
      <c r="AI651" s="21"/>
      <c r="AJ651" s="21"/>
      <c r="AK651" s="21"/>
      <c r="AM651" t="s">
        <v>53</v>
      </c>
    </row>
    <row r="652" spans="34:39" x14ac:dyDescent="0.35">
      <c r="AH652" s="21"/>
      <c r="AI652" s="21"/>
      <c r="AJ652" s="21"/>
      <c r="AK652" s="21"/>
      <c r="AM652" t="s">
        <v>53</v>
      </c>
    </row>
    <row r="653" spans="34:39" x14ac:dyDescent="0.35">
      <c r="AH653" s="21"/>
      <c r="AI653" s="21"/>
      <c r="AJ653" s="21"/>
      <c r="AK653" s="21"/>
      <c r="AM653" t="s">
        <v>53</v>
      </c>
    </row>
    <row r="654" spans="34:39" x14ac:dyDescent="0.35">
      <c r="AH654" s="21"/>
      <c r="AI654" s="21"/>
      <c r="AJ654" s="21"/>
      <c r="AK654" s="21"/>
      <c r="AM654" t="s">
        <v>53</v>
      </c>
    </row>
    <row r="655" spans="34:39" x14ac:dyDescent="0.35">
      <c r="AH655" s="21"/>
      <c r="AI655" s="21"/>
      <c r="AJ655" s="21"/>
      <c r="AK655" s="21"/>
      <c r="AM655" t="s">
        <v>53</v>
      </c>
    </row>
    <row r="656" spans="34:39" x14ac:dyDescent="0.35">
      <c r="AH656" s="21"/>
      <c r="AI656" s="21"/>
      <c r="AJ656" s="21"/>
      <c r="AK656" s="21"/>
      <c r="AM656" t="s">
        <v>53</v>
      </c>
    </row>
    <row r="657" spans="34:39" x14ac:dyDescent="0.35">
      <c r="AH657" s="21"/>
      <c r="AI657" s="21"/>
      <c r="AJ657" s="21"/>
      <c r="AK657" s="21"/>
      <c r="AM657" t="s">
        <v>53</v>
      </c>
    </row>
    <row r="658" spans="34:39" x14ac:dyDescent="0.35">
      <c r="AH658" s="21"/>
      <c r="AI658" s="21"/>
      <c r="AJ658" s="21"/>
      <c r="AK658" s="21"/>
      <c r="AM658" t="s">
        <v>53</v>
      </c>
    </row>
    <row r="659" spans="34:39" x14ac:dyDescent="0.35">
      <c r="AH659" s="21"/>
      <c r="AI659" s="21"/>
      <c r="AJ659" s="21"/>
      <c r="AK659" s="21"/>
      <c r="AM659" t="s">
        <v>53</v>
      </c>
    </row>
    <row r="660" spans="34:39" x14ac:dyDescent="0.35">
      <c r="AH660" s="21"/>
      <c r="AI660" s="21"/>
      <c r="AJ660" s="21"/>
      <c r="AK660" s="21"/>
      <c r="AM660" t="s">
        <v>53</v>
      </c>
    </row>
    <row r="661" spans="34:39" x14ac:dyDescent="0.35">
      <c r="AH661" s="21"/>
      <c r="AI661" s="21"/>
      <c r="AJ661" s="21"/>
      <c r="AK661" s="21"/>
      <c r="AM661" t="s">
        <v>53</v>
      </c>
    </row>
    <row r="662" spans="34:39" x14ac:dyDescent="0.35">
      <c r="AH662" s="21"/>
      <c r="AI662" s="21"/>
      <c r="AJ662" s="21"/>
      <c r="AK662" s="21"/>
      <c r="AM662" t="s">
        <v>53</v>
      </c>
    </row>
    <row r="663" spans="34:39" x14ac:dyDescent="0.35">
      <c r="AH663" s="21"/>
      <c r="AI663" s="21"/>
      <c r="AJ663" s="21"/>
      <c r="AK663" s="21"/>
      <c r="AM663" t="s">
        <v>53</v>
      </c>
    </row>
    <row r="664" spans="34:39" x14ac:dyDescent="0.35">
      <c r="AH664" s="21"/>
      <c r="AI664" s="21"/>
      <c r="AJ664" s="21"/>
      <c r="AK664" s="21"/>
      <c r="AM664" t="s">
        <v>53</v>
      </c>
    </row>
    <row r="665" spans="34:39" x14ac:dyDescent="0.35">
      <c r="AH665" s="21"/>
      <c r="AI665" s="21"/>
      <c r="AJ665" s="21"/>
      <c r="AK665" s="21"/>
      <c r="AM665" t="s">
        <v>53</v>
      </c>
    </row>
    <row r="666" spans="34:39" x14ac:dyDescent="0.35">
      <c r="AH666" s="21"/>
      <c r="AI666" s="21"/>
      <c r="AJ666" s="21"/>
      <c r="AK666" s="21"/>
      <c r="AM666" t="s">
        <v>53</v>
      </c>
    </row>
    <row r="667" spans="34:39" x14ac:dyDescent="0.35">
      <c r="AH667" s="21"/>
      <c r="AI667" s="21"/>
      <c r="AJ667" s="21"/>
      <c r="AK667" s="21"/>
      <c r="AM667" t="s">
        <v>53</v>
      </c>
    </row>
    <row r="668" spans="34:39" x14ac:dyDescent="0.35">
      <c r="AH668" s="21"/>
      <c r="AI668" s="21"/>
      <c r="AJ668" s="21"/>
      <c r="AK668" s="21"/>
      <c r="AM668" t="s">
        <v>53</v>
      </c>
    </row>
    <row r="669" spans="34:39" x14ac:dyDescent="0.35">
      <c r="AH669" s="21"/>
      <c r="AI669" s="21"/>
      <c r="AJ669" s="21"/>
      <c r="AK669" s="21"/>
      <c r="AM669" t="s">
        <v>53</v>
      </c>
    </row>
    <row r="670" spans="34:39" x14ac:dyDescent="0.35">
      <c r="AH670" s="21"/>
      <c r="AI670" s="21"/>
      <c r="AJ670" s="21"/>
      <c r="AK670" s="21"/>
      <c r="AM670" t="s">
        <v>53</v>
      </c>
    </row>
    <row r="671" spans="34:39" x14ac:dyDescent="0.35">
      <c r="AH671" s="21"/>
      <c r="AI671" s="21"/>
      <c r="AJ671" s="21"/>
      <c r="AK671" s="21"/>
      <c r="AM671" t="s">
        <v>53</v>
      </c>
    </row>
    <row r="672" spans="34:39" x14ac:dyDescent="0.35">
      <c r="AH672" s="21"/>
      <c r="AI672" s="21"/>
      <c r="AJ672" s="21"/>
      <c r="AK672" s="21"/>
      <c r="AM672" t="s">
        <v>53</v>
      </c>
    </row>
    <row r="673" spans="34:39" x14ac:dyDescent="0.35">
      <c r="AH673" s="21"/>
      <c r="AI673" s="21"/>
      <c r="AJ673" s="21"/>
      <c r="AK673" s="21"/>
      <c r="AM673" t="s">
        <v>53</v>
      </c>
    </row>
    <row r="674" spans="34:39" x14ac:dyDescent="0.35">
      <c r="AH674" s="21"/>
      <c r="AI674" s="21"/>
      <c r="AJ674" s="21"/>
      <c r="AK674" s="21"/>
      <c r="AM674" t="s">
        <v>53</v>
      </c>
    </row>
    <row r="675" spans="34:39" x14ac:dyDescent="0.35">
      <c r="AH675" s="21"/>
      <c r="AI675" s="21"/>
      <c r="AJ675" s="21"/>
      <c r="AK675" s="21"/>
      <c r="AM675" t="s">
        <v>53</v>
      </c>
    </row>
    <row r="676" spans="34:39" x14ac:dyDescent="0.35">
      <c r="AH676" s="21"/>
      <c r="AI676" s="21"/>
      <c r="AJ676" s="21"/>
      <c r="AK676" s="21"/>
      <c r="AM676" t="s">
        <v>53</v>
      </c>
    </row>
    <row r="677" spans="34:39" x14ac:dyDescent="0.35">
      <c r="AH677" s="21"/>
      <c r="AI677" s="21"/>
      <c r="AJ677" s="21"/>
      <c r="AK677" s="21"/>
      <c r="AM677" t="s">
        <v>53</v>
      </c>
    </row>
    <row r="678" spans="34:39" x14ac:dyDescent="0.35">
      <c r="AH678" s="21"/>
      <c r="AI678" s="21"/>
      <c r="AJ678" s="21"/>
      <c r="AK678" s="21"/>
      <c r="AM678" t="s">
        <v>53</v>
      </c>
    </row>
    <row r="679" spans="34:39" x14ac:dyDescent="0.35">
      <c r="AH679" s="21"/>
      <c r="AI679" s="21"/>
      <c r="AJ679" s="21"/>
      <c r="AK679" s="21"/>
      <c r="AM679" t="s">
        <v>53</v>
      </c>
    </row>
    <row r="680" spans="34:39" x14ac:dyDescent="0.35">
      <c r="AH680" s="21"/>
      <c r="AI680" s="21"/>
      <c r="AJ680" s="21"/>
      <c r="AK680" s="21"/>
      <c r="AM680" t="s">
        <v>53</v>
      </c>
    </row>
    <row r="681" spans="34:39" x14ac:dyDescent="0.35">
      <c r="AH681" s="21"/>
      <c r="AI681" s="21"/>
      <c r="AJ681" s="21"/>
      <c r="AK681" s="21"/>
      <c r="AM681" t="s">
        <v>53</v>
      </c>
    </row>
    <row r="682" spans="34:39" x14ac:dyDescent="0.35">
      <c r="AH682" s="21"/>
      <c r="AI682" s="21"/>
      <c r="AJ682" s="21"/>
      <c r="AK682" s="21"/>
      <c r="AM682" t="s">
        <v>53</v>
      </c>
    </row>
    <row r="683" spans="34:39" x14ac:dyDescent="0.35">
      <c r="AH683" s="21"/>
      <c r="AI683" s="21"/>
      <c r="AJ683" s="21"/>
      <c r="AK683" s="21"/>
      <c r="AM683" t="s">
        <v>53</v>
      </c>
    </row>
    <row r="684" spans="34:39" x14ac:dyDescent="0.35">
      <c r="AH684" s="21"/>
      <c r="AI684" s="21"/>
      <c r="AJ684" s="21"/>
      <c r="AK684" s="21"/>
      <c r="AM684" t="s">
        <v>53</v>
      </c>
    </row>
    <row r="685" spans="34:39" x14ac:dyDescent="0.35">
      <c r="AH685" s="21"/>
      <c r="AI685" s="21"/>
      <c r="AJ685" s="21"/>
      <c r="AK685" s="21"/>
      <c r="AM685" t="s">
        <v>53</v>
      </c>
    </row>
    <row r="686" spans="34:39" x14ac:dyDescent="0.35">
      <c r="AH686" s="21"/>
      <c r="AI686" s="21"/>
      <c r="AJ686" s="21"/>
      <c r="AK686" s="21"/>
      <c r="AM686" t="s">
        <v>53</v>
      </c>
    </row>
    <row r="687" spans="34:39" x14ac:dyDescent="0.35">
      <c r="AH687" s="21"/>
      <c r="AI687" s="21"/>
      <c r="AJ687" s="21"/>
      <c r="AK687" s="21"/>
      <c r="AM687" t="s">
        <v>53</v>
      </c>
    </row>
    <row r="688" spans="34:39" x14ac:dyDescent="0.35">
      <c r="AH688" s="21"/>
      <c r="AI688" s="21"/>
      <c r="AJ688" s="21"/>
      <c r="AK688" s="21"/>
      <c r="AM688" t="s">
        <v>53</v>
      </c>
    </row>
    <row r="689" spans="34:39" x14ac:dyDescent="0.35">
      <c r="AH689" s="21"/>
      <c r="AI689" s="21"/>
      <c r="AJ689" s="21"/>
      <c r="AK689" s="21"/>
      <c r="AM689" t="s">
        <v>53</v>
      </c>
    </row>
    <row r="690" spans="34:39" x14ac:dyDescent="0.35">
      <c r="AH690" s="21"/>
      <c r="AI690" s="21"/>
      <c r="AJ690" s="21"/>
      <c r="AK690" s="21"/>
      <c r="AM690" t="s">
        <v>53</v>
      </c>
    </row>
    <row r="691" spans="34:39" x14ac:dyDescent="0.35">
      <c r="AH691" s="21"/>
      <c r="AI691" s="21"/>
      <c r="AJ691" s="21"/>
      <c r="AK691" s="21"/>
      <c r="AM691" t="s">
        <v>53</v>
      </c>
    </row>
    <row r="692" spans="34:39" x14ac:dyDescent="0.35">
      <c r="AH692" s="21"/>
      <c r="AI692" s="21"/>
      <c r="AJ692" s="21"/>
      <c r="AK692" s="21"/>
      <c r="AM692" t="s">
        <v>53</v>
      </c>
    </row>
    <row r="693" spans="34:39" x14ac:dyDescent="0.35">
      <c r="AH693" s="21"/>
      <c r="AI693" s="21"/>
      <c r="AJ693" s="21"/>
      <c r="AK693" s="21"/>
      <c r="AM693" t="s">
        <v>53</v>
      </c>
    </row>
    <row r="694" spans="34:39" x14ac:dyDescent="0.35">
      <c r="AH694" s="21"/>
      <c r="AI694" s="21"/>
      <c r="AJ694" s="21"/>
      <c r="AK694" s="21"/>
      <c r="AM694" t="s">
        <v>53</v>
      </c>
    </row>
    <row r="695" spans="34:39" x14ac:dyDescent="0.35">
      <c r="AH695" s="21"/>
      <c r="AI695" s="21"/>
      <c r="AJ695" s="21"/>
      <c r="AK695" s="21"/>
      <c r="AM695" t="s">
        <v>53</v>
      </c>
    </row>
    <row r="696" spans="34:39" x14ac:dyDescent="0.35">
      <c r="AH696" s="21"/>
      <c r="AI696" s="21"/>
      <c r="AJ696" s="21"/>
      <c r="AK696" s="21"/>
      <c r="AM696" t="s">
        <v>53</v>
      </c>
    </row>
    <row r="697" spans="34:39" x14ac:dyDescent="0.35">
      <c r="AH697" s="21"/>
      <c r="AI697" s="21"/>
      <c r="AJ697" s="21"/>
      <c r="AK697" s="21"/>
      <c r="AM697" t="s">
        <v>53</v>
      </c>
    </row>
    <row r="698" spans="34:39" x14ac:dyDescent="0.35">
      <c r="AH698" s="21"/>
      <c r="AI698" s="21"/>
      <c r="AJ698" s="21"/>
      <c r="AK698" s="21"/>
      <c r="AM698" t="s">
        <v>53</v>
      </c>
    </row>
    <row r="699" spans="34:39" x14ac:dyDescent="0.35">
      <c r="AH699" s="21"/>
      <c r="AI699" s="21"/>
      <c r="AJ699" s="21"/>
      <c r="AK699" s="21"/>
      <c r="AM699" t="s">
        <v>53</v>
      </c>
    </row>
    <row r="700" spans="34:39" x14ac:dyDescent="0.35">
      <c r="AH700" s="21"/>
      <c r="AI700" s="21"/>
      <c r="AJ700" s="21"/>
      <c r="AK700" s="21"/>
      <c r="AM700" t="s">
        <v>53</v>
      </c>
    </row>
    <row r="701" spans="34:39" x14ac:dyDescent="0.35">
      <c r="AH701" s="21"/>
      <c r="AI701" s="21"/>
      <c r="AJ701" s="21"/>
      <c r="AK701" s="21"/>
      <c r="AM701" t="s">
        <v>53</v>
      </c>
    </row>
    <row r="702" spans="34:39" x14ac:dyDescent="0.35">
      <c r="AH702" s="21"/>
      <c r="AI702" s="21"/>
      <c r="AJ702" s="21"/>
      <c r="AK702" s="21"/>
      <c r="AM702" t="s">
        <v>53</v>
      </c>
    </row>
    <row r="703" spans="34:39" x14ac:dyDescent="0.35">
      <c r="AH703" s="21"/>
      <c r="AI703" s="21"/>
      <c r="AJ703" s="21"/>
      <c r="AK703" s="21"/>
      <c r="AM703" t="s">
        <v>53</v>
      </c>
    </row>
    <row r="704" spans="34:39" x14ac:dyDescent="0.35">
      <c r="AH704" s="21"/>
      <c r="AI704" s="21"/>
      <c r="AJ704" s="21"/>
      <c r="AK704" s="21"/>
      <c r="AM704" t="s">
        <v>53</v>
      </c>
    </row>
    <row r="705" spans="34:39" x14ac:dyDescent="0.35">
      <c r="AH705" s="21"/>
      <c r="AI705" s="21"/>
      <c r="AJ705" s="21"/>
      <c r="AK705" s="21"/>
      <c r="AM705" t="s">
        <v>53</v>
      </c>
    </row>
    <row r="706" spans="34:39" x14ac:dyDescent="0.35">
      <c r="AH706" s="21"/>
      <c r="AI706" s="21"/>
      <c r="AJ706" s="21"/>
      <c r="AK706" s="21"/>
      <c r="AM706" t="s">
        <v>53</v>
      </c>
    </row>
    <row r="707" spans="34:39" x14ac:dyDescent="0.35">
      <c r="AH707" s="21"/>
      <c r="AI707" s="21"/>
      <c r="AJ707" s="21"/>
      <c r="AK707" s="21"/>
      <c r="AM707" t="s">
        <v>53</v>
      </c>
    </row>
    <row r="708" spans="34:39" x14ac:dyDescent="0.35">
      <c r="AH708" s="21"/>
      <c r="AI708" s="21"/>
      <c r="AJ708" s="21"/>
      <c r="AK708" s="21"/>
      <c r="AM708" t="s">
        <v>53</v>
      </c>
    </row>
    <row r="709" spans="34:39" x14ac:dyDescent="0.35">
      <c r="AH709" s="21"/>
      <c r="AI709" s="21"/>
      <c r="AJ709" s="21"/>
      <c r="AK709" s="21"/>
      <c r="AM709" t="s">
        <v>53</v>
      </c>
    </row>
    <row r="710" spans="34:39" x14ac:dyDescent="0.35">
      <c r="AH710" s="21"/>
      <c r="AI710" s="21"/>
      <c r="AJ710" s="21"/>
      <c r="AK710" s="21"/>
      <c r="AM710" t="s">
        <v>53</v>
      </c>
    </row>
    <row r="711" spans="34:39" x14ac:dyDescent="0.35">
      <c r="AH711" s="21"/>
      <c r="AI711" s="21"/>
      <c r="AJ711" s="21"/>
      <c r="AK711" s="21"/>
      <c r="AM711" t="s">
        <v>53</v>
      </c>
    </row>
    <row r="712" spans="34:39" x14ac:dyDescent="0.35">
      <c r="AH712" s="21"/>
      <c r="AI712" s="21"/>
      <c r="AJ712" s="21"/>
      <c r="AK712" s="21"/>
      <c r="AM712" t="s">
        <v>53</v>
      </c>
    </row>
    <row r="713" spans="34:39" x14ac:dyDescent="0.35">
      <c r="AH713" s="21"/>
      <c r="AI713" s="21"/>
      <c r="AJ713" s="21"/>
      <c r="AK713" s="21"/>
      <c r="AM713" t="s">
        <v>53</v>
      </c>
    </row>
    <row r="714" spans="34:39" x14ac:dyDescent="0.35">
      <c r="AH714" s="21"/>
      <c r="AI714" s="21"/>
      <c r="AJ714" s="21"/>
      <c r="AK714" s="21"/>
      <c r="AM714" t="s">
        <v>53</v>
      </c>
    </row>
    <row r="715" spans="34:39" x14ac:dyDescent="0.35">
      <c r="AH715" s="21"/>
      <c r="AI715" s="21"/>
      <c r="AJ715" s="21"/>
      <c r="AK715" s="21"/>
      <c r="AM715" t="s">
        <v>53</v>
      </c>
    </row>
    <row r="716" spans="34:39" x14ac:dyDescent="0.35">
      <c r="AH716" s="21"/>
      <c r="AI716" s="21"/>
      <c r="AJ716" s="21"/>
      <c r="AK716" s="21"/>
      <c r="AM716" t="s">
        <v>53</v>
      </c>
    </row>
    <row r="717" spans="34:39" x14ac:dyDescent="0.35">
      <c r="AH717" s="21"/>
      <c r="AI717" s="21"/>
      <c r="AJ717" s="21"/>
      <c r="AK717" s="21"/>
      <c r="AM717" t="s">
        <v>53</v>
      </c>
    </row>
    <row r="718" spans="34:39" x14ac:dyDescent="0.35">
      <c r="AH718" s="21"/>
      <c r="AI718" s="21"/>
      <c r="AJ718" s="21"/>
      <c r="AK718" s="21"/>
      <c r="AM718" t="s">
        <v>53</v>
      </c>
    </row>
    <row r="719" spans="34:39" x14ac:dyDescent="0.35">
      <c r="AH719" s="21"/>
      <c r="AI719" s="21"/>
      <c r="AJ719" s="21"/>
      <c r="AK719" s="21"/>
      <c r="AM719" t="s">
        <v>53</v>
      </c>
    </row>
    <row r="720" spans="34:39" x14ac:dyDescent="0.35">
      <c r="AH720" s="21"/>
      <c r="AI720" s="21"/>
      <c r="AJ720" s="21"/>
      <c r="AK720" s="21"/>
      <c r="AM720" t="s">
        <v>53</v>
      </c>
    </row>
    <row r="721" spans="34:39" x14ac:dyDescent="0.35">
      <c r="AH721" s="21"/>
      <c r="AI721" s="21"/>
      <c r="AJ721" s="21"/>
      <c r="AK721" s="21"/>
      <c r="AM721" t="s">
        <v>53</v>
      </c>
    </row>
    <row r="722" spans="34:39" x14ac:dyDescent="0.35">
      <c r="AH722" s="21"/>
      <c r="AI722" s="21"/>
      <c r="AJ722" s="21"/>
      <c r="AK722" s="21"/>
      <c r="AM722" t="s">
        <v>53</v>
      </c>
    </row>
    <row r="723" spans="34:39" x14ac:dyDescent="0.35">
      <c r="AH723" s="21"/>
      <c r="AI723" s="21"/>
      <c r="AJ723" s="21"/>
      <c r="AK723" s="21"/>
      <c r="AM723" t="s">
        <v>53</v>
      </c>
    </row>
    <row r="724" spans="34:39" x14ac:dyDescent="0.35">
      <c r="AH724" s="21"/>
      <c r="AI724" s="21"/>
      <c r="AJ724" s="21"/>
      <c r="AK724" s="21"/>
      <c r="AM724" t="s">
        <v>53</v>
      </c>
    </row>
    <row r="725" spans="34:39" x14ac:dyDescent="0.35">
      <c r="AH725" s="21"/>
      <c r="AI725" s="21"/>
      <c r="AJ725" s="21"/>
      <c r="AK725" s="21"/>
      <c r="AM725" t="s">
        <v>53</v>
      </c>
    </row>
    <row r="726" spans="34:39" x14ac:dyDescent="0.35">
      <c r="AH726" s="21"/>
      <c r="AI726" s="21"/>
      <c r="AJ726" s="21"/>
      <c r="AK726" s="21"/>
      <c r="AM726" t="s">
        <v>53</v>
      </c>
    </row>
    <row r="727" spans="34:39" x14ac:dyDescent="0.35">
      <c r="AH727" s="21"/>
      <c r="AI727" s="21"/>
      <c r="AJ727" s="21"/>
      <c r="AK727" s="21"/>
      <c r="AM727" t="s">
        <v>53</v>
      </c>
    </row>
    <row r="728" spans="34:39" x14ac:dyDescent="0.35">
      <c r="AH728" s="21"/>
      <c r="AI728" s="21"/>
      <c r="AJ728" s="21"/>
      <c r="AK728" s="21"/>
      <c r="AM728" t="s">
        <v>53</v>
      </c>
    </row>
    <row r="729" spans="34:39" x14ac:dyDescent="0.35">
      <c r="AH729" s="21"/>
      <c r="AI729" s="21"/>
      <c r="AJ729" s="21"/>
      <c r="AK729" s="21"/>
      <c r="AM729" t="s">
        <v>53</v>
      </c>
    </row>
    <row r="730" spans="34:39" x14ac:dyDescent="0.35">
      <c r="AH730" s="21"/>
      <c r="AI730" s="21"/>
      <c r="AJ730" s="21"/>
      <c r="AK730" s="21"/>
      <c r="AM730" t="s">
        <v>53</v>
      </c>
    </row>
    <row r="731" spans="34:39" x14ac:dyDescent="0.35">
      <c r="AH731" s="21"/>
      <c r="AI731" s="21"/>
      <c r="AJ731" s="21"/>
      <c r="AK731" s="21"/>
      <c r="AM731" t="s">
        <v>53</v>
      </c>
    </row>
    <row r="732" spans="34:39" x14ac:dyDescent="0.35">
      <c r="AH732" s="21"/>
      <c r="AI732" s="21"/>
      <c r="AJ732" s="21"/>
      <c r="AK732" s="21"/>
      <c r="AM732" t="s">
        <v>53</v>
      </c>
    </row>
    <row r="733" spans="34:39" x14ac:dyDescent="0.35">
      <c r="AH733" s="21"/>
      <c r="AI733" s="21"/>
      <c r="AJ733" s="21"/>
      <c r="AK733" s="21"/>
      <c r="AM733" t="s">
        <v>53</v>
      </c>
    </row>
    <row r="734" spans="34:39" x14ac:dyDescent="0.35">
      <c r="AH734" s="21"/>
      <c r="AI734" s="21"/>
      <c r="AJ734" s="21"/>
      <c r="AK734" s="21"/>
      <c r="AM734" t="s">
        <v>53</v>
      </c>
    </row>
    <row r="735" spans="34:39" x14ac:dyDescent="0.35">
      <c r="AH735" s="21"/>
      <c r="AI735" s="21"/>
      <c r="AJ735" s="21"/>
      <c r="AK735" s="21"/>
      <c r="AM735" t="s">
        <v>53</v>
      </c>
    </row>
    <row r="736" spans="34:39" x14ac:dyDescent="0.35">
      <c r="AH736" s="21"/>
      <c r="AI736" s="21"/>
      <c r="AJ736" s="21"/>
      <c r="AK736" s="21"/>
      <c r="AM736" t="s">
        <v>53</v>
      </c>
    </row>
    <row r="737" spans="34:39" x14ac:dyDescent="0.35">
      <c r="AH737" s="21"/>
      <c r="AI737" s="21"/>
      <c r="AJ737" s="21"/>
      <c r="AK737" s="21"/>
      <c r="AM737" t="s">
        <v>53</v>
      </c>
    </row>
    <row r="738" spans="34:39" x14ac:dyDescent="0.35">
      <c r="AH738" s="21"/>
      <c r="AI738" s="21"/>
      <c r="AJ738" s="21"/>
      <c r="AK738" s="21"/>
      <c r="AM738" t="s">
        <v>53</v>
      </c>
    </row>
    <row r="739" spans="34:39" x14ac:dyDescent="0.35">
      <c r="AH739" s="21"/>
      <c r="AI739" s="21"/>
      <c r="AJ739" s="21"/>
      <c r="AK739" s="21"/>
      <c r="AM739" t="s">
        <v>53</v>
      </c>
    </row>
    <row r="740" spans="34:39" x14ac:dyDescent="0.35">
      <c r="AH740" s="21"/>
      <c r="AI740" s="21"/>
      <c r="AJ740" s="21"/>
      <c r="AK740" s="21"/>
      <c r="AM740" t="s">
        <v>53</v>
      </c>
    </row>
    <row r="741" spans="34:39" x14ac:dyDescent="0.35">
      <c r="AH741" s="21"/>
      <c r="AI741" s="21"/>
      <c r="AJ741" s="21"/>
      <c r="AK741" s="21"/>
      <c r="AM741" t="s">
        <v>53</v>
      </c>
    </row>
    <row r="742" spans="34:39" x14ac:dyDescent="0.35">
      <c r="AH742" s="21"/>
      <c r="AI742" s="21"/>
      <c r="AJ742" s="21"/>
      <c r="AK742" s="21"/>
      <c r="AM742" t="s">
        <v>53</v>
      </c>
    </row>
    <row r="743" spans="34:39" x14ac:dyDescent="0.35">
      <c r="AH743" s="21"/>
      <c r="AI743" s="21"/>
      <c r="AJ743" s="21"/>
      <c r="AK743" s="21"/>
      <c r="AM743" t="s">
        <v>53</v>
      </c>
    </row>
    <row r="744" spans="34:39" x14ac:dyDescent="0.35">
      <c r="AH744" s="21"/>
      <c r="AI744" s="21"/>
      <c r="AJ744" s="21"/>
      <c r="AK744" s="21"/>
      <c r="AM744" t="s">
        <v>53</v>
      </c>
    </row>
    <row r="745" spans="34:39" x14ac:dyDescent="0.35">
      <c r="AH745" s="21"/>
      <c r="AI745" s="21"/>
      <c r="AJ745" s="21"/>
      <c r="AK745" s="21"/>
      <c r="AM745" t="s">
        <v>53</v>
      </c>
    </row>
    <row r="746" spans="34:39" x14ac:dyDescent="0.35">
      <c r="AH746" s="21"/>
      <c r="AI746" s="21"/>
      <c r="AJ746" s="21"/>
      <c r="AK746" s="21"/>
      <c r="AM746" t="s">
        <v>53</v>
      </c>
    </row>
    <row r="747" spans="34:39" x14ac:dyDescent="0.35">
      <c r="AH747" s="21"/>
      <c r="AI747" s="21"/>
      <c r="AJ747" s="21"/>
      <c r="AK747" s="21"/>
      <c r="AM747" t="s">
        <v>53</v>
      </c>
    </row>
    <row r="748" spans="34:39" x14ac:dyDescent="0.35">
      <c r="AH748" s="21"/>
      <c r="AI748" s="21"/>
      <c r="AJ748" s="21"/>
      <c r="AK748" s="21"/>
      <c r="AM748" t="s">
        <v>53</v>
      </c>
    </row>
    <row r="749" spans="34:39" x14ac:dyDescent="0.35">
      <c r="AH749" s="21"/>
      <c r="AI749" s="21"/>
      <c r="AJ749" s="21"/>
      <c r="AK749" s="21"/>
      <c r="AM749" t="s">
        <v>53</v>
      </c>
    </row>
    <row r="750" spans="34:39" x14ac:dyDescent="0.35">
      <c r="AH750" s="21"/>
      <c r="AI750" s="21"/>
      <c r="AJ750" s="21"/>
      <c r="AK750" s="21"/>
      <c r="AM750" t="s">
        <v>53</v>
      </c>
    </row>
    <row r="751" spans="34:39" x14ac:dyDescent="0.35">
      <c r="AH751" s="21"/>
      <c r="AI751" s="21"/>
      <c r="AJ751" s="21"/>
      <c r="AK751" s="21"/>
      <c r="AM751" t="s">
        <v>53</v>
      </c>
    </row>
    <row r="752" spans="34:39" x14ac:dyDescent="0.35">
      <c r="AH752" s="21"/>
      <c r="AI752" s="21"/>
      <c r="AJ752" s="21"/>
      <c r="AK752" s="21"/>
      <c r="AM752" t="s">
        <v>53</v>
      </c>
    </row>
    <row r="753" spans="34:39" x14ac:dyDescent="0.35">
      <c r="AH753" s="21"/>
      <c r="AI753" s="21"/>
      <c r="AJ753" s="21"/>
      <c r="AK753" s="21"/>
      <c r="AM753" t="s">
        <v>53</v>
      </c>
    </row>
    <row r="754" spans="34:39" x14ac:dyDescent="0.35">
      <c r="AH754" s="21"/>
      <c r="AI754" s="21"/>
      <c r="AJ754" s="21"/>
      <c r="AK754" s="21"/>
      <c r="AM754" t="s">
        <v>53</v>
      </c>
    </row>
    <row r="755" spans="34:39" x14ac:dyDescent="0.35">
      <c r="AH755" s="21"/>
      <c r="AI755" s="21"/>
      <c r="AJ755" s="21"/>
      <c r="AK755" s="21"/>
      <c r="AM755" t="s">
        <v>53</v>
      </c>
    </row>
    <row r="756" spans="34:39" x14ac:dyDescent="0.35">
      <c r="AH756" s="21"/>
      <c r="AI756" s="21"/>
      <c r="AJ756" s="21"/>
      <c r="AK756" s="21"/>
      <c r="AM756" t="s">
        <v>53</v>
      </c>
    </row>
    <row r="757" spans="34:39" x14ac:dyDescent="0.35">
      <c r="AH757" s="21"/>
      <c r="AI757" s="21"/>
      <c r="AJ757" s="21"/>
      <c r="AK757" s="21"/>
      <c r="AM757" t="s">
        <v>53</v>
      </c>
    </row>
    <row r="758" spans="34:39" x14ac:dyDescent="0.35">
      <c r="AH758" s="21"/>
      <c r="AI758" s="21"/>
      <c r="AJ758" s="21"/>
      <c r="AK758" s="21"/>
      <c r="AM758" t="s">
        <v>53</v>
      </c>
    </row>
    <row r="759" spans="34:39" x14ac:dyDescent="0.35">
      <c r="AH759" s="21"/>
      <c r="AI759" s="21"/>
      <c r="AJ759" s="21"/>
      <c r="AK759" s="21"/>
      <c r="AM759" t="s">
        <v>53</v>
      </c>
    </row>
    <row r="760" spans="34:39" x14ac:dyDescent="0.35">
      <c r="AH760" s="21"/>
      <c r="AI760" s="21"/>
      <c r="AJ760" s="21"/>
      <c r="AK760" s="21"/>
      <c r="AM760" t="s">
        <v>53</v>
      </c>
    </row>
    <row r="761" spans="34:39" x14ac:dyDescent="0.35">
      <c r="AH761" s="21"/>
      <c r="AI761" s="21"/>
      <c r="AJ761" s="21"/>
      <c r="AK761" s="21"/>
      <c r="AM761" t="s">
        <v>53</v>
      </c>
    </row>
    <row r="762" spans="34:39" x14ac:dyDescent="0.35">
      <c r="AH762" s="21"/>
      <c r="AI762" s="21"/>
      <c r="AJ762" s="21"/>
      <c r="AK762" s="21"/>
      <c r="AM762" t="s">
        <v>53</v>
      </c>
    </row>
    <row r="763" spans="34:39" x14ac:dyDescent="0.35">
      <c r="AH763" s="21"/>
      <c r="AI763" s="21"/>
      <c r="AJ763" s="21"/>
      <c r="AK763" s="21"/>
      <c r="AM763" t="s">
        <v>53</v>
      </c>
    </row>
    <row r="764" spans="34:39" x14ac:dyDescent="0.35">
      <c r="AH764" s="21"/>
      <c r="AI764" s="21"/>
      <c r="AJ764" s="21"/>
      <c r="AK764" s="21"/>
      <c r="AM764" t="s">
        <v>53</v>
      </c>
    </row>
    <row r="765" spans="34:39" x14ac:dyDescent="0.35">
      <c r="AH765" s="21"/>
      <c r="AI765" s="21"/>
      <c r="AJ765" s="21"/>
      <c r="AK765" s="21"/>
      <c r="AM765" t="s">
        <v>53</v>
      </c>
    </row>
    <row r="766" spans="34:39" x14ac:dyDescent="0.35">
      <c r="AH766" s="21"/>
      <c r="AI766" s="21"/>
      <c r="AJ766" s="21"/>
      <c r="AK766" s="21"/>
      <c r="AM766" t="s">
        <v>53</v>
      </c>
    </row>
    <row r="767" spans="34:39" x14ac:dyDescent="0.35">
      <c r="AH767" s="21"/>
      <c r="AI767" s="21"/>
      <c r="AJ767" s="21"/>
      <c r="AK767" s="21"/>
      <c r="AM767" t="s">
        <v>53</v>
      </c>
    </row>
    <row r="768" spans="34:39" x14ac:dyDescent="0.35">
      <c r="AH768" s="21"/>
      <c r="AI768" s="21"/>
      <c r="AJ768" s="21"/>
      <c r="AK768" s="21"/>
      <c r="AM768" t="s">
        <v>53</v>
      </c>
    </row>
    <row r="769" spans="34:39" x14ac:dyDescent="0.35">
      <c r="AH769" s="21"/>
      <c r="AI769" s="21"/>
      <c r="AJ769" s="21"/>
      <c r="AK769" s="21"/>
      <c r="AM769" t="s">
        <v>53</v>
      </c>
    </row>
    <row r="770" spans="34:39" x14ac:dyDescent="0.35">
      <c r="AH770" s="21"/>
      <c r="AI770" s="21"/>
      <c r="AJ770" s="21"/>
      <c r="AK770" s="21"/>
      <c r="AM770" t="s">
        <v>53</v>
      </c>
    </row>
    <row r="771" spans="34:39" x14ac:dyDescent="0.35">
      <c r="AH771" s="21"/>
      <c r="AI771" s="21"/>
      <c r="AJ771" s="21"/>
      <c r="AK771" s="21"/>
      <c r="AM771" t="s">
        <v>53</v>
      </c>
    </row>
    <row r="772" spans="34:39" x14ac:dyDescent="0.35">
      <c r="AH772" s="21"/>
      <c r="AI772" s="21"/>
      <c r="AJ772" s="21"/>
      <c r="AK772" s="21"/>
      <c r="AM772" t="s">
        <v>53</v>
      </c>
    </row>
    <row r="773" spans="34:39" x14ac:dyDescent="0.35">
      <c r="AH773" s="21"/>
      <c r="AI773" s="21"/>
      <c r="AJ773" s="21"/>
      <c r="AK773" s="21"/>
      <c r="AM773" t="s">
        <v>53</v>
      </c>
    </row>
    <row r="774" spans="34:39" x14ac:dyDescent="0.35">
      <c r="AH774" s="21"/>
      <c r="AI774" s="21"/>
      <c r="AJ774" s="21"/>
      <c r="AK774" s="21"/>
      <c r="AM774" t="s">
        <v>53</v>
      </c>
    </row>
    <row r="775" spans="34:39" x14ac:dyDescent="0.35">
      <c r="AH775" s="21"/>
      <c r="AI775" s="21"/>
      <c r="AJ775" s="21"/>
      <c r="AK775" s="21"/>
      <c r="AM775" t="s">
        <v>53</v>
      </c>
    </row>
    <row r="776" spans="34:39" x14ac:dyDescent="0.35">
      <c r="AH776" s="21"/>
      <c r="AI776" s="21"/>
      <c r="AJ776" s="21"/>
      <c r="AK776" s="21"/>
      <c r="AM776" t="s">
        <v>53</v>
      </c>
    </row>
    <row r="777" spans="34:39" x14ac:dyDescent="0.35">
      <c r="AH777" s="21"/>
      <c r="AI777" s="21"/>
      <c r="AJ777" s="21"/>
      <c r="AK777" s="21"/>
      <c r="AM777" t="s">
        <v>53</v>
      </c>
    </row>
    <row r="778" spans="34:39" x14ac:dyDescent="0.35">
      <c r="AH778" s="21"/>
      <c r="AI778" s="21"/>
      <c r="AJ778" s="21"/>
      <c r="AK778" s="21"/>
      <c r="AM778" t="s">
        <v>53</v>
      </c>
    </row>
    <row r="779" spans="34:39" x14ac:dyDescent="0.35">
      <c r="AH779" s="21"/>
      <c r="AI779" s="21"/>
      <c r="AJ779" s="21"/>
      <c r="AK779" s="21"/>
      <c r="AM779" t="s">
        <v>53</v>
      </c>
    </row>
    <row r="780" spans="34:39" x14ac:dyDescent="0.35">
      <c r="AH780" s="21"/>
      <c r="AI780" s="21"/>
      <c r="AJ780" s="21"/>
      <c r="AK780" s="21"/>
      <c r="AM780" t="s">
        <v>53</v>
      </c>
    </row>
    <row r="781" spans="34:39" x14ac:dyDescent="0.35">
      <c r="AH781" s="21"/>
      <c r="AI781" s="21"/>
      <c r="AJ781" s="21"/>
      <c r="AK781" s="21"/>
      <c r="AM781" t="s">
        <v>53</v>
      </c>
    </row>
    <row r="782" spans="34:39" x14ac:dyDescent="0.35">
      <c r="AH782" s="21"/>
      <c r="AI782" s="21"/>
      <c r="AJ782" s="21"/>
      <c r="AK782" s="21"/>
      <c r="AM782" t="s">
        <v>53</v>
      </c>
    </row>
    <row r="783" spans="34:39" x14ac:dyDescent="0.35">
      <c r="AH783" s="21"/>
      <c r="AI783" s="21"/>
      <c r="AJ783" s="21"/>
      <c r="AK783" s="21"/>
      <c r="AM783" t="s">
        <v>53</v>
      </c>
    </row>
    <row r="784" spans="34:39" x14ac:dyDescent="0.35">
      <c r="AH784" s="21"/>
      <c r="AI784" s="21"/>
      <c r="AJ784" s="21"/>
      <c r="AK784" s="21"/>
      <c r="AM784" t="s">
        <v>53</v>
      </c>
    </row>
    <row r="785" spans="34:39" x14ac:dyDescent="0.35">
      <c r="AH785" s="21"/>
      <c r="AI785" s="21"/>
      <c r="AJ785" s="21"/>
      <c r="AK785" s="21"/>
      <c r="AM785" t="s">
        <v>53</v>
      </c>
    </row>
    <row r="786" spans="34:39" x14ac:dyDescent="0.35">
      <c r="AH786" s="21"/>
      <c r="AI786" s="21"/>
      <c r="AJ786" s="21"/>
      <c r="AK786" s="21"/>
      <c r="AM786" t="s">
        <v>53</v>
      </c>
    </row>
    <row r="787" spans="34:39" x14ac:dyDescent="0.35">
      <c r="AH787" s="21"/>
      <c r="AI787" s="21"/>
      <c r="AJ787" s="21"/>
      <c r="AK787" s="21"/>
      <c r="AM787" t="s">
        <v>53</v>
      </c>
    </row>
    <row r="788" spans="34:39" x14ac:dyDescent="0.35">
      <c r="AH788" s="21"/>
      <c r="AI788" s="21"/>
      <c r="AJ788" s="21"/>
      <c r="AK788" s="21"/>
      <c r="AM788" t="s">
        <v>53</v>
      </c>
    </row>
    <row r="789" spans="34:39" x14ac:dyDescent="0.35">
      <c r="AH789" s="21"/>
      <c r="AI789" s="21"/>
      <c r="AJ789" s="21"/>
      <c r="AK789" s="21"/>
      <c r="AM789" t="s">
        <v>53</v>
      </c>
    </row>
    <row r="790" spans="34:39" x14ac:dyDescent="0.35">
      <c r="AH790" s="21"/>
      <c r="AI790" s="21"/>
      <c r="AJ790" s="21"/>
      <c r="AK790" s="21"/>
      <c r="AM790" t="s">
        <v>53</v>
      </c>
    </row>
    <row r="791" spans="34:39" x14ac:dyDescent="0.35">
      <c r="AH791" s="21"/>
      <c r="AI791" s="21"/>
      <c r="AJ791" s="21"/>
      <c r="AK791" s="21"/>
      <c r="AM791" t="s">
        <v>53</v>
      </c>
    </row>
    <row r="792" spans="34:39" x14ac:dyDescent="0.35">
      <c r="AH792" s="21"/>
      <c r="AI792" s="21"/>
      <c r="AJ792" s="21"/>
      <c r="AK792" s="21"/>
      <c r="AM792" t="s">
        <v>53</v>
      </c>
    </row>
    <row r="793" spans="34:39" x14ac:dyDescent="0.35">
      <c r="AH793" s="21"/>
      <c r="AI793" s="21"/>
      <c r="AJ793" s="21"/>
      <c r="AK793" s="21"/>
      <c r="AM793" t="s">
        <v>53</v>
      </c>
    </row>
    <row r="794" spans="34:39" x14ac:dyDescent="0.35">
      <c r="AH794" s="21"/>
      <c r="AI794" s="21"/>
      <c r="AJ794" s="21"/>
      <c r="AK794" s="21"/>
      <c r="AM794" t="s">
        <v>53</v>
      </c>
    </row>
    <row r="795" spans="34:39" x14ac:dyDescent="0.35">
      <c r="AH795" s="21"/>
      <c r="AI795" s="21"/>
      <c r="AJ795" s="21"/>
      <c r="AK795" s="21"/>
      <c r="AM795" t="s">
        <v>53</v>
      </c>
    </row>
    <row r="796" spans="34:39" x14ac:dyDescent="0.35">
      <c r="AH796" s="21"/>
      <c r="AI796" s="21"/>
      <c r="AJ796" s="21"/>
      <c r="AK796" s="21"/>
      <c r="AM796" t="s">
        <v>53</v>
      </c>
    </row>
    <row r="797" spans="34:39" x14ac:dyDescent="0.35">
      <c r="AH797" s="21"/>
      <c r="AI797" s="21"/>
      <c r="AJ797" s="21"/>
      <c r="AK797" s="21"/>
      <c r="AM797" t="s">
        <v>53</v>
      </c>
    </row>
    <row r="798" spans="34:39" x14ac:dyDescent="0.35">
      <c r="AH798" s="21"/>
      <c r="AI798" s="21"/>
      <c r="AJ798" s="21"/>
      <c r="AK798" s="21"/>
      <c r="AM798" t="s">
        <v>53</v>
      </c>
    </row>
    <row r="799" spans="34:39" x14ac:dyDescent="0.35">
      <c r="AH799" s="21"/>
      <c r="AI799" s="21"/>
      <c r="AJ799" s="21"/>
      <c r="AK799" s="21"/>
      <c r="AM799" t="s">
        <v>53</v>
      </c>
    </row>
    <row r="800" spans="34:39" x14ac:dyDescent="0.35">
      <c r="AH800" s="21"/>
      <c r="AI800" s="21"/>
      <c r="AJ800" s="21"/>
      <c r="AK800" s="21"/>
      <c r="AM800" t="s">
        <v>53</v>
      </c>
    </row>
    <row r="801" spans="34:39" x14ac:dyDescent="0.35">
      <c r="AH801" s="21"/>
      <c r="AI801" s="21"/>
      <c r="AJ801" s="21"/>
      <c r="AK801" s="21"/>
      <c r="AM801" t="s">
        <v>53</v>
      </c>
    </row>
    <row r="802" spans="34:39" x14ac:dyDescent="0.35">
      <c r="AH802" s="21"/>
      <c r="AI802" s="21"/>
      <c r="AJ802" s="21"/>
      <c r="AK802" s="21"/>
      <c r="AM802" t="s">
        <v>53</v>
      </c>
    </row>
    <row r="803" spans="34:39" x14ac:dyDescent="0.35">
      <c r="AH803" s="21"/>
      <c r="AI803" s="21"/>
      <c r="AJ803" s="21"/>
      <c r="AK803" s="21"/>
      <c r="AM803" t="s">
        <v>53</v>
      </c>
    </row>
    <row r="804" spans="34:39" x14ac:dyDescent="0.35">
      <c r="AH804" s="21"/>
      <c r="AI804" s="21"/>
      <c r="AJ804" s="21"/>
      <c r="AK804" s="21"/>
      <c r="AM804" t="s">
        <v>53</v>
      </c>
    </row>
    <row r="805" spans="34:39" x14ac:dyDescent="0.35">
      <c r="AH805" s="21"/>
      <c r="AI805" s="21"/>
      <c r="AJ805" s="21"/>
      <c r="AK805" s="21"/>
      <c r="AM805" t="s">
        <v>53</v>
      </c>
    </row>
    <row r="806" spans="34:39" x14ac:dyDescent="0.35">
      <c r="AH806" s="21"/>
      <c r="AI806" s="21"/>
      <c r="AJ806" s="21"/>
      <c r="AK806" s="21"/>
      <c r="AM806" t="s">
        <v>53</v>
      </c>
    </row>
    <row r="807" spans="34:39" x14ac:dyDescent="0.35">
      <c r="AH807" s="21"/>
      <c r="AI807" s="21"/>
      <c r="AJ807" s="21"/>
      <c r="AK807" s="21"/>
      <c r="AM807" t="s">
        <v>53</v>
      </c>
    </row>
    <row r="808" spans="34:39" x14ac:dyDescent="0.35">
      <c r="AH808" s="21"/>
      <c r="AI808" s="21"/>
      <c r="AJ808" s="21"/>
      <c r="AK808" s="21"/>
      <c r="AM808" t="s">
        <v>53</v>
      </c>
    </row>
    <row r="809" spans="34:39" x14ac:dyDescent="0.35">
      <c r="AH809" s="21"/>
      <c r="AI809" s="21"/>
      <c r="AJ809" s="21"/>
      <c r="AK809" s="21"/>
      <c r="AM809" t="s">
        <v>53</v>
      </c>
    </row>
    <row r="810" spans="34:39" x14ac:dyDescent="0.35">
      <c r="AH810" s="21"/>
      <c r="AI810" s="21"/>
      <c r="AJ810" s="21"/>
      <c r="AK810" s="21"/>
      <c r="AM810" t="s">
        <v>53</v>
      </c>
    </row>
    <row r="811" spans="34:39" x14ac:dyDescent="0.35">
      <c r="AH811" s="21"/>
      <c r="AI811" s="21"/>
      <c r="AJ811" s="21"/>
      <c r="AK811" s="21"/>
      <c r="AM811" t="s">
        <v>53</v>
      </c>
    </row>
    <row r="812" spans="34:39" x14ac:dyDescent="0.35">
      <c r="AH812" s="21"/>
      <c r="AI812" s="21"/>
      <c r="AJ812" s="21"/>
      <c r="AK812" s="21"/>
      <c r="AM812" t="s">
        <v>53</v>
      </c>
    </row>
    <row r="813" spans="34:39" x14ac:dyDescent="0.35">
      <c r="AH813" s="21"/>
      <c r="AI813" s="21"/>
      <c r="AJ813" s="21"/>
      <c r="AK813" s="21"/>
      <c r="AM813" t="s">
        <v>53</v>
      </c>
    </row>
    <row r="814" spans="34:39" x14ac:dyDescent="0.35">
      <c r="AH814" s="21"/>
      <c r="AI814" s="21"/>
      <c r="AJ814" s="21"/>
      <c r="AK814" s="21"/>
      <c r="AM814" t="s">
        <v>53</v>
      </c>
    </row>
    <row r="815" spans="34:39" x14ac:dyDescent="0.35">
      <c r="AH815" s="21"/>
      <c r="AI815" s="21"/>
      <c r="AJ815" s="21"/>
      <c r="AK815" s="21"/>
      <c r="AM815" t="s">
        <v>53</v>
      </c>
    </row>
    <row r="816" spans="34:39" x14ac:dyDescent="0.35">
      <c r="AH816" s="21"/>
      <c r="AI816" s="21"/>
      <c r="AJ816" s="21"/>
      <c r="AK816" s="21"/>
      <c r="AM816" t="s">
        <v>53</v>
      </c>
    </row>
    <row r="817" spans="34:39" x14ac:dyDescent="0.35">
      <c r="AH817" s="21"/>
      <c r="AI817" s="21"/>
      <c r="AJ817" s="21"/>
      <c r="AK817" s="21"/>
      <c r="AM817" t="s">
        <v>53</v>
      </c>
    </row>
    <row r="818" spans="34:39" x14ac:dyDescent="0.35">
      <c r="AH818" s="21"/>
      <c r="AI818" s="21"/>
      <c r="AJ818" s="21"/>
      <c r="AK818" s="21"/>
      <c r="AM818" t="s">
        <v>53</v>
      </c>
    </row>
    <row r="819" spans="34:39" x14ac:dyDescent="0.35">
      <c r="AH819" s="21"/>
      <c r="AI819" s="21"/>
      <c r="AJ819" s="21"/>
      <c r="AK819" s="21"/>
      <c r="AM819" t="s">
        <v>53</v>
      </c>
    </row>
    <row r="820" spans="34:39" x14ac:dyDescent="0.35">
      <c r="AH820" s="21"/>
      <c r="AI820" s="21"/>
      <c r="AJ820" s="21"/>
      <c r="AK820" s="21"/>
      <c r="AM820" t="s">
        <v>53</v>
      </c>
    </row>
    <row r="821" spans="34:39" x14ac:dyDescent="0.35">
      <c r="AH821" s="21"/>
      <c r="AI821" s="21"/>
      <c r="AJ821" s="21"/>
      <c r="AK821" s="21"/>
      <c r="AM821" t="s">
        <v>53</v>
      </c>
    </row>
    <row r="822" spans="34:39" x14ac:dyDescent="0.35">
      <c r="AH822" s="21"/>
      <c r="AI822" s="21"/>
      <c r="AJ822" s="21"/>
      <c r="AK822" s="21"/>
      <c r="AM822" t="s">
        <v>53</v>
      </c>
    </row>
    <row r="823" spans="34:39" x14ac:dyDescent="0.35">
      <c r="AH823" s="21"/>
      <c r="AI823" s="21"/>
      <c r="AJ823" s="21"/>
      <c r="AK823" s="21"/>
      <c r="AM823" t="s">
        <v>53</v>
      </c>
    </row>
    <row r="824" spans="34:39" x14ac:dyDescent="0.35">
      <c r="AH824" s="21"/>
      <c r="AI824" s="21"/>
      <c r="AJ824" s="21"/>
      <c r="AK824" s="21"/>
      <c r="AM824" t="s">
        <v>53</v>
      </c>
    </row>
    <row r="825" spans="34:39" x14ac:dyDescent="0.35">
      <c r="AH825" s="21"/>
      <c r="AI825" s="21"/>
      <c r="AJ825" s="21"/>
      <c r="AK825" s="21"/>
      <c r="AM825" t="s">
        <v>53</v>
      </c>
    </row>
    <row r="826" spans="34:39" x14ac:dyDescent="0.35">
      <c r="AH826" s="21"/>
      <c r="AI826" s="21"/>
      <c r="AJ826" s="21"/>
      <c r="AK826" s="21"/>
      <c r="AM826" t="s">
        <v>53</v>
      </c>
    </row>
    <row r="827" spans="34:39" x14ac:dyDescent="0.35">
      <c r="AH827" s="21"/>
      <c r="AI827" s="21"/>
      <c r="AJ827" s="21"/>
      <c r="AK827" s="21"/>
      <c r="AM827" t="s">
        <v>53</v>
      </c>
    </row>
    <row r="828" spans="34:39" x14ac:dyDescent="0.35">
      <c r="AH828" s="21"/>
      <c r="AI828" s="21"/>
      <c r="AJ828" s="21"/>
      <c r="AK828" s="21"/>
      <c r="AM828" t="s">
        <v>53</v>
      </c>
    </row>
    <row r="829" spans="34:39" x14ac:dyDescent="0.35">
      <c r="AH829" s="21"/>
      <c r="AI829" s="21"/>
      <c r="AJ829" s="21"/>
      <c r="AK829" s="21"/>
      <c r="AM829" t="s">
        <v>53</v>
      </c>
    </row>
    <row r="830" spans="34:39" x14ac:dyDescent="0.35">
      <c r="AH830" s="21"/>
      <c r="AI830" s="21"/>
      <c r="AJ830" s="21"/>
      <c r="AK830" s="21"/>
      <c r="AM830" t="s">
        <v>53</v>
      </c>
    </row>
    <row r="831" spans="34:39" x14ac:dyDescent="0.35">
      <c r="AH831" s="21"/>
      <c r="AI831" s="21"/>
      <c r="AJ831" s="21"/>
      <c r="AK831" s="21"/>
      <c r="AM831" t="s">
        <v>53</v>
      </c>
    </row>
    <row r="832" spans="34:39" x14ac:dyDescent="0.35">
      <c r="AH832" s="21"/>
      <c r="AI832" s="21"/>
      <c r="AJ832" s="21"/>
      <c r="AK832" s="21"/>
      <c r="AM832" t="s">
        <v>53</v>
      </c>
    </row>
    <row r="833" spans="34:39" x14ac:dyDescent="0.35">
      <c r="AH833" s="21"/>
      <c r="AI833" s="21"/>
      <c r="AJ833" s="21"/>
      <c r="AK833" s="21"/>
      <c r="AM833" t="s">
        <v>53</v>
      </c>
    </row>
    <row r="834" spans="34:39" x14ac:dyDescent="0.35">
      <c r="AH834" s="21"/>
      <c r="AI834" s="21"/>
      <c r="AJ834" s="21"/>
      <c r="AK834" s="21"/>
      <c r="AM834" t="s">
        <v>53</v>
      </c>
    </row>
    <row r="835" spans="34:39" x14ac:dyDescent="0.35">
      <c r="AH835" s="21"/>
      <c r="AI835" s="21"/>
      <c r="AJ835" s="21"/>
      <c r="AK835" s="21"/>
      <c r="AM835" t="s">
        <v>53</v>
      </c>
    </row>
    <row r="836" spans="34:39" x14ac:dyDescent="0.35">
      <c r="AH836" s="21"/>
      <c r="AI836" s="21"/>
      <c r="AJ836" s="21"/>
      <c r="AK836" s="21"/>
      <c r="AM836" t="s">
        <v>53</v>
      </c>
    </row>
    <row r="837" spans="34:39" x14ac:dyDescent="0.35">
      <c r="AH837" s="21"/>
      <c r="AI837" s="21"/>
      <c r="AJ837" s="21"/>
      <c r="AK837" s="21"/>
      <c r="AM837" t="s">
        <v>53</v>
      </c>
    </row>
    <row r="838" spans="34:39" x14ac:dyDescent="0.35">
      <c r="AH838" s="21"/>
      <c r="AI838" s="21"/>
      <c r="AJ838" s="21"/>
      <c r="AK838" s="21"/>
      <c r="AM838" t="s">
        <v>53</v>
      </c>
    </row>
    <row r="839" spans="34:39" x14ac:dyDescent="0.35">
      <c r="AH839" s="21"/>
      <c r="AI839" s="21"/>
      <c r="AJ839" s="21"/>
      <c r="AK839" s="21"/>
      <c r="AM839" t="s">
        <v>53</v>
      </c>
    </row>
    <row r="840" spans="34:39" x14ac:dyDescent="0.35">
      <c r="AH840" s="21"/>
      <c r="AI840" s="21"/>
      <c r="AJ840" s="21"/>
      <c r="AK840" s="21"/>
      <c r="AM840" t="s">
        <v>53</v>
      </c>
    </row>
    <row r="841" spans="34:39" x14ac:dyDescent="0.35">
      <c r="AH841" s="21"/>
      <c r="AI841" s="21"/>
      <c r="AJ841" s="21"/>
      <c r="AK841" s="21"/>
      <c r="AM841" t="s">
        <v>53</v>
      </c>
    </row>
    <row r="842" spans="34:39" x14ac:dyDescent="0.35">
      <c r="AH842" s="21"/>
      <c r="AI842" s="21"/>
      <c r="AJ842" s="21"/>
      <c r="AK842" s="21"/>
      <c r="AM842" t="s">
        <v>53</v>
      </c>
    </row>
    <row r="843" spans="34:39" x14ac:dyDescent="0.35">
      <c r="AH843" s="21"/>
      <c r="AI843" s="21"/>
      <c r="AJ843" s="21"/>
      <c r="AK843" s="21"/>
      <c r="AM843" t="s">
        <v>53</v>
      </c>
    </row>
    <row r="844" spans="34:39" x14ac:dyDescent="0.35">
      <c r="AH844" s="21"/>
      <c r="AI844" s="21"/>
      <c r="AJ844" s="21"/>
      <c r="AK844" s="21"/>
      <c r="AM844" t="s">
        <v>53</v>
      </c>
    </row>
    <row r="845" spans="34:39" x14ac:dyDescent="0.35">
      <c r="AH845" s="21"/>
      <c r="AI845" s="21"/>
      <c r="AJ845" s="21"/>
      <c r="AK845" s="21"/>
      <c r="AM845" t="s">
        <v>53</v>
      </c>
    </row>
    <row r="846" spans="34:39" x14ac:dyDescent="0.35">
      <c r="AH846" s="21"/>
      <c r="AI846" s="21"/>
      <c r="AJ846" s="21"/>
      <c r="AK846" s="21"/>
      <c r="AM846" t="s">
        <v>53</v>
      </c>
    </row>
    <row r="847" spans="34:39" x14ac:dyDescent="0.35">
      <c r="AH847" s="21"/>
      <c r="AI847" s="21"/>
      <c r="AJ847" s="21"/>
      <c r="AK847" s="21"/>
      <c r="AM847" t="s">
        <v>53</v>
      </c>
    </row>
    <row r="848" spans="34:39" x14ac:dyDescent="0.35">
      <c r="AH848" s="21"/>
      <c r="AI848" s="21"/>
      <c r="AJ848" s="21"/>
      <c r="AK848" s="21"/>
      <c r="AM848" t="s">
        <v>53</v>
      </c>
    </row>
    <row r="849" spans="34:39" x14ac:dyDescent="0.35">
      <c r="AH849" s="21"/>
      <c r="AI849" s="21"/>
      <c r="AJ849" s="21"/>
      <c r="AK849" s="21"/>
      <c r="AM849" t="s">
        <v>53</v>
      </c>
    </row>
    <row r="850" spans="34:39" x14ac:dyDescent="0.35">
      <c r="AH850" s="21"/>
      <c r="AI850" s="21"/>
      <c r="AJ850" s="21"/>
      <c r="AK850" s="21"/>
      <c r="AM850" t="s">
        <v>53</v>
      </c>
    </row>
    <row r="851" spans="34:39" x14ac:dyDescent="0.35">
      <c r="AH851" s="21"/>
      <c r="AI851" s="21"/>
      <c r="AJ851" s="21"/>
      <c r="AK851" s="21"/>
      <c r="AM851" t="s">
        <v>53</v>
      </c>
    </row>
    <row r="852" spans="34:39" x14ac:dyDescent="0.35">
      <c r="AH852" s="21"/>
      <c r="AI852" s="21"/>
      <c r="AJ852" s="21"/>
      <c r="AK852" s="21"/>
      <c r="AM852" t="s">
        <v>53</v>
      </c>
    </row>
    <row r="853" spans="34:39" x14ac:dyDescent="0.35">
      <c r="AH853" s="21"/>
      <c r="AI853" s="21"/>
      <c r="AJ853" s="21"/>
      <c r="AK853" s="21"/>
      <c r="AM853" t="s">
        <v>53</v>
      </c>
    </row>
    <row r="854" spans="34:39" x14ac:dyDescent="0.35">
      <c r="AH854" s="21"/>
      <c r="AI854" s="21"/>
      <c r="AJ854" s="21"/>
      <c r="AK854" s="21"/>
      <c r="AM854" t="s">
        <v>53</v>
      </c>
    </row>
    <row r="855" spans="34:39" x14ac:dyDescent="0.35">
      <c r="AH855" s="21"/>
      <c r="AI855" s="21"/>
      <c r="AJ855" s="21"/>
      <c r="AK855" s="21"/>
      <c r="AM855" t="s">
        <v>53</v>
      </c>
    </row>
    <row r="856" spans="34:39" x14ac:dyDescent="0.35">
      <c r="AH856" s="21"/>
      <c r="AI856" s="21"/>
      <c r="AJ856" s="21"/>
      <c r="AK856" s="21"/>
      <c r="AM856" t="s">
        <v>53</v>
      </c>
    </row>
    <row r="857" spans="34:39" x14ac:dyDescent="0.35">
      <c r="AH857" s="21"/>
      <c r="AI857" s="21"/>
      <c r="AJ857" s="21"/>
      <c r="AK857" s="21"/>
      <c r="AM857" t="s">
        <v>53</v>
      </c>
    </row>
    <row r="858" spans="34:39" x14ac:dyDescent="0.35">
      <c r="AH858" s="21"/>
      <c r="AI858" s="21"/>
      <c r="AJ858" s="21"/>
      <c r="AK858" s="21"/>
      <c r="AM858" t="s">
        <v>53</v>
      </c>
    </row>
    <row r="859" spans="34:39" x14ac:dyDescent="0.35">
      <c r="AH859" s="21"/>
      <c r="AI859" s="21"/>
      <c r="AJ859" s="21"/>
      <c r="AK859" s="21"/>
      <c r="AM859" t="s">
        <v>53</v>
      </c>
    </row>
    <row r="860" spans="34:39" x14ac:dyDescent="0.35">
      <c r="AH860" s="21"/>
      <c r="AI860" s="21"/>
      <c r="AJ860" s="21"/>
      <c r="AK860" s="21"/>
      <c r="AM860" t="s">
        <v>53</v>
      </c>
    </row>
    <row r="861" spans="34:39" x14ac:dyDescent="0.35">
      <c r="AH861" s="21"/>
      <c r="AI861" s="21"/>
      <c r="AJ861" s="21"/>
      <c r="AK861" s="21"/>
      <c r="AM861" t="s">
        <v>53</v>
      </c>
    </row>
    <row r="862" spans="34:39" x14ac:dyDescent="0.35">
      <c r="AH862" s="21"/>
      <c r="AI862" s="21"/>
      <c r="AJ862" s="21"/>
      <c r="AK862" s="21"/>
      <c r="AM862" t="s">
        <v>53</v>
      </c>
    </row>
    <row r="863" spans="34:39" x14ac:dyDescent="0.35">
      <c r="AH863" s="21"/>
      <c r="AI863" s="21"/>
      <c r="AJ863" s="21"/>
      <c r="AK863" s="21"/>
      <c r="AM863" t="s">
        <v>53</v>
      </c>
    </row>
    <row r="864" spans="34:39" x14ac:dyDescent="0.35">
      <c r="AH864" s="21"/>
      <c r="AI864" s="21"/>
      <c r="AJ864" s="21"/>
      <c r="AK864" s="21"/>
      <c r="AM864" t="s">
        <v>53</v>
      </c>
    </row>
    <row r="865" spans="34:39" x14ac:dyDescent="0.35">
      <c r="AH865" s="21"/>
      <c r="AI865" s="21"/>
      <c r="AJ865" s="21"/>
      <c r="AK865" s="21"/>
      <c r="AM865" t="s">
        <v>53</v>
      </c>
    </row>
    <row r="866" spans="34:39" x14ac:dyDescent="0.35">
      <c r="AH866" s="21"/>
      <c r="AI866" s="21"/>
      <c r="AJ866" s="21"/>
      <c r="AK866" s="21"/>
      <c r="AM866" t="s">
        <v>53</v>
      </c>
    </row>
    <row r="867" spans="34:39" x14ac:dyDescent="0.35">
      <c r="AH867" s="21"/>
      <c r="AI867" s="21"/>
      <c r="AJ867" s="21"/>
      <c r="AK867" s="21"/>
      <c r="AM867" t="s">
        <v>53</v>
      </c>
    </row>
    <row r="868" spans="34:39" x14ac:dyDescent="0.35">
      <c r="AH868" s="21"/>
      <c r="AI868" s="21"/>
      <c r="AJ868" s="21"/>
      <c r="AK868" s="21"/>
      <c r="AM868" t="s">
        <v>53</v>
      </c>
    </row>
    <row r="869" spans="34:39" x14ac:dyDescent="0.35">
      <c r="AH869" s="21"/>
      <c r="AI869" s="21"/>
      <c r="AJ869" s="21"/>
      <c r="AK869" s="21"/>
      <c r="AM869" t="s">
        <v>53</v>
      </c>
    </row>
    <row r="870" spans="34:39" x14ac:dyDescent="0.35">
      <c r="AH870" s="21"/>
      <c r="AI870" s="21"/>
      <c r="AJ870" s="21"/>
      <c r="AK870" s="21"/>
      <c r="AM870" t="s">
        <v>53</v>
      </c>
    </row>
    <row r="871" spans="34:39" x14ac:dyDescent="0.35">
      <c r="AH871" s="21"/>
      <c r="AI871" s="21"/>
      <c r="AJ871" s="21"/>
      <c r="AK871" s="21"/>
      <c r="AM871" t="s">
        <v>53</v>
      </c>
    </row>
    <row r="872" spans="34:39" x14ac:dyDescent="0.35">
      <c r="AH872" s="21"/>
      <c r="AI872" s="21"/>
      <c r="AJ872" s="21"/>
      <c r="AK872" s="21"/>
      <c r="AM872" t="s">
        <v>53</v>
      </c>
    </row>
    <row r="873" spans="34:39" x14ac:dyDescent="0.35">
      <c r="AH873" s="21"/>
      <c r="AI873" s="21"/>
      <c r="AJ873" s="21"/>
      <c r="AK873" s="21"/>
      <c r="AM873" t="s">
        <v>53</v>
      </c>
    </row>
    <row r="874" spans="34:39" x14ac:dyDescent="0.35">
      <c r="AH874" s="21"/>
      <c r="AI874" s="21"/>
      <c r="AJ874" s="21"/>
      <c r="AK874" s="21"/>
      <c r="AM874" t="s">
        <v>53</v>
      </c>
    </row>
    <row r="875" spans="34:39" x14ac:dyDescent="0.35">
      <c r="AH875" s="21"/>
      <c r="AI875" s="21"/>
      <c r="AJ875" s="21"/>
      <c r="AK875" s="21"/>
      <c r="AM875" t="s">
        <v>53</v>
      </c>
    </row>
    <row r="876" spans="34:39" x14ac:dyDescent="0.35">
      <c r="AH876" s="21"/>
      <c r="AI876" s="21"/>
      <c r="AJ876" s="21"/>
      <c r="AK876" s="21"/>
      <c r="AM876" t="s">
        <v>53</v>
      </c>
    </row>
    <row r="877" spans="34:39" x14ac:dyDescent="0.35">
      <c r="AH877" s="21"/>
      <c r="AI877" s="21"/>
      <c r="AJ877" s="21"/>
      <c r="AK877" s="21"/>
      <c r="AM877" t="s">
        <v>53</v>
      </c>
    </row>
    <row r="878" spans="34:39" x14ac:dyDescent="0.35">
      <c r="AH878" s="21"/>
      <c r="AI878" s="21"/>
      <c r="AJ878" s="21"/>
      <c r="AK878" s="21"/>
      <c r="AM878" t="s">
        <v>53</v>
      </c>
    </row>
    <row r="879" spans="34:39" x14ac:dyDescent="0.35">
      <c r="AH879" s="21"/>
      <c r="AI879" s="21"/>
      <c r="AJ879" s="21"/>
      <c r="AK879" s="21"/>
      <c r="AM879" t="s">
        <v>53</v>
      </c>
    </row>
    <row r="880" spans="34:39" x14ac:dyDescent="0.35">
      <c r="AH880" s="21"/>
      <c r="AI880" s="21"/>
      <c r="AJ880" s="21"/>
      <c r="AK880" s="21"/>
      <c r="AM880" t="s">
        <v>53</v>
      </c>
    </row>
    <row r="881" spans="34:39" x14ac:dyDescent="0.35">
      <c r="AH881" s="21"/>
      <c r="AI881" s="21"/>
      <c r="AJ881" s="21"/>
      <c r="AK881" s="21"/>
      <c r="AM881" t="s">
        <v>53</v>
      </c>
    </row>
    <row r="882" spans="34:39" x14ac:dyDescent="0.35">
      <c r="AH882" s="21"/>
      <c r="AI882" s="21"/>
      <c r="AJ882" s="21"/>
      <c r="AK882" s="21"/>
      <c r="AM882" t="s">
        <v>53</v>
      </c>
    </row>
    <row r="883" spans="34:39" x14ac:dyDescent="0.35">
      <c r="AH883" s="21"/>
      <c r="AI883" s="21"/>
      <c r="AJ883" s="21"/>
      <c r="AK883" s="21"/>
      <c r="AM883" t="s">
        <v>53</v>
      </c>
    </row>
    <row r="884" spans="34:39" x14ac:dyDescent="0.35">
      <c r="AH884" s="21"/>
      <c r="AI884" s="21"/>
      <c r="AJ884" s="21"/>
      <c r="AK884" s="21"/>
      <c r="AM884" t="s">
        <v>53</v>
      </c>
    </row>
    <row r="885" spans="34:39" x14ac:dyDescent="0.35">
      <c r="AH885" s="21"/>
      <c r="AI885" s="21"/>
      <c r="AJ885" s="21"/>
      <c r="AK885" s="21"/>
      <c r="AM885" t="s">
        <v>53</v>
      </c>
    </row>
    <row r="886" spans="34:39" x14ac:dyDescent="0.35">
      <c r="AH886" s="21"/>
      <c r="AI886" s="21"/>
      <c r="AJ886" s="21"/>
      <c r="AK886" s="21"/>
      <c r="AM886" t="s">
        <v>53</v>
      </c>
    </row>
    <row r="887" spans="34:39" x14ac:dyDescent="0.35">
      <c r="AH887" s="21"/>
      <c r="AI887" s="21"/>
      <c r="AJ887" s="21"/>
      <c r="AK887" s="21"/>
      <c r="AM887" t="s">
        <v>53</v>
      </c>
    </row>
    <row r="888" spans="34:39" x14ac:dyDescent="0.35">
      <c r="AH888" s="21"/>
      <c r="AI888" s="21"/>
      <c r="AJ888" s="21"/>
      <c r="AK888" s="21"/>
      <c r="AM888" t="s">
        <v>53</v>
      </c>
    </row>
    <row r="889" spans="34:39" x14ac:dyDescent="0.35">
      <c r="AH889" s="21"/>
      <c r="AI889" s="21"/>
      <c r="AJ889" s="21"/>
      <c r="AK889" s="21"/>
      <c r="AM889" t="s">
        <v>53</v>
      </c>
    </row>
    <row r="890" spans="34:39" x14ac:dyDescent="0.35">
      <c r="AH890" s="21"/>
      <c r="AI890" s="21"/>
      <c r="AJ890" s="21"/>
      <c r="AK890" s="21"/>
      <c r="AM890" t="s">
        <v>53</v>
      </c>
    </row>
    <row r="891" spans="34:39" x14ac:dyDescent="0.35">
      <c r="AH891" s="21"/>
      <c r="AI891" s="21"/>
      <c r="AJ891" s="21"/>
      <c r="AK891" s="21"/>
      <c r="AM891" t="s">
        <v>53</v>
      </c>
    </row>
    <row r="892" spans="34:39" x14ac:dyDescent="0.35">
      <c r="AH892" s="21"/>
      <c r="AI892" s="21"/>
      <c r="AJ892" s="21"/>
      <c r="AK892" s="21"/>
      <c r="AM892" t="s">
        <v>53</v>
      </c>
    </row>
    <row r="893" spans="34:39" x14ac:dyDescent="0.35">
      <c r="AH893" s="21"/>
      <c r="AI893" s="21"/>
      <c r="AJ893" s="21"/>
      <c r="AK893" s="21"/>
      <c r="AM893" t="s">
        <v>53</v>
      </c>
    </row>
    <row r="894" spans="34:39" x14ac:dyDescent="0.35">
      <c r="AH894" s="21"/>
      <c r="AI894" s="21"/>
      <c r="AJ894" s="21"/>
      <c r="AK894" s="21"/>
      <c r="AM894" t="s">
        <v>53</v>
      </c>
    </row>
    <row r="895" spans="34:39" x14ac:dyDescent="0.35">
      <c r="AH895" s="21"/>
      <c r="AI895" s="21"/>
      <c r="AJ895" s="21"/>
      <c r="AK895" s="21"/>
      <c r="AM895" t="s">
        <v>53</v>
      </c>
    </row>
    <row r="896" spans="34:39" x14ac:dyDescent="0.35">
      <c r="AH896" s="21"/>
      <c r="AI896" s="21"/>
      <c r="AJ896" s="21"/>
      <c r="AK896" s="21"/>
      <c r="AM896" t="s">
        <v>53</v>
      </c>
    </row>
    <row r="897" spans="34:39" x14ac:dyDescent="0.35">
      <c r="AH897" s="21"/>
      <c r="AI897" s="21"/>
      <c r="AJ897" s="21"/>
      <c r="AK897" s="21"/>
      <c r="AM897" t="s">
        <v>53</v>
      </c>
    </row>
    <row r="898" spans="34:39" x14ac:dyDescent="0.35">
      <c r="AH898" s="21"/>
      <c r="AI898" s="21"/>
      <c r="AJ898" s="21"/>
      <c r="AK898" s="21"/>
      <c r="AM898" t="s">
        <v>53</v>
      </c>
    </row>
    <row r="899" spans="34:39" x14ac:dyDescent="0.35">
      <c r="AH899" s="21"/>
      <c r="AI899" s="21"/>
      <c r="AJ899" s="21"/>
      <c r="AK899" s="21"/>
      <c r="AM899" t="s">
        <v>53</v>
      </c>
    </row>
    <row r="900" spans="34:39" x14ac:dyDescent="0.35">
      <c r="AH900" s="21"/>
      <c r="AI900" s="21"/>
      <c r="AJ900" s="21"/>
      <c r="AK900" s="21"/>
      <c r="AM900" t="s">
        <v>53</v>
      </c>
    </row>
    <row r="901" spans="34:39" x14ac:dyDescent="0.35">
      <c r="AH901" s="21"/>
      <c r="AI901" s="21"/>
      <c r="AJ901" s="21"/>
      <c r="AK901" s="21"/>
      <c r="AM901" t="s">
        <v>53</v>
      </c>
    </row>
    <row r="902" spans="34:39" x14ac:dyDescent="0.35">
      <c r="AH902" s="21"/>
      <c r="AI902" s="21"/>
      <c r="AJ902" s="21"/>
      <c r="AK902" s="21"/>
      <c r="AM902" t="s">
        <v>53</v>
      </c>
    </row>
    <row r="903" spans="34:39" x14ac:dyDescent="0.35">
      <c r="AH903" s="21"/>
      <c r="AI903" s="21"/>
      <c r="AJ903" s="21"/>
      <c r="AK903" s="21"/>
      <c r="AM903" t="s">
        <v>53</v>
      </c>
    </row>
    <row r="904" spans="34:39" x14ac:dyDescent="0.35">
      <c r="AH904" s="21"/>
      <c r="AI904" s="21"/>
      <c r="AJ904" s="21"/>
      <c r="AK904" s="21"/>
      <c r="AM904" t="s">
        <v>53</v>
      </c>
    </row>
    <row r="905" spans="34:39" x14ac:dyDescent="0.35">
      <c r="AH905" s="21"/>
      <c r="AI905" s="21"/>
      <c r="AJ905" s="21"/>
      <c r="AK905" s="21"/>
      <c r="AM905" t="s">
        <v>53</v>
      </c>
    </row>
    <row r="906" spans="34:39" x14ac:dyDescent="0.35">
      <c r="AH906" s="21"/>
      <c r="AI906" s="21"/>
      <c r="AJ906" s="21"/>
      <c r="AK906" s="21"/>
      <c r="AM906" t="s">
        <v>53</v>
      </c>
    </row>
    <row r="907" spans="34:39" x14ac:dyDescent="0.35">
      <c r="AH907" s="21"/>
      <c r="AI907" s="21"/>
      <c r="AJ907" s="21"/>
      <c r="AK907" s="21"/>
      <c r="AM907" t="s">
        <v>53</v>
      </c>
    </row>
    <row r="908" spans="34:39" x14ac:dyDescent="0.35">
      <c r="AH908" s="21"/>
      <c r="AI908" s="21"/>
      <c r="AJ908" s="21"/>
      <c r="AK908" s="21"/>
      <c r="AM908" t="s">
        <v>53</v>
      </c>
    </row>
    <row r="909" spans="34:39" x14ac:dyDescent="0.35">
      <c r="AH909" s="21"/>
      <c r="AI909" s="21"/>
      <c r="AJ909" s="21"/>
      <c r="AK909" s="21"/>
      <c r="AM909" t="s">
        <v>53</v>
      </c>
    </row>
    <row r="910" spans="34:39" x14ac:dyDescent="0.35">
      <c r="AH910" s="21"/>
      <c r="AI910" s="21"/>
      <c r="AJ910" s="21"/>
      <c r="AK910" s="21"/>
      <c r="AM910" t="s">
        <v>53</v>
      </c>
    </row>
    <row r="911" spans="34:39" x14ac:dyDescent="0.35">
      <c r="AH911" s="21"/>
      <c r="AI911" s="21"/>
      <c r="AJ911" s="21"/>
      <c r="AK911" s="21"/>
      <c r="AM911" t="s">
        <v>53</v>
      </c>
    </row>
    <row r="912" spans="34:39" x14ac:dyDescent="0.35">
      <c r="AH912" s="21"/>
      <c r="AI912" s="21"/>
      <c r="AJ912" s="21"/>
      <c r="AK912" s="21"/>
      <c r="AM912" t="s">
        <v>53</v>
      </c>
    </row>
    <row r="913" spans="34:39" x14ac:dyDescent="0.35">
      <c r="AH913" s="21"/>
      <c r="AI913" s="21"/>
      <c r="AJ913" s="21"/>
      <c r="AK913" s="21"/>
      <c r="AM913" t="s">
        <v>53</v>
      </c>
    </row>
    <row r="914" spans="34:39" x14ac:dyDescent="0.35">
      <c r="AH914" s="21"/>
      <c r="AI914" s="21"/>
      <c r="AJ914" s="21"/>
      <c r="AK914" s="21"/>
      <c r="AM914" t="s">
        <v>53</v>
      </c>
    </row>
    <row r="915" spans="34:39" x14ac:dyDescent="0.35">
      <c r="AH915" s="21"/>
      <c r="AI915" s="21"/>
      <c r="AJ915" s="21"/>
      <c r="AK915" s="21"/>
      <c r="AM915" t="s">
        <v>53</v>
      </c>
    </row>
    <row r="916" spans="34:39" x14ac:dyDescent="0.35">
      <c r="AH916" s="21"/>
      <c r="AI916" s="21"/>
      <c r="AJ916" s="21"/>
      <c r="AK916" s="21"/>
      <c r="AM916" t="s">
        <v>53</v>
      </c>
    </row>
    <row r="917" spans="34:39" x14ac:dyDescent="0.35">
      <c r="AH917" s="21"/>
      <c r="AI917" s="21"/>
      <c r="AJ917" s="21"/>
      <c r="AK917" s="21"/>
      <c r="AM917" t="s">
        <v>53</v>
      </c>
    </row>
    <row r="918" spans="34:39" x14ac:dyDescent="0.35">
      <c r="AH918" s="21"/>
      <c r="AI918" s="21"/>
      <c r="AJ918" s="21"/>
      <c r="AK918" s="21"/>
      <c r="AM918" t="s">
        <v>53</v>
      </c>
    </row>
    <row r="919" spans="34:39" x14ac:dyDescent="0.35">
      <c r="AH919" s="21"/>
      <c r="AI919" s="21"/>
      <c r="AJ919" s="21"/>
      <c r="AK919" s="21"/>
      <c r="AM919" t="s">
        <v>53</v>
      </c>
    </row>
    <row r="920" spans="34:39" x14ac:dyDescent="0.35">
      <c r="AH920" s="21"/>
      <c r="AI920" s="21"/>
      <c r="AJ920" s="21"/>
      <c r="AK920" s="21"/>
      <c r="AM920" t="s">
        <v>53</v>
      </c>
    </row>
    <row r="921" spans="34:39" x14ac:dyDescent="0.35">
      <c r="AH921" s="21"/>
      <c r="AI921" s="21"/>
      <c r="AJ921" s="21"/>
      <c r="AK921" s="21"/>
      <c r="AM921" t="s">
        <v>53</v>
      </c>
    </row>
    <row r="922" spans="34:39" x14ac:dyDescent="0.35">
      <c r="AH922" s="21"/>
      <c r="AI922" s="21"/>
      <c r="AJ922" s="21"/>
      <c r="AK922" s="21"/>
      <c r="AM922" t="s">
        <v>53</v>
      </c>
    </row>
    <row r="923" spans="34:39" x14ac:dyDescent="0.35">
      <c r="AH923" s="21"/>
      <c r="AI923" s="21"/>
      <c r="AJ923" s="21"/>
      <c r="AK923" s="21"/>
      <c r="AM923" t="s">
        <v>53</v>
      </c>
    </row>
    <row r="924" spans="34:39" x14ac:dyDescent="0.35">
      <c r="AH924" s="21"/>
      <c r="AI924" s="21"/>
      <c r="AJ924" s="21"/>
      <c r="AK924" s="21"/>
      <c r="AM924" t="s">
        <v>53</v>
      </c>
    </row>
    <row r="925" spans="34:39" x14ac:dyDescent="0.35">
      <c r="AH925" s="21"/>
      <c r="AI925" s="21"/>
      <c r="AJ925" s="21"/>
      <c r="AK925" s="21"/>
      <c r="AM925" t="s">
        <v>53</v>
      </c>
    </row>
    <row r="926" spans="34:39" x14ac:dyDescent="0.35">
      <c r="AH926" s="21"/>
      <c r="AI926" s="21"/>
      <c r="AJ926" s="21"/>
      <c r="AK926" s="21"/>
      <c r="AM926" t="s">
        <v>53</v>
      </c>
    </row>
    <row r="927" spans="34:39" x14ac:dyDescent="0.35">
      <c r="AH927" s="21"/>
      <c r="AI927" s="21"/>
      <c r="AJ927" s="21"/>
      <c r="AK927" s="21"/>
      <c r="AM927" t="s">
        <v>53</v>
      </c>
    </row>
    <row r="928" spans="34:39" x14ac:dyDescent="0.35">
      <c r="AH928" s="21"/>
      <c r="AI928" s="21"/>
      <c r="AJ928" s="21"/>
      <c r="AK928" s="21"/>
      <c r="AM928" t="s">
        <v>53</v>
      </c>
    </row>
    <row r="929" spans="34:39" x14ac:dyDescent="0.35">
      <c r="AH929" s="21"/>
      <c r="AI929" s="21"/>
      <c r="AJ929" s="21"/>
      <c r="AK929" s="21"/>
      <c r="AM929" t="s">
        <v>53</v>
      </c>
    </row>
    <row r="930" spans="34:39" x14ac:dyDescent="0.35">
      <c r="AH930" s="21"/>
      <c r="AI930" s="21"/>
      <c r="AJ930" s="21"/>
      <c r="AK930" s="21"/>
      <c r="AM930" t="s">
        <v>53</v>
      </c>
    </row>
    <row r="931" spans="34:39" x14ac:dyDescent="0.35">
      <c r="AH931" s="21"/>
      <c r="AI931" s="21"/>
      <c r="AJ931" s="21"/>
      <c r="AK931" s="21"/>
      <c r="AM931" t="s">
        <v>53</v>
      </c>
    </row>
    <row r="932" spans="34:39" x14ac:dyDescent="0.35">
      <c r="AH932" s="21"/>
      <c r="AI932" s="21"/>
      <c r="AJ932" s="21"/>
      <c r="AK932" s="21"/>
      <c r="AM932" t="s">
        <v>53</v>
      </c>
    </row>
    <row r="933" spans="34:39" x14ac:dyDescent="0.35">
      <c r="AH933" s="21"/>
      <c r="AI933" s="21"/>
      <c r="AJ933" s="21"/>
      <c r="AK933" s="21"/>
      <c r="AM933" t="s">
        <v>53</v>
      </c>
    </row>
    <row r="934" spans="34:39" x14ac:dyDescent="0.35">
      <c r="AH934" s="21"/>
      <c r="AI934" s="21"/>
      <c r="AJ934" s="21"/>
      <c r="AK934" s="21"/>
      <c r="AM934" t="s">
        <v>53</v>
      </c>
    </row>
    <row r="935" spans="34:39" x14ac:dyDescent="0.35">
      <c r="AH935" s="21"/>
      <c r="AI935" s="21"/>
      <c r="AJ935" s="21"/>
      <c r="AK935" s="21"/>
      <c r="AM935" t="s">
        <v>53</v>
      </c>
    </row>
    <row r="936" spans="34:39" x14ac:dyDescent="0.35">
      <c r="AH936" s="21"/>
      <c r="AI936" s="21"/>
      <c r="AJ936" s="21"/>
      <c r="AK936" s="21"/>
      <c r="AM936" t="s">
        <v>53</v>
      </c>
    </row>
    <row r="937" spans="34:39" x14ac:dyDescent="0.35">
      <c r="AH937" s="21"/>
      <c r="AI937" s="21"/>
      <c r="AJ937" s="21"/>
      <c r="AK937" s="21"/>
      <c r="AM937" t="s">
        <v>53</v>
      </c>
    </row>
    <row r="938" spans="34:39" x14ac:dyDescent="0.35">
      <c r="AH938" s="21"/>
      <c r="AI938" s="21"/>
      <c r="AJ938" s="21"/>
      <c r="AK938" s="21"/>
      <c r="AM938" t="s">
        <v>53</v>
      </c>
    </row>
    <row r="939" spans="34:39" x14ac:dyDescent="0.35">
      <c r="AH939" s="21"/>
      <c r="AI939" s="21"/>
      <c r="AJ939" s="21"/>
      <c r="AK939" s="21"/>
      <c r="AM939" t="s">
        <v>53</v>
      </c>
    </row>
    <row r="940" spans="34:39" x14ac:dyDescent="0.35">
      <c r="AH940" s="21"/>
      <c r="AI940" s="21"/>
      <c r="AJ940" s="21"/>
      <c r="AK940" s="21"/>
      <c r="AM940" t="s">
        <v>53</v>
      </c>
    </row>
    <row r="941" spans="34:39" x14ac:dyDescent="0.35">
      <c r="AH941" s="21"/>
      <c r="AI941" s="21"/>
      <c r="AJ941" s="21"/>
      <c r="AK941" s="21"/>
      <c r="AM941" t="s">
        <v>53</v>
      </c>
    </row>
    <row r="942" spans="34:39" x14ac:dyDescent="0.35">
      <c r="AH942" s="21"/>
      <c r="AI942" s="21"/>
      <c r="AJ942" s="21"/>
      <c r="AK942" s="21"/>
      <c r="AM942" t="s">
        <v>53</v>
      </c>
    </row>
    <row r="943" spans="34:39" x14ac:dyDescent="0.35">
      <c r="AH943" s="21"/>
      <c r="AI943" s="21"/>
      <c r="AJ943" s="21"/>
      <c r="AK943" s="21"/>
      <c r="AM943" t="s">
        <v>53</v>
      </c>
    </row>
    <row r="944" spans="34:39" x14ac:dyDescent="0.35">
      <c r="AH944" s="21"/>
      <c r="AI944" s="21"/>
      <c r="AJ944" s="21"/>
      <c r="AK944" s="21"/>
      <c r="AM944" t="s">
        <v>53</v>
      </c>
    </row>
    <row r="945" spans="34:39" x14ac:dyDescent="0.35">
      <c r="AH945" s="21"/>
      <c r="AI945" s="21"/>
      <c r="AJ945" s="21"/>
      <c r="AK945" s="21"/>
      <c r="AM945" t="s">
        <v>53</v>
      </c>
    </row>
    <row r="946" spans="34:39" x14ac:dyDescent="0.35">
      <c r="AH946" s="21"/>
      <c r="AI946" s="21"/>
      <c r="AJ946" s="21"/>
      <c r="AK946" s="21"/>
      <c r="AM946" t="s">
        <v>53</v>
      </c>
    </row>
    <row r="947" spans="34:39" x14ac:dyDescent="0.35">
      <c r="AH947" s="21"/>
      <c r="AI947" s="21"/>
      <c r="AJ947" s="21"/>
      <c r="AK947" s="21"/>
      <c r="AM947" t="s">
        <v>53</v>
      </c>
    </row>
    <row r="948" spans="34:39" x14ac:dyDescent="0.35">
      <c r="AH948" s="21"/>
      <c r="AI948" s="21"/>
      <c r="AJ948" s="21"/>
      <c r="AK948" s="21"/>
      <c r="AM948" t="s">
        <v>53</v>
      </c>
    </row>
    <row r="949" spans="34:39" x14ac:dyDescent="0.35">
      <c r="AH949" s="21"/>
      <c r="AI949" s="21"/>
      <c r="AJ949" s="21"/>
      <c r="AK949" s="21"/>
      <c r="AM949" t="s">
        <v>53</v>
      </c>
    </row>
    <row r="950" spans="34:39" x14ac:dyDescent="0.35">
      <c r="AH950" s="21"/>
      <c r="AI950" s="21"/>
      <c r="AJ950" s="21"/>
      <c r="AK950" s="21"/>
      <c r="AM950" t="s">
        <v>53</v>
      </c>
    </row>
    <row r="951" spans="34:39" x14ac:dyDescent="0.35">
      <c r="AH951" s="21"/>
      <c r="AI951" s="21"/>
      <c r="AJ951" s="21"/>
      <c r="AK951" s="21"/>
      <c r="AM951" t="s">
        <v>53</v>
      </c>
    </row>
    <row r="952" spans="34:39" x14ac:dyDescent="0.35">
      <c r="AH952" s="21"/>
      <c r="AI952" s="21"/>
      <c r="AJ952" s="21"/>
      <c r="AK952" s="21"/>
      <c r="AM952" t="s">
        <v>53</v>
      </c>
    </row>
    <row r="953" spans="34:39" x14ac:dyDescent="0.35">
      <c r="AH953" s="21"/>
      <c r="AI953" s="21"/>
      <c r="AJ953" s="21"/>
      <c r="AK953" s="21"/>
      <c r="AM953" t="s">
        <v>53</v>
      </c>
    </row>
    <row r="954" spans="34:39" x14ac:dyDescent="0.35">
      <c r="AH954" s="21"/>
      <c r="AI954" s="21"/>
      <c r="AJ954" s="21"/>
      <c r="AK954" s="21"/>
      <c r="AM954" t="s">
        <v>53</v>
      </c>
    </row>
    <row r="955" spans="34:39" x14ac:dyDescent="0.35">
      <c r="AH955" s="21"/>
      <c r="AI955" s="21"/>
      <c r="AJ955" s="21"/>
      <c r="AK955" s="21"/>
      <c r="AM955" t="s">
        <v>53</v>
      </c>
    </row>
    <row r="956" spans="34:39" x14ac:dyDescent="0.35">
      <c r="AH956" s="21"/>
      <c r="AI956" s="21"/>
      <c r="AJ956" s="21"/>
      <c r="AK956" s="21"/>
      <c r="AM956" t="s">
        <v>53</v>
      </c>
    </row>
    <row r="957" spans="34:39" x14ac:dyDescent="0.35">
      <c r="AH957" s="21"/>
      <c r="AI957" s="21"/>
      <c r="AJ957" s="21"/>
      <c r="AK957" s="21"/>
      <c r="AM957" t="s">
        <v>53</v>
      </c>
    </row>
    <row r="958" spans="34:39" x14ac:dyDescent="0.35">
      <c r="AH958" s="21"/>
      <c r="AI958" s="21"/>
      <c r="AJ958" s="21"/>
      <c r="AK958" s="21"/>
      <c r="AM958" t="s">
        <v>53</v>
      </c>
    </row>
    <row r="959" spans="34:39" x14ac:dyDescent="0.35">
      <c r="AH959" s="21"/>
      <c r="AI959" s="21"/>
      <c r="AJ959" s="21"/>
      <c r="AK959" s="21"/>
      <c r="AM959" t="s">
        <v>53</v>
      </c>
    </row>
    <row r="960" spans="34:39" x14ac:dyDescent="0.35">
      <c r="AH960" s="21"/>
      <c r="AI960" s="21"/>
      <c r="AJ960" s="21"/>
      <c r="AK960" s="21"/>
      <c r="AM960" t="s">
        <v>53</v>
      </c>
    </row>
    <row r="961" spans="34:39" x14ac:dyDescent="0.35">
      <c r="AH961" s="21"/>
      <c r="AI961" s="21"/>
      <c r="AJ961" s="21"/>
      <c r="AK961" s="21"/>
      <c r="AM961" t="s">
        <v>53</v>
      </c>
    </row>
    <row r="962" spans="34:39" x14ac:dyDescent="0.35">
      <c r="AH962" s="21"/>
      <c r="AI962" s="21"/>
      <c r="AJ962" s="21"/>
      <c r="AK962" s="21"/>
      <c r="AM962" t="s">
        <v>53</v>
      </c>
    </row>
    <row r="963" spans="34:39" x14ac:dyDescent="0.35">
      <c r="AH963" s="21"/>
      <c r="AI963" s="21"/>
      <c r="AJ963" s="21"/>
      <c r="AK963" s="21"/>
      <c r="AM963" t="s">
        <v>53</v>
      </c>
    </row>
    <row r="964" spans="34:39" x14ac:dyDescent="0.35">
      <c r="AH964" s="21"/>
      <c r="AI964" s="21"/>
      <c r="AJ964" s="21"/>
      <c r="AK964" s="21"/>
      <c r="AM964" t="s">
        <v>53</v>
      </c>
    </row>
    <row r="965" spans="34:39" x14ac:dyDescent="0.35">
      <c r="AH965" s="21"/>
      <c r="AI965" s="21"/>
      <c r="AJ965" s="21"/>
      <c r="AK965" s="21"/>
      <c r="AM965" t="s">
        <v>53</v>
      </c>
    </row>
    <row r="966" spans="34:39" x14ac:dyDescent="0.35">
      <c r="AH966" s="21"/>
      <c r="AI966" s="21"/>
      <c r="AJ966" s="21"/>
      <c r="AK966" s="21"/>
      <c r="AM966" t="s">
        <v>53</v>
      </c>
    </row>
    <row r="967" spans="34:39" x14ac:dyDescent="0.35">
      <c r="AH967" s="21"/>
      <c r="AI967" s="21"/>
      <c r="AJ967" s="21"/>
      <c r="AK967" s="21"/>
      <c r="AM967" t="s">
        <v>53</v>
      </c>
    </row>
    <row r="968" spans="34:39" x14ac:dyDescent="0.35">
      <c r="AH968" s="21"/>
      <c r="AI968" s="21"/>
      <c r="AJ968" s="21"/>
      <c r="AK968" s="21"/>
      <c r="AM968" t="s">
        <v>53</v>
      </c>
    </row>
    <row r="969" spans="34:39" x14ac:dyDescent="0.35">
      <c r="AH969" s="21"/>
      <c r="AI969" s="21"/>
      <c r="AJ969" s="21"/>
      <c r="AK969" s="21"/>
      <c r="AM969" t="s">
        <v>53</v>
      </c>
    </row>
    <row r="970" spans="34:39" x14ac:dyDescent="0.35">
      <c r="AH970" s="21"/>
      <c r="AI970" s="21"/>
      <c r="AJ970" s="21"/>
      <c r="AK970" s="21"/>
      <c r="AM970" t="s">
        <v>53</v>
      </c>
    </row>
    <row r="971" spans="34:39" x14ac:dyDescent="0.35">
      <c r="AH971" s="21"/>
      <c r="AI971" s="21"/>
      <c r="AJ971" s="21"/>
      <c r="AK971" s="21"/>
      <c r="AM971" t="s">
        <v>53</v>
      </c>
    </row>
    <row r="972" spans="34:39" x14ac:dyDescent="0.35">
      <c r="AH972" s="21"/>
      <c r="AI972" s="21"/>
      <c r="AJ972" s="21"/>
      <c r="AK972" s="21"/>
      <c r="AM972" t="s">
        <v>53</v>
      </c>
    </row>
    <row r="973" spans="34:39" x14ac:dyDescent="0.35">
      <c r="AH973" s="21"/>
      <c r="AI973" s="21"/>
      <c r="AJ973" s="21"/>
      <c r="AK973" s="21"/>
      <c r="AM973" t="s">
        <v>53</v>
      </c>
    </row>
    <row r="974" spans="34:39" x14ac:dyDescent="0.35">
      <c r="AH974" s="21"/>
      <c r="AI974" s="21"/>
      <c r="AJ974" s="21"/>
      <c r="AK974" s="21"/>
      <c r="AM974" t="s">
        <v>53</v>
      </c>
    </row>
    <row r="975" spans="34:39" x14ac:dyDescent="0.35">
      <c r="AH975" s="21"/>
      <c r="AI975" s="21"/>
      <c r="AJ975" s="21"/>
      <c r="AK975" s="21"/>
      <c r="AM975" t="s">
        <v>53</v>
      </c>
    </row>
    <row r="976" spans="34:39" x14ac:dyDescent="0.35">
      <c r="AH976" s="21"/>
      <c r="AI976" s="21"/>
      <c r="AJ976" s="21"/>
      <c r="AK976" s="21"/>
      <c r="AM976" t="s">
        <v>53</v>
      </c>
    </row>
    <row r="977" spans="34:39" x14ac:dyDescent="0.35">
      <c r="AH977" s="21"/>
      <c r="AI977" s="21"/>
      <c r="AJ977" s="21"/>
      <c r="AK977" s="21"/>
      <c r="AM977" t="s">
        <v>53</v>
      </c>
    </row>
    <row r="978" spans="34:39" x14ac:dyDescent="0.35">
      <c r="AH978" s="21"/>
      <c r="AI978" s="21"/>
      <c r="AJ978" s="21"/>
      <c r="AK978" s="21"/>
      <c r="AM978" t="s">
        <v>53</v>
      </c>
    </row>
    <row r="979" spans="34:39" x14ac:dyDescent="0.35">
      <c r="AH979" s="21"/>
      <c r="AI979" s="21"/>
      <c r="AJ979" s="21"/>
      <c r="AK979" s="21"/>
      <c r="AM979" t="s">
        <v>53</v>
      </c>
    </row>
    <row r="980" spans="34:39" x14ac:dyDescent="0.35">
      <c r="AH980" s="21"/>
      <c r="AI980" s="21"/>
      <c r="AJ980" s="21"/>
      <c r="AK980" s="21"/>
      <c r="AM980" t="s">
        <v>53</v>
      </c>
    </row>
    <row r="981" spans="34:39" x14ac:dyDescent="0.35">
      <c r="AH981" s="21"/>
      <c r="AI981" s="21"/>
      <c r="AJ981" s="21"/>
      <c r="AK981" s="21"/>
      <c r="AM981" t="s">
        <v>53</v>
      </c>
    </row>
    <row r="982" spans="34:39" x14ac:dyDescent="0.35">
      <c r="AH982" s="21"/>
      <c r="AI982" s="21"/>
      <c r="AJ982" s="21"/>
      <c r="AK982" s="21"/>
      <c r="AM982" t="s">
        <v>53</v>
      </c>
    </row>
    <row r="983" spans="34:39" x14ac:dyDescent="0.35">
      <c r="AH983" s="21"/>
      <c r="AI983" s="21"/>
      <c r="AJ983" s="21"/>
      <c r="AK983" s="21"/>
      <c r="AM983" t="s">
        <v>53</v>
      </c>
    </row>
    <row r="984" spans="34:39" x14ac:dyDescent="0.35">
      <c r="AH984" s="21"/>
      <c r="AI984" s="21"/>
      <c r="AJ984" s="21"/>
      <c r="AK984" s="21"/>
      <c r="AM984" t="s">
        <v>53</v>
      </c>
    </row>
    <row r="985" spans="34:39" x14ac:dyDescent="0.35">
      <c r="AH985" s="21"/>
      <c r="AI985" s="21"/>
      <c r="AJ985" s="21"/>
      <c r="AK985" s="21"/>
      <c r="AM985" t="s">
        <v>53</v>
      </c>
    </row>
    <row r="986" spans="34:39" x14ac:dyDescent="0.35">
      <c r="AH986" s="21"/>
      <c r="AI986" s="21"/>
      <c r="AJ986" s="21"/>
      <c r="AK986" s="21"/>
      <c r="AM986" t="s">
        <v>53</v>
      </c>
    </row>
    <row r="987" spans="34:39" x14ac:dyDescent="0.35">
      <c r="AH987" s="21"/>
      <c r="AI987" s="21"/>
      <c r="AJ987" s="21"/>
      <c r="AK987" s="21"/>
      <c r="AM987" t="s">
        <v>53</v>
      </c>
    </row>
    <row r="988" spans="34:39" x14ac:dyDescent="0.35">
      <c r="AH988" s="21"/>
      <c r="AI988" s="21"/>
      <c r="AJ988" s="21"/>
      <c r="AK988" s="21"/>
      <c r="AM988" t="s">
        <v>53</v>
      </c>
    </row>
    <row r="989" spans="34:39" x14ac:dyDescent="0.35">
      <c r="AH989" s="21"/>
      <c r="AI989" s="21"/>
      <c r="AJ989" s="21"/>
      <c r="AK989" s="21"/>
      <c r="AM989" t="s">
        <v>53</v>
      </c>
    </row>
    <row r="990" spans="34:39" x14ac:dyDescent="0.35">
      <c r="AH990" s="21"/>
      <c r="AI990" s="21"/>
      <c r="AJ990" s="21"/>
      <c r="AK990" s="21"/>
      <c r="AM990" t="s">
        <v>53</v>
      </c>
    </row>
    <row r="991" spans="34:39" x14ac:dyDescent="0.35">
      <c r="AH991" s="21"/>
      <c r="AI991" s="21"/>
      <c r="AJ991" s="21"/>
      <c r="AK991" s="21"/>
      <c r="AM991" t="s">
        <v>53</v>
      </c>
    </row>
    <row r="992" spans="34:39" x14ac:dyDescent="0.35">
      <c r="AH992" s="21"/>
      <c r="AI992" s="21"/>
      <c r="AJ992" s="21"/>
      <c r="AK992" s="21"/>
      <c r="AM992" t="s">
        <v>53</v>
      </c>
    </row>
    <row r="993" spans="34:39" x14ac:dyDescent="0.35">
      <c r="AH993" s="21"/>
      <c r="AI993" s="21"/>
      <c r="AJ993" s="21"/>
      <c r="AK993" s="21"/>
      <c r="AM993" t="s">
        <v>53</v>
      </c>
    </row>
    <row r="994" spans="34:39" x14ac:dyDescent="0.35">
      <c r="AH994" s="21"/>
      <c r="AI994" s="21"/>
      <c r="AJ994" s="21"/>
      <c r="AK994" s="21"/>
      <c r="AM994" t="s">
        <v>53</v>
      </c>
    </row>
    <row r="995" spans="34:39" x14ac:dyDescent="0.35">
      <c r="AH995" s="21"/>
      <c r="AI995" s="21"/>
      <c r="AJ995" s="21"/>
      <c r="AK995" s="21"/>
      <c r="AM995" t="s">
        <v>53</v>
      </c>
    </row>
    <row r="996" spans="34:39" x14ac:dyDescent="0.35">
      <c r="AH996" s="21"/>
      <c r="AI996" s="21"/>
      <c r="AJ996" s="21"/>
      <c r="AK996" s="21"/>
      <c r="AM996" t="s">
        <v>53</v>
      </c>
    </row>
    <row r="997" spans="34:39" x14ac:dyDescent="0.35">
      <c r="AH997" s="21"/>
      <c r="AI997" s="21"/>
      <c r="AJ997" s="21"/>
      <c r="AK997" s="21"/>
      <c r="AM997" t="s">
        <v>53</v>
      </c>
    </row>
    <row r="998" spans="34:39" x14ac:dyDescent="0.35">
      <c r="AH998" s="21"/>
      <c r="AI998" s="21"/>
      <c r="AJ998" s="21"/>
      <c r="AK998" s="21"/>
      <c r="AM998" t="s">
        <v>53</v>
      </c>
    </row>
    <row r="999" spans="34:39" x14ac:dyDescent="0.35">
      <c r="AH999" s="21"/>
      <c r="AI999" s="21"/>
      <c r="AJ999" s="21"/>
      <c r="AK999" s="21"/>
      <c r="AM999" t="s">
        <v>53</v>
      </c>
    </row>
    <row r="1000" spans="34:39" x14ac:dyDescent="0.35">
      <c r="AH1000" s="21"/>
      <c r="AI1000" s="21"/>
      <c r="AJ1000" s="21"/>
      <c r="AK1000" s="21"/>
      <c r="AM1000" t="s">
        <v>53</v>
      </c>
    </row>
    <row r="1001" spans="34:39" x14ac:dyDescent="0.35">
      <c r="AH1001" s="21"/>
      <c r="AI1001" s="21"/>
      <c r="AJ1001" s="21"/>
      <c r="AK1001" s="21"/>
      <c r="AM1001" t="s">
        <v>53</v>
      </c>
    </row>
    <row r="1002" spans="34:39" x14ac:dyDescent="0.35">
      <c r="AH1002" s="21"/>
      <c r="AI1002" s="21"/>
      <c r="AJ1002" s="21"/>
      <c r="AK1002" s="21"/>
      <c r="AM1002" t="s">
        <v>53</v>
      </c>
    </row>
    <row r="1003" spans="34:39" x14ac:dyDescent="0.35">
      <c r="AH1003" s="21"/>
      <c r="AI1003" s="21"/>
      <c r="AJ1003" s="21"/>
      <c r="AK1003" s="21"/>
      <c r="AM1003" t="s">
        <v>53</v>
      </c>
    </row>
    <row r="1004" spans="34:39" x14ac:dyDescent="0.35">
      <c r="AH1004" s="21"/>
      <c r="AI1004" s="21"/>
      <c r="AJ1004" s="21"/>
      <c r="AK1004" s="21"/>
      <c r="AM1004" t="s">
        <v>53</v>
      </c>
    </row>
    <row r="1005" spans="34:39" x14ac:dyDescent="0.35">
      <c r="AH1005" s="21"/>
      <c r="AI1005" s="21"/>
      <c r="AJ1005" s="21"/>
      <c r="AK1005" s="21"/>
      <c r="AM1005" t="s">
        <v>53</v>
      </c>
    </row>
    <row r="1006" spans="34:39" x14ac:dyDescent="0.35">
      <c r="AH1006" s="21"/>
      <c r="AI1006" s="21"/>
      <c r="AJ1006" s="21"/>
      <c r="AK1006" s="21"/>
      <c r="AM1006" t="s">
        <v>53</v>
      </c>
    </row>
    <row r="1007" spans="34:39" x14ac:dyDescent="0.35">
      <c r="AH1007" s="21"/>
      <c r="AI1007" s="21"/>
      <c r="AJ1007" s="21"/>
      <c r="AK1007" s="21"/>
      <c r="AM1007" t="s">
        <v>53</v>
      </c>
    </row>
    <row r="1008" spans="34:39" x14ac:dyDescent="0.35">
      <c r="AH1008" s="21"/>
      <c r="AI1008" s="21"/>
      <c r="AJ1008" s="21"/>
      <c r="AK1008" s="21"/>
      <c r="AM1008" t="s">
        <v>53</v>
      </c>
    </row>
    <row r="1009" spans="34:39" x14ac:dyDescent="0.35">
      <c r="AH1009" s="21"/>
      <c r="AI1009" s="21"/>
      <c r="AJ1009" s="21"/>
      <c r="AK1009" s="21"/>
      <c r="AM1009" t="s">
        <v>53</v>
      </c>
    </row>
    <row r="1010" spans="34:39" x14ac:dyDescent="0.35">
      <c r="AH1010" s="21"/>
      <c r="AI1010" s="21"/>
      <c r="AJ1010" s="21"/>
      <c r="AK1010" s="21"/>
      <c r="AM1010" t="s">
        <v>53</v>
      </c>
    </row>
    <row r="1011" spans="34:39" x14ac:dyDescent="0.35">
      <c r="AH1011" s="21"/>
      <c r="AI1011" s="21"/>
      <c r="AJ1011" s="21"/>
      <c r="AK1011" s="21"/>
      <c r="AM1011" t="s">
        <v>53</v>
      </c>
    </row>
    <row r="1012" spans="34:39" x14ac:dyDescent="0.35">
      <c r="AH1012" s="21"/>
      <c r="AI1012" s="21"/>
      <c r="AJ1012" s="21"/>
      <c r="AK1012" s="21"/>
      <c r="AM1012" t="s">
        <v>53</v>
      </c>
    </row>
    <row r="1013" spans="34:39" x14ac:dyDescent="0.35">
      <c r="AH1013" s="21"/>
      <c r="AI1013" s="21"/>
      <c r="AJ1013" s="21"/>
      <c r="AK1013" s="21"/>
      <c r="AM1013" t="s">
        <v>53</v>
      </c>
    </row>
    <row r="1014" spans="34:39" x14ac:dyDescent="0.35">
      <c r="AH1014" s="21"/>
      <c r="AI1014" s="21"/>
      <c r="AJ1014" s="21"/>
      <c r="AK1014" s="21"/>
      <c r="AM1014" t="s">
        <v>53</v>
      </c>
    </row>
    <row r="1015" spans="34:39" x14ac:dyDescent="0.35">
      <c r="AH1015" s="21"/>
      <c r="AI1015" s="21"/>
      <c r="AJ1015" s="21"/>
      <c r="AK1015" s="21"/>
      <c r="AM1015" t="s">
        <v>53</v>
      </c>
    </row>
    <row r="1016" spans="34:39" x14ac:dyDescent="0.35">
      <c r="AH1016" s="21"/>
      <c r="AI1016" s="21"/>
      <c r="AJ1016" s="21"/>
      <c r="AK1016" s="21"/>
      <c r="AM1016" t="s">
        <v>53</v>
      </c>
    </row>
    <row r="1017" spans="34:39" x14ac:dyDescent="0.35">
      <c r="AH1017" s="21"/>
      <c r="AI1017" s="21"/>
      <c r="AJ1017" s="21"/>
      <c r="AK1017" s="21"/>
      <c r="AM1017" t="s">
        <v>53</v>
      </c>
    </row>
    <row r="1018" spans="34:39" x14ac:dyDescent="0.35">
      <c r="AH1018" s="21"/>
      <c r="AI1018" s="21"/>
      <c r="AJ1018" s="21"/>
      <c r="AK1018" s="21"/>
      <c r="AM1018" t="s">
        <v>53</v>
      </c>
    </row>
    <row r="1019" spans="34:39" x14ac:dyDescent="0.35">
      <c r="AH1019" s="21"/>
      <c r="AI1019" s="21"/>
      <c r="AJ1019" s="21"/>
      <c r="AK1019" s="21"/>
      <c r="AM1019" t="s">
        <v>53</v>
      </c>
    </row>
    <row r="1020" spans="34:39" x14ac:dyDescent="0.35">
      <c r="AH1020" s="21"/>
      <c r="AI1020" s="21"/>
      <c r="AJ1020" s="21"/>
      <c r="AK1020" s="21"/>
      <c r="AM1020" t="s">
        <v>53</v>
      </c>
    </row>
    <row r="1021" spans="34:39" x14ac:dyDescent="0.35">
      <c r="AH1021" s="21"/>
      <c r="AI1021" s="21"/>
      <c r="AJ1021" s="21"/>
      <c r="AK1021" s="21"/>
      <c r="AM1021" t="s">
        <v>53</v>
      </c>
    </row>
    <row r="1022" spans="34:39" x14ac:dyDescent="0.35">
      <c r="AH1022" s="21"/>
      <c r="AI1022" s="21"/>
      <c r="AJ1022" s="21"/>
      <c r="AK1022" s="21"/>
      <c r="AM1022" t="s">
        <v>53</v>
      </c>
    </row>
    <row r="1023" spans="34:39" x14ac:dyDescent="0.35">
      <c r="AH1023" s="21"/>
      <c r="AI1023" s="21"/>
      <c r="AJ1023" s="21"/>
      <c r="AK1023" s="21"/>
      <c r="AM1023" t="s">
        <v>53</v>
      </c>
    </row>
    <row r="1024" spans="34:39" x14ac:dyDescent="0.35">
      <c r="AH1024" s="21"/>
      <c r="AI1024" s="21"/>
      <c r="AJ1024" s="21"/>
      <c r="AK1024" s="21"/>
      <c r="AM1024" t="s">
        <v>53</v>
      </c>
    </row>
    <row r="1025" spans="34:39" x14ac:dyDescent="0.35">
      <c r="AH1025" s="21"/>
      <c r="AI1025" s="21"/>
      <c r="AJ1025" s="21"/>
      <c r="AK1025" s="21"/>
      <c r="AM1025" t="s">
        <v>53</v>
      </c>
    </row>
    <row r="1026" spans="34:39" x14ac:dyDescent="0.35">
      <c r="AH1026" s="21"/>
      <c r="AI1026" s="21"/>
      <c r="AJ1026" s="21"/>
      <c r="AK1026" s="21"/>
      <c r="AM1026" t="s">
        <v>53</v>
      </c>
    </row>
    <row r="1027" spans="34:39" x14ac:dyDescent="0.35">
      <c r="AH1027" s="21"/>
      <c r="AI1027" s="21"/>
      <c r="AJ1027" s="21"/>
      <c r="AK1027" s="21"/>
      <c r="AM1027" t="s">
        <v>53</v>
      </c>
    </row>
    <row r="1028" spans="34:39" x14ac:dyDescent="0.35">
      <c r="AH1028" s="21"/>
      <c r="AI1028" s="21"/>
      <c r="AJ1028" s="21"/>
      <c r="AK1028" s="21"/>
      <c r="AM1028" t="s">
        <v>53</v>
      </c>
    </row>
    <row r="1029" spans="34:39" x14ac:dyDescent="0.35">
      <c r="AH1029" s="21"/>
      <c r="AI1029" s="21"/>
      <c r="AJ1029" s="21"/>
      <c r="AK1029" s="21"/>
      <c r="AM1029" t="s">
        <v>53</v>
      </c>
    </row>
    <row r="1030" spans="34:39" x14ac:dyDescent="0.35">
      <c r="AH1030" s="21"/>
      <c r="AI1030" s="21"/>
      <c r="AJ1030" s="21"/>
      <c r="AK1030" s="21"/>
      <c r="AM1030" t="s">
        <v>53</v>
      </c>
    </row>
    <row r="1031" spans="34:39" x14ac:dyDescent="0.35">
      <c r="AH1031" s="21"/>
      <c r="AI1031" s="21"/>
      <c r="AJ1031" s="21"/>
      <c r="AK1031" s="21"/>
      <c r="AM1031" t="s">
        <v>53</v>
      </c>
    </row>
    <row r="1032" spans="34:39" x14ac:dyDescent="0.35">
      <c r="AH1032" s="21"/>
      <c r="AI1032" s="21"/>
      <c r="AJ1032" s="21"/>
      <c r="AK1032" s="21"/>
      <c r="AM1032" t="s">
        <v>53</v>
      </c>
    </row>
    <row r="1033" spans="34:39" x14ac:dyDescent="0.35">
      <c r="AH1033" s="21"/>
      <c r="AI1033" s="21"/>
      <c r="AJ1033" s="21"/>
      <c r="AK1033" s="21"/>
      <c r="AM1033" t="s">
        <v>53</v>
      </c>
    </row>
    <row r="1034" spans="34:39" x14ac:dyDescent="0.35">
      <c r="AH1034" s="21"/>
      <c r="AI1034" s="21"/>
      <c r="AJ1034" s="21"/>
      <c r="AK1034" s="21"/>
      <c r="AM1034" t="s">
        <v>53</v>
      </c>
    </row>
    <row r="1035" spans="34:39" x14ac:dyDescent="0.35">
      <c r="AH1035" s="21"/>
      <c r="AI1035" s="21"/>
      <c r="AJ1035" s="21"/>
      <c r="AK1035" s="21"/>
      <c r="AM1035" t="s">
        <v>53</v>
      </c>
    </row>
    <row r="1036" spans="34:39" x14ac:dyDescent="0.35">
      <c r="AH1036" s="21"/>
      <c r="AI1036" s="21"/>
      <c r="AJ1036" s="21"/>
      <c r="AK1036" s="21"/>
      <c r="AM1036" t="s">
        <v>53</v>
      </c>
    </row>
    <row r="1037" spans="34:39" x14ac:dyDescent="0.35">
      <c r="AH1037" s="21"/>
      <c r="AI1037" s="21"/>
      <c r="AJ1037" s="21"/>
      <c r="AK1037" s="21"/>
      <c r="AM1037" t="s">
        <v>53</v>
      </c>
    </row>
    <row r="1038" spans="34:39" x14ac:dyDescent="0.35">
      <c r="AH1038" s="21"/>
      <c r="AI1038" s="21"/>
      <c r="AJ1038" s="21"/>
      <c r="AK1038" s="21"/>
      <c r="AM1038" t="s">
        <v>53</v>
      </c>
    </row>
    <row r="1039" spans="34:39" x14ac:dyDescent="0.35">
      <c r="AH1039" s="21"/>
      <c r="AI1039" s="21"/>
      <c r="AJ1039" s="21"/>
      <c r="AK1039" s="21"/>
      <c r="AM1039" t="s">
        <v>53</v>
      </c>
    </row>
    <row r="1040" spans="34:39" x14ac:dyDescent="0.35">
      <c r="AH1040" s="21"/>
      <c r="AI1040" s="21"/>
      <c r="AJ1040" s="21"/>
      <c r="AK1040" s="21"/>
      <c r="AM1040" t="s">
        <v>53</v>
      </c>
    </row>
    <row r="1041" spans="34:39" x14ac:dyDescent="0.35">
      <c r="AH1041" s="21"/>
      <c r="AI1041" s="21"/>
      <c r="AJ1041" s="21"/>
      <c r="AK1041" s="21"/>
      <c r="AM1041" t="s">
        <v>53</v>
      </c>
    </row>
    <row r="1042" spans="34:39" x14ac:dyDescent="0.35">
      <c r="AH1042" s="21"/>
      <c r="AI1042" s="21"/>
      <c r="AJ1042" s="21"/>
      <c r="AK1042" s="21"/>
      <c r="AM1042" t="s">
        <v>53</v>
      </c>
    </row>
    <row r="1043" spans="34:39" x14ac:dyDescent="0.35">
      <c r="AH1043" s="21"/>
      <c r="AI1043" s="21"/>
      <c r="AJ1043" s="21"/>
      <c r="AK1043" s="21"/>
      <c r="AM1043" t="s">
        <v>53</v>
      </c>
    </row>
    <row r="1044" spans="34:39" x14ac:dyDescent="0.35">
      <c r="AH1044" s="21"/>
      <c r="AI1044" s="21"/>
      <c r="AJ1044" s="21"/>
      <c r="AK1044" s="21"/>
      <c r="AM1044" t="s">
        <v>53</v>
      </c>
    </row>
    <row r="1045" spans="34:39" x14ac:dyDescent="0.35">
      <c r="AH1045" s="21"/>
      <c r="AI1045" s="21"/>
      <c r="AJ1045" s="21"/>
      <c r="AK1045" s="21"/>
      <c r="AM1045" t="s">
        <v>53</v>
      </c>
    </row>
    <row r="1046" spans="34:39" x14ac:dyDescent="0.35">
      <c r="AH1046" s="21"/>
      <c r="AI1046" s="21"/>
      <c r="AJ1046" s="21"/>
      <c r="AK1046" s="21"/>
      <c r="AM1046" t="s">
        <v>53</v>
      </c>
    </row>
    <row r="1047" spans="34:39" x14ac:dyDescent="0.35">
      <c r="AH1047" s="21"/>
      <c r="AI1047" s="21"/>
      <c r="AJ1047" s="21"/>
      <c r="AK1047" s="21"/>
      <c r="AM1047" t="s">
        <v>53</v>
      </c>
    </row>
    <row r="1048" spans="34:39" x14ac:dyDescent="0.35">
      <c r="AH1048" s="21"/>
      <c r="AI1048" s="21"/>
      <c r="AJ1048" s="21"/>
      <c r="AK1048" s="21"/>
      <c r="AM1048" t="s">
        <v>53</v>
      </c>
    </row>
    <row r="1049" spans="34:39" x14ac:dyDescent="0.35">
      <c r="AH1049" s="21"/>
      <c r="AI1049" s="21"/>
      <c r="AJ1049" s="21"/>
      <c r="AK1049" s="21"/>
      <c r="AM1049" t="s">
        <v>53</v>
      </c>
    </row>
    <row r="1050" spans="34:39" x14ac:dyDescent="0.35">
      <c r="AH1050" s="21"/>
      <c r="AI1050" s="21"/>
      <c r="AJ1050" s="21"/>
      <c r="AK1050" s="21"/>
      <c r="AM1050" t="s">
        <v>53</v>
      </c>
    </row>
    <row r="1051" spans="34:39" x14ac:dyDescent="0.35">
      <c r="AH1051" s="21"/>
      <c r="AI1051" s="21"/>
      <c r="AJ1051" s="21"/>
      <c r="AK1051" s="21"/>
      <c r="AM1051" t="s">
        <v>53</v>
      </c>
    </row>
    <row r="1052" spans="34:39" x14ac:dyDescent="0.35">
      <c r="AH1052" s="21"/>
      <c r="AI1052" s="21"/>
      <c r="AJ1052" s="21"/>
      <c r="AK1052" s="21"/>
      <c r="AM1052" t="s">
        <v>53</v>
      </c>
    </row>
    <row r="1053" spans="34:39" x14ac:dyDescent="0.35">
      <c r="AH1053" s="21"/>
      <c r="AI1053" s="21"/>
      <c r="AJ1053" s="21"/>
      <c r="AK1053" s="21"/>
      <c r="AM1053" t="s">
        <v>53</v>
      </c>
    </row>
    <row r="1054" spans="34:39" x14ac:dyDescent="0.35">
      <c r="AH1054" s="21"/>
      <c r="AI1054" s="21"/>
      <c r="AJ1054" s="21"/>
      <c r="AK1054" s="21"/>
      <c r="AM1054" t="s">
        <v>53</v>
      </c>
    </row>
    <row r="1055" spans="34:39" x14ac:dyDescent="0.35">
      <c r="AH1055" s="21"/>
      <c r="AI1055" s="21"/>
      <c r="AJ1055" s="21"/>
      <c r="AK1055" s="21"/>
      <c r="AM1055" t="s">
        <v>53</v>
      </c>
    </row>
    <row r="1056" spans="34:39" x14ac:dyDescent="0.35">
      <c r="AH1056" s="21"/>
      <c r="AI1056" s="21"/>
      <c r="AJ1056" s="21"/>
      <c r="AK1056" s="21"/>
      <c r="AM1056" t="s">
        <v>53</v>
      </c>
    </row>
    <row r="1057" spans="34:39" x14ac:dyDescent="0.35">
      <c r="AH1057" s="21"/>
      <c r="AI1057" s="21"/>
      <c r="AJ1057" s="21"/>
      <c r="AK1057" s="21"/>
      <c r="AM1057" t="s">
        <v>53</v>
      </c>
    </row>
    <row r="1058" spans="34:39" x14ac:dyDescent="0.35">
      <c r="AH1058" s="21"/>
      <c r="AI1058" s="21"/>
      <c r="AJ1058" s="21"/>
      <c r="AK1058" s="21"/>
      <c r="AM1058" t="s">
        <v>53</v>
      </c>
    </row>
    <row r="1059" spans="34:39" x14ac:dyDescent="0.35">
      <c r="AH1059" s="21"/>
      <c r="AI1059" s="21"/>
      <c r="AJ1059" s="21"/>
      <c r="AK1059" s="21"/>
      <c r="AM1059" t="s">
        <v>53</v>
      </c>
    </row>
    <row r="1060" spans="34:39" x14ac:dyDescent="0.35">
      <c r="AH1060" s="21"/>
      <c r="AI1060" s="21"/>
      <c r="AJ1060" s="21"/>
      <c r="AK1060" s="21"/>
      <c r="AM1060" t="s">
        <v>53</v>
      </c>
    </row>
    <row r="1061" spans="34:39" x14ac:dyDescent="0.35">
      <c r="AH1061" s="21"/>
      <c r="AI1061" s="21"/>
      <c r="AJ1061" s="21"/>
      <c r="AK1061" s="21"/>
      <c r="AM1061" t="s">
        <v>53</v>
      </c>
    </row>
    <row r="1062" spans="34:39" x14ac:dyDescent="0.35">
      <c r="AH1062" s="21"/>
      <c r="AI1062" s="21"/>
      <c r="AJ1062" s="21"/>
      <c r="AK1062" s="21"/>
      <c r="AM1062" t="s">
        <v>53</v>
      </c>
    </row>
    <row r="1063" spans="34:39" x14ac:dyDescent="0.35">
      <c r="AH1063" s="21"/>
      <c r="AI1063" s="21"/>
      <c r="AJ1063" s="21"/>
      <c r="AK1063" s="21"/>
      <c r="AM1063" t="s">
        <v>53</v>
      </c>
    </row>
    <row r="1064" spans="34:39" x14ac:dyDescent="0.35">
      <c r="AH1064" s="21"/>
      <c r="AI1064" s="21"/>
      <c r="AJ1064" s="21"/>
      <c r="AK1064" s="21"/>
      <c r="AM1064" t="s">
        <v>53</v>
      </c>
    </row>
    <row r="1065" spans="34:39" x14ac:dyDescent="0.35">
      <c r="AH1065" s="21"/>
      <c r="AI1065" s="21"/>
      <c r="AJ1065" s="21"/>
      <c r="AK1065" s="21"/>
      <c r="AM1065" t="s">
        <v>53</v>
      </c>
    </row>
    <row r="1066" spans="34:39" x14ac:dyDescent="0.35">
      <c r="AH1066" s="21"/>
      <c r="AI1066" s="21"/>
      <c r="AJ1066" s="21"/>
      <c r="AK1066" s="21"/>
      <c r="AM1066" t="s">
        <v>53</v>
      </c>
    </row>
    <row r="1067" spans="34:39" x14ac:dyDescent="0.35">
      <c r="AH1067" s="21"/>
      <c r="AI1067" s="21"/>
      <c r="AJ1067" s="21"/>
      <c r="AK1067" s="21"/>
      <c r="AM1067" t="s">
        <v>53</v>
      </c>
    </row>
    <row r="1068" spans="34:39" x14ac:dyDescent="0.35">
      <c r="AH1068" s="21"/>
      <c r="AI1068" s="21"/>
      <c r="AJ1068" s="21"/>
      <c r="AK1068" s="21"/>
      <c r="AM1068" t="s">
        <v>53</v>
      </c>
    </row>
    <row r="1069" spans="34:39" x14ac:dyDescent="0.35">
      <c r="AH1069" s="21"/>
      <c r="AI1069" s="21"/>
      <c r="AJ1069" s="21"/>
      <c r="AK1069" s="21"/>
      <c r="AM1069" t="s">
        <v>53</v>
      </c>
    </row>
    <row r="1070" spans="34:39" x14ac:dyDescent="0.35">
      <c r="AH1070" s="21"/>
      <c r="AI1070" s="21"/>
      <c r="AJ1070" s="21"/>
      <c r="AK1070" s="21"/>
      <c r="AM1070" t="s">
        <v>53</v>
      </c>
    </row>
    <row r="1071" spans="34:39" x14ac:dyDescent="0.35">
      <c r="AH1071" s="21"/>
      <c r="AI1071" s="21"/>
      <c r="AJ1071" s="21"/>
      <c r="AK1071" s="21"/>
      <c r="AM1071" t="s">
        <v>53</v>
      </c>
    </row>
    <row r="1072" spans="34:39" x14ac:dyDescent="0.35">
      <c r="AH1072" s="21"/>
      <c r="AI1072" s="21"/>
      <c r="AJ1072" s="21"/>
      <c r="AK1072" s="21"/>
      <c r="AM1072" t="s">
        <v>53</v>
      </c>
    </row>
    <row r="1073" spans="34:39" x14ac:dyDescent="0.35">
      <c r="AH1073" s="21"/>
      <c r="AI1073" s="21"/>
      <c r="AJ1073" s="21"/>
      <c r="AK1073" s="21"/>
      <c r="AM1073" t="s">
        <v>53</v>
      </c>
    </row>
    <row r="1074" spans="34:39" x14ac:dyDescent="0.35">
      <c r="AH1074" s="21"/>
      <c r="AI1074" s="21"/>
      <c r="AJ1074" s="21"/>
      <c r="AK1074" s="21"/>
      <c r="AM1074" t="s">
        <v>53</v>
      </c>
    </row>
    <row r="1075" spans="34:39" x14ac:dyDescent="0.35">
      <c r="AH1075" s="21"/>
      <c r="AI1075" s="21"/>
      <c r="AJ1075" s="21"/>
      <c r="AK1075" s="21"/>
      <c r="AM1075" t="s">
        <v>53</v>
      </c>
    </row>
    <row r="1076" spans="34:39" x14ac:dyDescent="0.35">
      <c r="AH1076" s="21"/>
      <c r="AI1076" s="21"/>
      <c r="AJ1076" s="21"/>
      <c r="AK1076" s="21"/>
      <c r="AM1076" t="s">
        <v>53</v>
      </c>
    </row>
    <row r="1077" spans="34:39" x14ac:dyDescent="0.35">
      <c r="AH1077" s="21"/>
      <c r="AI1077" s="21"/>
      <c r="AJ1077" s="21"/>
      <c r="AK1077" s="21"/>
      <c r="AM1077" t="s">
        <v>53</v>
      </c>
    </row>
    <row r="1078" spans="34:39" x14ac:dyDescent="0.35">
      <c r="AH1078" s="21"/>
      <c r="AI1078" s="21"/>
      <c r="AJ1078" s="21"/>
      <c r="AK1078" s="21"/>
      <c r="AM1078" t="s">
        <v>53</v>
      </c>
    </row>
    <row r="1079" spans="34:39" x14ac:dyDescent="0.35">
      <c r="AH1079" s="21"/>
      <c r="AI1079" s="21"/>
      <c r="AJ1079" s="21"/>
      <c r="AK1079" s="21"/>
      <c r="AM1079" t="s">
        <v>53</v>
      </c>
    </row>
    <row r="1080" spans="34:39" x14ac:dyDescent="0.35">
      <c r="AH1080" s="21"/>
      <c r="AI1080" s="21"/>
      <c r="AJ1080" s="21"/>
      <c r="AK1080" s="21"/>
      <c r="AM1080" t="s">
        <v>53</v>
      </c>
    </row>
    <row r="1081" spans="34:39" x14ac:dyDescent="0.35">
      <c r="AH1081" s="21"/>
      <c r="AI1081" s="21"/>
      <c r="AJ1081" s="21"/>
      <c r="AK1081" s="21"/>
      <c r="AM1081" t="s">
        <v>53</v>
      </c>
    </row>
    <row r="1082" spans="34:39" x14ac:dyDescent="0.35">
      <c r="AH1082" s="21"/>
      <c r="AI1082" s="21"/>
      <c r="AJ1082" s="21"/>
      <c r="AK1082" s="21"/>
      <c r="AM1082" t="s">
        <v>53</v>
      </c>
    </row>
    <row r="1083" spans="34:39" x14ac:dyDescent="0.35">
      <c r="AH1083" s="21"/>
      <c r="AI1083" s="21"/>
      <c r="AJ1083" s="21"/>
      <c r="AK1083" s="21"/>
      <c r="AM1083" t="s">
        <v>53</v>
      </c>
    </row>
    <row r="1084" spans="34:39" x14ac:dyDescent="0.35">
      <c r="AH1084" s="21"/>
      <c r="AI1084" s="21"/>
      <c r="AJ1084" s="21"/>
      <c r="AK1084" s="21"/>
      <c r="AM1084" t="s">
        <v>53</v>
      </c>
    </row>
    <row r="1085" spans="34:39" x14ac:dyDescent="0.35">
      <c r="AH1085" s="21"/>
      <c r="AI1085" s="21"/>
      <c r="AJ1085" s="21"/>
      <c r="AK1085" s="21"/>
      <c r="AM1085" t="s">
        <v>53</v>
      </c>
    </row>
    <row r="1086" spans="34:39" x14ac:dyDescent="0.35">
      <c r="AH1086" s="21"/>
      <c r="AI1086" s="21"/>
      <c r="AJ1086" s="21"/>
      <c r="AK1086" s="21"/>
      <c r="AM1086" t="s">
        <v>53</v>
      </c>
    </row>
    <row r="1087" spans="34:39" x14ac:dyDescent="0.35">
      <c r="AH1087" s="21"/>
      <c r="AI1087" s="21"/>
      <c r="AJ1087" s="21"/>
      <c r="AK1087" s="21"/>
      <c r="AM1087" t="s">
        <v>53</v>
      </c>
    </row>
    <row r="1088" spans="34:39" x14ac:dyDescent="0.35">
      <c r="AH1088" s="21"/>
      <c r="AI1088" s="21"/>
      <c r="AJ1088" s="21"/>
      <c r="AK1088" s="21"/>
      <c r="AM1088" t="s">
        <v>53</v>
      </c>
    </row>
    <row r="1089" spans="34:39" x14ac:dyDescent="0.35">
      <c r="AH1089" s="21"/>
      <c r="AI1089" s="21"/>
      <c r="AJ1089" s="21"/>
      <c r="AK1089" s="21"/>
      <c r="AM1089" t="s">
        <v>53</v>
      </c>
    </row>
    <row r="1090" spans="34:39" x14ac:dyDescent="0.35">
      <c r="AH1090" s="21"/>
      <c r="AI1090" s="21"/>
      <c r="AJ1090" s="21"/>
      <c r="AK1090" s="21"/>
      <c r="AM1090" t="s">
        <v>53</v>
      </c>
    </row>
    <row r="1091" spans="34:39" x14ac:dyDescent="0.35">
      <c r="AH1091" s="21"/>
      <c r="AI1091" s="21"/>
      <c r="AJ1091" s="21"/>
      <c r="AK1091" s="21"/>
      <c r="AM1091" t="s">
        <v>53</v>
      </c>
    </row>
    <row r="1092" spans="34:39" x14ac:dyDescent="0.35">
      <c r="AH1092" s="21"/>
      <c r="AI1092" s="21"/>
      <c r="AJ1092" s="21"/>
      <c r="AK1092" s="21"/>
      <c r="AM1092" t="s">
        <v>53</v>
      </c>
    </row>
    <row r="1093" spans="34:39" x14ac:dyDescent="0.35">
      <c r="AH1093" s="21"/>
      <c r="AI1093" s="21"/>
      <c r="AJ1093" s="21"/>
      <c r="AK1093" s="21"/>
      <c r="AM1093" t="s">
        <v>53</v>
      </c>
    </row>
    <row r="1094" spans="34:39" x14ac:dyDescent="0.35">
      <c r="AH1094" s="21"/>
      <c r="AI1094" s="21"/>
      <c r="AJ1094" s="21"/>
      <c r="AK1094" s="21"/>
      <c r="AM1094" t="s">
        <v>53</v>
      </c>
    </row>
    <row r="1095" spans="34:39" x14ac:dyDescent="0.35">
      <c r="AH1095" s="21"/>
      <c r="AI1095" s="21"/>
      <c r="AJ1095" s="21"/>
      <c r="AK1095" s="21"/>
      <c r="AM1095" t="s">
        <v>53</v>
      </c>
    </row>
    <row r="1096" spans="34:39" x14ac:dyDescent="0.35">
      <c r="AH1096" s="21"/>
      <c r="AI1096" s="21"/>
      <c r="AJ1096" s="21"/>
      <c r="AK1096" s="21"/>
      <c r="AM1096" t="s">
        <v>53</v>
      </c>
    </row>
    <row r="1097" spans="34:39" x14ac:dyDescent="0.35">
      <c r="AH1097" s="21"/>
      <c r="AI1097" s="21"/>
      <c r="AJ1097" s="21"/>
      <c r="AK1097" s="21"/>
      <c r="AM1097" t="s">
        <v>53</v>
      </c>
    </row>
    <row r="1098" spans="34:39" x14ac:dyDescent="0.35">
      <c r="AH1098" s="21"/>
      <c r="AI1098" s="21"/>
      <c r="AJ1098" s="21"/>
      <c r="AK1098" s="21"/>
      <c r="AM1098" t="s">
        <v>53</v>
      </c>
    </row>
    <row r="1099" spans="34:39" x14ac:dyDescent="0.35">
      <c r="AH1099" s="21"/>
      <c r="AI1099" s="21"/>
      <c r="AJ1099" s="21"/>
      <c r="AK1099" s="21"/>
      <c r="AM1099" t="s">
        <v>53</v>
      </c>
    </row>
    <row r="1100" spans="34:39" x14ac:dyDescent="0.35">
      <c r="AH1100" s="21"/>
      <c r="AI1100" s="21"/>
      <c r="AJ1100" s="21"/>
      <c r="AK1100" s="21"/>
      <c r="AM1100" t="s">
        <v>53</v>
      </c>
    </row>
    <row r="1101" spans="34:39" x14ac:dyDescent="0.35">
      <c r="AH1101" s="21"/>
      <c r="AI1101" s="21"/>
      <c r="AJ1101" s="21"/>
      <c r="AK1101" s="21"/>
      <c r="AM1101" t="s">
        <v>53</v>
      </c>
    </row>
    <row r="1102" spans="34:39" x14ac:dyDescent="0.35">
      <c r="AH1102" s="21"/>
      <c r="AI1102" s="21"/>
      <c r="AJ1102" s="21"/>
      <c r="AK1102" s="21"/>
      <c r="AM1102" t="s">
        <v>53</v>
      </c>
    </row>
    <row r="1103" spans="34:39" x14ac:dyDescent="0.35">
      <c r="AH1103" s="21"/>
      <c r="AI1103" s="21"/>
      <c r="AJ1103" s="21"/>
      <c r="AK1103" s="21"/>
      <c r="AM1103" t="s">
        <v>53</v>
      </c>
    </row>
    <row r="1104" spans="34:39" x14ac:dyDescent="0.35">
      <c r="AH1104" s="21"/>
      <c r="AI1104" s="21"/>
      <c r="AJ1104" s="21"/>
      <c r="AK1104" s="21"/>
      <c r="AM1104" t="s">
        <v>53</v>
      </c>
    </row>
    <row r="1105" spans="34:39" x14ac:dyDescent="0.35">
      <c r="AH1105" s="21"/>
      <c r="AI1105" s="21"/>
      <c r="AJ1105" s="21"/>
      <c r="AK1105" s="21"/>
      <c r="AM1105" t="s">
        <v>53</v>
      </c>
    </row>
    <row r="1106" spans="34:39" x14ac:dyDescent="0.35">
      <c r="AH1106" s="21"/>
      <c r="AI1106" s="21"/>
      <c r="AJ1106" s="21"/>
      <c r="AK1106" s="21"/>
      <c r="AM1106" t="s">
        <v>53</v>
      </c>
    </row>
    <row r="1107" spans="34:39" x14ac:dyDescent="0.35">
      <c r="AH1107" s="21"/>
      <c r="AI1107" s="21"/>
      <c r="AJ1107" s="21"/>
      <c r="AK1107" s="21"/>
      <c r="AM1107" t="s">
        <v>53</v>
      </c>
    </row>
    <row r="1108" spans="34:39" x14ac:dyDescent="0.35">
      <c r="AH1108" s="21"/>
      <c r="AI1108" s="21"/>
      <c r="AJ1108" s="21"/>
      <c r="AK1108" s="21"/>
      <c r="AM1108" t="s">
        <v>53</v>
      </c>
    </row>
    <row r="1109" spans="34:39" x14ac:dyDescent="0.35">
      <c r="AH1109" s="21"/>
      <c r="AI1109" s="21"/>
      <c r="AJ1109" s="21"/>
      <c r="AK1109" s="21"/>
      <c r="AM1109" t="s">
        <v>53</v>
      </c>
    </row>
    <row r="1110" spans="34:39" x14ac:dyDescent="0.35">
      <c r="AH1110" s="21"/>
      <c r="AI1110" s="21"/>
      <c r="AJ1110" s="21"/>
      <c r="AK1110" s="21"/>
      <c r="AM1110" t="s">
        <v>53</v>
      </c>
    </row>
    <row r="1111" spans="34:39" x14ac:dyDescent="0.35">
      <c r="AH1111" s="21"/>
      <c r="AI1111" s="21"/>
      <c r="AJ1111" s="21"/>
      <c r="AK1111" s="21"/>
      <c r="AM1111" t="s">
        <v>53</v>
      </c>
    </row>
    <row r="1112" spans="34:39" x14ac:dyDescent="0.35">
      <c r="AH1112" s="21"/>
      <c r="AI1112" s="21"/>
      <c r="AJ1112" s="21"/>
      <c r="AK1112" s="21"/>
      <c r="AM1112" t="s">
        <v>53</v>
      </c>
    </row>
    <row r="1113" spans="34:39" x14ac:dyDescent="0.35">
      <c r="AH1113" s="21"/>
      <c r="AI1113" s="21"/>
      <c r="AJ1113" s="21"/>
      <c r="AK1113" s="21"/>
      <c r="AM1113" t="s">
        <v>53</v>
      </c>
    </row>
    <row r="1114" spans="34:39" x14ac:dyDescent="0.35">
      <c r="AH1114" s="21"/>
      <c r="AI1114" s="21"/>
      <c r="AJ1114" s="21"/>
      <c r="AK1114" s="21"/>
      <c r="AM1114" t="s">
        <v>53</v>
      </c>
    </row>
    <row r="1115" spans="34:39" x14ac:dyDescent="0.35">
      <c r="AH1115" s="21"/>
      <c r="AI1115" s="21"/>
      <c r="AJ1115" s="21"/>
      <c r="AK1115" s="21"/>
      <c r="AM1115" t="s">
        <v>53</v>
      </c>
    </row>
    <row r="1116" spans="34:39" x14ac:dyDescent="0.35">
      <c r="AH1116" s="21"/>
      <c r="AI1116" s="21"/>
      <c r="AJ1116" s="21"/>
      <c r="AK1116" s="21"/>
      <c r="AM1116" t="s">
        <v>53</v>
      </c>
    </row>
    <row r="1117" spans="34:39" x14ac:dyDescent="0.35">
      <c r="AH1117" s="21"/>
      <c r="AI1117" s="21"/>
      <c r="AJ1117" s="21"/>
      <c r="AK1117" s="21"/>
      <c r="AM1117" t="s">
        <v>53</v>
      </c>
    </row>
    <row r="1118" spans="34:39" x14ac:dyDescent="0.35">
      <c r="AH1118" s="21"/>
      <c r="AI1118" s="21"/>
      <c r="AJ1118" s="21"/>
      <c r="AK1118" s="21"/>
      <c r="AM1118" t="s">
        <v>53</v>
      </c>
    </row>
    <row r="1119" spans="34:39" x14ac:dyDescent="0.35">
      <c r="AH1119" s="21"/>
      <c r="AI1119" s="21"/>
      <c r="AJ1119" s="21"/>
      <c r="AK1119" s="21"/>
      <c r="AM1119" t="s">
        <v>53</v>
      </c>
    </row>
    <row r="1120" spans="34:39" x14ac:dyDescent="0.35">
      <c r="AH1120" s="21"/>
      <c r="AI1120" s="21"/>
      <c r="AJ1120" s="21"/>
      <c r="AK1120" s="21"/>
      <c r="AM1120" t="s">
        <v>53</v>
      </c>
    </row>
    <row r="1121" spans="34:39" x14ac:dyDescent="0.35">
      <c r="AH1121" s="21"/>
      <c r="AI1121" s="21"/>
      <c r="AJ1121" s="21"/>
      <c r="AK1121" s="21"/>
      <c r="AM1121" t="s">
        <v>53</v>
      </c>
    </row>
    <row r="1122" spans="34:39" x14ac:dyDescent="0.35">
      <c r="AH1122" s="21"/>
      <c r="AI1122" s="21"/>
      <c r="AJ1122" s="21"/>
      <c r="AK1122" s="21"/>
      <c r="AM1122" t="s">
        <v>53</v>
      </c>
    </row>
    <row r="1123" spans="34:39" x14ac:dyDescent="0.35">
      <c r="AH1123" s="21"/>
      <c r="AI1123" s="21"/>
      <c r="AJ1123" s="21"/>
      <c r="AK1123" s="21"/>
      <c r="AM1123" t="s">
        <v>53</v>
      </c>
    </row>
    <row r="1124" spans="34:39" x14ac:dyDescent="0.35">
      <c r="AH1124" s="21"/>
      <c r="AI1124" s="21"/>
      <c r="AJ1124" s="21"/>
      <c r="AK1124" s="21"/>
      <c r="AM1124" t="s">
        <v>53</v>
      </c>
    </row>
    <row r="1125" spans="34:39" x14ac:dyDescent="0.35">
      <c r="AH1125" s="21"/>
      <c r="AI1125" s="21"/>
      <c r="AJ1125" s="21"/>
      <c r="AK1125" s="21"/>
      <c r="AM1125" t="s">
        <v>53</v>
      </c>
    </row>
    <row r="1126" spans="34:39" x14ac:dyDescent="0.35">
      <c r="AH1126" s="21"/>
      <c r="AI1126" s="21"/>
      <c r="AJ1126" s="21"/>
      <c r="AK1126" s="21"/>
      <c r="AM1126" t="s">
        <v>53</v>
      </c>
    </row>
    <row r="1127" spans="34:39" x14ac:dyDescent="0.35">
      <c r="AH1127" s="21"/>
      <c r="AI1127" s="21"/>
      <c r="AJ1127" s="21"/>
      <c r="AK1127" s="21"/>
      <c r="AM1127" t="s">
        <v>53</v>
      </c>
    </row>
    <row r="1128" spans="34:39" x14ac:dyDescent="0.35">
      <c r="AH1128" s="21"/>
      <c r="AI1128" s="21"/>
      <c r="AJ1128" s="21"/>
      <c r="AK1128" s="21"/>
      <c r="AM1128" t="s">
        <v>53</v>
      </c>
    </row>
    <row r="1129" spans="34:39" x14ac:dyDescent="0.35">
      <c r="AH1129" s="21"/>
      <c r="AI1129" s="21"/>
      <c r="AJ1129" s="21"/>
      <c r="AK1129" s="21"/>
      <c r="AM1129" t="s">
        <v>53</v>
      </c>
    </row>
    <row r="1130" spans="34:39" x14ac:dyDescent="0.35">
      <c r="AH1130" s="21"/>
      <c r="AI1130" s="21"/>
      <c r="AJ1130" s="21"/>
      <c r="AK1130" s="21"/>
      <c r="AM1130" t="s">
        <v>53</v>
      </c>
    </row>
    <row r="1131" spans="34:39" x14ac:dyDescent="0.35">
      <c r="AH1131" s="21"/>
      <c r="AI1131" s="21"/>
      <c r="AJ1131" s="21"/>
      <c r="AK1131" s="21"/>
      <c r="AM1131" t="s">
        <v>53</v>
      </c>
    </row>
    <row r="1132" spans="34:39" x14ac:dyDescent="0.35">
      <c r="AH1132" s="21"/>
      <c r="AI1132" s="21"/>
      <c r="AJ1132" s="21"/>
      <c r="AK1132" s="21"/>
      <c r="AM1132" t="s">
        <v>53</v>
      </c>
    </row>
    <row r="1133" spans="34:39" x14ac:dyDescent="0.35">
      <c r="AH1133" s="21"/>
      <c r="AI1133" s="21"/>
      <c r="AJ1133" s="21"/>
      <c r="AK1133" s="21"/>
      <c r="AM1133" t="s">
        <v>53</v>
      </c>
    </row>
    <row r="1134" spans="34:39" x14ac:dyDescent="0.35">
      <c r="AH1134" s="21"/>
      <c r="AI1134" s="21"/>
      <c r="AJ1134" s="21"/>
      <c r="AK1134" s="21"/>
      <c r="AM1134" t="s">
        <v>53</v>
      </c>
    </row>
    <row r="1135" spans="34:39" x14ac:dyDescent="0.35">
      <c r="AH1135" s="21"/>
      <c r="AI1135" s="21"/>
      <c r="AJ1135" s="21"/>
      <c r="AK1135" s="21"/>
      <c r="AM1135" t="s">
        <v>53</v>
      </c>
    </row>
    <row r="1136" spans="34:39" x14ac:dyDescent="0.35">
      <c r="AH1136" s="21"/>
      <c r="AI1136" s="21"/>
      <c r="AJ1136" s="21"/>
      <c r="AK1136" s="21"/>
      <c r="AM1136" t="s">
        <v>53</v>
      </c>
    </row>
    <row r="1137" spans="34:39" x14ac:dyDescent="0.35">
      <c r="AH1137" s="21"/>
      <c r="AI1137" s="21"/>
      <c r="AJ1137" s="21"/>
      <c r="AK1137" s="21"/>
      <c r="AM1137" t="s">
        <v>53</v>
      </c>
    </row>
    <row r="1138" spans="34:39" x14ac:dyDescent="0.35">
      <c r="AH1138" s="21"/>
      <c r="AI1138" s="21"/>
      <c r="AJ1138" s="21"/>
      <c r="AK1138" s="21"/>
      <c r="AM1138" t="s">
        <v>53</v>
      </c>
    </row>
    <row r="1139" spans="34:39" x14ac:dyDescent="0.35">
      <c r="AH1139" s="21"/>
      <c r="AI1139" s="21"/>
      <c r="AJ1139" s="21"/>
      <c r="AK1139" s="21"/>
      <c r="AM1139" t="s">
        <v>53</v>
      </c>
    </row>
    <row r="1140" spans="34:39" x14ac:dyDescent="0.35">
      <c r="AH1140" s="21"/>
      <c r="AI1140" s="21"/>
      <c r="AJ1140" s="21"/>
      <c r="AK1140" s="21"/>
      <c r="AM1140" t="s">
        <v>53</v>
      </c>
    </row>
    <row r="1141" spans="34:39" x14ac:dyDescent="0.35">
      <c r="AH1141" s="21"/>
      <c r="AI1141" s="21"/>
      <c r="AJ1141" s="21"/>
      <c r="AK1141" s="21"/>
      <c r="AM1141" t="s">
        <v>53</v>
      </c>
    </row>
    <row r="1142" spans="34:39" x14ac:dyDescent="0.35">
      <c r="AH1142" s="21"/>
      <c r="AI1142" s="21"/>
      <c r="AJ1142" s="21"/>
      <c r="AK1142" s="21"/>
      <c r="AM1142" t="s">
        <v>53</v>
      </c>
    </row>
    <row r="1143" spans="34:39" x14ac:dyDescent="0.35">
      <c r="AH1143" s="21"/>
      <c r="AI1143" s="21"/>
      <c r="AJ1143" s="21"/>
      <c r="AK1143" s="21"/>
      <c r="AM1143" t="s">
        <v>53</v>
      </c>
    </row>
    <row r="1144" spans="34:39" x14ac:dyDescent="0.35">
      <c r="AH1144" s="21"/>
      <c r="AI1144" s="21"/>
      <c r="AJ1144" s="21"/>
      <c r="AK1144" s="21"/>
      <c r="AM1144" t="s">
        <v>53</v>
      </c>
    </row>
    <row r="1145" spans="34:39" x14ac:dyDescent="0.35">
      <c r="AH1145" s="21"/>
      <c r="AI1145" s="21"/>
      <c r="AJ1145" s="21"/>
      <c r="AK1145" s="21"/>
      <c r="AM1145" t="s">
        <v>53</v>
      </c>
    </row>
    <row r="1146" spans="34:39" x14ac:dyDescent="0.35">
      <c r="AH1146" s="21"/>
      <c r="AI1146" s="21"/>
      <c r="AJ1146" s="21"/>
      <c r="AK1146" s="21"/>
      <c r="AM1146" t="s">
        <v>53</v>
      </c>
    </row>
    <row r="1147" spans="34:39" x14ac:dyDescent="0.35">
      <c r="AH1147" s="21"/>
      <c r="AI1147" s="21"/>
      <c r="AJ1147" s="21"/>
      <c r="AK1147" s="21"/>
      <c r="AM1147" t="s">
        <v>53</v>
      </c>
    </row>
    <row r="1148" spans="34:39" x14ac:dyDescent="0.35">
      <c r="AH1148" s="21"/>
      <c r="AI1148" s="21"/>
      <c r="AJ1148" s="21"/>
      <c r="AK1148" s="21"/>
      <c r="AM1148" t="s">
        <v>53</v>
      </c>
    </row>
    <row r="1149" spans="34:39" x14ac:dyDescent="0.35">
      <c r="AH1149" s="21"/>
      <c r="AI1149" s="21"/>
      <c r="AJ1149" s="21"/>
      <c r="AK1149" s="21"/>
      <c r="AM1149" t="s">
        <v>53</v>
      </c>
    </row>
    <row r="1150" spans="34:39" x14ac:dyDescent="0.35">
      <c r="AH1150" s="21"/>
      <c r="AI1150" s="21"/>
      <c r="AJ1150" s="21"/>
      <c r="AK1150" s="21"/>
      <c r="AM1150" t="s">
        <v>53</v>
      </c>
    </row>
    <row r="1151" spans="34:39" x14ac:dyDescent="0.35">
      <c r="AH1151" s="21"/>
      <c r="AI1151" s="21"/>
      <c r="AJ1151" s="21"/>
      <c r="AK1151" s="21"/>
      <c r="AM1151" t="s">
        <v>53</v>
      </c>
    </row>
    <row r="1152" spans="34:39" x14ac:dyDescent="0.35">
      <c r="AH1152" s="21"/>
      <c r="AI1152" s="21"/>
      <c r="AJ1152" s="21"/>
      <c r="AK1152" s="21"/>
      <c r="AM1152" t="s">
        <v>53</v>
      </c>
    </row>
    <row r="1153" spans="34:39" x14ac:dyDescent="0.35">
      <c r="AH1153" s="21"/>
      <c r="AI1153" s="21"/>
      <c r="AJ1153" s="21"/>
      <c r="AK1153" s="21"/>
      <c r="AM1153" t="s">
        <v>53</v>
      </c>
    </row>
    <row r="1154" spans="34:39" x14ac:dyDescent="0.35">
      <c r="AH1154" s="21"/>
      <c r="AI1154" s="21"/>
      <c r="AJ1154" s="21"/>
      <c r="AK1154" s="21"/>
      <c r="AM1154" t="s">
        <v>53</v>
      </c>
    </row>
    <row r="1155" spans="34:39" x14ac:dyDescent="0.35">
      <c r="AH1155" s="21"/>
      <c r="AI1155" s="21"/>
      <c r="AJ1155" s="21"/>
      <c r="AK1155" s="21"/>
      <c r="AM1155" t="s">
        <v>53</v>
      </c>
    </row>
    <row r="1156" spans="34:39" x14ac:dyDescent="0.35">
      <c r="AH1156" s="21"/>
      <c r="AI1156" s="21"/>
      <c r="AJ1156" s="21"/>
      <c r="AK1156" s="21"/>
      <c r="AM1156" t="s">
        <v>53</v>
      </c>
    </row>
    <row r="1157" spans="34:39" x14ac:dyDescent="0.35">
      <c r="AH1157" s="21"/>
      <c r="AI1157" s="21"/>
      <c r="AJ1157" s="21"/>
      <c r="AK1157" s="21"/>
      <c r="AM1157" t="s">
        <v>53</v>
      </c>
    </row>
    <row r="1158" spans="34:39" x14ac:dyDescent="0.35">
      <c r="AH1158" s="21"/>
      <c r="AI1158" s="21"/>
      <c r="AJ1158" s="21"/>
      <c r="AK1158" s="21"/>
      <c r="AM1158" t="s">
        <v>53</v>
      </c>
    </row>
    <row r="1159" spans="34:39" x14ac:dyDescent="0.35">
      <c r="AH1159" s="21"/>
      <c r="AI1159" s="21"/>
      <c r="AJ1159" s="21"/>
      <c r="AK1159" s="21"/>
      <c r="AM1159" t="s">
        <v>53</v>
      </c>
    </row>
    <row r="1160" spans="34:39" x14ac:dyDescent="0.35">
      <c r="AH1160" s="21"/>
      <c r="AI1160" s="21"/>
      <c r="AJ1160" s="21"/>
      <c r="AK1160" s="21"/>
      <c r="AM1160" t="s">
        <v>53</v>
      </c>
    </row>
    <row r="1161" spans="34:39" x14ac:dyDescent="0.35">
      <c r="AH1161" s="21"/>
      <c r="AI1161" s="21"/>
      <c r="AJ1161" s="21"/>
      <c r="AK1161" s="21"/>
      <c r="AM1161" t="s">
        <v>53</v>
      </c>
    </row>
    <row r="1162" spans="34:39" x14ac:dyDescent="0.35">
      <c r="AH1162" s="21"/>
      <c r="AI1162" s="21"/>
      <c r="AJ1162" s="21"/>
      <c r="AK1162" s="21"/>
      <c r="AM1162" t="s">
        <v>53</v>
      </c>
    </row>
    <row r="1163" spans="34:39" x14ac:dyDescent="0.35">
      <c r="AH1163" s="21"/>
      <c r="AI1163" s="21"/>
      <c r="AJ1163" s="21"/>
      <c r="AK1163" s="21"/>
      <c r="AM1163" t="s">
        <v>53</v>
      </c>
    </row>
    <row r="1164" spans="34:39" x14ac:dyDescent="0.35">
      <c r="AH1164" s="21"/>
      <c r="AI1164" s="21"/>
      <c r="AJ1164" s="21"/>
      <c r="AK1164" s="21"/>
      <c r="AM1164" t="s">
        <v>53</v>
      </c>
    </row>
    <row r="1165" spans="34:39" x14ac:dyDescent="0.35">
      <c r="AH1165" s="21"/>
      <c r="AI1165" s="21"/>
      <c r="AJ1165" s="21"/>
      <c r="AK1165" s="21"/>
      <c r="AM1165" t="s">
        <v>53</v>
      </c>
    </row>
    <row r="1166" spans="34:39" x14ac:dyDescent="0.35">
      <c r="AH1166" s="21"/>
      <c r="AI1166" s="21"/>
      <c r="AJ1166" s="21"/>
      <c r="AK1166" s="21"/>
      <c r="AM1166" t="s">
        <v>53</v>
      </c>
    </row>
    <row r="1167" spans="34:39" x14ac:dyDescent="0.35">
      <c r="AH1167" s="21"/>
      <c r="AI1167" s="21"/>
      <c r="AJ1167" s="21"/>
      <c r="AK1167" s="21"/>
      <c r="AM1167" t="s">
        <v>53</v>
      </c>
    </row>
    <row r="1168" spans="34:39" x14ac:dyDescent="0.35">
      <c r="AH1168" s="21"/>
      <c r="AI1168" s="21"/>
      <c r="AJ1168" s="21"/>
      <c r="AK1168" s="21"/>
      <c r="AM1168" t="s">
        <v>53</v>
      </c>
    </row>
    <row r="1169" spans="34:39" x14ac:dyDescent="0.35">
      <c r="AH1169" s="21"/>
      <c r="AI1169" s="21"/>
      <c r="AJ1169" s="21"/>
      <c r="AK1169" s="21"/>
      <c r="AM1169" t="s">
        <v>53</v>
      </c>
    </row>
    <row r="1170" spans="34:39" x14ac:dyDescent="0.35">
      <c r="AH1170" s="21"/>
      <c r="AI1170" s="21"/>
      <c r="AJ1170" s="21"/>
      <c r="AK1170" s="21"/>
      <c r="AM1170" t="s">
        <v>53</v>
      </c>
    </row>
    <row r="1171" spans="34:39" x14ac:dyDescent="0.35">
      <c r="AH1171" s="21"/>
      <c r="AI1171" s="21"/>
      <c r="AJ1171" s="21"/>
      <c r="AK1171" s="21"/>
      <c r="AM1171" t="s">
        <v>53</v>
      </c>
    </row>
    <row r="1172" spans="34:39" x14ac:dyDescent="0.35">
      <c r="AH1172" s="21"/>
      <c r="AI1172" s="21"/>
      <c r="AJ1172" s="21"/>
      <c r="AK1172" s="21"/>
      <c r="AM1172" t="s">
        <v>53</v>
      </c>
    </row>
    <row r="1173" spans="34:39" x14ac:dyDescent="0.35">
      <c r="AH1173" s="21"/>
      <c r="AI1173" s="21"/>
      <c r="AJ1173" s="21"/>
      <c r="AK1173" s="21"/>
      <c r="AM1173" t="s">
        <v>53</v>
      </c>
    </row>
    <row r="1174" spans="34:39" x14ac:dyDescent="0.35">
      <c r="AH1174" s="21"/>
      <c r="AI1174" s="21"/>
      <c r="AJ1174" s="21"/>
      <c r="AK1174" s="21"/>
      <c r="AM1174" t="s">
        <v>53</v>
      </c>
    </row>
    <row r="1175" spans="34:39" x14ac:dyDescent="0.35">
      <c r="AH1175" s="21"/>
      <c r="AI1175" s="21"/>
      <c r="AJ1175" s="21"/>
      <c r="AK1175" s="21"/>
      <c r="AM1175" t="s">
        <v>53</v>
      </c>
    </row>
    <row r="1176" spans="34:39" x14ac:dyDescent="0.35">
      <c r="AH1176" s="21"/>
      <c r="AI1176" s="21"/>
      <c r="AJ1176" s="21"/>
      <c r="AK1176" s="21"/>
      <c r="AM1176" t="s">
        <v>53</v>
      </c>
    </row>
    <row r="1177" spans="34:39" x14ac:dyDescent="0.35">
      <c r="AH1177" s="21"/>
      <c r="AI1177" s="21"/>
      <c r="AJ1177" s="21"/>
      <c r="AK1177" s="21"/>
      <c r="AM1177" t="s">
        <v>53</v>
      </c>
    </row>
    <row r="1178" spans="34:39" x14ac:dyDescent="0.35">
      <c r="AH1178" s="21"/>
      <c r="AI1178" s="21"/>
      <c r="AJ1178" s="21"/>
      <c r="AK1178" s="21"/>
      <c r="AM1178" t="s">
        <v>53</v>
      </c>
    </row>
    <row r="1179" spans="34:39" x14ac:dyDescent="0.35">
      <c r="AH1179" s="21"/>
      <c r="AI1179" s="21"/>
      <c r="AJ1179" s="21"/>
      <c r="AK1179" s="21"/>
      <c r="AM1179" t="s">
        <v>53</v>
      </c>
    </row>
    <row r="1180" spans="34:39" x14ac:dyDescent="0.35">
      <c r="AH1180" s="21"/>
      <c r="AI1180" s="21"/>
      <c r="AJ1180" s="21"/>
      <c r="AK1180" s="21"/>
      <c r="AM1180" t="s">
        <v>53</v>
      </c>
    </row>
    <row r="1181" spans="34:39" x14ac:dyDescent="0.35">
      <c r="AH1181" s="21"/>
      <c r="AI1181" s="21"/>
      <c r="AJ1181" s="21"/>
      <c r="AK1181" s="21"/>
      <c r="AM1181" t="s">
        <v>53</v>
      </c>
    </row>
    <row r="1182" spans="34:39" x14ac:dyDescent="0.35">
      <c r="AH1182" s="21"/>
      <c r="AI1182" s="21"/>
      <c r="AJ1182" s="21"/>
      <c r="AK1182" s="21"/>
      <c r="AM1182" t="s">
        <v>53</v>
      </c>
    </row>
    <row r="1183" spans="34:39" x14ac:dyDescent="0.35">
      <c r="AH1183" s="21"/>
      <c r="AI1183" s="21"/>
      <c r="AJ1183" s="21"/>
      <c r="AK1183" s="21"/>
      <c r="AM1183" t="s">
        <v>53</v>
      </c>
    </row>
    <row r="1184" spans="34:39" x14ac:dyDescent="0.35">
      <c r="AH1184" s="21"/>
      <c r="AI1184" s="21"/>
      <c r="AJ1184" s="21"/>
      <c r="AK1184" s="21"/>
      <c r="AM1184" t="s">
        <v>53</v>
      </c>
    </row>
    <row r="1185" spans="34:39" x14ac:dyDescent="0.35">
      <c r="AH1185" s="21"/>
      <c r="AI1185" s="21"/>
      <c r="AJ1185" s="21"/>
      <c r="AK1185" s="21"/>
      <c r="AM1185" t="s">
        <v>53</v>
      </c>
    </row>
    <row r="1186" spans="34:39" x14ac:dyDescent="0.35">
      <c r="AH1186" s="21"/>
      <c r="AI1186" s="21"/>
      <c r="AJ1186" s="21"/>
      <c r="AK1186" s="21"/>
      <c r="AM1186" t="s">
        <v>53</v>
      </c>
    </row>
    <row r="1187" spans="34:39" x14ac:dyDescent="0.35">
      <c r="AH1187" s="21"/>
      <c r="AI1187" s="21"/>
      <c r="AJ1187" s="21"/>
      <c r="AK1187" s="21"/>
      <c r="AM1187" t="s">
        <v>53</v>
      </c>
    </row>
    <row r="1188" spans="34:39" x14ac:dyDescent="0.35">
      <c r="AH1188" s="21"/>
      <c r="AI1188" s="21"/>
      <c r="AJ1188" s="21"/>
      <c r="AK1188" s="21"/>
      <c r="AM1188" t="s">
        <v>53</v>
      </c>
    </row>
    <row r="1189" spans="34:39" x14ac:dyDescent="0.35">
      <c r="AH1189" s="21"/>
      <c r="AI1189" s="21"/>
      <c r="AJ1189" s="21"/>
      <c r="AK1189" s="21"/>
      <c r="AM1189" t="s">
        <v>53</v>
      </c>
    </row>
    <row r="1190" spans="34:39" x14ac:dyDescent="0.35">
      <c r="AH1190" s="21"/>
      <c r="AI1190" s="21"/>
      <c r="AJ1190" s="21"/>
      <c r="AK1190" s="21"/>
      <c r="AM1190" t="s">
        <v>53</v>
      </c>
    </row>
    <row r="1191" spans="34:39" x14ac:dyDescent="0.35">
      <c r="AH1191" s="21"/>
      <c r="AI1191" s="21"/>
      <c r="AJ1191" s="21"/>
      <c r="AK1191" s="21"/>
      <c r="AM1191" t="s">
        <v>53</v>
      </c>
    </row>
    <row r="1192" spans="34:39" x14ac:dyDescent="0.35">
      <c r="AH1192" s="21"/>
      <c r="AI1192" s="21"/>
      <c r="AJ1192" s="21"/>
      <c r="AK1192" s="21"/>
      <c r="AM1192" t="s">
        <v>53</v>
      </c>
    </row>
    <row r="1193" spans="34:39" x14ac:dyDescent="0.35">
      <c r="AH1193" s="21"/>
      <c r="AI1193" s="21"/>
      <c r="AJ1193" s="21"/>
      <c r="AK1193" s="21"/>
      <c r="AM1193" t="s">
        <v>53</v>
      </c>
    </row>
    <row r="1194" spans="34:39" x14ac:dyDescent="0.35">
      <c r="AH1194" s="21"/>
      <c r="AI1194" s="21"/>
      <c r="AJ1194" s="21"/>
      <c r="AK1194" s="21"/>
      <c r="AM1194" t="s">
        <v>53</v>
      </c>
    </row>
    <row r="1195" spans="34:39" x14ac:dyDescent="0.35">
      <c r="AH1195" s="21"/>
      <c r="AI1195" s="21"/>
      <c r="AJ1195" s="21"/>
      <c r="AK1195" s="21"/>
      <c r="AM1195" t="s">
        <v>53</v>
      </c>
    </row>
    <row r="1196" spans="34:39" x14ac:dyDescent="0.35">
      <c r="AH1196" s="21"/>
      <c r="AI1196" s="21"/>
      <c r="AJ1196" s="21"/>
      <c r="AK1196" s="21"/>
      <c r="AM1196" t="s">
        <v>53</v>
      </c>
    </row>
    <row r="1197" spans="34:39" x14ac:dyDescent="0.35">
      <c r="AH1197" s="21"/>
      <c r="AI1197" s="21"/>
      <c r="AJ1197" s="21"/>
      <c r="AK1197" s="21"/>
      <c r="AM1197" t="s">
        <v>53</v>
      </c>
    </row>
    <row r="1198" spans="34:39" x14ac:dyDescent="0.35">
      <c r="AH1198" s="21"/>
      <c r="AI1198" s="21"/>
      <c r="AJ1198" s="21"/>
      <c r="AK1198" s="21"/>
      <c r="AM1198" t="s">
        <v>53</v>
      </c>
    </row>
    <row r="1199" spans="34:39" x14ac:dyDescent="0.35">
      <c r="AH1199" s="21"/>
      <c r="AI1199" s="21"/>
      <c r="AJ1199" s="21"/>
      <c r="AK1199" s="21"/>
      <c r="AM1199" t="s">
        <v>53</v>
      </c>
    </row>
    <row r="1200" spans="34:39" x14ac:dyDescent="0.35">
      <c r="AH1200" s="21"/>
      <c r="AI1200" s="21"/>
      <c r="AJ1200" s="21"/>
      <c r="AK1200" s="21"/>
      <c r="AM1200" t="s">
        <v>53</v>
      </c>
    </row>
    <row r="1201" spans="34:39" x14ac:dyDescent="0.35">
      <c r="AH1201" s="21"/>
      <c r="AI1201" s="21"/>
      <c r="AJ1201" s="21"/>
      <c r="AK1201" s="21"/>
      <c r="AM1201" t="s">
        <v>53</v>
      </c>
    </row>
    <row r="1202" spans="34:39" x14ac:dyDescent="0.35">
      <c r="AH1202" s="21"/>
      <c r="AI1202" s="21"/>
      <c r="AJ1202" s="21"/>
      <c r="AK1202" s="21"/>
      <c r="AM1202" t="s">
        <v>53</v>
      </c>
    </row>
    <row r="1203" spans="34:39" x14ac:dyDescent="0.35">
      <c r="AH1203" s="21"/>
      <c r="AI1203" s="21"/>
      <c r="AJ1203" s="21"/>
      <c r="AK1203" s="21"/>
      <c r="AM1203" t="s">
        <v>53</v>
      </c>
    </row>
    <row r="1204" spans="34:39" x14ac:dyDescent="0.35">
      <c r="AH1204" s="21"/>
      <c r="AI1204" s="21"/>
      <c r="AJ1204" s="21"/>
      <c r="AK1204" s="21"/>
      <c r="AM1204" t="s">
        <v>53</v>
      </c>
    </row>
    <row r="1205" spans="34:39" x14ac:dyDescent="0.35">
      <c r="AH1205" s="21"/>
      <c r="AI1205" s="21"/>
      <c r="AJ1205" s="21"/>
      <c r="AK1205" s="21"/>
      <c r="AM1205" t="s">
        <v>53</v>
      </c>
    </row>
    <row r="1206" spans="34:39" x14ac:dyDescent="0.35">
      <c r="AH1206" s="21"/>
      <c r="AI1206" s="21"/>
      <c r="AJ1206" s="21"/>
      <c r="AK1206" s="21"/>
      <c r="AM1206" t="s">
        <v>53</v>
      </c>
    </row>
    <row r="1207" spans="34:39" x14ac:dyDescent="0.35">
      <c r="AH1207" s="21"/>
      <c r="AI1207" s="21"/>
      <c r="AJ1207" s="21"/>
      <c r="AK1207" s="21"/>
      <c r="AM1207" t="s">
        <v>53</v>
      </c>
    </row>
    <row r="1208" spans="34:39" x14ac:dyDescent="0.35">
      <c r="AH1208" s="21"/>
      <c r="AI1208" s="21"/>
      <c r="AJ1208" s="21"/>
      <c r="AK1208" s="21"/>
      <c r="AM1208" t="s">
        <v>53</v>
      </c>
    </row>
    <row r="1209" spans="34:39" x14ac:dyDescent="0.35">
      <c r="AH1209" s="21"/>
      <c r="AI1209" s="21"/>
      <c r="AJ1209" s="21"/>
      <c r="AK1209" s="21"/>
      <c r="AM1209" t="s">
        <v>53</v>
      </c>
    </row>
    <row r="1210" spans="34:39" x14ac:dyDescent="0.35">
      <c r="AH1210" s="21"/>
      <c r="AI1210" s="21"/>
      <c r="AJ1210" s="21"/>
      <c r="AK1210" s="21"/>
      <c r="AM1210" t="s">
        <v>53</v>
      </c>
    </row>
    <row r="1211" spans="34:39" x14ac:dyDescent="0.35">
      <c r="AH1211" s="21"/>
      <c r="AI1211" s="21"/>
      <c r="AJ1211" s="21"/>
      <c r="AK1211" s="21"/>
      <c r="AM1211" t="s">
        <v>53</v>
      </c>
    </row>
    <row r="1212" spans="34:39" x14ac:dyDescent="0.35">
      <c r="AH1212" s="21"/>
      <c r="AI1212" s="21"/>
      <c r="AJ1212" s="21"/>
      <c r="AK1212" s="21"/>
      <c r="AM1212" t="s">
        <v>53</v>
      </c>
    </row>
    <row r="1213" spans="34:39" x14ac:dyDescent="0.35">
      <c r="AH1213" s="21"/>
      <c r="AI1213" s="21"/>
      <c r="AJ1213" s="21"/>
      <c r="AK1213" s="21"/>
      <c r="AM1213" t="s">
        <v>53</v>
      </c>
    </row>
    <row r="1214" spans="34:39" x14ac:dyDescent="0.35">
      <c r="AH1214" s="21"/>
      <c r="AI1214" s="21"/>
      <c r="AJ1214" s="21"/>
      <c r="AK1214" s="21"/>
      <c r="AM1214" t="s">
        <v>53</v>
      </c>
    </row>
    <row r="1215" spans="34:39" x14ac:dyDescent="0.35">
      <c r="AH1215" s="21"/>
      <c r="AI1215" s="21"/>
      <c r="AJ1215" s="21"/>
      <c r="AK1215" s="21"/>
      <c r="AM1215" t="s">
        <v>53</v>
      </c>
    </row>
    <row r="1216" spans="34:39" x14ac:dyDescent="0.35">
      <c r="AH1216" s="21"/>
      <c r="AI1216" s="21"/>
      <c r="AJ1216" s="21"/>
      <c r="AK1216" s="21"/>
      <c r="AM1216" t="s">
        <v>53</v>
      </c>
    </row>
    <row r="1217" spans="34:39" x14ac:dyDescent="0.35">
      <c r="AH1217" s="21"/>
      <c r="AI1217" s="21"/>
      <c r="AJ1217" s="21"/>
      <c r="AK1217" s="21"/>
      <c r="AM1217" t="s">
        <v>53</v>
      </c>
    </row>
    <row r="1218" spans="34:39" x14ac:dyDescent="0.35">
      <c r="AH1218" s="21"/>
      <c r="AI1218" s="21"/>
      <c r="AJ1218" s="21"/>
      <c r="AK1218" s="21"/>
      <c r="AM1218" t="s">
        <v>53</v>
      </c>
    </row>
    <row r="1219" spans="34:39" x14ac:dyDescent="0.35">
      <c r="AH1219" s="21"/>
      <c r="AI1219" s="21"/>
      <c r="AJ1219" s="21"/>
      <c r="AK1219" s="21"/>
      <c r="AM1219" t="s">
        <v>53</v>
      </c>
    </row>
    <row r="1220" spans="34:39" x14ac:dyDescent="0.35">
      <c r="AH1220" s="21"/>
      <c r="AI1220" s="21"/>
      <c r="AJ1220" s="21"/>
      <c r="AK1220" s="21"/>
      <c r="AM1220" t="s">
        <v>53</v>
      </c>
    </row>
    <row r="1221" spans="34:39" x14ac:dyDescent="0.35">
      <c r="AH1221" s="21"/>
      <c r="AI1221" s="21"/>
      <c r="AJ1221" s="21"/>
      <c r="AK1221" s="21"/>
      <c r="AM1221" t="s">
        <v>53</v>
      </c>
    </row>
    <row r="1222" spans="34:39" x14ac:dyDescent="0.35">
      <c r="AH1222" s="21"/>
      <c r="AI1222" s="21"/>
      <c r="AJ1222" s="21"/>
      <c r="AK1222" s="21"/>
      <c r="AM1222" t="s">
        <v>53</v>
      </c>
    </row>
    <row r="1223" spans="34:39" x14ac:dyDescent="0.35">
      <c r="AH1223" s="21"/>
      <c r="AI1223" s="21"/>
      <c r="AJ1223" s="21"/>
      <c r="AK1223" s="21"/>
      <c r="AM1223" t="s">
        <v>53</v>
      </c>
    </row>
    <row r="1224" spans="34:39" x14ac:dyDescent="0.35">
      <c r="AH1224" s="21"/>
      <c r="AI1224" s="21"/>
      <c r="AJ1224" s="21"/>
      <c r="AK1224" s="21"/>
      <c r="AM1224" t="s">
        <v>53</v>
      </c>
    </row>
    <row r="1225" spans="34:39" x14ac:dyDescent="0.35">
      <c r="AH1225" s="21"/>
      <c r="AI1225" s="21"/>
      <c r="AJ1225" s="21"/>
      <c r="AK1225" s="21"/>
      <c r="AM1225" t="s">
        <v>53</v>
      </c>
    </row>
    <row r="1226" spans="34:39" x14ac:dyDescent="0.35">
      <c r="AH1226" s="21"/>
      <c r="AI1226" s="21"/>
      <c r="AJ1226" s="21"/>
      <c r="AK1226" s="21"/>
      <c r="AM1226" t="s">
        <v>53</v>
      </c>
    </row>
    <row r="1227" spans="34:39" x14ac:dyDescent="0.35">
      <c r="AH1227" s="21"/>
      <c r="AI1227" s="21"/>
      <c r="AJ1227" s="21"/>
      <c r="AK1227" s="21"/>
      <c r="AM1227" t="s">
        <v>53</v>
      </c>
    </row>
    <row r="1228" spans="34:39" x14ac:dyDescent="0.35">
      <c r="AH1228" s="21"/>
      <c r="AI1228" s="21"/>
      <c r="AJ1228" s="21"/>
      <c r="AK1228" s="21"/>
      <c r="AM1228" t="s">
        <v>53</v>
      </c>
    </row>
    <row r="1229" spans="34:39" x14ac:dyDescent="0.35">
      <c r="AH1229" s="21"/>
      <c r="AI1229" s="21"/>
      <c r="AJ1229" s="21"/>
      <c r="AK1229" s="21"/>
      <c r="AM1229" t="s">
        <v>53</v>
      </c>
    </row>
    <row r="1230" spans="34:39" x14ac:dyDescent="0.35">
      <c r="AH1230" s="21"/>
      <c r="AI1230" s="21"/>
      <c r="AJ1230" s="21"/>
      <c r="AK1230" s="21"/>
      <c r="AM1230" t="s">
        <v>53</v>
      </c>
    </row>
    <row r="1231" spans="34:39" x14ac:dyDescent="0.35">
      <c r="AH1231" s="21"/>
      <c r="AI1231" s="21"/>
      <c r="AJ1231" s="21"/>
      <c r="AK1231" s="21"/>
      <c r="AM1231" t="s">
        <v>53</v>
      </c>
    </row>
    <row r="1232" spans="34:39" x14ac:dyDescent="0.35">
      <c r="AH1232" s="21"/>
      <c r="AI1232" s="21"/>
      <c r="AJ1232" s="21"/>
      <c r="AK1232" s="21"/>
      <c r="AM1232" t="s">
        <v>53</v>
      </c>
    </row>
    <row r="1233" spans="34:39" x14ac:dyDescent="0.35">
      <c r="AH1233" s="21"/>
      <c r="AI1233" s="21"/>
      <c r="AJ1233" s="21"/>
      <c r="AK1233" s="21"/>
      <c r="AM1233" t="s">
        <v>53</v>
      </c>
    </row>
    <row r="1234" spans="34:39" x14ac:dyDescent="0.35">
      <c r="AH1234" s="21"/>
      <c r="AI1234" s="21"/>
      <c r="AJ1234" s="21"/>
      <c r="AK1234" s="21"/>
      <c r="AM1234" t="s">
        <v>53</v>
      </c>
    </row>
    <row r="1235" spans="34:39" x14ac:dyDescent="0.35">
      <c r="AH1235" s="21"/>
      <c r="AI1235" s="21"/>
      <c r="AJ1235" s="21"/>
      <c r="AK1235" s="21"/>
      <c r="AM1235" t="s">
        <v>53</v>
      </c>
    </row>
    <row r="1236" spans="34:39" x14ac:dyDescent="0.35">
      <c r="AH1236" s="21"/>
      <c r="AI1236" s="21"/>
      <c r="AJ1236" s="21"/>
      <c r="AK1236" s="21"/>
      <c r="AM1236" t="s">
        <v>53</v>
      </c>
    </row>
    <row r="1237" spans="34:39" x14ac:dyDescent="0.35">
      <c r="AH1237" s="21"/>
      <c r="AI1237" s="21"/>
      <c r="AJ1237" s="21"/>
      <c r="AK1237" s="21"/>
      <c r="AM1237" t="s">
        <v>53</v>
      </c>
    </row>
    <row r="1238" spans="34:39" x14ac:dyDescent="0.35">
      <c r="AH1238" s="21"/>
      <c r="AI1238" s="21"/>
      <c r="AJ1238" s="21"/>
      <c r="AK1238" s="21"/>
      <c r="AM1238" t="s">
        <v>53</v>
      </c>
    </row>
    <row r="1239" spans="34:39" x14ac:dyDescent="0.35">
      <c r="AH1239" s="21"/>
      <c r="AI1239" s="21"/>
      <c r="AJ1239" s="21"/>
      <c r="AK1239" s="21"/>
      <c r="AM1239" t="s">
        <v>53</v>
      </c>
    </row>
    <row r="1240" spans="34:39" x14ac:dyDescent="0.35">
      <c r="AH1240" s="21"/>
      <c r="AI1240" s="21"/>
      <c r="AJ1240" s="21"/>
      <c r="AK1240" s="21"/>
      <c r="AM1240" t="s">
        <v>53</v>
      </c>
    </row>
    <row r="1241" spans="34:39" x14ac:dyDescent="0.35">
      <c r="AH1241" s="21"/>
      <c r="AI1241" s="21"/>
      <c r="AJ1241" s="21"/>
      <c r="AK1241" s="21"/>
      <c r="AM1241" t="s">
        <v>53</v>
      </c>
    </row>
    <row r="1242" spans="34:39" x14ac:dyDescent="0.35">
      <c r="AH1242" s="21"/>
      <c r="AI1242" s="21"/>
      <c r="AJ1242" s="21"/>
      <c r="AK1242" s="21"/>
      <c r="AM1242" t="s">
        <v>53</v>
      </c>
    </row>
    <row r="1243" spans="34:39" x14ac:dyDescent="0.35">
      <c r="AH1243" s="21"/>
      <c r="AI1243" s="21"/>
      <c r="AJ1243" s="21"/>
      <c r="AK1243" s="21"/>
      <c r="AM1243" t="s">
        <v>53</v>
      </c>
    </row>
    <row r="1244" spans="34:39" x14ac:dyDescent="0.35">
      <c r="AH1244" s="21"/>
      <c r="AI1244" s="21"/>
      <c r="AJ1244" s="21"/>
      <c r="AK1244" s="21"/>
      <c r="AM1244" t="s">
        <v>53</v>
      </c>
    </row>
    <row r="1245" spans="34:39" x14ac:dyDescent="0.35">
      <c r="AH1245" s="21"/>
      <c r="AI1245" s="21"/>
      <c r="AJ1245" s="21"/>
      <c r="AK1245" s="21"/>
      <c r="AM1245" t="s">
        <v>53</v>
      </c>
    </row>
    <row r="1246" spans="34:39" x14ac:dyDescent="0.35">
      <c r="AH1246" s="21"/>
      <c r="AI1246" s="21"/>
      <c r="AJ1246" s="21"/>
      <c r="AK1246" s="21"/>
      <c r="AM1246" t="s">
        <v>53</v>
      </c>
    </row>
    <row r="1247" spans="34:39" x14ac:dyDescent="0.35">
      <c r="AH1247" s="21"/>
      <c r="AI1247" s="21"/>
      <c r="AJ1247" s="21"/>
      <c r="AK1247" s="21"/>
      <c r="AM1247" t="s">
        <v>53</v>
      </c>
    </row>
    <row r="1248" spans="34:39" x14ac:dyDescent="0.35">
      <c r="AH1248" s="21"/>
      <c r="AI1248" s="21"/>
      <c r="AJ1248" s="21"/>
      <c r="AK1248" s="21"/>
      <c r="AM1248" t="s">
        <v>53</v>
      </c>
    </row>
    <row r="1249" spans="34:39" x14ac:dyDescent="0.35">
      <c r="AH1249" s="21"/>
      <c r="AI1249" s="21"/>
      <c r="AJ1249" s="21"/>
      <c r="AK1249" s="21"/>
      <c r="AM1249" t="s">
        <v>53</v>
      </c>
    </row>
    <row r="1250" spans="34:39" x14ac:dyDescent="0.35">
      <c r="AH1250" s="21"/>
      <c r="AI1250" s="21"/>
      <c r="AJ1250" s="21"/>
      <c r="AK1250" s="21"/>
      <c r="AM1250" t="s">
        <v>53</v>
      </c>
    </row>
    <row r="1251" spans="34:39" x14ac:dyDescent="0.35">
      <c r="AH1251" s="21"/>
      <c r="AI1251" s="21"/>
      <c r="AJ1251" s="21"/>
      <c r="AK1251" s="21"/>
      <c r="AM1251" t="s">
        <v>53</v>
      </c>
    </row>
    <row r="1252" spans="34:39" x14ac:dyDescent="0.35">
      <c r="AH1252" s="21"/>
      <c r="AI1252" s="21"/>
      <c r="AJ1252" s="21"/>
      <c r="AK1252" s="21"/>
      <c r="AM1252" t="s">
        <v>53</v>
      </c>
    </row>
    <row r="1253" spans="34:39" x14ac:dyDescent="0.35">
      <c r="AH1253" s="21"/>
      <c r="AI1253" s="21"/>
      <c r="AJ1253" s="21"/>
      <c r="AK1253" s="21"/>
      <c r="AM1253" t="s">
        <v>53</v>
      </c>
    </row>
    <row r="1254" spans="34:39" x14ac:dyDescent="0.35">
      <c r="AH1254" s="21"/>
      <c r="AI1254" s="21"/>
      <c r="AJ1254" s="21"/>
      <c r="AK1254" s="21"/>
      <c r="AM1254" t="s">
        <v>53</v>
      </c>
    </row>
    <row r="1255" spans="34:39" x14ac:dyDescent="0.35">
      <c r="AH1255" s="21"/>
      <c r="AI1255" s="21"/>
      <c r="AJ1255" s="21"/>
      <c r="AK1255" s="21"/>
      <c r="AM1255" t="s">
        <v>53</v>
      </c>
    </row>
    <row r="1256" spans="34:39" x14ac:dyDescent="0.35">
      <c r="AH1256" s="21"/>
      <c r="AI1256" s="21"/>
      <c r="AJ1256" s="21"/>
      <c r="AK1256" s="21"/>
      <c r="AM1256" t="s">
        <v>53</v>
      </c>
    </row>
    <row r="1257" spans="34:39" x14ac:dyDescent="0.35">
      <c r="AH1257" s="21"/>
      <c r="AI1257" s="21"/>
      <c r="AJ1257" s="21"/>
      <c r="AK1257" s="21"/>
      <c r="AM1257" t="s">
        <v>53</v>
      </c>
    </row>
    <row r="1258" spans="34:39" x14ac:dyDescent="0.35">
      <c r="AH1258" s="21"/>
      <c r="AI1258" s="21"/>
      <c r="AJ1258" s="21"/>
      <c r="AK1258" s="21"/>
      <c r="AM1258" t="s">
        <v>53</v>
      </c>
    </row>
    <row r="1259" spans="34:39" x14ac:dyDescent="0.35">
      <c r="AH1259" s="21"/>
      <c r="AI1259" s="21"/>
      <c r="AJ1259" s="21"/>
      <c r="AK1259" s="21"/>
      <c r="AM1259" t="s">
        <v>53</v>
      </c>
    </row>
    <row r="1260" spans="34:39" x14ac:dyDescent="0.35">
      <c r="AH1260" s="21"/>
      <c r="AI1260" s="21"/>
      <c r="AJ1260" s="21"/>
      <c r="AK1260" s="21"/>
      <c r="AM1260" t="s">
        <v>53</v>
      </c>
    </row>
    <row r="1261" spans="34:39" x14ac:dyDescent="0.35">
      <c r="AH1261" s="21"/>
      <c r="AI1261" s="21"/>
      <c r="AJ1261" s="21"/>
      <c r="AK1261" s="21"/>
      <c r="AM1261" t="s">
        <v>53</v>
      </c>
    </row>
    <row r="1262" spans="34:39" x14ac:dyDescent="0.35">
      <c r="AH1262" s="21"/>
      <c r="AI1262" s="21"/>
      <c r="AJ1262" s="21"/>
      <c r="AK1262" s="21"/>
      <c r="AM1262" t="s">
        <v>53</v>
      </c>
    </row>
    <row r="1263" spans="34:39" x14ac:dyDescent="0.35">
      <c r="AH1263" s="21"/>
      <c r="AI1263" s="21"/>
      <c r="AJ1263" s="21"/>
      <c r="AK1263" s="21"/>
      <c r="AM1263" t="s">
        <v>53</v>
      </c>
    </row>
    <row r="1264" spans="34:39" x14ac:dyDescent="0.35">
      <c r="AH1264" s="21"/>
      <c r="AI1264" s="21"/>
      <c r="AJ1264" s="21"/>
      <c r="AK1264" s="21"/>
      <c r="AM1264" t="s">
        <v>53</v>
      </c>
    </row>
    <row r="1265" spans="34:39" x14ac:dyDescent="0.35">
      <c r="AH1265" s="21"/>
      <c r="AI1265" s="21"/>
      <c r="AJ1265" s="21"/>
      <c r="AK1265" s="21"/>
      <c r="AM1265" t="s">
        <v>53</v>
      </c>
    </row>
    <row r="1266" spans="34:39" x14ac:dyDescent="0.35">
      <c r="AH1266" s="21"/>
      <c r="AI1266" s="21"/>
      <c r="AJ1266" s="21"/>
      <c r="AK1266" s="21"/>
      <c r="AM1266" t="s">
        <v>53</v>
      </c>
    </row>
    <row r="1267" spans="34:39" x14ac:dyDescent="0.35">
      <c r="AH1267" s="21"/>
      <c r="AI1267" s="21"/>
      <c r="AJ1267" s="21"/>
      <c r="AK1267" s="21"/>
      <c r="AM1267" t="s">
        <v>53</v>
      </c>
    </row>
    <row r="1268" spans="34:39" x14ac:dyDescent="0.35">
      <c r="AH1268" s="21"/>
      <c r="AI1268" s="21"/>
      <c r="AJ1268" s="21"/>
      <c r="AK1268" s="21"/>
      <c r="AM1268" t="s">
        <v>53</v>
      </c>
    </row>
    <row r="1269" spans="34:39" x14ac:dyDescent="0.35">
      <c r="AH1269" s="21"/>
      <c r="AI1269" s="21"/>
      <c r="AJ1269" s="21"/>
      <c r="AK1269" s="21"/>
      <c r="AM1269" t="s">
        <v>53</v>
      </c>
    </row>
    <row r="1270" spans="34:39" x14ac:dyDescent="0.35">
      <c r="AH1270" s="21"/>
      <c r="AI1270" s="21"/>
      <c r="AJ1270" s="21"/>
      <c r="AK1270" s="21"/>
      <c r="AM1270" t="s">
        <v>53</v>
      </c>
    </row>
    <row r="1271" spans="34:39" x14ac:dyDescent="0.35">
      <c r="AH1271" s="21"/>
      <c r="AI1271" s="21"/>
      <c r="AJ1271" s="21"/>
      <c r="AK1271" s="21"/>
      <c r="AM1271" t="s">
        <v>53</v>
      </c>
    </row>
    <row r="1272" spans="34:39" x14ac:dyDescent="0.35">
      <c r="AH1272" s="21"/>
      <c r="AI1272" s="21"/>
      <c r="AJ1272" s="21"/>
      <c r="AK1272" s="21"/>
      <c r="AM1272" t="s">
        <v>53</v>
      </c>
    </row>
    <row r="1273" spans="34:39" x14ac:dyDescent="0.35">
      <c r="AH1273" s="21"/>
      <c r="AI1273" s="21"/>
      <c r="AJ1273" s="21"/>
      <c r="AK1273" s="21"/>
      <c r="AM1273" t="s">
        <v>53</v>
      </c>
    </row>
    <row r="1274" spans="34:39" x14ac:dyDescent="0.35">
      <c r="AH1274" s="21"/>
      <c r="AI1274" s="21"/>
      <c r="AJ1274" s="21"/>
      <c r="AK1274" s="21"/>
      <c r="AM1274" t="s">
        <v>53</v>
      </c>
    </row>
    <row r="1275" spans="34:39" x14ac:dyDescent="0.35">
      <c r="AH1275" s="21"/>
      <c r="AI1275" s="21"/>
      <c r="AJ1275" s="21"/>
      <c r="AK1275" s="21"/>
      <c r="AM1275" t="s">
        <v>53</v>
      </c>
    </row>
    <row r="1276" spans="34:39" x14ac:dyDescent="0.35">
      <c r="AH1276" s="21"/>
      <c r="AI1276" s="21"/>
      <c r="AJ1276" s="21"/>
      <c r="AK1276" s="21"/>
      <c r="AM1276" t="s">
        <v>53</v>
      </c>
    </row>
    <row r="1277" spans="34:39" x14ac:dyDescent="0.35">
      <c r="AH1277" s="21"/>
      <c r="AI1277" s="21"/>
      <c r="AJ1277" s="21"/>
      <c r="AK1277" s="21"/>
      <c r="AM1277" t="s">
        <v>53</v>
      </c>
    </row>
    <row r="1278" spans="34:39" x14ac:dyDescent="0.35">
      <c r="AH1278" s="21"/>
      <c r="AI1278" s="21"/>
      <c r="AJ1278" s="21"/>
      <c r="AK1278" s="21"/>
      <c r="AM1278" t="s">
        <v>53</v>
      </c>
    </row>
    <row r="1279" spans="34:39" x14ac:dyDescent="0.35">
      <c r="AH1279" s="21"/>
      <c r="AI1279" s="21"/>
      <c r="AJ1279" s="21"/>
      <c r="AK1279" s="21"/>
      <c r="AM1279" t="s">
        <v>53</v>
      </c>
    </row>
    <row r="1280" spans="34:39" x14ac:dyDescent="0.35">
      <c r="AH1280" s="21"/>
      <c r="AI1280" s="21"/>
      <c r="AJ1280" s="21"/>
      <c r="AK1280" s="21"/>
      <c r="AM1280" t="s">
        <v>53</v>
      </c>
    </row>
    <row r="1281" spans="34:39" x14ac:dyDescent="0.35">
      <c r="AH1281" s="21"/>
      <c r="AI1281" s="21"/>
      <c r="AJ1281" s="21"/>
      <c r="AK1281" s="21"/>
      <c r="AM1281" t="s">
        <v>53</v>
      </c>
    </row>
    <row r="1282" spans="34:39" x14ac:dyDescent="0.35">
      <c r="AH1282" s="21"/>
      <c r="AI1282" s="21"/>
      <c r="AJ1282" s="21"/>
      <c r="AK1282" s="21"/>
      <c r="AM1282" t="s">
        <v>53</v>
      </c>
    </row>
    <row r="1283" spans="34:39" x14ac:dyDescent="0.35">
      <c r="AH1283" s="21"/>
      <c r="AI1283" s="21"/>
      <c r="AJ1283" s="21"/>
      <c r="AK1283" s="21"/>
      <c r="AM1283" t="s">
        <v>53</v>
      </c>
    </row>
    <row r="1284" spans="34:39" x14ac:dyDescent="0.35">
      <c r="AH1284" s="21"/>
      <c r="AI1284" s="21"/>
      <c r="AJ1284" s="21"/>
      <c r="AK1284" s="21"/>
      <c r="AM1284" t="s">
        <v>53</v>
      </c>
    </row>
    <row r="1285" spans="34:39" x14ac:dyDescent="0.35">
      <c r="AH1285" s="21"/>
      <c r="AI1285" s="21"/>
      <c r="AJ1285" s="21"/>
      <c r="AK1285" s="21"/>
      <c r="AM1285" t="s">
        <v>53</v>
      </c>
    </row>
    <row r="1286" spans="34:39" x14ac:dyDescent="0.35">
      <c r="AH1286" s="21"/>
      <c r="AI1286" s="21"/>
      <c r="AJ1286" s="21"/>
      <c r="AK1286" s="21"/>
      <c r="AM1286" t="s">
        <v>53</v>
      </c>
    </row>
    <row r="1287" spans="34:39" x14ac:dyDescent="0.35">
      <c r="AH1287" s="21"/>
      <c r="AI1287" s="21"/>
      <c r="AJ1287" s="21"/>
      <c r="AK1287" s="21"/>
      <c r="AM1287" t="s">
        <v>53</v>
      </c>
    </row>
    <row r="1288" spans="34:39" x14ac:dyDescent="0.35">
      <c r="AH1288" s="21"/>
      <c r="AI1288" s="21"/>
      <c r="AJ1288" s="21"/>
      <c r="AK1288" s="21"/>
      <c r="AM1288" t="s">
        <v>53</v>
      </c>
    </row>
    <row r="1289" spans="34:39" x14ac:dyDescent="0.35">
      <c r="AH1289" s="21"/>
      <c r="AI1289" s="21"/>
      <c r="AJ1289" s="21"/>
      <c r="AK1289" s="21"/>
      <c r="AM1289" t="s">
        <v>53</v>
      </c>
    </row>
    <row r="1290" spans="34:39" x14ac:dyDescent="0.35">
      <c r="AH1290" s="21"/>
      <c r="AI1290" s="21"/>
      <c r="AJ1290" s="21"/>
      <c r="AK1290" s="21"/>
      <c r="AM1290" t="s">
        <v>53</v>
      </c>
    </row>
    <row r="1291" spans="34:39" x14ac:dyDescent="0.35">
      <c r="AH1291" s="21"/>
      <c r="AI1291" s="21"/>
      <c r="AJ1291" s="21"/>
      <c r="AK1291" s="21"/>
      <c r="AM1291" t="s">
        <v>53</v>
      </c>
    </row>
    <row r="1292" spans="34:39" x14ac:dyDescent="0.35">
      <c r="AH1292" s="21"/>
      <c r="AI1292" s="21"/>
      <c r="AJ1292" s="21"/>
      <c r="AK1292" s="21"/>
      <c r="AM1292" t="s">
        <v>53</v>
      </c>
    </row>
    <row r="1293" spans="34:39" x14ac:dyDescent="0.35">
      <c r="AH1293" s="21"/>
      <c r="AI1293" s="21"/>
      <c r="AJ1293" s="21"/>
      <c r="AK1293" s="21"/>
      <c r="AM1293" t="s">
        <v>53</v>
      </c>
    </row>
    <row r="1294" spans="34:39" x14ac:dyDescent="0.35">
      <c r="AH1294" s="21"/>
      <c r="AI1294" s="21"/>
      <c r="AJ1294" s="21"/>
      <c r="AK1294" s="21"/>
      <c r="AM1294" t="s">
        <v>53</v>
      </c>
    </row>
    <row r="1295" spans="34:39" x14ac:dyDescent="0.35">
      <c r="AH1295" s="21"/>
      <c r="AI1295" s="21"/>
      <c r="AJ1295" s="21"/>
      <c r="AK1295" s="21"/>
      <c r="AM1295" t="s">
        <v>53</v>
      </c>
    </row>
    <row r="1296" spans="34:39" x14ac:dyDescent="0.35">
      <c r="AH1296" s="21"/>
      <c r="AI1296" s="21"/>
      <c r="AJ1296" s="21"/>
      <c r="AK1296" s="21"/>
      <c r="AM1296" t="s">
        <v>53</v>
      </c>
    </row>
    <row r="1297" spans="34:39" x14ac:dyDescent="0.35">
      <c r="AH1297" s="21"/>
      <c r="AI1297" s="21"/>
      <c r="AJ1297" s="21"/>
      <c r="AK1297" s="21"/>
      <c r="AM1297" t="s">
        <v>53</v>
      </c>
    </row>
    <row r="1298" spans="34:39" x14ac:dyDescent="0.35">
      <c r="AH1298" s="21"/>
      <c r="AI1298" s="21"/>
      <c r="AJ1298" s="21"/>
      <c r="AK1298" s="21"/>
      <c r="AM1298" t="s">
        <v>53</v>
      </c>
    </row>
    <row r="1299" spans="34:39" x14ac:dyDescent="0.35">
      <c r="AH1299" s="21"/>
      <c r="AI1299" s="21"/>
      <c r="AJ1299" s="21"/>
      <c r="AK1299" s="21"/>
      <c r="AM1299" t="s">
        <v>53</v>
      </c>
    </row>
    <row r="1300" spans="34:39" x14ac:dyDescent="0.35">
      <c r="AH1300" s="21"/>
      <c r="AI1300" s="21"/>
      <c r="AJ1300" s="21"/>
      <c r="AK1300" s="21"/>
      <c r="AM1300" t="s">
        <v>53</v>
      </c>
    </row>
    <row r="1301" spans="34:39" x14ac:dyDescent="0.35">
      <c r="AH1301" s="21"/>
      <c r="AI1301" s="21"/>
      <c r="AJ1301" s="21"/>
      <c r="AK1301" s="21"/>
      <c r="AM1301" t="s">
        <v>53</v>
      </c>
    </row>
    <row r="1302" spans="34:39" x14ac:dyDescent="0.35">
      <c r="AH1302" s="21"/>
      <c r="AI1302" s="21"/>
      <c r="AJ1302" s="21"/>
      <c r="AK1302" s="21"/>
      <c r="AM1302" t="s">
        <v>53</v>
      </c>
    </row>
    <row r="1303" spans="34:39" x14ac:dyDescent="0.35">
      <c r="AH1303" s="21"/>
      <c r="AI1303" s="21"/>
      <c r="AJ1303" s="21"/>
      <c r="AK1303" s="21"/>
      <c r="AM1303" t="s">
        <v>53</v>
      </c>
    </row>
    <row r="1304" spans="34:39" x14ac:dyDescent="0.35">
      <c r="AH1304" s="21"/>
      <c r="AI1304" s="21"/>
      <c r="AJ1304" s="21"/>
      <c r="AK1304" s="21"/>
      <c r="AM1304" t="s">
        <v>53</v>
      </c>
    </row>
    <row r="1305" spans="34:39" x14ac:dyDescent="0.35">
      <c r="AH1305" s="21"/>
      <c r="AI1305" s="21"/>
      <c r="AJ1305" s="21"/>
      <c r="AK1305" s="21"/>
      <c r="AM1305" t="s">
        <v>53</v>
      </c>
    </row>
    <row r="1306" spans="34:39" x14ac:dyDescent="0.35">
      <c r="AH1306" s="21"/>
      <c r="AI1306" s="21"/>
      <c r="AJ1306" s="21"/>
      <c r="AK1306" s="21"/>
      <c r="AM1306" t="s">
        <v>53</v>
      </c>
    </row>
    <row r="1307" spans="34:39" x14ac:dyDescent="0.35">
      <c r="AH1307" s="21"/>
      <c r="AI1307" s="21"/>
      <c r="AJ1307" s="21"/>
      <c r="AK1307" s="21"/>
      <c r="AM1307" t="s">
        <v>53</v>
      </c>
    </row>
    <row r="1308" spans="34:39" x14ac:dyDescent="0.35">
      <c r="AH1308" s="21"/>
      <c r="AI1308" s="21"/>
      <c r="AJ1308" s="21"/>
      <c r="AK1308" s="21"/>
      <c r="AM1308" t="s">
        <v>53</v>
      </c>
    </row>
    <row r="1309" spans="34:39" x14ac:dyDescent="0.35">
      <c r="AH1309" s="21"/>
      <c r="AI1309" s="21"/>
      <c r="AJ1309" s="21"/>
      <c r="AK1309" s="21"/>
      <c r="AM1309" t="s">
        <v>53</v>
      </c>
    </row>
    <row r="1310" spans="34:39" x14ac:dyDescent="0.35">
      <c r="AH1310" s="21"/>
      <c r="AI1310" s="21"/>
      <c r="AJ1310" s="21"/>
      <c r="AK1310" s="21"/>
      <c r="AM1310" t="s">
        <v>53</v>
      </c>
    </row>
    <row r="1311" spans="34:39" x14ac:dyDescent="0.35">
      <c r="AH1311" s="21"/>
      <c r="AI1311" s="21"/>
      <c r="AJ1311" s="21"/>
      <c r="AK1311" s="21"/>
      <c r="AM1311" t="s">
        <v>53</v>
      </c>
    </row>
    <row r="1312" spans="34:39" x14ac:dyDescent="0.35">
      <c r="AH1312" s="21"/>
      <c r="AI1312" s="21"/>
      <c r="AJ1312" s="21"/>
      <c r="AK1312" s="21"/>
      <c r="AM1312" t="s">
        <v>53</v>
      </c>
    </row>
    <row r="1313" spans="34:39" x14ac:dyDescent="0.35">
      <c r="AH1313" s="21"/>
      <c r="AI1313" s="21"/>
      <c r="AJ1313" s="21"/>
      <c r="AK1313" s="21"/>
      <c r="AM1313" t="s">
        <v>53</v>
      </c>
    </row>
    <row r="1314" spans="34:39" x14ac:dyDescent="0.35">
      <c r="AH1314" s="21"/>
      <c r="AI1314" s="21"/>
      <c r="AJ1314" s="21"/>
      <c r="AK1314" s="21"/>
      <c r="AM1314" t="s">
        <v>53</v>
      </c>
    </row>
    <row r="1315" spans="34:39" x14ac:dyDescent="0.35">
      <c r="AH1315" s="21"/>
      <c r="AI1315" s="21"/>
      <c r="AJ1315" s="21"/>
      <c r="AK1315" s="21"/>
      <c r="AM1315" t="s">
        <v>53</v>
      </c>
    </row>
    <row r="1316" spans="34:39" x14ac:dyDescent="0.35">
      <c r="AH1316" s="21"/>
      <c r="AI1316" s="21"/>
      <c r="AJ1316" s="21"/>
      <c r="AK1316" s="21"/>
      <c r="AM1316" t="s">
        <v>53</v>
      </c>
    </row>
    <row r="1317" spans="34:39" x14ac:dyDescent="0.35">
      <c r="AH1317" s="21"/>
      <c r="AI1317" s="21"/>
      <c r="AJ1317" s="21"/>
      <c r="AK1317" s="21"/>
      <c r="AM1317" t="s">
        <v>53</v>
      </c>
    </row>
    <row r="1318" spans="34:39" x14ac:dyDescent="0.35">
      <c r="AH1318" s="21"/>
      <c r="AI1318" s="21"/>
      <c r="AJ1318" s="21"/>
      <c r="AK1318" s="21"/>
      <c r="AM1318" t="s">
        <v>53</v>
      </c>
    </row>
    <row r="1319" spans="34:39" x14ac:dyDescent="0.35">
      <c r="AH1319" s="21"/>
      <c r="AI1319" s="21"/>
      <c r="AJ1319" s="21"/>
      <c r="AK1319" s="21"/>
      <c r="AM1319" t="s">
        <v>53</v>
      </c>
    </row>
    <row r="1320" spans="34:39" x14ac:dyDescent="0.35">
      <c r="AH1320" s="21"/>
      <c r="AI1320" s="21"/>
      <c r="AJ1320" s="21"/>
      <c r="AK1320" s="21"/>
      <c r="AM1320" t="s">
        <v>53</v>
      </c>
    </row>
    <row r="1321" spans="34:39" x14ac:dyDescent="0.35">
      <c r="AH1321" s="21"/>
      <c r="AI1321" s="21"/>
      <c r="AJ1321" s="21"/>
      <c r="AK1321" s="21"/>
      <c r="AM1321" t="s">
        <v>53</v>
      </c>
    </row>
    <row r="1322" spans="34:39" x14ac:dyDescent="0.35">
      <c r="AH1322" s="21"/>
      <c r="AI1322" s="21"/>
      <c r="AJ1322" s="21"/>
      <c r="AK1322" s="21"/>
      <c r="AM1322" t="s">
        <v>53</v>
      </c>
    </row>
    <row r="1323" spans="34:39" x14ac:dyDescent="0.35">
      <c r="AH1323" s="21"/>
      <c r="AI1323" s="21"/>
      <c r="AJ1323" s="21"/>
      <c r="AK1323" s="21"/>
      <c r="AM1323" t="s">
        <v>53</v>
      </c>
    </row>
    <row r="1324" spans="34:39" x14ac:dyDescent="0.35">
      <c r="AH1324" s="21"/>
      <c r="AI1324" s="21"/>
      <c r="AJ1324" s="21"/>
      <c r="AK1324" s="21"/>
      <c r="AM1324" t="s">
        <v>53</v>
      </c>
    </row>
    <row r="1325" spans="34:39" x14ac:dyDescent="0.35">
      <c r="AH1325" s="21"/>
      <c r="AI1325" s="21"/>
      <c r="AJ1325" s="21"/>
      <c r="AK1325" s="21"/>
      <c r="AM1325" t="s">
        <v>53</v>
      </c>
    </row>
    <row r="1326" spans="34:39" x14ac:dyDescent="0.35">
      <c r="AH1326" s="21"/>
      <c r="AI1326" s="21"/>
      <c r="AJ1326" s="21"/>
      <c r="AK1326" s="21"/>
      <c r="AM1326" t="s">
        <v>53</v>
      </c>
    </row>
    <row r="1327" spans="34:39" x14ac:dyDescent="0.35">
      <c r="AH1327" s="21"/>
      <c r="AI1327" s="21"/>
      <c r="AJ1327" s="21"/>
      <c r="AK1327" s="21"/>
      <c r="AM1327" t="s">
        <v>53</v>
      </c>
    </row>
    <row r="1328" spans="34:39" x14ac:dyDescent="0.35">
      <c r="AH1328" s="21"/>
      <c r="AI1328" s="21"/>
      <c r="AJ1328" s="21"/>
      <c r="AK1328" s="21"/>
      <c r="AM1328" t="s">
        <v>53</v>
      </c>
    </row>
    <row r="1329" spans="34:39" x14ac:dyDescent="0.35">
      <c r="AH1329" s="21"/>
      <c r="AI1329" s="21"/>
      <c r="AJ1329" s="21"/>
      <c r="AK1329" s="21"/>
      <c r="AM1329" t="s">
        <v>53</v>
      </c>
    </row>
    <row r="1330" spans="34:39" x14ac:dyDescent="0.35">
      <c r="AH1330" s="21"/>
      <c r="AI1330" s="21"/>
      <c r="AJ1330" s="21"/>
      <c r="AK1330" s="21"/>
      <c r="AM1330" t="s">
        <v>53</v>
      </c>
    </row>
    <row r="1331" spans="34:39" x14ac:dyDescent="0.35">
      <c r="AH1331" s="21"/>
      <c r="AI1331" s="21"/>
      <c r="AJ1331" s="21"/>
      <c r="AK1331" s="21"/>
      <c r="AM1331" t="s">
        <v>53</v>
      </c>
    </row>
    <row r="1332" spans="34:39" x14ac:dyDescent="0.35">
      <c r="AH1332" s="21"/>
      <c r="AI1332" s="21"/>
      <c r="AJ1332" s="21"/>
      <c r="AK1332" s="21"/>
      <c r="AM1332" t="s">
        <v>53</v>
      </c>
    </row>
    <row r="1333" spans="34:39" x14ac:dyDescent="0.35">
      <c r="AH1333" s="21"/>
      <c r="AI1333" s="21"/>
      <c r="AJ1333" s="21"/>
      <c r="AK1333" s="21"/>
      <c r="AM1333" t="s">
        <v>53</v>
      </c>
    </row>
    <row r="1334" spans="34:39" x14ac:dyDescent="0.35">
      <c r="AH1334" s="21"/>
      <c r="AI1334" s="21"/>
      <c r="AJ1334" s="21"/>
      <c r="AK1334" s="21"/>
      <c r="AM1334" t="s">
        <v>53</v>
      </c>
    </row>
    <row r="1335" spans="34:39" x14ac:dyDescent="0.35">
      <c r="AH1335" s="21"/>
      <c r="AI1335" s="21"/>
      <c r="AJ1335" s="21"/>
      <c r="AK1335" s="21"/>
      <c r="AM1335" t="s">
        <v>53</v>
      </c>
    </row>
    <row r="1336" spans="34:39" x14ac:dyDescent="0.35">
      <c r="AH1336" s="21"/>
      <c r="AI1336" s="21"/>
      <c r="AJ1336" s="21"/>
      <c r="AK1336" s="21"/>
      <c r="AM1336" t="s">
        <v>53</v>
      </c>
    </row>
    <row r="1337" spans="34:39" x14ac:dyDescent="0.35">
      <c r="AH1337" s="21"/>
      <c r="AI1337" s="21"/>
      <c r="AJ1337" s="21"/>
      <c r="AK1337" s="21"/>
      <c r="AM1337" t="s">
        <v>53</v>
      </c>
    </row>
    <row r="1338" spans="34:39" x14ac:dyDescent="0.35">
      <c r="AH1338" s="21"/>
      <c r="AI1338" s="21"/>
      <c r="AJ1338" s="21"/>
      <c r="AK1338" s="21"/>
      <c r="AM1338" t="s">
        <v>53</v>
      </c>
    </row>
    <row r="1339" spans="34:39" x14ac:dyDescent="0.35">
      <c r="AH1339" s="21"/>
      <c r="AI1339" s="21"/>
      <c r="AJ1339" s="21"/>
      <c r="AK1339" s="21"/>
      <c r="AM1339" t="s">
        <v>53</v>
      </c>
    </row>
    <row r="1340" spans="34:39" x14ac:dyDescent="0.35">
      <c r="AH1340" s="21"/>
      <c r="AI1340" s="21"/>
      <c r="AJ1340" s="21"/>
      <c r="AK1340" s="21"/>
      <c r="AM1340" t="s">
        <v>53</v>
      </c>
    </row>
    <row r="1341" spans="34:39" x14ac:dyDescent="0.35">
      <c r="AH1341" s="21"/>
      <c r="AI1341" s="21"/>
      <c r="AJ1341" s="21"/>
      <c r="AK1341" s="21"/>
      <c r="AM1341" t="s">
        <v>53</v>
      </c>
    </row>
    <row r="1342" spans="34:39" x14ac:dyDescent="0.35">
      <c r="AH1342" s="21"/>
      <c r="AI1342" s="21"/>
      <c r="AJ1342" s="21"/>
      <c r="AK1342" s="21"/>
      <c r="AM1342" t="s">
        <v>53</v>
      </c>
    </row>
    <row r="1343" spans="34:39" x14ac:dyDescent="0.35">
      <c r="AH1343" s="21"/>
      <c r="AI1343" s="21"/>
      <c r="AJ1343" s="21"/>
      <c r="AK1343" s="21"/>
      <c r="AM1343" t="s">
        <v>53</v>
      </c>
    </row>
    <row r="1344" spans="34:39" x14ac:dyDescent="0.35">
      <c r="AH1344" s="21"/>
      <c r="AI1344" s="21"/>
      <c r="AJ1344" s="21"/>
      <c r="AK1344" s="21"/>
      <c r="AM1344" t="s">
        <v>53</v>
      </c>
    </row>
    <row r="1345" spans="34:39" x14ac:dyDescent="0.35">
      <c r="AH1345" s="21"/>
      <c r="AI1345" s="21"/>
      <c r="AJ1345" s="21"/>
      <c r="AK1345" s="21"/>
      <c r="AM1345" t="s">
        <v>53</v>
      </c>
    </row>
    <row r="1346" spans="34:39" x14ac:dyDescent="0.35">
      <c r="AH1346" s="21"/>
      <c r="AI1346" s="21"/>
      <c r="AJ1346" s="21"/>
      <c r="AK1346" s="21"/>
      <c r="AM1346" t="s">
        <v>53</v>
      </c>
    </row>
    <row r="1347" spans="34:39" x14ac:dyDescent="0.35">
      <c r="AH1347" s="21"/>
      <c r="AI1347" s="21"/>
      <c r="AJ1347" s="21"/>
      <c r="AK1347" s="21"/>
      <c r="AM1347" t="s">
        <v>53</v>
      </c>
    </row>
    <row r="1348" spans="34:39" x14ac:dyDescent="0.35">
      <c r="AH1348" s="21"/>
      <c r="AI1348" s="21"/>
      <c r="AJ1348" s="21"/>
      <c r="AK1348" s="21"/>
      <c r="AM1348" t="s">
        <v>53</v>
      </c>
    </row>
    <row r="1349" spans="34:39" x14ac:dyDescent="0.35">
      <c r="AH1349" s="21"/>
      <c r="AI1349" s="21"/>
      <c r="AJ1349" s="21"/>
      <c r="AK1349" s="21"/>
      <c r="AM1349" t="s">
        <v>53</v>
      </c>
    </row>
    <row r="1350" spans="34:39" x14ac:dyDescent="0.35">
      <c r="AH1350" s="21"/>
      <c r="AI1350" s="21"/>
      <c r="AJ1350" s="21"/>
      <c r="AK1350" s="21"/>
      <c r="AM1350" t="s">
        <v>53</v>
      </c>
    </row>
    <row r="1351" spans="34:39" x14ac:dyDescent="0.35">
      <c r="AH1351" s="21"/>
      <c r="AI1351" s="21"/>
      <c r="AJ1351" s="21"/>
      <c r="AK1351" s="21"/>
      <c r="AM1351" t="s">
        <v>53</v>
      </c>
    </row>
    <row r="1352" spans="34:39" x14ac:dyDescent="0.35">
      <c r="AH1352" s="21"/>
      <c r="AI1352" s="21"/>
      <c r="AJ1352" s="21"/>
      <c r="AK1352" s="21"/>
      <c r="AM1352" t="s">
        <v>53</v>
      </c>
    </row>
    <row r="1353" spans="34:39" x14ac:dyDescent="0.35">
      <c r="AH1353" s="21"/>
      <c r="AI1353" s="21"/>
      <c r="AJ1353" s="21"/>
      <c r="AK1353" s="21"/>
      <c r="AM1353" t="s">
        <v>53</v>
      </c>
    </row>
    <row r="1354" spans="34:39" x14ac:dyDescent="0.35">
      <c r="AH1354" s="21"/>
      <c r="AI1354" s="21"/>
      <c r="AJ1354" s="21"/>
      <c r="AK1354" s="21"/>
      <c r="AM1354" t="s">
        <v>53</v>
      </c>
    </row>
    <row r="1355" spans="34:39" x14ac:dyDescent="0.35">
      <c r="AH1355" s="21"/>
      <c r="AI1355" s="21"/>
      <c r="AJ1355" s="21"/>
      <c r="AK1355" s="21"/>
      <c r="AM1355" t="s">
        <v>53</v>
      </c>
    </row>
    <row r="1356" spans="34:39" x14ac:dyDescent="0.35">
      <c r="AH1356" s="21"/>
      <c r="AI1356" s="21"/>
      <c r="AJ1356" s="21"/>
      <c r="AK1356" s="21"/>
      <c r="AM1356" t="s">
        <v>53</v>
      </c>
    </row>
    <row r="1357" spans="34:39" x14ac:dyDescent="0.35">
      <c r="AH1357" s="21"/>
      <c r="AI1357" s="21"/>
      <c r="AJ1357" s="21"/>
      <c r="AK1357" s="21"/>
      <c r="AM1357" t="s">
        <v>53</v>
      </c>
    </row>
    <row r="1358" spans="34:39" x14ac:dyDescent="0.35">
      <c r="AH1358" s="21"/>
      <c r="AI1358" s="21"/>
      <c r="AJ1358" s="21"/>
      <c r="AK1358" s="21"/>
      <c r="AM1358" t="s">
        <v>53</v>
      </c>
    </row>
    <row r="1359" spans="34:39" x14ac:dyDescent="0.35">
      <c r="AH1359" s="21"/>
      <c r="AI1359" s="21"/>
      <c r="AJ1359" s="21"/>
      <c r="AK1359" s="21"/>
      <c r="AM1359" t="s">
        <v>53</v>
      </c>
    </row>
    <row r="1360" spans="34:39" x14ac:dyDescent="0.35">
      <c r="AH1360" s="21"/>
      <c r="AI1360" s="21"/>
      <c r="AJ1360" s="21"/>
      <c r="AK1360" s="21"/>
      <c r="AM1360" t="s">
        <v>53</v>
      </c>
    </row>
    <row r="1361" spans="34:39" x14ac:dyDescent="0.35">
      <c r="AH1361" s="21"/>
      <c r="AI1361" s="21"/>
      <c r="AJ1361" s="21"/>
      <c r="AK1361" s="21"/>
      <c r="AM1361" t="s">
        <v>53</v>
      </c>
    </row>
    <row r="1362" spans="34:39" x14ac:dyDescent="0.35">
      <c r="AH1362" s="21"/>
      <c r="AI1362" s="21"/>
      <c r="AJ1362" s="21"/>
      <c r="AK1362" s="21"/>
      <c r="AM1362" t="s">
        <v>53</v>
      </c>
    </row>
    <row r="1363" spans="34:39" x14ac:dyDescent="0.35">
      <c r="AH1363" s="21"/>
      <c r="AI1363" s="21"/>
      <c r="AJ1363" s="21"/>
      <c r="AK1363" s="21"/>
      <c r="AM1363" t="s">
        <v>53</v>
      </c>
    </row>
    <row r="1364" spans="34:39" x14ac:dyDescent="0.35">
      <c r="AH1364" s="21"/>
      <c r="AI1364" s="21"/>
      <c r="AJ1364" s="21"/>
      <c r="AK1364" s="21"/>
      <c r="AM1364" t="s">
        <v>53</v>
      </c>
    </row>
    <row r="1365" spans="34:39" x14ac:dyDescent="0.35">
      <c r="AH1365" s="21"/>
      <c r="AI1365" s="21"/>
      <c r="AJ1365" s="21"/>
      <c r="AK1365" s="21"/>
      <c r="AM1365" t="s">
        <v>53</v>
      </c>
    </row>
    <row r="1366" spans="34:39" x14ac:dyDescent="0.35">
      <c r="AH1366" s="21"/>
      <c r="AI1366" s="21"/>
      <c r="AJ1366" s="21"/>
      <c r="AK1366" s="21"/>
      <c r="AM1366" t="s">
        <v>53</v>
      </c>
    </row>
    <row r="1367" spans="34:39" x14ac:dyDescent="0.35">
      <c r="AH1367" s="21"/>
      <c r="AI1367" s="21"/>
      <c r="AJ1367" s="21"/>
      <c r="AK1367" s="21"/>
      <c r="AM1367" t="s">
        <v>53</v>
      </c>
    </row>
    <row r="1368" spans="34:39" x14ac:dyDescent="0.35">
      <c r="AH1368" s="21"/>
      <c r="AI1368" s="21"/>
      <c r="AJ1368" s="21"/>
      <c r="AK1368" s="21"/>
      <c r="AM1368" t="s">
        <v>53</v>
      </c>
    </row>
    <row r="1369" spans="34:39" x14ac:dyDescent="0.35">
      <c r="AH1369" s="21"/>
      <c r="AI1369" s="21"/>
      <c r="AJ1369" s="21"/>
      <c r="AK1369" s="21"/>
      <c r="AM1369" t="s">
        <v>53</v>
      </c>
    </row>
    <row r="1370" spans="34:39" x14ac:dyDescent="0.35">
      <c r="AH1370" s="21"/>
      <c r="AI1370" s="21"/>
      <c r="AJ1370" s="21"/>
      <c r="AK1370" s="21"/>
      <c r="AM1370" t="s">
        <v>53</v>
      </c>
    </row>
    <row r="1371" spans="34:39" x14ac:dyDescent="0.35">
      <c r="AH1371" s="21"/>
      <c r="AI1371" s="21"/>
      <c r="AJ1371" s="21"/>
      <c r="AK1371" s="21"/>
      <c r="AM1371" t="s">
        <v>53</v>
      </c>
    </row>
    <row r="1372" spans="34:39" x14ac:dyDescent="0.35">
      <c r="AH1372" s="21"/>
      <c r="AI1372" s="21"/>
      <c r="AJ1372" s="21"/>
      <c r="AK1372" s="21"/>
      <c r="AM1372" t="s">
        <v>53</v>
      </c>
    </row>
    <row r="1373" spans="34:39" x14ac:dyDescent="0.35">
      <c r="AH1373" s="21"/>
      <c r="AI1373" s="21"/>
      <c r="AJ1373" s="21"/>
      <c r="AK1373" s="21"/>
      <c r="AM1373" t="s">
        <v>53</v>
      </c>
    </row>
    <row r="1374" spans="34:39" x14ac:dyDescent="0.35">
      <c r="AH1374" s="21"/>
      <c r="AI1374" s="21"/>
      <c r="AJ1374" s="21"/>
      <c r="AK1374" s="21"/>
      <c r="AM1374" t="s">
        <v>53</v>
      </c>
    </row>
    <row r="1375" spans="34:39" x14ac:dyDescent="0.35">
      <c r="AH1375" s="21"/>
      <c r="AI1375" s="21"/>
      <c r="AJ1375" s="21"/>
      <c r="AK1375" s="21"/>
      <c r="AM1375" t="s">
        <v>53</v>
      </c>
    </row>
    <row r="1376" spans="34:39" x14ac:dyDescent="0.35">
      <c r="AH1376" s="21"/>
      <c r="AI1376" s="21"/>
      <c r="AJ1376" s="21"/>
      <c r="AK1376" s="21"/>
      <c r="AM1376" t="s">
        <v>53</v>
      </c>
    </row>
    <row r="1377" spans="34:39" x14ac:dyDescent="0.35">
      <c r="AH1377" s="21"/>
      <c r="AI1377" s="21"/>
      <c r="AJ1377" s="21"/>
      <c r="AK1377" s="21"/>
      <c r="AM1377" t="s">
        <v>53</v>
      </c>
    </row>
    <row r="1378" spans="34:39" x14ac:dyDescent="0.35">
      <c r="AH1378" s="21"/>
      <c r="AI1378" s="21"/>
      <c r="AJ1378" s="21"/>
      <c r="AK1378" s="21"/>
      <c r="AM1378" t="s">
        <v>53</v>
      </c>
    </row>
    <row r="1379" spans="34:39" x14ac:dyDescent="0.35">
      <c r="AH1379" s="21"/>
      <c r="AI1379" s="21"/>
      <c r="AJ1379" s="21"/>
      <c r="AK1379" s="21"/>
      <c r="AM1379" t="s">
        <v>53</v>
      </c>
    </row>
    <row r="1380" spans="34:39" x14ac:dyDescent="0.35">
      <c r="AH1380" s="21"/>
      <c r="AI1380" s="21"/>
      <c r="AJ1380" s="21"/>
      <c r="AK1380" s="21"/>
      <c r="AM1380" t="s">
        <v>53</v>
      </c>
    </row>
    <row r="1381" spans="34:39" x14ac:dyDescent="0.35">
      <c r="AH1381" s="21"/>
      <c r="AI1381" s="21"/>
      <c r="AJ1381" s="21"/>
      <c r="AK1381" s="21"/>
      <c r="AM1381" t="s">
        <v>53</v>
      </c>
    </row>
    <row r="1382" spans="34:39" x14ac:dyDescent="0.35">
      <c r="AH1382" s="21"/>
      <c r="AI1382" s="21"/>
      <c r="AJ1382" s="21"/>
      <c r="AK1382" s="21"/>
      <c r="AM1382" t="s">
        <v>53</v>
      </c>
    </row>
    <row r="1383" spans="34:39" x14ac:dyDescent="0.35">
      <c r="AH1383" s="21"/>
      <c r="AI1383" s="21"/>
      <c r="AJ1383" s="21"/>
      <c r="AK1383" s="21"/>
      <c r="AM1383" t="s">
        <v>53</v>
      </c>
    </row>
    <row r="1384" spans="34:39" x14ac:dyDescent="0.35">
      <c r="AH1384" s="21"/>
      <c r="AI1384" s="21"/>
      <c r="AJ1384" s="21"/>
      <c r="AK1384" s="21"/>
      <c r="AM1384" t="s">
        <v>53</v>
      </c>
    </row>
    <row r="1385" spans="34:39" x14ac:dyDescent="0.35">
      <c r="AH1385" s="21"/>
      <c r="AI1385" s="21"/>
      <c r="AJ1385" s="21"/>
      <c r="AK1385" s="21"/>
      <c r="AM1385" t="s">
        <v>53</v>
      </c>
    </row>
    <row r="1386" spans="34:39" x14ac:dyDescent="0.35">
      <c r="AH1386" s="21"/>
      <c r="AI1386" s="21"/>
      <c r="AJ1386" s="21"/>
      <c r="AK1386" s="21"/>
      <c r="AM1386" t="s">
        <v>53</v>
      </c>
    </row>
    <row r="1387" spans="34:39" x14ac:dyDescent="0.35">
      <c r="AH1387" s="21"/>
      <c r="AI1387" s="21"/>
      <c r="AJ1387" s="21"/>
      <c r="AK1387" s="21"/>
      <c r="AM1387" t="s">
        <v>53</v>
      </c>
    </row>
    <row r="1388" spans="34:39" x14ac:dyDescent="0.35">
      <c r="AH1388" s="21"/>
      <c r="AI1388" s="21"/>
      <c r="AJ1388" s="21"/>
      <c r="AK1388" s="21"/>
      <c r="AM1388" t="s">
        <v>53</v>
      </c>
    </row>
    <row r="1389" spans="34:39" x14ac:dyDescent="0.35">
      <c r="AH1389" s="21"/>
      <c r="AI1389" s="21"/>
      <c r="AJ1389" s="21"/>
      <c r="AK1389" s="21"/>
      <c r="AM1389" t="s">
        <v>53</v>
      </c>
    </row>
    <row r="1390" spans="34:39" x14ac:dyDescent="0.35">
      <c r="AH1390" s="21"/>
      <c r="AI1390" s="21"/>
      <c r="AJ1390" s="21"/>
      <c r="AK1390" s="21"/>
      <c r="AM1390" t="s">
        <v>53</v>
      </c>
    </row>
    <row r="1391" spans="34:39" x14ac:dyDescent="0.35">
      <c r="AH1391" s="21"/>
      <c r="AI1391" s="21"/>
      <c r="AJ1391" s="21"/>
      <c r="AK1391" s="21"/>
      <c r="AM1391" t="s">
        <v>53</v>
      </c>
    </row>
    <row r="1392" spans="34:39" x14ac:dyDescent="0.35">
      <c r="AH1392" s="21"/>
      <c r="AI1392" s="21"/>
      <c r="AJ1392" s="21"/>
      <c r="AK1392" s="21"/>
      <c r="AM1392" t="s">
        <v>53</v>
      </c>
    </row>
    <row r="1393" spans="34:39" x14ac:dyDescent="0.35">
      <c r="AH1393" s="21"/>
      <c r="AI1393" s="21"/>
      <c r="AJ1393" s="21"/>
      <c r="AK1393" s="21"/>
      <c r="AM1393" t="s">
        <v>53</v>
      </c>
    </row>
    <row r="1394" spans="34:39" x14ac:dyDescent="0.35">
      <c r="AH1394" s="21"/>
      <c r="AI1394" s="21"/>
      <c r="AJ1394" s="21"/>
      <c r="AK1394" s="21"/>
      <c r="AM1394" t="s">
        <v>53</v>
      </c>
    </row>
    <row r="1395" spans="34:39" x14ac:dyDescent="0.35">
      <c r="AH1395" s="21"/>
      <c r="AI1395" s="21"/>
      <c r="AJ1395" s="21"/>
      <c r="AK1395" s="21"/>
      <c r="AM1395" t="s">
        <v>53</v>
      </c>
    </row>
    <row r="1396" spans="34:39" x14ac:dyDescent="0.35">
      <c r="AH1396" s="21"/>
      <c r="AI1396" s="21"/>
      <c r="AJ1396" s="21"/>
      <c r="AK1396" s="21"/>
      <c r="AM1396" t="s">
        <v>53</v>
      </c>
    </row>
    <row r="1397" spans="34:39" x14ac:dyDescent="0.35">
      <c r="AH1397" s="21"/>
      <c r="AI1397" s="21"/>
      <c r="AJ1397" s="21"/>
      <c r="AK1397" s="21"/>
      <c r="AM1397" t="s">
        <v>53</v>
      </c>
    </row>
    <row r="1398" spans="34:39" x14ac:dyDescent="0.35">
      <c r="AH1398" s="21"/>
      <c r="AI1398" s="21"/>
      <c r="AJ1398" s="21"/>
      <c r="AK1398" s="21"/>
      <c r="AM1398" t="s">
        <v>53</v>
      </c>
    </row>
    <row r="1399" spans="34:39" x14ac:dyDescent="0.35">
      <c r="AH1399" s="21"/>
      <c r="AI1399" s="21"/>
      <c r="AJ1399" s="21"/>
      <c r="AK1399" s="21"/>
      <c r="AM1399" t="s">
        <v>53</v>
      </c>
    </row>
    <row r="1400" spans="34:39" x14ac:dyDescent="0.35">
      <c r="AH1400" s="21"/>
      <c r="AI1400" s="21"/>
      <c r="AJ1400" s="21"/>
      <c r="AK1400" s="21"/>
      <c r="AM1400" t="s">
        <v>53</v>
      </c>
    </row>
    <row r="1401" spans="34:39" x14ac:dyDescent="0.35">
      <c r="AH1401" s="21"/>
      <c r="AI1401" s="21"/>
      <c r="AJ1401" s="21"/>
      <c r="AK1401" s="21"/>
      <c r="AM1401" t="s">
        <v>53</v>
      </c>
    </row>
    <row r="1402" spans="34:39" x14ac:dyDescent="0.35">
      <c r="AH1402" s="21"/>
      <c r="AI1402" s="21"/>
      <c r="AJ1402" s="21"/>
      <c r="AK1402" s="21"/>
      <c r="AM1402" t="s">
        <v>53</v>
      </c>
    </row>
    <row r="1403" spans="34:39" x14ac:dyDescent="0.35">
      <c r="AH1403" s="21"/>
      <c r="AI1403" s="21"/>
      <c r="AJ1403" s="21"/>
      <c r="AK1403" s="21"/>
      <c r="AM1403" t="s">
        <v>53</v>
      </c>
    </row>
    <row r="1404" spans="34:39" x14ac:dyDescent="0.35">
      <c r="AH1404" s="21"/>
      <c r="AI1404" s="21"/>
      <c r="AJ1404" s="21"/>
      <c r="AK1404" s="21"/>
      <c r="AM1404" t="s">
        <v>53</v>
      </c>
    </row>
    <row r="1405" spans="34:39" x14ac:dyDescent="0.35">
      <c r="AH1405" s="21"/>
      <c r="AI1405" s="21"/>
      <c r="AJ1405" s="21"/>
      <c r="AK1405" s="21"/>
      <c r="AM1405" t="s">
        <v>53</v>
      </c>
    </row>
    <row r="1406" spans="34:39" x14ac:dyDescent="0.35">
      <c r="AH1406" s="21"/>
      <c r="AI1406" s="21"/>
      <c r="AJ1406" s="21"/>
      <c r="AK1406" s="21"/>
      <c r="AM1406" t="s">
        <v>53</v>
      </c>
    </row>
    <row r="1407" spans="34:39" x14ac:dyDescent="0.35">
      <c r="AH1407" s="21"/>
      <c r="AI1407" s="21"/>
      <c r="AJ1407" s="21"/>
      <c r="AK1407" s="21"/>
      <c r="AM1407" t="s">
        <v>53</v>
      </c>
    </row>
    <row r="1408" spans="34:39" x14ac:dyDescent="0.35">
      <c r="AH1408" s="21"/>
      <c r="AI1408" s="21"/>
      <c r="AJ1408" s="21"/>
      <c r="AK1408" s="21"/>
      <c r="AM1408" t="s">
        <v>53</v>
      </c>
    </row>
    <row r="1409" spans="34:39" x14ac:dyDescent="0.35">
      <c r="AH1409" s="21"/>
      <c r="AI1409" s="21"/>
      <c r="AJ1409" s="21"/>
      <c r="AK1409" s="21"/>
      <c r="AM1409" t="s">
        <v>53</v>
      </c>
    </row>
    <row r="1410" spans="34:39" x14ac:dyDescent="0.35">
      <c r="AH1410" s="21"/>
      <c r="AI1410" s="21"/>
      <c r="AJ1410" s="21"/>
      <c r="AK1410" s="21"/>
      <c r="AM1410" t="s">
        <v>53</v>
      </c>
    </row>
    <row r="1411" spans="34:39" x14ac:dyDescent="0.35">
      <c r="AH1411" s="21"/>
      <c r="AI1411" s="21"/>
      <c r="AJ1411" s="21"/>
      <c r="AK1411" s="21"/>
      <c r="AM1411" t="s">
        <v>53</v>
      </c>
    </row>
    <row r="1412" spans="34:39" x14ac:dyDescent="0.35">
      <c r="AH1412" s="21"/>
      <c r="AI1412" s="21"/>
      <c r="AJ1412" s="21"/>
      <c r="AK1412" s="21"/>
      <c r="AM1412" t="s">
        <v>53</v>
      </c>
    </row>
    <row r="1413" spans="34:39" x14ac:dyDescent="0.35">
      <c r="AH1413" s="21"/>
      <c r="AI1413" s="21"/>
      <c r="AJ1413" s="21"/>
      <c r="AK1413" s="21"/>
      <c r="AM1413" t="s">
        <v>53</v>
      </c>
    </row>
    <row r="1414" spans="34:39" x14ac:dyDescent="0.35">
      <c r="AH1414" s="21"/>
      <c r="AI1414" s="21"/>
      <c r="AJ1414" s="21"/>
      <c r="AK1414" s="21"/>
      <c r="AM1414" t="s">
        <v>53</v>
      </c>
    </row>
    <row r="1415" spans="34:39" x14ac:dyDescent="0.35">
      <c r="AH1415" s="21"/>
      <c r="AI1415" s="21"/>
      <c r="AJ1415" s="21"/>
      <c r="AK1415" s="21"/>
      <c r="AM1415" t="s">
        <v>53</v>
      </c>
    </row>
    <row r="1416" spans="34:39" x14ac:dyDescent="0.35">
      <c r="AH1416" s="21"/>
      <c r="AI1416" s="21"/>
      <c r="AJ1416" s="21"/>
      <c r="AK1416" s="21"/>
      <c r="AM1416" t="s">
        <v>53</v>
      </c>
    </row>
    <row r="1417" spans="34:39" x14ac:dyDescent="0.35">
      <c r="AH1417" s="21"/>
      <c r="AI1417" s="21"/>
      <c r="AJ1417" s="21"/>
      <c r="AK1417" s="21"/>
      <c r="AM1417" t="s">
        <v>53</v>
      </c>
    </row>
    <row r="1418" spans="34:39" x14ac:dyDescent="0.35">
      <c r="AH1418" s="21"/>
      <c r="AI1418" s="21"/>
      <c r="AJ1418" s="21"/>
      <c r="AK1418" s="21"/>
      <c r="AM1418" t="s">
        <v>53</v>
      </c>
    </row>
    <row r="1419" spans="34:39" x14ac:dyDescent="0.35">
      <c r="AH1419" s="21"/>
      <c r="AI1419" s="21"/>
      <c r="AJ1419" s="21"/>
      <c r="AK1419" s="21"/>
      <c r="AM1419" t="s">
        <v>53</v>
      </c>
    </row>
    <row r="1420" spans="34:39" x14ac:dyDescent="0.35">
      <c r="AH1420" s="21"/>
      <c r="AI1420" s="21"/>
      <c r="AJ1420" s="21"/>
      <c r="AK1420" s="21"/>
      <c r="AM1420" t="s">
        <v>53</v>
      </c>
    </row>
    <row r="1421" spans="34:39" x14ac:dyDescent="0.35">
      <c r="AH1421" s="21"/>
      <c r="AI1421" s="21"/>
      <c r="AJ1421" s="21"/>
      <c r="AK1421" s="21"/>
      <c r="AM1421" t="s">
        <v>53</v>
      </c>
    </row>
    <row r="1422" spans="34:39" x14ac:dyDescent="0.35">
      <c r="AH1422" s="21"/>
      <c r="AI1422" s="21"/>
      <c r="AJ1422" s="21"/>
      <c r="AK1422" s="21"/>
      <c r="AM1422" t="s">
        <v>53</v>
      </c>
    </row>
    <row r="1423" spans="34:39" x14ac:dyDescent="0.35">
      <c r="AH1423" s="21"/>
      <c r="AI1423" s="21"/>
      <c r="AJ1423" s="21"/>
      <c r="AK1423" s="21"/>
      <c r="AM1423" t="s">
        <v>53</v>
      </c>
    </row>
    <row r="1424" spans="34:39" x14ac:dyDescent="0.35">
      <c r="AH1424" s="21"/>
      <c r="AI1424" s="21"/>
      <c r="AJ1424" s="21"/>
      <c r="AK1424" s="21"/>
      <c r="AM1424" t="s">
        <v>53</v>
      </c>
    </row>
    <row r="1425" spans="34:39" x14ac:dyDescent="0.35">
      <c r="AH1425" s="21"/>
      <c r="AI1425" s="21"/>
      <c r="AJ1425" s="21"/>
      <c r="AK1425" s="21"/>
      <c r="AM1425" t="s">
        <v>53</v>
      </c>
    </row>
    <row r="1426" spans="34:39" x14ac:dyDescent="0.35">
      <c r="AH1426" s="21"/>
      <c r="AI1426" s="21"/>
      <c r="AJ1426" s="21"/>
      <c r="AK1426" s="21"/>
      <c r="AM1426" t="s">
        <v>53</v>
      </c>
    </row>
    <row r="1427" spans="34:39" x14ac:dyDescent="0.35">
      <c r="AH1427" s="21"/>
      <c r="AI1427" s="21"/>
      <c r="AJ1427" s="21"/>
      <c r="AK1427" s="21"/>
      <c r="AM1427" t="s">
        <v>53</v>
      </c>
    </row>
    <row r="1428" spans="34:39" x14ac:dyDescent="0.35">
      <c r="AH1428" s="21"/>
      <c r="AI1428" s="21"/>
      <c r="AJ1428" s="21"/>
      <c r="AK1428" s="21"/>
      <c r="AM1428" t="s">
        <v>53</v>
      </c>
    </row>
    <row r="1429" spans="34:39" x14ac:dyDescent="0.35">
      <c r="AH1429" s="21"/>
      <c r="AI1429" s="21"/>
      <c r="AJ1429" s="21"/>
      <c r="AK1429" s="21"/>
      <c r="AM1429" t="s">
        <v>53</v>
      </c>
    </row>
    <row r="1430" spans="34:39" x14ac:dyDescent="0.35">
      <c r="AH1430" s="21"/>
      <c r="AI1430" s="21"/>
      <c r="AJ1430" s="21"/>
      <c r="AK1430" s="21"/>
      <c r="AM1430" t="s">
        <v>53</v>
      </c>
    </row>
    <row r="1431" spans="34:39" x14ac:dyDescent="0.35">
      <c r="AH1431" s="21"/>
      <c r="AI1431" s="21"/>
      <c r="AJ1431" s="21"/>
      <c r="AK1431" s="21"/>
      <c r="AM1431" t="s">
        <v>53</v>
      </c>
    </row>
    <row r="1432" spans="34:39" x14ac:dyDescent="0.35">
      <c r="AH1432" s="21"/>
      <c r="AI1432" s="21"/>
      <c r="AJ1432" s="21"/>
      <c r="AK1432" s="21"/>
      <c r="AM1432" t="s">
        <v>53</v>
      </c>
    </row>
    <row r="1433" spans="34:39" x14ac:dyDescent="0.35">
      <c r="AH1433" s="21"/>
      <c r="AI1433" s="21"/>
      <c r="AJ1433" s="21"/>
      <c r="AK1433" s="21"/>
      <c r="AM1433" t="s">
        <v>53</v>
      </c>
    </row>
    <row r="1434" spans="34:39" x14ac:dyDescent="0.35">
      <c r="AH1434" s="21"/>
      <c r="AI1434" s="21"/>
      <c r="AJ1434" s="21"/>
      <c r="AK1434" s="21"/>
      <c r="AM1434" t="s">
        <v>53</v>
      </c>
    </row>
    <row r="1435" spans="34:39" x14ac:dyDescent="0.35">
      <c r="AH1435" s="21"/>
      <c r="AI1435" s="21"/>
      <c r="AJ1435" s="21"/>
      <c r="AK1435" s="21"/>
      <c r="AM1435" t="s">
        <v>53</v>
      </c>
    </row>
    <row r="1436" spans="34:39" x14ac:dyDescent="0.35">
      <c r="AH1436" s="21"/>
      <c r="AI1436" s="21"/>
      <c r="AJ1436" s="21"/>
      <c r="AK1436" s="21"/>
      <c r="AM1436" t="s">
        <v>53</v>
      </c>
    </row>
    <row r="1437" spans="34:39" x14ac:dyDescent="0.35">
      <c r="AH1437" s="21"/>
      <c r="AI1437" s="21"/>
      <c r="AJ1437" s="21"/>
      <c r="AK1437" s="21"/>
      <c r="AM1437" t="s">
        <v>53</v>
      </c>
    </row>
    <row r="1438" spans="34:39" x14ac:dyDescent="0.35">
      <c r="AH1438" s="21"/>
      <c r="AI1438" s="21"/>
      <c r="AJ1438" s="21"/>
      <c r="AK1438" s="21"/>
      <c r="AM1438" t="s">
        <v>53</v>
      </c>
    </row>
    <row r="1439" spans="34:39" x14ac:dyDescent="0.35">
      <c r="AH1439" s="21"/>
      <c r="AI1439" s="21"/>
      <c r="AJ1439" s="21"/>
      <c r="AK1439" s="21"/>
      <c r="AM1439" t="s">
        <v>53</v>
      </c>
    </row>
    <row r="1440" spans="34:39" x14ac:dyDescent="0.35">
      <c r="AH1440" s="21"/>
      <c r="AI1440" s="21"/>
      <c r="AJ1440" s="21"/>
      <c r="AK1440" s="21"/>
      <c r="AM1440" t="s">
        <v>53</v>
      </c>
    </row>
    <row r="1441" spans="34:39" x14ac:dyDescent="0.35">
      <c r="AH1441" s="21"/>
      <c r="AI1441" s="21"/>
      <c r="AJ1441" s="21"/>
      <c r="AK1441" s="21"/>
      <c r="AM1441" t="s">
        <v>53</v>
      </c>
    </row>
    <row r="1442" spans="34:39" x14ac:dyDescent="0.35">
      <c r="AH1442" s="21"/>
      <c r="AI1442" s="21"/>
      <c r="AJ1442" s="21"/>
      <c r="AK1442" s="21"/>
      <c r="AM1442" t="s">
        <v>53</v>
      </c>
    </row>
    <row r="1443" spans="34:39" x14ac:dyDescent="0.35">
      <c r="AH1443" s="21"/>
      <c r="AI1443" s="21"/>
      <c r="AJ1443" s="21"/>
      <c r="AK1443" s="21"/>
      <c r="AM1443" t="s">
        <v>53</v>
      </c>
    </row>
    <row r="1444" spans="34:39" x14ac:dyDescent="0.35">
      <c r="AH1444" s="21"/>
      <c r="AI1444" s="21"/>
      <c r="AJ1444" s="21"/>
      <c r="AK1444" s="21"/>
      <c r="AM1444" t="s">
        <v>53</v>
      </c>
    </row>
    <row r="1445" spans="34:39" x14ac:dyDescent="0.35">
      <c r="AH1445" s="21"/>
      <c r="AI1445" s="21"/>
      <c r="AJ1445" s="21"/>
      <c r="AK1445" s="21"/>
      <c r="AM1445" t="s">
        <v>53</v>
      </c>
    </row>
    <row r="1446" spans="34:39" x14ac:dyDescent="0.35">
      <c r="AH1446" s="21"/>
      <c r="AI1446" s="21"/>
      <c r="AJ1446" s="21"/>
      <c r="AK1446" s="21"/>
      <c r="AM1446" t="s">
        <v>53</v>
      </c>
    </row>
    <row r="1447" spans="34:39" x14ac:dyDescent="0.35">
      <c r="AH1447" s="21"/>
      <c r="AI1447" s="21"/>
      <c r="AJ1447" s="21"/>
      <c r="AK1447" s="21"/>
      <c r="AM1447" t="s">
        <v>53</v>
      </c>
    </row>
    <row r="1448" spans="34:39" x14ac:dyDescent="0.35">
      <c r="AH1448" s="21"/>
      <c r="AI1448" s="21"/>
      <c r="AJ1448" s="21"/>
      <c r="AK1448" s="21"/>
      <c r="AM1448" t="s">
        <v>53</v>
      </c>
    </row>
    <row r="1449" spans="34:39" x14ac:dyDescent="0.35">
      <c r="AH1449" s="21"/>
      <c r="AI1449" s="21"/>
      <c r="AJ1449" s="21"/>
      <c r="AK1449" s="21"/>
      <c r="AM1449" t="s">
        <v>53</v>
      </c>
    </row>
    <row r="1450" spans="34:39" x14ac:dyDescent="0.35">
      <c r="AH1450" s="21"/>
      <c r="AI1450" s="21"/>
      <c r="AJ1450" s="21"/>
      <c r="AK1450" s="21"/>
      <c r="AM1450" t="s">
        <v>53</v>
      </c>
    </row>
    <row r="1451" spans="34:39" x14ac:dyDescent="0.35">
      <c r="AH1451" s="21"/>
      <c r="AI1451" s="21"/>
      <c r="AJ1451" s="21"/>
      <c r="AK1451" s="21"/>
      <c r="AM1451" t="s">
        <v>53</v>
      </c>
    </row>
    <row r="1452" spans="34:39" x14ac:dyDescent="0.35">
      <c r="AH1452" s="21"/>
      <c r="AI1452" s="21"/>
      <c r="AJ1452" s="21"/>
      <c r="AK1452" s="21"/>
      <c r="AM1452" t="s">
        <v>53</v>
      </c>
    </row>
    <row r="1453" spans="34:39" x14ac:dyDescent="0.35">
      <c r="AH1453" s="21"/>
      <c r="AI1453" s="21"/>
      <c r="AJ1453" s="21"/>
      <c r="AK1453" s="21"/>
      <c r="AM1453" t="s">
        <v>53</v>
      </c>
    </row>
    <row r="1454" spans="34:39" x14ac:dyDescent="0.35">
      <c r="AH1454" s="21"/>
      <c r="AI1454" s="21"/>
      <c r="AJ1454" s="21"/>
      <c r="AK1454" s="21"/>
      <c r="AM1454" t="s">
        <v>53</v>
      </c>
    </row>
    <row r="1455" spans="34:39" x14ac:dyDescent="0.35">
      <c r="AH1455" s="21"/>
      <c r="AI1455" s="21"/>
      <c r="AJ1455" s="21"/>
      <c r="AK1455" s="21"/>
      <c r="AM1455" t="s">
        <v>53</v>
      </c>
    </row>
    <row r="1456" spans="34:39" x14ac:dyDescent="0.35">
      <c r="AH1456" s="21"/>
      <c r="AI1456" s="21"/>
      <c r="AJ1456" s="21"/>
      <c r="AK1456" s="21"/>
      <c r="AM1456" t="s">
        <v>53</v>
      </c>
    </row>
    <row r="1457" spans="34:39" x14ac:dyDescent="0.35">
      <c r="AH1457" s="21"/>
      <c r="AI1457" s="21"/>
      <c r="AJ1457" s="21"/>
      <c r="AK1457" s="21"/>
      <c r="AM1457" t="s">
        <v>53</v>
      </c>
    </row>
    <row r="1458" spans="34:39" x14ac:dyDescent="0.35">
      <c r="AH1458" s="21"/>
      <c r="AI1458" s="21"/>
      <c r="AJ1458" s="21"/>
      <c r="AK1458" s="21"/>
      <c r="AM1458" t="s">
        <v>53</v>
      </c>
    </row>
    <row r="1459" spans="34:39" x14ac:dyDescent="0.35">
      <c r="AH1459" s="21"/>
      <c r="AI1459" s="21"/>
      <c r="AJ1459" s="21"/>
      <c r="AK1459" s="21"/>
      <c r="AM1459" t="s">
        <v>53</v>
      </c>
    </row>
    <row r="1460" spans="34:39" x14ac:dyDescent="0.35">
      <c r="AH1460" s="21"/>
      <c r="AI1460" s="21"/>
      <c r="AJ1460" s="21"/>
      <c r="AK1460" s="21"/>
      <c r="AM1460" t="s">
        <v>53</v>
      </c>
    </row>
    <row r="1461" spans="34:39" x14ac:dyDescent="0.35">
      <c r="AH1461" s="21"/>
      <c r="AI1461" s="21"/>
      <c r="AJ1461" s="21"/>
      <c r="AK1461" s="21"/>
      <c r="AM1461" t="s">
        <v>53</v>
      </c>
    </row>
    <row r="1462" spans="34:39" x14ac:dyDescent="0.35">
      <c r="AH1462" s="21"/>
      <c r="AI1462" s="21"/>
      <c r="AJ1462" s="21"/>
      <c r="AK1462" s="21"/>
      <c r="AM1462" t="s">
        <v>53</v>
      </c>
    </row>
    <row r="1463" spans="34:39" x14ac:dyDescent="0.35">
      <c r="AH1463" s="21"/>
      <c r="AI1463" s="21"/>
      <c r="AJ1463" s="21"/>
      <c r="AK1463" s="21"/>
      <c r="AM1463" t="s">
        <v>53</v>
      </c>
    </row>
    <row r="1464" spans="34:39" x14ac:dyDescent="0.35">
      <c r="AH1464" s="21"/>
      <c r="AI1464" s="21"/>
      <c r="AJ1464" s="21"/>
      <c r="AK1464" s="21"/>
      <c r="AM1464" t="s">
        <v>53</v>
      </c>
    </row>
    <row r="1465" spans="34:39" x14ac:dyDescent="0.35">
      <c r="AH1465" s="21"/>
      <c r="AI1465" s="21"/>
      <c r="AJ1465" s="21"/>
      <c r="AK1465" s="21"/>
      <c r="AM1465" t="s">
        <v>53</v>
      </c>
    </row>
    <row r="1466" spans="34:39" x14ac:dyDescent="0.35">
      <c r="AH1466" s="21"/>
      <c r="AI1466" s="21"/>
      <c r="AJ1466" s="21"/>
      <c r="AK1466" s="21"/>
      <c r="AM1466" t="s">
        <v>53</v>
      </c>
    </row>
    <row r="1467" spans="34:39" x14ac:dyDescent="0.35">
      <c r="AH1467" s="21"/>
      <c r="AI1467" s="21"/>
      <c r="AJ1467" s="21"/>
      <c r="AK1467" s="21"/>
      <c r="AM1467" t="s">
        <v>53</v>
      </c>
    </row>
    <row r="1468" spans="34:39" x14ac:dyDescent="0.35">
      <c r="AH1468" s="21"/>
      <c r="AI1468" s="21"/>
      <c r="AJ1468" s="21"/>
      <c r="AK1468" s="21"/>
      <c r="AM1468" t="s">
        <v>53</v>
      </c>
    </row>
    <row r="1469" spans="34:39" x14ac:dyDescent="0.35">
      <c r="AH1469" s="21"/>
      <c r="AI1469" s="21"/>
      <c r="AJ1469" s="21"/>
      <c r="AK1469" s="21"/>
      <c r="AM1469" t="s">
        <v>53</v>
      </c>
    </row>
    <row r="1470" spans="34:39" x14ac:dyDescent="0.35">
      <c r="AH1470" s="21"/>
      <c r="AI1470" s="21"/>
      <c r="AJ1470" s="21"/>
      <c r="AK1470" s="21"/>
      <c r="AM1470" t="s">
        <v>53</v>
      </c>
    </row>
    <row r="1471" spans="34:39" x14ac:dyDescent="0.35">
      <c r="AH1471" s="21"/>
      <c r="AI1471" s="21"/>
      <c r="AJ1471" s="21"/>
      <c r="AK1471" s="21"/>
      <c r="AM1471" t="s">
        <v>53</v>
      </c>
    </row>
    <row r="1472" spans="34:39" x14ac:dyDescent="0.35">
      <c r="AH1472" s="21"/>
      <c r="AI1472" s="21"/>
      <c r="AJ1472" s="21"/>
      <c r="AK1472" s="21"/>
      <c r="AM1472" t="s">
        <v>53</v>
      </c>
    </row>
    <row r="1473" spans="34:39" x14ac:dyDescent="0.35">
      <c r="AH1473" s="21"/>
      <c r="AI1473" s="21"/>
      <c r="AJ1473" s="21"/>
      <c r="AK1473" s="21"/>
      <c r="AM1473" t="s">
        <v>53</v>
      </c>
    </row>
    <row r="1474" spans="34:39" x14ac:dyDescent="0.35">
      <c r="AH1474" s="21"/>
      <c r="AI1474" s="21"/>
      <c r="AJ1474" s="21"/>
      <c r="AK1474" s="21"/>
      <c r="AM1474" t="s">
        <v>53</v>
      </c>
    </row>
    <row r="1475" spans="34:39" x14ac:dyDescent="0.35">
      <c r="AH1475" s="21"/>
      <c r="AI1475" s="21"/>
      <c r="AJ1475" s="21"/>
      <c r="AK1475" s="21"/>
      <c r="AM1475" t="s">
        <v>53</v>
      </c>
    </row>
    <row r="1476" spans="34:39" x14ac:dyDescent="0.35">
      <c r="AH1476" s="21"/>
      <c r="AI1476" s="21"/>
      <c r="AJ1476" s="21"/>
      <c r="AK1476" s="21"/>
      <c r="AM1476" t="s">
        <v>53</v>
      </c>
    </row>
    <row r="1477" spans="34:39" x14ac:dyDescent="0.35">
      <c r="AH1477" s="21"/>
      <c r="AI1477" s="21"/>
      <c r="AJ1477" s="21"/>
      <c r="AK1477" s="21"/>
      <c r="AM1477" t="s">
        <v>53</v>
      </c>
    </row>
    <row r="1478" spans="34:39" x14ac:dyDescent="0.35">
      <c r="AH1478" s="21"/>
      <c r="AI1478" s="21"/>
      <c r="AJ1478" s="21"/>
      <c r="AK1478" s="21"/>
      <c r="AM1478" t="s">
        <v>53</v>
      </c>
    </row>
    <row r="1479" spans="34:39" x14ac:dyDescent="0.35">
      <c r="AH1479" s="21"/>
      <c r="AI1479" s="21"/>
      <c r="AJ1479" s="21"/>
      <c r="AK1479" s="21"/>
      <c r="AM1479" t="s">
        <v>53</v>
      </c>
    </row>
    <row r="1480" spans="34:39" x14ac:dyDescent="0.35">
      <c r="AH1480" s="21"/>
      <c r="AI1480" s="21"/>
      <c r="AJ1480" s="21"/>
      <c r="AK1480" s="21"/>
      <c r="AM1480" t="s">
        <v>53</v>
      </c>
    </row>
    <row r="1481" spans="34:39" x14ac:dyDescent="0.35">
      <c r="AH1481" s="21"/>
      <c r="AI1481" s="21"/>
      <c r="AJ1481" s="21"/>
      <c r="AK1481" s="21"/>
      <c r="AM1481" t="s">
        <v>53</v>
      </c>
    </row>
    <row r="1482" spans="34:39" x14ac:dyDescent="0.35">
      <c r="AH1482" s="21"/>
      <c r="AI1482" s="21"/>
      <c r="AJ1482" s="21"/>
      <c r="AK1482" s="21"/>
      <c r="AM1482" t="s">
        <v>53</v>
      </c>
    </row>
    <row r="1483" spans="34:39" x14ac:dyDescent="0.35">
      <c r="AH1483" s="21"/>
      <c r="AI1483" s="21"/>
      <c r="AJ1483" s="21"/>
      <c r="AK1483" s="21"/>
      <c r="AM1483" t="s">
        <v>53</v>
      </c>
    </row>
    <row r="1484" spans="34:39" x14ac:dyDescent="0.35">
      <c r="AH1484" s="21"/>
      <c r="AI1484" s="21"/>
      <c r="AJ1484" s="21"/>
      <c r="AK1484" s="21"/>
      <c r="AM1484" t="s">
        <v>53</v>
      </c>
    </row>
    <row r="1485" spans="34:39" x14ac:dyDescent="0.35">
      <c r="AH1485" s="21"/>
      <c r="AI1485" s="21"/>
      <c r="AJ1485" s="21"/>
      <c r="AK1485" s="21"/>
      <c r="AM1485" t="s">
        <v>53</v>
      </c>
    </row>
    <row r="1486" spans="34:39" x14ac:dyDescent="0.35">
      <c r="AH1486" s="21"/>
      <c r="AI1486" s="21"/>
      <c r="AJ1486" s="21"/>
      <c r="AK1486" s="21"/>
      <c r="AM1486" t="s">
        <v>53</v>
      </c>
    </row>
    <row r="1487" spans="34:39" x14ac:dyDescent="0.35">
      <c r="AH1487" s="21"/>
      <c r="AI1487" s="21"/>
      <c r="AJ1487" s="21"/>
      <c r="AK1487" s="21"/>
      <c r="AM1487" t="s">
        <v>53</v>
      </c>
    </row>
    <row r="1488" spans="34:39" x14ac:dyDescent="0.35">
      <c r="AH1488" s="21"/>
      <c r="AI1488" s="21"/>
      <c r="AJ1488" s="21"/>
      <c r="AK1488" s="21"/>
      <c r="AM1488" t="s">
        <v>53</v>
      </c>
    </row>
    <row r="1489" spans="34:39" x14ac:dyDescent="0.35">
      <c r="AH1489" s="21"/>
      <c r="AI1489" s="21"/>
      <c r="AJ1489" s="21"/>
      <c r="AK1489" s="21"/>
      <c r="AM1489" t="s">
        <v>53</v>
      </c>
    </row>
    <row r="1490" spans="34:39" x14ac:dyDescent="0.35">
      <c r="AH1490" s="21"/>
      <c r="AI1490" s="21"/>
      <c r="AJ1490" s="21"/>
      <c r="AK1490" s="21"/>
      <c r="AM1490" t="s">
        <v>53</v>
      </c>
    </row>
    <row r="1491" spans="34:39" x14ac:dyDescent="0.35">
      <c r="AH1491" s="21"/>
      <c r="AI1491" s="21"/>
      <c r="AJ1491" s="21"/>
      <c r="AK1491" s="21"/>
      <c r="AM1491" t="s">
        <v>53</v>
      </c>
    </row>
    <row r="1492" spans="34:39" x14ac:dyDescent="0.35">
      <c r="AH1492" s="21"/>
      <c r="AI1492" s="21"/>
      <c r="AJ1492" s="21"/>
      <c r="AK1492" s="21"/>
      <c r="AM1492" t="s">
        <v>53</v>
      </c>
    </row>
    <row r="1493" spans="34:39" x14ac:dyDescent="0.35">
      <c r="AH1493" s="21"/>
      <c r="AI1493" s="21"/>
      <c r="AJ1493" s="21"/>
      <c r="AK1493" s="21"/>
      <c r="AM1493" t="s">
        <v>53</v>
      </c>
    </row>
    <row r="1494" spans="34:39" x14ac:dyDescent="0.35">
      <c r="AH1494" s="21"/>
      <c r="AI1494" s="21"/>
      <c r="AJ1494" s="21"/>
      <c r="AK1494" s="21"/>
      <c r="AM1494" t="s">
        <v>53</v>
      </c>
    </row>
    <row r="1495" spans="34:39" x14ac:dyDescent="0.35">
      <c r="AH1495" s="21"/>
      <c r="AI1495" s="21"/>
      <c r="AJ1495" s="21"/>
      <c r="AK1495" s="21"/>
      <c r="AM1495" t="s">
        <v>53</v>
      </c>
    </row>
    <row r="1496" spans="34:39" x14ac:dyDescent="0.35">
      <c r="AH1496" s="21"/>
      <c r="AI1496" s="21"/>
      <c r="AJ1496" s="21"/>
      <c r="AK1496" s="21"/>
      <c r="AM1496" t="s">
        <v>53</v>
      </c>
    </row>
    <row r="1497" spans="34:39" x14ac:dyDescent="0.35">
      <c r="AH1497" s="21"/>
      <c r="AI1497" s="21"/>
      <c r="AJ1497" s="21"/>
      <c r="AK1497" s="21"/>
      <c r="AM1497" t="s">
        <v>53</v>
      </c>
    </row>
    <row r="1498" spans="34:39" x14ac:dyDescent="0.35">
      <c r="AH1498" s="21"/>
      <c r="AI1498" s="21"/>
      <c r="AJ1498" s="21"/>
      <c r="AK1498" s="21"/>
      <c r="AM1498" t="s">
        <v>53</v>
      </c>
    </row>
    <row r="1499" spans="34:39" x14ac:dyDescent="0.35">
      <c r="AH1499" s="21"/>
      <c r="AI1499" s="21"/>
      <c r="AJ1499" s="21"/>
      <c r="AK1499" s="21"/>
      <c r="AM1499" t="s">
        <v>53</v>
      </c>
    </row>
    <row r="1500" spans="34:39" x14ac:dyDescent="0.35">
      <c r="AH1500" s="21"/>
      <c r="AI1500" s="21"/>
      <c r="AJ1500" s="21"/>
      <c r="AK1500" s="21"/>
      <c r="AM1500" t="s">
        <v>53</v>
      </c>
    </row>
    <row r="1501" spans="34:39" x14ac:dyDescent="0.35">
      <c r="AH1501" s="21"/>
      <c r="AI1501" s="21"/>
      <c r="AJ1501" s="21"/>
      <c r="AK1501" s="21"/>
      <c r="AM1501" t="s">
        <v>53</v>
      </c>
    </row>
    <row r="1502" spans="34:39" x14ac:dyDescent="0.35">
      <c r="AH1502" s="21"/>
      <c r="AI1502" s="21"/>
      <c r="AJ1502" s="21"/>
      <c r="AK1502" s="21"/>
      <c r="AM1502" t="s">
        <v>53</v>
      </c>
    </row>
    <row r="1503" spans="34:39" x14ac:dyDescent="0.35">
      <c r="AH1503" s="21"/>
      <c r="AI1503" s="21"/>
      <c r="AJ1503" s="21"/>
      <c r="AK1503" s="21"/>
      <c r="AM1503" t="s">
        <v>53</v>
      </c>
    </row>
    <row r="1504" spans="34:39" x14ac:dyDescent="0.35">
      <c r="AH1504" s="21"/>
      <c r="AI1504" s="21"/>
      <c r="AJ1504" s="21"/>
      <c r="AK1504" s="21"/>
      <c r="AM1504" t="s">
        <v>53</v>
      </c>
    </row>
    <row r="1505" spans="34:39" x14ac:dyDescent="0.35">
      <c r="AH1505" s="21"/>
      <c r="AI1505" s="21"/>
      <c r="AJ1505" s="21"/>
      <c r="AK1505" s="21"/>
      <c r="AM1505" t="s">
        <v>53</v>
      </c>
    </row>
    <row r="1506" spans="34:39" x14ac:dyDescent="0.35">
      <c r="AH1506" s="21"/>
      <c r="AI1506" s="21"/>
      <c r="AJ1506" s="21"/>
      <c r="AK1506" s="21"/>
      <c r="AM1506" t="s">
        <v>53</v>
      </c>
    </row>
    <row r="1507" spans="34:39" x14ac:dyDescent="0.35">
      <c r="AH1507" s="21"/>
      <c r="AI1507" s="21"/>
      <c r="AJ1507" s="21"/>
      <c r="AK1507" s="21"/>
      <c r="AM1507" t="s">
        <v>53</v>
      </c>
    </row>
    <row r="1508" spans="34:39" x14ac:dyDescent="0.35">
      <c r="AH1508" s="21"/>
      <c r="AI1508" s="21"/>
      <c r="AJ1508" s="21"/>
      <c r="AK1508" s="21"/>
      <c r="AM1508" t="s">
        <v>53</v>
      </c>
    </row>
    <row r="1509" spans="34:39" x14ac:dyDescent="0.35">
      <c r="AH1509" s="21"/>
      <c r="AI1509" s="21"/>
      <c r="AJ1509" s="21"/>
      <c r="AK1509" s="21"/>
      <c r="AM1509" t="s">
        <v>53</v>
      </c>
    </row>
    <row r="1510" spans="34:39" x14ac:dyDescent="0.35">
      <c r="AH1510" s="21"/>
      <c r="AI1510" s="21"/>
      <c r="AJ1510" s="21"/>
      <c r="AK1510" s="21"/>
      <c r="AM1510" t="s">
        <v>53</v>
      </c>
    </row>
    <row r="1511" spans="34:39" x14ac:dyDescent="0.35">
      <c r="AH1511" s="21"/>
      <c r="AI1511" s="21"/>
      <c r="AJ1511" s="21"/>
      <c r="AK1511" s="21"/>
      <c r="AM1511" t="s">
        <v>53</v>
      </c>
    </row>
    <row r="1512" spans="34:39" x14ac:dyDescent="0.35">
      <c r="AH1512" s="21"/>
      <c r="AI1512" s="21"/>
      <c r="AJ1512" s="21"/>
      <c r="AK1512" s="21"/>
      <c r="AM1512" t="s">
        <v>53</v>
      </c>
    </row>
    <row r="1513" spans="34:39" x14ac:dyDescent="0.35">
      <c r="AH1513" s="21"/>
      <c r="AI1513" s="21"/>
      <c r="AJ1513" s="21"/>
      <c r="AK1513" s="21"/>
      <c r="AM1513" t="s">
        <v>53</v>
      </c>
    </row>
    <row r="1514" spans="34:39" x14ac:dyDescent="0.35">
      <c r="AH1514" s="21"/>
      <c r="AI1514" s="21"/>
      <c r="AJ1514" s="21"/>
      <c r="AK1514" s="21"/>
      <c r="AM1514" t="s">
        <v>53</v>
      </c>
    </row>
    <row r="1515" spans="34:39" x14ac:dyDescent="0.35">
      <c r="AH1515" s="21"/>
      <c r="AI1515" s="21"/>
      <c r="AJ1515" s="21"/>
      <c r="AK1515" s="21"/>
      <c r="AM1515" t="s">
        <v>53</v>
      </c>
    </row>
    <row r="1516" spans="34:39" x14ac:dyDescent="0.35">
      <c r="AH1516" s="21"/>
      <c r="AI1516" s="21"/>
      <c r="AJ1516" s="21"/>
      <c r="AK1516" s="21"/>
      <c r="AM1516" t="s">
        <v>53</v>
      </c>
    </row>
    <row r="1517" spans="34:39" x14ac:dyDescent="0.35">
      <c r="AH1517" s="21"/>
      <c r="AI1517" s="21"/>
      <c r="AJ1517" s="21"/>
      <c r="AK1517" s="21"/>
      <c r="AM1517" t="s">
        <v>53</v>
      </c>
    </row>
    <row r="1518" spans="34:39" x14ac:dyDescent="0.35">
      <c r="AH1518" s="21"/>
      <c r="AI1518" s="21"/>
      <c r="AJ1518" s="21"/>
      <c r="AK1518" s="21"/>
      <c r="AM1518" t="s">
        <v>53</v>
      </c>
    </row>
    <row r="1519" spans="34:39" x14ac:dyDescent="0.35">
      <c r="AH1519" s="21"/>
      <c r="AI1519" s="21"/>
      <c r="AJ1519" s="21"/>
      <c r="AK1519" s="21"/>
      <c r="AM1519" t="s">
        <v>53</v>
      </c>
    </row>
    <row r="1520" spans="34:39" x14ac:dyDescent="0.35">
      <c r="AH1520" s="21"/>
      <c r="AI1520" s="21"/>
      <c r="AJ1520" s="21"/>
      <c r="AK1520" s="21"/>
      <c r="AM1520" t="s">
        <v>53</v>
      </c>
    </row>
    <row r="1521" spans="34:39" x14ac:dyDescent="0.35">
      <c r="AH1521" s="21"/>
      <c r="AI1521" s="21"/>
      <c r="AJ1521" s="21"/>
      <c r="AK1521" s="21"/>
      <c r="AM1521" t="s">
        <v>53</v>
      </c>
    </row>
    <row r="1522" spans="34:39" x14ac:dyDescent="0.35">
      <c r="AH1522" s="21"/>
      <c r="AI1522" s="21"/>
      <c r="AJ1522" s="21"/>
      <c r="AK1522" s="21"/>
      <c r="AM1522" t="s">
        <v>53</v>
      </c>
    </row>
    <row r="1523" spans="34:39" x14ac:dyDescent="0.35">
      <c r="AH1523" s="21"/>
      <c r="AI1523" s="21"/>
      <c r="AJ1523" s="21"/>
      <c r="AK1523" s="21"/>
      <c r="AM1523" t="s">
        <v>53</v>
      </c>
    </row>
    <row r="1524" spans="34:39" x14ac:dyDescent="0.35">
      <c r="AH1524" s="21"/>
      <c r="AI1524" s="21"/>
      <c r="AJ1524" s="21"/>
      <c r="AK1524" s="21"/>
      <c r="AM1524" t="s">
        <v>53</v>
      </c>
    </row>
    <row r="1525" spans="34:39" x14ac:dyDescent="0.35">
      <c r="AH1525" s="21"/>
      <c r="AI1525" s="21"/>
      <c r="AJ1525" s="21"/>
      <c r="AK1525" s="21"/>
      <c r="AM1525" t="s">
        <v>53</v>
      </c>
    </row>
    <row r="1526" spans="34:39" x14ac:dyDescent="0.35">
      <c r="AH1526" s="21"/>
      <c r="AI1526" s="21"/>
      <c r="AJ1526" s="21"/>
      <c r="AK1526" s="21"/>
      <c r="AM1526" t="s">
        <v>53</v>
      </c>
    </row>
    <row r="1527" spans="34:39" x14ac:dyDescent="0.35">
      <c r="AH1527" s="21"/>
      <c r="AI1527" s="21"/>
      <c r="AJ1527" s="21"/>
      <c r="AK1527" s="21"/>
      <c r="AM1527" t="s">
        <v>53</v>
      </c>
    </row>
    <row r="1528" spans="34:39" x14ac:dyDescent="0.35">
      <c r="AH1528" s="21"/>
      <c r="AI1528" s="21"/>
      <c r="AJ1528" s="21"/>
      <c r="AK1528" s="21"/>
      <c r="AM1528" t="s">
        <v>53</v>
      </c>
    </row>
    <row r="1529" spans="34:39" x14ac:dyDescent="0.35">
      <c r="AH1529" s="21"/>
      <c r="AI1529" s="21"/>
      <c r="AJ1529" s="21"/>
      <c r="AK1529" s="21"/>
      <c r="AM1529" t="s">
        <v>53</v>
      </c>
    </row>
    <row r="1530" spans="34:39" x14ac:dyDescent="0.35">
      <c r="AH1530" s="21"/>
      <c r="AI1530" s="21"/>
      <c r="AJ1530" s="21"/>
      <c r="AK1530" s="21"/>
      <c r="AM1530" t="s">
        <v>53</v>
      </c>
    </row>
    <row r="1531" spans="34:39" x14ac:dyDescent="0.35">
      <c r="AH1531" s="21"/>
      <c r="AI1531" s="21"/>
      <c r="AJ1531" s="21"/>
      <c r="AK1531" s="21"/>
      <c r="AM1531" t="s">
        <v>53</v>
      </c>
    </row>
    <row r="1532" spans="34:39" x14ac:dyDescent="0.35">
      <c r="AH1532" s="21"/>
      <c r="AI1532" s="21"/>
      <c r="AJ1532" s="21"/>
      <c r="AK1532" s="21"/>
      <c r="AM1532" t="s">
        <v>53</v>
      </c>
    </row>
    <row r="1533" spans="34:39" x14ac:dyDescent="0.35">
      <c r="AH1533" s="21"/>
      <c r="AI1533" s="21"/>
      <c r="AJ1533" s="21"/>
      <c r="AK1533" s="21"/>
      <c r="AM1533" t="s">
        <v>53</v>
      </c>
    </row>
    <row r="1534" spans="34:39" x14ac:dyDescent="0.35">
      <c r="AH1534" s="21"/>
      <c r="AI1534" s="21"/>
      <c r="AJ1534" s="21"/>
      <c r="AK1534" s="21"/>
      <c r="AM1534" t="s">
        <v>53</v>
      </c>
    </row>
    <row r="1535" spans="34:39" x14ac:dyDescent="0.35">
      <c r="AH1535" s="21"/>
      <c r="AI1535" s="21"/>
      <c r="AJ1535" s="21"/>
      <c r="AK1535" s="21"/>
      <c r="AM1535" t="s">
        <v>53</v>
      </c>
    </row>
    <row r="1536" spans="34:39" x14ac:dyDescent="0.35">
      <c r="AH1536" s="21"/>
      <c r="AI1536" s="21"/>
      <c r="AJ1536" s="21"/>
      <c r="AK1536" s="21"/>
      <c r="AM1536" t="s">
        <v>53</v>
      </c>
    </row>
    <row r="1537" spans="34:39" x14ac:dyDescent="0.35">
      <c r="AH1537" s="21"/>
      <c r="AI1537" s="21"/>
      <c r="AJ1537" s="21"/>
      <c r="AK1537" s="21"/>
      <c r="AM1537" t="s">
        <v>53</v>
      </c>
    </row>
    <row r="1538" spans="34:39" x14ac:dyDescent="0.35">
      <c r="AH1538" s="21"/>
      <c r="AI1538" s="21"/>
      <c r="AJ1538" s="21"/>
      <c r="AK1538" s="21"/>
      <c r="AM1538" t="s">
        <v>53</v>
      </c>
    </row>
    <row r="1539" spans="34:39" x14ac:dyDescent="0.35">
      <c r="AH1539" s="21"/>
      <c r="AI1539" s="21"/>
      <c r="AJ1539" s="21"/>
      <c r="AK1539" s="21"/>
      <c r="AM1539" t="s">
        <v>53</v>
      </c>
    </row>
    <row r="1540" spans="34:39" x14ac:dyDescent="0.35">
      <c r="AH1540" s="21"/>
      <c r="AI1540" s="21"/>
      <c r="AJ1540" s="21"/>
      <c r="AK1540" s="21"/>
      <c r="AM1540" t="s">
        <v>53</v>
      </c>
    </row>
    <row r="1541" spans="34:39" x14ac:dyDescent="0.35">
      <c r="AH1541" s="21"/>
      <c r="AI1541" s="21"/>
      <c r="AJ1541" s="21"/>
      <c r="AK1541" s="21"/>
      <c r="AM1541" t="s">
        <v>53</v>
      </c>
    </row>
    <row r="1542" spans="34:39" x14ac:dyDescent="0.35">
      <c r="AH1542" s="21"/>
      <c r="AI1542" s="21"/>
      <c r="AJ1542" s="21"/>
      <c r="AK1542" s="21"/>
      <c r="AM1542" t="s">
        <v>53</v>
      </c>
    </row>
    <row r="1543" spans="34:39" x14ac:dyDescent="0.35">
      <c r="AH1543" s="21"/>
      <c r="AI1543" s="21"/>
      <c r="AJ1543" s="21"/>
      <c r="AK1543" s="21"/>
      <c r="AM1543" t="s">
        <v>53</v>
      </c>
    </row>
    <row r="1544" spans="34:39" x14ac:dyDescent="0.35">
      <c r="AH1544" s="21"/>
      <c r="AI1544" s="21"/>
      <c r="AJ1544" s="21"/>
      <c r="AK1544" s="21"/>
      <c r="AM1544" t="s">
        <v>53</v>
      </c>
    </row>
    <row r="1545" spans="34:39" x14ac:dyDescent="0.35">
      <c r="AH1545" s="21"/>
      <c r="AI1545" s="21"/>
      <c r="AJ1545" s="21"/>
      <c r="AK1545" s="21"/>
      <c r="AM1545" t="s">
        <v>53</v>
      </c>
    </row>
    <row r="1546" spans="34:39" x14ac:dyDescent="0.35">
      <c r="AH1546" s="21"/>
      <c r="AI1546" s="21"/>
      <c r="AJ1546" s="21"/>
      <c r="AK1546" s="21"/>
      <c r="AM1546" t="s">
        <v>53</v>
      </c>
    </row>
    <row r="1547" spans="34:39" x14ac:dyDescent="0.35">
      <c r="AH1547" s="21"/>
      <c r="AI1547" s="21"/>
      <c r="AJ1547" s="21"/>
      <c r="AK1547" s="21"/>
      <c r="AM1547" t="s">
        <v>53</v>
      </c>
    </row>
    <row r="1548" spans="34:39" x14ac:dyDescent="0.35">
      <c r="AH1548" s="21"/>
      <c r="AI1548" s="21"/>
      <c r="AJ1548" s="21"/>
      <c r="AK1548" s="21"/>
      <c r="AM1548" t="s">
        <v>53</v>
      </c>
    </row>
    <row r="1549" spans="34:39" x14ac:dyDescent="0.35">
      <c r="AH1549" s="21"/>
      <c r="AI1549" s="21"/>
      <c r="AJ1549" s="21"/>
      <c r="AK1549" s="21"/>
      <c r="AM1549" t="s">
        <v>53</v>
      </c>
    </row>
    <row r="1550" spans="34:39" x14ac:dyDescent="0.35">
      <c r="AH1550" s="21"/>
      <c r="AI1550" s="21"/>
      <c r="AJ1550" s="21"/>
      <c r="AK1550" s="21"/>
      <c r="AM1550" t="s">
        <v>53</v>
      </c>
    </row>
    <row r="1551" spans="34:39" x14ac:dyDescent="0.35">
      <c r="AH1551" s="21"/>
      <c r="AI1551" s="21"/>
      <c r="AJ1551" s="21"/>
      <c r="AK1551" s="21"/>
      <c r="AM1551" t="s">
        <v>53</v>
      </c>
    </row>
    <row r="1552" spans="34:39" x14ac:dyDescent="0.35">
      <c r="AH1552" s="21"/>
      <c r="AI1552" s="21"/>
      <c r="AJ1552" s="21"/>
      <c r="AK1552" s="21"/>
      <c r="AM1552" t="s">
        <v>53</v>
      </c>
    </row>
    <row r="1553" spans="34:39" x14ac:dyDescent="0.35">
      <c r="AH1553" s="21"/>
      <c r="AI1553" s="21"/>
      <c r="AJ1553" s="21"/>
      <c r="AK1553" s="21"/>
      <c r="AM1553" t="s">
        <v>53</v>
      </c>
    </row>
    <row r="1554" spans="34:39" x14ac:dyDescent="0.35">
      <c r="AH1554" s="21"/>
      <c r="AI1554" s="21"/>
      <c r="AJ1554" s="21"/>
      <c r="AK1554" s="21"/>
      <c r="AM1554" t="s">
        <v>53</v>
      </c>
    </row>
    <row r="1555" spans="34:39" x14ac:dyDescent="0.35">
      <c r="AH1555" s="21"/>
      <c r="AI1555" s="21"/>
      <c r="AJ1555" s="21"/>
      <c r="AK1555" s="21"/>
      <c r="AM1555" t="s">
        <v>53</v>
      </c>
    </row>
    <row r="1556" spans="34:39" x14ac:dyDescent="0.35">
      <c r="AH1556" s="21"/>
      <c r="AI1556" s="21"/>
      <c r="AJ1556" s="21"/>
      <c r="AK1556" s="21"/>
      <c r="AM1556" t="s">
        <v>53</v>
      </c>
    </row>
    <row r="1557" spans="34:39" x14ac:dyDescent="0.35">
      <c r="AH1557" s="21"/>
      <c r="AI1557" s="21"/>
      <c r="AJ1557" s="21"/>
      <c r="AK1557" s="21"/>
      <c r="AM1557" t="s">
        <v>53</v>
      </c>
    </row>
    <row r="1558" spans="34:39" x14ac:dyDescent="0.35">
      <c r="AH1558" s="21"/>
      <c r="AI1558" s="21"/>
      <c r="AJ1558" s="21"/>
      <c r="AK1558" s="21"/>
      <c r="AM1558" t="s">
        <v>53</v>
      </c>
    </row>
    <row r="1559" spans="34:39" x14ac:dyDescent="0.35">
      <c r="AH1559" s="21"/>
      <c r="AI1559" s="21"/>
      <c r="AJ1559" s="21"/>
      <c r="AK1559" s="21"/>
      <c r="AM1559" t="s">
        <v>53</v>
      </c>
    </row>
    <row r="1560" spans="34:39" x14ac:dyDescent="0.35">
      <c r="AH1560" s="21"/>
      <c r="AI1560" s="21"/>
      <c r="AJ1560" s="21"/>
      <c r="AK1560" s="21"/>
      <c r="AM1560" t="s">
        <v>53</v>
      </c>
    </row>
    <row r="1561" spans="34:39" x14ac:dyDescent="0.35">
      <c r="AH1561" s="21"/>
      <c r="AI1561" s="21"/>
      <c r="AJ1561" s="21"/>
      <c r="AK1561" s="21"/>
      <c r="AM1561" t="s">
        <v>53</v>
      </c>
    </row>
    <row r="1562" spans="34:39" x14ac:dyDescent="0.35">
      <c r="AH1562" s="21"/>
      <c r="AI1562" s="21"/>
      <c r="AJ1562" s="21"/>
      <c r="AK1562" s="21"/>
      <c r="AM1562" t="s">
        <v>53</v>
      </c>
    </row>
    <row r="1563" spans="34:39" x14ac:dyDescent="0.35">
      <c r="AH1563" s="21"/>
      <c r="AI1563" s="21"/>
      <c r="AJ1563" s="21"/>
      <c r="AK1563" s="21"/>
      <c r="AM1563" t="s">
        <v>53</v>
      </c>
    </row>
    <row r="1564" spans="34:39" x14ac:dyDescent="0.35">
      <c r="AH1564" s="21"/>
      <c r="AI1564" s="21"/>
      <c r="AJ1564" s="21"/>
      <c r="AK1564" s="21"/>
      <c r="AM1564" t="s">
        <v>53</v>
      </c>
    </row>
    <row r="1565" spans="34:39" x14ac:dyDescent="0.35">
      <c r="AH1565" s="21"/>
      <c r="AI1565" s="21"/>
      <c r="AJ1565" s="21"/>
      <c r="AK1565" s="21"/>
      <c r="AM1565" t="s">
        <v>53</v>
      </c>
    </row>
    <row r="1566" spans="34:39" x14ac:dyDescent="0.35">
      <c r="AH1566" s="21"/>
      <c r="AI1566" s="21"/>
      <c r="AJ1566" s="21"/>
      <c r="AK1566" s="21"/>
      <c r="AM1566" t="s">
        <v>53</v>
      </c>
    </row>
    <row r="1567" spans="34:39" x14ac:dyDescent="0.35">
      <c r="AH1567" s="21"/>
      <c r="AI1567" s="21"/>
      <c r="AJ1567" s="21"/>
      <c r="AK1567" s="21"/>
      <c r="AM1567" t="s">
        <v>53</v>
      </c>
    </row>
    <row r="1568" spans="34:39" x14ac:dyDescent="0.35">
      <c r="AH1568" s="21"/>
      <c r="AI1568" s="21"/>
      <c r="AJ1568" s="21"/>
      <c r="AK1568" s="21"/>
      <c r="AM1568" t="s">
        <v>53</v>
      </c>
    </row>
    <row r="1569" spans="34:39" x14ac:dyDescent="0.35">
      <c r="AH1569" s="21"/>
      <c r="AI1569" s="21"/>
      <c r="AJ1569" s="21"/>
      <c r="AK1569" s="21"/>
      <c r="AM1569" t="s">
        <v>53</v>
      </c>
    </row>
    <row r="1570" spans="34:39" x14ac:dyDescent="0.35">
      <c r="AH1570" s="21"/>
      <c r="AI1570" s="21"/>
      <c r="AJ1570" s="21"/>
      <c r="AK1570" s="21"/>
      <c r="AM1570" t="s">
        <v>53</v>
      </c>
    </row>
    <row r="1571" spans="34:39" x14ac:dyDescent="0.35">
      <c r="AH1571" s="21"/>
      <c r="AI1571" s="21"/>
      <c r="AJ1571" s="21"/>
      <c r="AK1571" s="21"/>
      <c r="AM1571" t="s">
        <v>53</v>
      </c>
    </row>
    <row r="1572" spans="34:39" x14ac:dyDescent="0.35">
      <c r="AH1572" s="21"/>
      <c r="AI1572" s="21"/>
      <c r="AJ1572" s="21"/>
      <c r="AK1572" s="21"/>
      <c r="AM1572" t="s">
        <v>53</v>
      </c>
    </row>
    <row r="1573" spans="34:39" x14ac:dyDescent="0.35">
      <c r="AH1573" s="21"/>
      <c r="AI1573" s="21"/>
      <c r="AJ1573" s="21"/>
      <c r="AK1573" s="21"/>
      <c r="AM1573" t="s">
        <v>53</v>
      </c>
    </row>
    <row r="1574" spans="34:39" x14ac:dyDescent="0.35">
      <c r="AH1574" s="21"/>
      <c r="AI1574" s="21"/>
      <c r="AJ1574" s="21"/>
      <c r="AK1574" s="21"/>
      <c r="AM1574" t="s">
        <v>53</v>
      </c>
    </row>
    <row r="1575" spans="34:39" x14ac:dyDescent="0.35">
      <c r="AH1575" s="21"/>
      <c r="AI1575" s="21"/>
      <c r="AJ1575" s="21"/>
      <c r="AK1575" s="21"/>
      <c r="AM1575" t="s">
        <v>53</v>
      </c>
    </row>
    <row r="1576" spans="34:39" x14ac:dyDescent="0.35">
      <c r="AH1576" s="21"/>
      <c r="AI1576" s="21"/>
      <c r="AJ1576" s="21"/>
      <c r="AK1576" s="21"/>
      <c r="AM1576" t="s">
        <v>53</v>
      </c>
    </row>
    <row r="1577" spans="34:39" x14ac:dyDescent="0.35">
      <c r="AH1577" s="21"/>
      <c r="AI1577" s="21"/>
      <c r="AJ1577" s="21"/>
      <c r="AK1577" s="21"/>
      <c r="AM1577" t="s">
        <v>53</v>
      </c>
    </row>
    <row r="1578" spans="34:39" x14ac:dyDescent="0.35">
      <c r="AH1578" s="21"/>
      <c r="AI1578" s="21"/>
      <c r="AJ1578" s="21"/>
      <c r="AK1578" s="21"/>
      <c r="AM1578" t="s">
        <v>53</v>
      </c>
    </row>
    <row r="1579" spans="34:39" x14ac:dyDescent="0.35">
      <c r="AH1579" s="21"/>
      <c r="AI1579" s="21"/>
      <c r="AJ1579" s="21"/>
      <c r="AK1579" s="21"/>
      <c r="AM1579" t="s">
        <v>53</v>
      </c>
    </row>
    <row r="1580" spans="34:39" x14ac:dyDescent="0.35">
      <c r="AH1580" s="21"/>
      <c r="AI1580" s="21"/>
      <c r="AJ1580" s="21"/>
      <c r="AK1580" s="21"/>
      <c r="AM1580" t="s">
        <v>53</v>
      </c>
    </row>
    <row r="1581" spans="34:39" x14ac:dyDescent="0.35">
      <c r="AH1581" s="21"/>
      <c r="AI1581" s="21"/>
      <c r="AJ1581" s="21"/>
      <c r="AK1581" s="21"/>
      <c r="AM1581" t="s">
        <v>53</v>
      </c>
    </row>
    <row r="1582" spans="34:39" x14ac:dyDescent="0.35">
      <c r="AH1582" s="21"/>
      <c r="AI1582" s="21"/>
      <c r="AJ1582" s="21"/>
      <c r="AK1582" s="21"/>
      <c r="AM1582" t="s">
        <v>53</v>
      </c>
    </row>
    <row r="1583" spans="34:39" x14ac:dyDescent="0.35">
      <c r="AH1583" s="21"/>
      <c r="AI1583" s="21"/>
      <c r="AJ1583" s="21"/>
      <c r="AK1583" s="21"/>
      <c r="AM1583" t="s">
        <v>53</v>
      </c>
    </row>
    <row r="1584" spans="34:39" x14ac:dyDescent="0.35">
      <c r="AH1584" s="21"/>
      <c r="AI1584" s="21"/>
      <c r="AJ1584" s="21"/>
      <c r="AK1584" s="21"/>
      <c r="AM1584" t="s">
        <v>53</v>
      </c>
    </row>
    <row r="1585" spans="34:39" x14ac:dyDescent="0.35">
      <c r="AH1585" s="21"/>
      <c r="AI1585" s="21"/>
      <c r="AJ1585" s="21"/>
      <c r="AK1585" s="21"/>
      <c r="AM1585" t="s">
        <v>53</v>
      </c>
    </row>
    <row r="1586" spans="34:39" x14ac:dyDescent="0.35">
      <c r="AH1586" s="21"/>
      <c r="AI1586" s="21"/>
      <c r="AJ1586" s="21"/>
      <c r="AK1586" s="21"/>
      <c r="AM1586" t="s">
        <v>53</v>
      </c>
    </row>
    <row r="1587" spans="34:39" x14ac:dyDescent="0.35">
      <c r="AH1587" s="21"/>
      <c r="AI1587" s="21"/>
      <c r="AJ1587" s="21"/>
      <c r="AK1587" s="21"/>
      <c r="AM1587" t="s">
        <v>53</v>
      </c>
    </row>
    <row r="1588" spans="34:39" x14ac:dyDescent="0.35">
      <c r="AH1588" s="21"/>
      <c r="AI1588" s="21"/>
      <c r="AJ1588" s="21"/>
      <c r="AK1588" s="21"/>
      <c r="AM1588" t="s">
        <v>53</v>
      </c>
    </row>
    <row r="1589" spans="34:39" x14ac:dyDescent="0.35">
      <c r="AH1589" s="21"/>
      <c r="AI1589" s="21"/>
      <c r="AJ1589" s="21"/>
      <c r="AK1589" s="21"/>
      <c r="AM1589" t="s">
        <v>53</v>
      </c>
    </row>
    <row r="1590" spans="34:39" x14ac:dyDescent="0.35">
      <c r="AH1590" s="21"/>
      <c r="AI1590" s="21"/>
      <c r="AJ1590" s="21"/>
      <c r="AK1590" s="21"/>
      <c r="AM1590" t="s">
        <v>53</v>
      </c>
    </row>
    <row r="1591" spans="34:39" x14ac:dyDescent="0.35">
      <c r="AH1591" s="21"/>
      <c r="AI1591" s="21"/>
      <c r="AJ1591" s="21"/>
      <c r="AK1591" s="21"/>
      <c r="AM1591" t="s">
        <v>53</v>
      </c>
    </row>
    <row r="1592" spans="34:39" x14ac:dyDescent="0.35">
      <c r="AH1592" s="21"/>
      <c r="AI1592" s="21"/>
      <c r="AJ1592" s="21"/>
      <c r="AK1592" s="21"/>
      <c r="AM1592" t="s">
        <v>53</v>
      </c>
    </row>
    <row r="1593" spans="34:39" x14ac:dyDescent="0.35">
      <c r="AH1593" s="21"/>
      <c r="AI1593" s="21"/>
      <c r="AJ1593" s="21"/>
      <c r="AK1593" s="21"/>
      <c r="AM1593" t="s">
        <v>53</v>
      </c>
    </row>
    <row r="1594" spans="34:39" x14ac:dyDescent="0.35">
      <c r="AH1594" s="21"/>
      <c r="AI1594" s="21"/>
      <c r="AJ1594" s="21"/>
      <c r="AK1594" s="21"/>
      <c r="AM1594" t="s">
        <v>53</v>
      </c>
    </row>
    <row r="1595" spans="34:39" x14ac:dyDescent="0.35">
      <c r="AH1595" s="21"/>
      <c r="AI1595" s="21"/>
      <c r="AJ1595" s="21"/>
      <c r="AK1595" s="21"/>
      <c r="AM1595" t="s">
        <v>53</v>
      </c>
    </row>
    <row r="1596" spans="34:39" x14ac:dyDescent="0.35">
      <c r="AH1596" s="21"/>
      <c r="AI1596" s="21"/>
      <c r="AJ1596" s="21"/>
      <c r="AK1596" s="21"/>
      <c r="AM1596" t="s">
        <v>53</v>
      </c>
    </row>
    <row r="1597" spans="34:39" x14ac:dyDescent="0.35">
      <c r="AH1597" s="21"/>
      <c r="AI1597" s="21"/>
      <c r="AJ1597" s="21"/>
      <c r="AK1597" s="21"/>
      <c r="AM1597" t="s">
        <v>53</v>
      </c>
    </row>
    <row r="1598" spans="34:39" x14ac:dyDescent="0.35">
      <c r="AH1598" s="21"/>
      <c r="AI1598" s="21"/>
      <c r="AJ1598" s="21"/>
      <c r="AK1598" s="21"/>
      <c r="AM1598" t="s">
        <v>53</v>
      </c>
    </row>
    <row r="1599" spans="34:39" x14ac:dyDescent="0.35">
      <c r="AH1599" s="21"/>
      <c r="AI1599" s="21"/>
      <c r="AJ1599" s="21"/>
      <c r="AK1599" s="21"/>
      <c r="AM1599" t="s">
        <v>53</v>
      </c>
    </row>
    <row r="1600" spans="34:39" x14ac:dyDescent="0.35">
      <c r="AH1600" s="21"/>
      <c r="AI1600" s="21"/>
      <c r="AJ1600" s="21"/>
      <c r="AK1600" s="21"/>
      <c r="AM1600" t="s">
        <v>53</v>
      </c>
    </row>
    <row r="1601" spans="34:39" x14ac:dyDescent="0.35">
      <c r="AH1601" s="21"/>
      <c r="AI1601" s="21"/>
      <c r="AJ1601" s="21"/>
      <c r="AK1601" s="21"/>
      <c r="AM1601" t="s">
        <v>53</v>
      </c>
    </row>
    <row r="1602" spans="34:39" x14ac:dyDescent="0.35">
      <c r="AH1602" s="21"/>
      <c r="AI1602" s="21"/>
      <c r="AJ1602" s="21"/>
      <c r="AK1602" s="21"/>
      <c r="AM1602" t="s">
        <v>53</v>
      </c>
    </row>
    <row r="1603" spans="34:39" x14ac:dyDescent="0.35">
      <c r="AH1603" s="21"/>
      <c r="AI1603" s="21"/>
      <c r="AJ1603" s="21"/>
      <c r="AK1603" s="21"/>
      <c r="AM1603" t="s">
        <v>53</v>
      </c>
    </row>
    <row r="1604" spans="34:39" x14ac:dyDescent="0.35">
      <c r="AH1604" s="21"/>
      <c r="AI1604" s="21"/>
      <c r="AJ1604" s="21"/>
      <c r="AK1604" s="21"/>
      <c r="AM1604" t="s">
        <v>53</v>
      </c>
    </row>
    <row r="1605" spans="34:39" x14ac:dyDescent="0.35">
      <c r="AH1605" s="21"/>
      <c r="AI1605" s="21"/>
      <c r="AJ1605" s="21"/>
      <c r="AK1605" s="21"/>
      <c r="AM1605" t="s">
        <v>53</v>
      </c>
    </row>
    <row r="1606" spans="34:39" x14ac:dyDescent="0.35">
      <c r="AH1606" s="21"/>
      <c r="AI1606" s="21"/>
      <c r="AJ1606" s="21"/>
      <c r="AK1606" s="21"/>
      <c r="AM1606" t="s">
        <v>53</v>
      </c>
    </row>
    <row r="1607" spans="34:39" x14ac:dyDescent="0.35">
      <c r="AH1607" s="21"/>
      <c r="AI1607" s="21"/>
      <c r="AJ1607" s="21"/>
      <c r="AK1607" s="21"/>
      <c r="AM1607" t="s">
        <v>53</v>
      </c>
    </row>
    <row r="1608" spans="34:39" x14ac:dyDescent="0.35">
      <c r="AH1608" s="21"/>
      <c r="AI1608" s="21"/>
      <c r="AJ1608" s="21"/>
      <c r="AK1608" s="21"/>
      <c r="AM1608" t="s">
        <v>53</v>
      </c>
    </row>
    <row r="1609" spans="34:39" x14ac:dyDescent="0.35">
      <c r="AH1609" s="21"/>
      <c r="AI1609" s="21"/>
      <c r="AJ1609" s="21"/>
      <c r="AK1609" s="21"/>
      <c r="AM1609" t="s">
        <v>53</v>
      </c>
    </row>
    <row r="1610" spans="34:39" x14ac:dyDescent="0.35">
      <c r="AH1610" s="21"/>
      <c r="AI1610" s="21"/>
      <c r="AJ1610" s="21"/>
      <c r="AK1610" s="21"/>
      <c r="AM1610" t="s">
        <v>53</v>
      </c>
    </row>
    <row r="1611" spans="34:39" x14ac:dyDescent="0.35">
      <c r="AH1611" s="21"/>
      <c r="AI1611" s="21"/>
      <c r="AJ1611" s="21"/>
      <c r="AK1611" s="21"/>
      <c r="AM1611" t="s">
        <v>53</v>
      </c>
    </row>
    <row r="1612" spans="34:39" x14ac:dyDescent="0.35">
      <c r="AH1612" s="21"/>
      <c r="AI1612" s="21"/>
      <c r="AJ1612" s="21"/>
      <c r="AK1612" s="21"/>
      <c r="AM1612" t="s">
        <v>53</v>
      </c>
    </row>
    <row r="1613" spans="34:39" x14ac:dyDescent="0.35">
      <c r="AH1613" s="21"/>
      <c r="AI1613" s="21"/>
      <c r="AJ1613" s="21"/>
      <c r="AK1613" s="21"/>
      <c r="AM1613" t="s">
        <v>53</v>
      </c>
    </row>
    <row r="1614" spans="34:39" x14ac:dyDescent="0.35">
      <c r="AH1614" s="21"/>
      <c r="AI1614" s="21"/>
      <c r="AJ1614" s="21"/>
      <c r="AK1614" s="21"/>
      <c r="AM1614" t="s">
        <v>53</v>
      </c>
    </row>
    <row r="1615" spans="34:39" x14ac:dyDescent="0.35">
      <c r="AH1615" s="21"/>
      <c r="AI1615" s="21"/>
      <c r="AJ1615" s="21"/>
      <c r="AK1615" s="21"/>
      <c r="AM1615" t="s">
        <v>53</v>
      </c>
    </row>
    <row r="1616" spans="34:39" x14ac:dyDescent="0.35">
      <c r="AH1616" s="21"/>
      <c r="AI1616" s="21"/>
      <c r="AJ1616" s="21"/>
      <c r="AK1616" s="21"/>
      <c r="AM1616" t="s">
        <v>53</v>
      </c>
    </row>
    <row r="1617" spans="34:39" x14ac:dyDescent="0.35">
      <c r="AH1617" s="21"/>
      <c r="AI1617" s="21"/>
      <c r="AJ1617" s="21"/>
      <c r="AK1617" s="21"/>
      <c r="AM1617" t="s">
        <v>53</v>
      </c>
    </row>
    <row r="1618" spans="34:39" x14ac:dyDescent="0.35">
      <c r="AH1618" s="21"/>
      <c r="AI1618" s="21"/>
      <c r="AJ1618" s="21"/>
      <c r="AK1618" s="21"/>
      <c r="AM1618" t="s">
        <v>53</v>
      </c>
    </row>
    <row r="1619" spans="34:39" x14ac:dyDescent="0.35">
      <c r="AH1619" s="21"/>
      <c r="AI1619" s="21"/>
      <c r="AJ1619" s="21"/>
      <c r="AK1619" s="21"/>
      <c r="AM1619" t="s">
        <v>53</v>
      </c>
    </row>
    <row r="1620" spans="34:39" x14ac:dyDescent="0.35">
      <c r="AH1620" s="21"/>
      <c r="AI1620" s="21"/>
      <c r="AJ1620" s="21"/>
      <c r="AK1620" s="21"/>
      <c r="AM1620" t="s">
        <v>53</v>
      </c>
    </row>
    <row r="1621" spans="34:39" x14ac:dyDescent="0.35">
      <c r="AH1621" s="21"/>
      <c r="AI1621" s="21"/>
      <c r="AJ1621" s="21"/>
      <c r="AK1621" s="21"/>
      <c r="AM1621" t="s">
        <v>53</v>
      </c>
    </row>
    <row r="1622" spans="34:39" x14ac:dyDescent="0.35">
      <c r="AH1622" s="21"/>
      <c r="AI1622" s="21"/>
      <c r="AJ1622" s="21"/>
      <c r="AK1622" s="21"/>
      <c r="AM1622" t="s">
        <v>53</v>
      </c>
    </row>
    <row r="1623" spans="34:39" x14ac:dyDescent="0.35">
      <c r="AH1623" s="21"/>
      <c r="AI1623" s="21"/>
      <c r="AJ1623" s="21"/>
      <c r="AK1623" s="21"/>
      <c r="AM1623" t="s">
        <v>53</v>
      </c>
    </row>
    <row r="1624" spans="34:39" x14ac:dyDescent="0.35">
      <c r="AH1624" s="21"/>
      <c r="AI1624" s="21"/>
      <c r="AJ1624" s="21"/>
      <c r="AK1624" s="21"/>
      <c r="AM1624" t="s">
        <v>53</v>
      </c>
    </row>
    <row r="1625" spans="34:39" x14ac:dyDescent="0.35">
      <c r="AH1625" s="21"/>
      <c r="AI1625" s="21"/>
      <c r="AJ1625" s="21"/>
      <c r="AK1625" s="21"/>
      <c r="AM1625" t="s">
        <v>53</v>
      </c>
    </row>
    <row r="1626" spans="34:39" x14ac:dyDescent="0.35">
      <c r="AH1626" s="21"/>
      <c r="AI1626" s="21"/>
      <c r="AJ1626" s="21"/>
      <c r="AK1626" s="21"/>
      <c r="AM1626" t="s">
        <v>53</v>
      </c>
    </row>
    <row r="1627" spans="34:39" x14ac:dyDescent="0.35">
      <c r="AH1627" s="21"/>
      <c r="AI1627" s="21"/>
      <c r="AJ1627" s="21"/>
      <c r="AK1627" s="21"/>
      <c r="AM1627" t="s">
        <v>53</v>
      </c>
    </row>
    <row r="1628" spans="34:39" x14ac:dyDescent="0.35">
      <c r="AH1628" s="21"/>
      <c r="AI1628" s="21"/>
      <c r="AJ1628" s="21"/>
      <c r="AK1628" s="21"/>
      <c r="AM1628" t="s">
        <v>53</v>
      </c>
    </row>
    <row r="1629" spans="34:39" x14ac:dyDescent="0.35">
      <c r="AH1629" s="21"/>
      <c r="AI1629" s="21"/>
      <c r="AJ1629" s="21"/>
      <c r="AK1629" s="21"/>
      <c r="AM1629" t="s">
        <v>53</v>
      </c>
    </row>
    <row r="1630" spans="34:39" x14ac:dyDescent="0.35">
      <c r="AH1630" s="21"/>
      <c r="AI1630" s="21"/>
      <c r="AJ1630" s="21"/>
      <c r="AK1630" s="21"/>
      <c r="AM1630" t="s">
        <v>53</v>
      </c>
    </row>
    <row r="1631" spans="34:39" x14ac:dyDescent="0.35">
      <c r="AH1631" s="21"/>
      <c r="AI1631" s="21"/>
      <c r="AJ1631" s="21"/>
      <c r="AK1631" s="21"/>
      <c r="AM1631" t="s">
        <v>53</v>
      </c>
    </row>
    <row r="1632" spans="34:39" x14ac:dyDescent="0.35">
      <c r="AH1632" s="21"/>
      <c r="AI1632" s="21"/>
      <c r="AJ1632" s="21"/>
      <c r="AK1632" s="21"/>
      <c r="AM1632" t="s">
        <v>53</v>
      </c>
    </row>
    <row r="1633" spans="34:39" x14ac:dyDescent="0.35">
      <c r="AH1633" s="21"/>
      <c r="AI1633" s="21"/>
      <c r="AJ1633" s="21"/>
      <c r="AK1633" s="21"/>
      <c r="AM1633" t="s">
        <v>53</v>
      </c>
    </row>
    <row r="1634" spans="34:39" x14ac:dyDescent="0.35">
      <c r="AH1634" s="21"/>
      <c r="AI1634" s="21"/>
      <c r="AJ1634" s="21"/>
      <c r="AK1634" s="21"/>
      <c r="AM1634" t="s">
        <v>53</v>
      </c>
    </row>
    <row r="1635" spans="34:39" x14ac:dyDescent="0.35">
      <c r="AH1635" s="21"/>
      <c r="AI1635" s="21"/>
      <c r="AJ1635" s="21"/>
      <c r="AK1635" s="21"/>
      <c r="AM1635" t="s">
        <v>53</v>
      </c>
    </row>
    <row r="1636" spans="34:39" x14ac:dyDescent="0.35">
      <c r="AH1636" s="21"/>
      <c r="AI1636" s="21"/>
      <c r="AJ1636" s="21"/>
      <c r="AK1636" s="21"/>
      <c r="AM1636" t="s">
        <v>53</v>
      </c>
    </row>
    <row r="1637" spans="34:39" x14ac:dyDescent="0.35">
      <c r="AH1637" s="21"/>
      <c r="AI1637" s="21"/>
      <c r="AJ1637" s="21"/>
      <c r="AK1637" s="21"/>
      <c r="AM1637" t="s">
        <v>53</v>
      </c>
    </row>
    <row r="1638" spans="34:39" x14ac:dyDescent="0.35">
      <c r="AH1638" s="21"/>
      <c r="AI1638" s="21"/>
      <c r="AJ1638" s="21"/>
      <c r="AK1638" s="21"/>
      <c r="AM1638" t="s">
        <v>53</v>
      </c>
    </row>
    <row r="1639" spans="34:39" x14ac:dyDescent="0.35">
      <c r="AH1639" s="21"/>
      <c r="AI1639" s="21"/>
      <c r="AJ1639" s="21"/>
      <c r="AK1639" s="21"/>
      <c r="AM1639" t="s">
        <v>53</v>
      </c>
    </row>
    <row r="1640" spans="34:39" x14ac:dyDescent="0.35">
      <c r="AH1640" s="21"/>
      <c r="AI1640" s="21"/>
      <c r="AJ1640" s="21"/>
      <c r="AK1640" s="21"/>
      <c r="AM1640" t="s">
        <v>53</v>
      </c>
    </row>
    <row r="1641" spans="34:39" x14ac:dyDescent="0.35">
      <c r="AH1641" s="21"/>
      <c r="AI1641" s="21"/>
      <c r="AJ1641" s="21"/>
      <c r="AK1641" s="21"/>
      <c r="AM1641" t="s">
        <v>53</v>
      </c>
    </row>
    <row r="1642" spans="34:39" x14ac:dyDescent="0.35">
      <c r="AH1642" s="21"/>
      <c r="AI1642" s="21"/>
      <c r="AJ1642" s="21"/>
      <c r="AK1642" s="21"/>
      <c r="AM1642" t="s">
        <v>53</v>
      </c>
    </row>
    <row r="1643" spans="34:39" x14ac:dyDescent="0.35">
      <c r="AH1643" s="21"/>
      <c r="AI1643" s="21"/>
      <c r="AJ1643" s="21"/>
      <c r="AK1643" s="21"/>
      <c r="AM1643" t="s">
        <v>53</v>
      </c>
    </row>
    <row r="1644" spans="34:39" x14ac:dyDescent="0.35">
      <c r="AH1644" s="21"/>
      <c r="AI1644" s="21"/>
      <c r="AJ1644" s="21"/>
      <c r="AK1644" s="21"/>
      <c r="AM1644" t="s">
        <v>53</v>
      </c>
    </row>
    <row r="1645" spans="34:39" x14ac:dyDescent="0.35">
      <c r="AH1645" s="21"/>
      <c r="AI1645" s="21"/>
      <c r="AJ1645" s="21"/>
      <c r="AK1645" s="21"/>
      <c r="AM1645" t="s">
        <v>53</v>
      </c>
    </row>
    <row r="1646" spans="34:39" x14ac:dyDescent="0.35">
      <c r="AH1646" s="21"/>
      <c r="AI1646" s="21"/>
      <c r="AJ1646" s="21"/>
      <c r="AK1646" s="21"/>
      <c r="AM1646" t="s">
        <v>53</v>
      </c>
    </row>
    <row r="1647" spans="34:39" x14ac:dyDescent="0.35">
      <c r="AH1647" s="21"/>
      <c r="AI1647" s="21"/>
      <c r="AJ1647" s="21"/>
      <c r="AK1647" s="21"/>
      <c r="AM1647" t="s">
        <v>53</v>
      </c>
    </row>
    <row r="1648" spans="34:39" x14ac:dyDescent="0.35">
      <c r="AH1648" s="21"/>
      <c r="AI1648" s="21"/>
      <c r="AJ1648" s="21"/>
      <c r="AK1648" s="21"/>
      <c r="AM1648" t="s">
        <v>53</v>
      </c>
    </row>
    <row r="1649" spans="34:39" x14ac:dyDescent="0.35">
      <c r="AH1649" s="21"/>
      <c r="AI1649" s="21"/>
      <c r="AJ1649" s="21"/>
      <c r="AK1649" s="21"/>
      <c r="AM1649" t="s">
        <v>53</v>
      </c>
    </row>
    <row r="1650" spans="34:39" x14ac:dyDescent="0.35">
      <c r="AH1650" s="21"/>
      <c r="AI1650" s="21"/>
      <c r="AJ1650" s="21"/>
      <c r="AK1650" s="21"/>
      <c r="AM1650" t="s">
        <v>53</v>
      </c>
    </row>
    <row r="1651" spans="34:39" x14ac:dyDescent="0.35">
      <c r="AH1651" s="21"/>
      <c r="AI1651" s="21"/>
      <c r="AJ1651" s="21"/>
      <c r="AK1651" s="21"/>
      <c r="AM1651" t="s">
        <v>53</v>
      </c>
    </row>
    <row r="1652" spans="34:39" x14ac:dyDescent="0.35">
      <c r="AH1652" s="21"/>
      <c r="AI1652" s="21"/>
      <c r="AJ1652" s="21"/>
      <c r="AK1652" s="21"/>
      <c r="AM1652" t="s">
        <v>53</v>
      </c>
    </row>
    <row r="1653" spans="34:39" x14ac:dyDescent="0.35">
      <c r="AH1653" s="21"/>
      <c r="AI1653" s="21"/>
      <c r="AJ1653" s="21"/>
      <c r="AK1653" s="21"/>
      <c r="AM1653" t="s">
        <v>53</v>
      </c>
    </row>
    <row r="1654" spans="34:39" x14ac:dyDescent="0.35">
      <c r="AH1654" s="21"/>
      <c r="AI1654" s="21"/>
      <c r="AJ1654" s="21"/>
      <c r="AK1654" s="21"/>
      <c r="AM1654" t="s">
        <v>53</v>
      </c>
    </row>
    <row r="1655" spans="34:39" x14ac:dyDescent="0.35">
      <c r="AH1655" s="21"/>
      <c r="AI1655" s="21"/>
      <c r="AJ1655" s="21"/>
      <c r="AK1655" s="21"/>
      <c r="AM1655" t="s">
        <v>53</v>
      </c>
    </row>
    <row r="1656" spans="34:39" x14ac:dyDescent="0.35">
      <c r="AH1656" s="21"/>
      <c r="AI1656" s="21"/>
      <c r="AJ1656" s="21"/>
      <c r="AK1656" s="21"/>
      <c r="AM1656" t="s">
        <v>53</v>
      </c>
    </row>
    <row r="1657" spans="34:39" x14ac:dyDescent="0.35">
      <c r="AH1657" s="21"/>
      <c r="AI1657" s="21"/>
      <c r="AJ1657" s="21"/>
      <c r="AK1657" s="21"/>
      <c r="AM1657" t="s">
        <v>53</v>
      </c>
    </row>
    <row r="1658" spans="34:39" x14ac:dyDescent="0.35">
      <c r="AH1658" s="21"/>
      <c r="AI1658" s="21"/>
      <c r="AJ1658" s="21"/>
      <c r="AK1658" s="21"/>
      <c r="AM1658" t="s">
        <v>53</v>
      </c>
    </row>
    <row r="1659" spans="34:39" x14ac:dyDescent="0.35">
      <c r="AH1659" s="21"/>
      <c r="AI1659" s="21"/>
      <c r="AJ1659" s="21"/>
      <c r="AK1659" s="21"/>
      <c r="AM1659" t="s">
        <v>53</v>
      </c>
    </row>
    <row r="1660" spans="34:39" x14ac:dyDescent="0.35">
      <c r="AH1660" s="21"/>
      <c r="AI1660" s="21"/>
      <c r="AJ1660" s="21"/>
      <c r="AK1660" s="21"/>
      <c r="AM1660" t="s">
        <v>53</v>
      </c>
    </row>
    <row r="1661" spans="34:39" x14ac:dyDescent="0.35">
      <c r="AH1661" s="21"/>
      <c r="AI1661" s="21"/>
      <c r="AJ1661" s="21"/>
      <c r="AK1661" s="21"/>
      <c r="AM1661" t="s">
        <v>53</v>
      </c>
    </row>
    <row r="1662" spans="34:39" x14ac:dyDescent="0.35">
      <c r="AH1662" s="21"/>
      <c r="AI1662" s="21"/>
      <c r="AJ1662" s="21"/>
      <c r="AK1662" s="21"/>
      <c r="AM1662" t="s">
        <v>53</v>
      </c>
    </row>
    <row r="1663" spans="34:39" x14ac:dyDescent="0.35">
      <c r="AH1663" s="21"/>
      <c r="AI1663" s="21"/>
      <c r="AJ1663" s="21"/>
      <c r="AK1663" s="21"/>
      <c r="AM1663" t="s">
        <v>53</v>
      </c>
    </row>
    <row r="1664" spans="34:39" x14ac:dyDescent="0.35">
      <c r="AH1664" s="21"/>
      <c r="AI1664" s="21"/>
      <c r="AJ1664" s="21"/>
      <c r="AK1664" s="21"/>
      <c r="AM1664" t="s">
        <v>53</v>
      </c>
    </row>
    <row r="1665" spans="34:39" x14ac:dyDescent="0.35">
      <c r="AH1665" s="21"/>
      <c r="AI1665" s="21"/>
      <c r="AJ1665" s="21"/>
      <c r="AK1665" s="21"/>
      <c r="AM1665" t="s">
        <v>53</v>
      </c>
    </row>
    <row r="1666" spans="34:39" x14ac:dyDescent="0.35">
      <c r="AH1666" s="21"/>
      <c r="AI1666" s="21"/>
      <c r="AJ1666" s="21"/>
      <c r="AK1666" s="21"/>
      <c r="AM1666" t="s">
        <v>53</v>
      </c>
    </row>
    <row r="1667" spans="34:39" x14ac:dyDescent="0.35">
      <c r="AH1667" s="21"/>
      <c r="AI1667" s="21"/>
      <c r="AJ1667" s="21"/>
      <c r="AK1667" s="21"/>
      <c r="AM1667" t="s">
        <v>53</v>
      </c>
    </row>
    <row r="1668" spans="34:39" x14ac:dyDescent="0.35">
      <c r="AH1668" s="21"/>
      <c r="AI1668" s="21"/>
      <c r="AJ1668" s="21"/>
      <c r="AK1668" s="21"/>
      <c r="AM1668" t="s">
        <v>53</v>
      </c>
    </row>
    <row r="1669" spans="34:39" x14ac:dyDescent="0.35">
      <c r="AH1669" s="21"/>
      <c r="AI1669" s="21"/>
      <c r="AJ1669" s="21"/>
      <c r="AK1669" s="21"/>
      <c r="AM1669" t="s">
        <v>53</v>
      </c>
    </row>
    <row r="1670" spans="34:39" x14ac:dyDescent="0.35">
      <c r="AH1670" s="21"/>
      <c r="AI1670" s="21"/>
      <c r="AJ1670" s="21"/>
      <c r="AK1670" s="21"/>
      <c r="AM1670" t="s">
        <v>53</v>
      </c>
    </row>
    <row r="1671" spans="34:39" x14ac:dyDescent="0.35">
      <c r="AH1671" s="21"/>
      <c r="AI1671" s="21"/>
      <c r="AJ1671" s="21"/>
      <c r="AK1671" s="21"/>
      <c r="AM1671" t="s">
        <v>53</v>
      </c>
    </row>
    <row r="1672" spans="34:39" x14ac:dyDescent="0.35">
      <c r="AH1672" s="21"/>
      <c r="AI1672" s="21"/>
      <c r="AJ1672" s="21"/>
      <c r="AK1672" s="21"/>
      <c r="AM1672" t="s">
        <v>53</v>
      </c>
    </row>
    <row r="1673" spans="34:39" x14ac:dyDescent="0.35">
      <c r="AH1673" s="21"/>
      <c r="AI1673" s="21"/>
      <c r="AJ1673" s="21"/>
      <c r="AK1673" s="21"/>
      <c r="AM1673" t="s">
        <v>53</v>
      </c>
    </row>
    <row r="1674" spans="34:39" x14ac:dyDescent="0.35">
      <c r="AH1674" s="21"/>
      <c r="AI1674" s="21"/>
      <c r="AJ1674" s="21"/>
      <c r="AK1674" s="21"/>
      <c r="AM1674" t="s">
        <v>53</v>
      </c>
    </row>
    <row r="1675" spans="34:39" x14ac:dyDescent="0.35">
      <c r="AH1675" s="21"/>
      <c r="AI1675" s="21"/>
      <c r="AJ1675" s="21"/>
      <c r="AK1675" s="21"/>
      <c r="AM1675" t="s">
        <v>53</v>
      </c>
    </row>
    <row r="1676" spans="34:39" x14ac:dyDescent="0.35">
      <c r="AH1676" s="21"/>
      <c r="AI1676" s="21"/>
      <c r="AJ1676" s="21"/>
      <c r="AK1676" s="21"/>
      <c r="AM1676" t="s">
        <v>53</v>
      </c>
    </row>
    <row r="1677" spans="34:39" x14ac:dyDescent="0.35">
      <c r="AH1677" s="21"/>
      <c r="AI1677" s="21"/>
      <c r="AJ1677" s="21"/>
      <c r="AK1677" s="21"/>
      <c r="AM1677" t="s">
        <v>53</v>
      </c>
    </row>
    <row r="1678" spans="34:39" x14ac:dyDescent="0.35">
      <c r="AH1678" s="21"/>
      <c r="AI1678" s="21"/>
      <c r="AJ1678" s="21"/>
      <c r="AK1678" s="21"/>
      <c r="AM1678" t="s">
        <v>53</v>
      </c>
    </row>
    <row r="1679" spans="34:39" x14ac:dyDescent="0.35">
      <c r="AH1679" s="21"/>
      <c r="AI1679" s="21"/>
      <c r="AJ1679" s="21"/>
      <c r="AK1679" s="21"/>
      <c r="AM1679" t="s">
        <v>53</v>
      </c>
    </row>
    <row r="1680" spans="34:39" x14ac:dyDescent="0.35">
      <c r="AH1680" s="21"/>
      <c r="AI1680" s="21"/>
      <c r="AJ1680" s="21"/>
      <c r="AK1680" s="21"/>
      <c r="AM1680" t="s">
        <v>53</v>
      </c>
    </row>
    <row r="1681" spans="34:39" x14ac:dyDescent="0.35">
      <c r="AH1681" s="21"/>
      <c r="AI1681" s="21"/>
      <c r="AJ1681" s="21"/>
      <c r="AK1681" s="21"/>
      <c r="AM1681" t="s">
        <v>53</v>
      </c>
    </row>
    <row r="1682" spans="34:39" x14ac:dyDescent="0.35">
      <c r="AH1682" s="21"/>
      <c r="AI1682" s="21"/>
      <c r="AJ1682" s="21"/>
      <c r="AK1682" s="21"/>
      <c r="AM1682" t="s">
        <v>53</v>
      </c>
    </row>
    <row r="1683" spans="34:39" x14ac:dyDescent="0.35">
      <c r="AH1683" s="21"/>
      <c r="AI1683" s="21"/>
      <c r="AJ1683" s="21"/>
      <c r="AK1683" s="21"/>
      <c r="AM1683" t="s">
        <v>53</v>
      </c>
    </row>
    <row r="1684" spans="34:39" x14ac:dyDescent="0.35">
      <c r="AH1684" s="21"/>
      <c r="AI1684" s="21"/>
      <c r="AJ1684" s="21"/>
      <c r="AK1684" s="21"/>
      <c r="AM1684" t="s">
        <v>53</v>
      </c>
    </row>
    <row r="1685" spans="34:39" x14ac:dyDescent="0.35">
      <c r="AH1685" s="21"/>
      <c r="AI1685" s="21"/>
      <c r="AJ1685" s="21"/>
      <c r="AK1685" s="21"/>
      <c r="AM1685" t="s">
        <v>53</v>
      </c>
    </row>
    <row r="1686" spans="34:39" x14ac:dyDescent="0.35">
      <c r="AH1686" s="21"/>
      <c r="AI1686" s="21"/>
      <c r="AJ1686" s="21"/>
      <c r="AK1686" s="21"/>
      <c r="AM1686" t="s">
        <v>53</v>
      </c>
    </row>
    <row r="1687" spans="34:39" x14ac:dyDescent="0.35">
      <c r="AH1687" s="21"/>
      <c r="AI1687" s="21"/>
      <c r="AJ1687" s="21"/>
      <c r="AK1687" s="21"/>
      <c r="AM1687" t="s">
        <v>53</v>
      </c>
    </row>
    <row r="1688" spans="34:39" x14ac:dyDescent="0.35">
      <c r="AH1688" s="21"/>
      <c r="AI1688" s="21"/>
      <c r="AJ1688" s="21"/>
      <c r="AK1688" s="21"/>
      <c r="AM1688" t="s">
        <v>53</v>
      </c>
    </row>
    <row r="1689" spans="34:39" x14ac:dyDescent="0.35">
      <c r="AH1689" s="21"/>
      <c r="AI1689" s="21"/>
      <c r="AJ1689" s="21"/>
      <c r="AK1689" s="21"/>
      <c r="AM1689" t="s">
        <v>53</v>
      </c>
    </row>
    <row r="1690" spans="34:39" x14ac:dyDescent="0.35">
      <c r="AH1690" s="21"/>
      <c r="AI1690" s="21"/>
      <c r="AJ1690" s="21"/>
      <c r="AK1690" s="21"/>
      <c r="AM1690" t="s">
        <v>53</v>
      </c>
    </row>
    <row r="1691" spans="34:39" x14ac:dyDescent="0.35">
      <c r="AH1691" s="21"/>
      <c r="AI1691" s="21"/>
      <c r="AJ1691" s="21"/>
      <c r="AK1691" s="21"/>
      <c r="AM1691" t="s">
        <v>53</v>
      </c>
    </row>
    <row r="1692" spans="34:39" x14ac:dyDescent="0.35">
      <c r="AH1692" s="21"/>
      <c r="AI1692" s="21"/>
      <c r="AJ1692" s="21"/>
      <c r="AK1692" s="21"/>
      <c r="AM1692" t="s">
        <v>53</v>
      </c>
    </row>
    <row r="1693" spans="34:39" x14ac:dyDescent="0.35">
      <c r="AH1693" s="21"/>
      <c r="AI1693" s="21"/>
      <c r="AJ1693" s="21"/>
      <c r="AK1693" s="21"/>
      <c r="AM1693" t="s">
        <v>53</v>
      </c>
    </row>
    <row r="1694" spans="34:39" x14ac:dyDescent="0.35">
      <c r="AH1694" s="21"/>
      <c r="AI1694" s="21"/>
      <c r="AJ1694" s="21"/>
      <c r="AK1694" s="21"/>
      <c r="AM1694" t="s">
        <v>53</v>
      </c>
    </row>
    <row r="1695" spans="34:39" x14ac:dyDescent="0.35">
      <c r="AH1695" s="21"/>
      <c r="AI1695" s="21"/>
      <c r="AJ1695" s="21"/>
      <c r="AK1695" s="21"/>
      <c r="AM1695" t="s">
        <v>53</v>
      </c>
    </row>
    <row r="1696" spans="34:39" x14ac:dyDescent="0.35">
      <c r="AH1696" s="21"/>
      <c r="AI1696" s="21"/>
      <c r="AJ1696" s="21"/>
      <c r="AK1696" s="21"/>
      <c r="AM1696" t="s">
        <v>53</v>
      </c>
    </row>
    <row r="1697" spans="34:39" x14ac:dyDescent="0.35">
      <c r="AH1697" s="21"/>
      <c r="AI1697" s="21"/>
      <c r="AJ1697" s="21"/>
      <c r="AK1697" s="21"/>
      <c r="AM1697" t="s">
        <v>53</v>
      </c>
    </row>
    <row r="1698" spans="34:39" x14ac:dyDescent="0.35">
      <c r="AH1698" s="21"/>
      <c r="AI1698" s="21"/>
      <c r="AJ1698" s="21"/>
      <c r="AK1698" s="21"/>
      <c r="AM1698" t="s">
        <v>53</v>
      </c>
    </row>
    <row r="1699" spans="34:39" x14ac:dyDescent="0.35">
      <c r="AH1699" s="21"/>
      <c r="AI1699" s="21"/>
      <c r="AJ1699" s="21"/>
      <c r="AK1699" s="21"/>
      <c r="AM1699" t="s">
        <v>53</v>
      </c>
    </row>
    <row r="1700" spans="34:39" x14ac:dyDescent="0.35">
      <c r="AH1700" s="21"/>
      <c r="AI1700" s="21"/>
      <c r="AJ1700" s="21"/>
      <c r="AK1700" s="21"/>
      <c r="AM1700" t="s">
        <v>53</v>
      </c>
    </row>
    <row r="1701" spans="34:39" x14ac:dyDescent="0.35">
      <c r="AH1701" s="21"/>
      <c r="AI1701" s="21"/>
      <c r="AJ1701" s="21"/>
      <c r="AK1701" s="21"/>
      <c r="AM1701" t="s">
        <v>53</v>
      </c>
    </row>
    <row r="1702" spans="34:39" x14ac:dyDescent="0.35">
      <c r="AH1702" s="21"/>
      <c r="AI1702" s="21"/>
      <c r="AJ1702" s="21"/>
      <c r="AK1702" s="21"/>
      <c r="AM1702" t="s">
        <v>53</v>
      </c>
    </row>
    <row r="1703" spans="34:39" x14ac:dyDescent="0.35">
      <c r="AH1703" s="21"/>
      <c r="AI1703" s="21"/>
      <c r="AJ1703" s="21"/>
      <c r="AK1703" s="21"/>
      <c r="AM1703" t="s">
        <v>53</v>
      </c>
    </row>
    <row r="1704" spans="34:39" x14ac:dyDescent="0.35">
      <c r="AH1704" s="21"/>
      <c r="AI1704" s="21"/>
      <c r="AJ1704" s="21"/>
      <c r="AK1704" s="21"/>
      <c r="AM1704" t="s">
        <v>53</v>
      </c>
    </row>
    <row r="1705" spans="34:39" x14ac:dyDescent="0.35">
      <c r="AH1705" s="21"/>
      <c r="AI1705" s="21"/>
      <c r="AJ1705" s="21"/>
      <c r="AK1705" s="21"/>
      <c r="AM1705" t="s">
        <v>53</v>
      </c>
    </row>
    <row r="1706" spans="34:39" x14ac:dyDescent="0.35">
      <c r="AH1706" s="21"/>
      <c r="AI1706" s="21"/>
      <c r="AJ1706" s="21"/>
      <c r="AK1706" s="21"/>
      <c r="AM1706" t="s">
        <v>53</v>
      </c>
    </row>
    <row r="1707" spans="34:39" x14ac:dyDescent="0.35">
      <c r="AH1707" s="21"/>
      <c r="AI1707" s="21"/>
      <c r="AJ1707" s="21"/>
      <c r="AK1707" s="21"/>
      <c r="AM1707" t="s">
        <v>53</v>
      </c>
    </row>
    <row r="1708" spans="34:39" x14ac:dyDescent="0.35">
      <c r="AH1708" s="21"/>
      <c r="AI1708" s="21"/>
      <c r="AJ1708" s="21"/>
      <c r="AK1708" s="21"/>
      <c r="AM1708" t="s">
        <v>53</v>
      </c>
    </row>
    <row r="1709" spans="34:39" x14ac:dyDescent="0.35">
      <c r="AH1709" s="21"/>
      <c r="AI1709" s="21"/>
      <c r="AJ1709" s="21"/>
      <c r="AK1709" s="21"/>
      <c r="AM1709" t="s">
        <v>53</v>
      </c>
    </row>
    <row r="1710" spans="34:39" x14ac:dyDescent="0.35">
      <c r="AH1710" s="21"/>
      <c r="AI1710" s="21"/>
      <c r="AJ1710" s="21"/>
      <c r="AK1710" s="21"/>
      <c r="AM1710" t="s">
        <v>53</v>
      </c>
    </row>
    <row r="1711" spans="34:39" x14ac:dyDescent="0.35">
      <c r="AH1711" s="21"/>
      <c r="AI1711" s="21"/>
      <c r="AJ1711" s="21"/>
      <c r="AK1711" s="21"/>
      <c r="AM1711" t="s">
        <v>53</v>
      </c>
    </row>
    <row r="1712" spans="34:39" x14ac:dyDescent="0.35">
      <c r="AH1712" s="21"/>
      <c r="AI1712" s="21"/>
      <c r="AJ1712" s="21"/>
      <c r="AK1712" s="21"/>
      <c r="AM1712" t="s">
        <v>53</v>
      </c>
    </row>
    <row r="1713" spans="34:39" x14ac:dyDescent="0.35">
      <c r="AH1713" s="21"/>
      <c r="AI1713" s="21"/>
      <c r="AJ1713" s="21"/>
      <c r="AK1713" s="21"/>
      <c r="AM1713" t="s">
        <v>53</v>
      </c>
    </row>
    <row r="1714" spans="34:39" x14ac:dyDescent="0.35">
      <c r="AH1714" s="21"/>
      <c r="AI1714" s="21"/>
      <c r="AJ1714" s="21"/>
      <c r="AK1714" s="21"/>
      <c r="AM1714" t="s">
        <v>53</v>
      </c>
    </row>
    <row r="1715" spans="34:39" x14ac:dyDescent="0.35">
      <c r="AH1715" s="21"/>
      <c r="AI1715" s="21"/>
      <c r="AJ1715" s="21"/>
      <c r="AK1715" s="21"/>
      <c r="AM1715" t="s">
        <v>53</v>
      </c>
    </row>
    <row r="1716" spans="34:39" x14ac:dyDescent="0.35">
      <c r="AH1716" s="21"/>
      <c r="AI1716" s="21"/>
      <c r="AJ1716" s="21"/>
      <c r="AK1716" s="21"/>
      <c r="AM1716" t="s">
        <v>53</v>
      </c>
    </row>
    <row r="1717" spans="34:39" x14ac:dyDescent="0.35">
      <c r="AH1717" s="21"/>
      <c r="AI1717" s="21"/>
      <c r="AJ1717" s="21"/>
      <c r="AK1717" s="21"/>
      <c r="AM1717" t="s">
        <v>53</v>
      </c>
    </row>
    <row r="1718" spans="34:39" x14ac:dyDescent="0.35">
      <c r="AH1718" s="21"/>
      <c r="AI1718" s="21"/>
      <c r="AJ1718" s="21"/>
      <c r="AK1718" s="21"/>
      <c r="AM1718" t="s">
        <v>53</v>
      </c>
    </row>
    <row r="1719" spans="34:39" x14ac:dyDescent="0.35">
      <c r="AH1719" s="21"/>
      <c r="AI1719" s="21"/>
      <c r="AJ1719" s="21"/>
      <c r="AK1719" s="21"/>
      <c r="AM1719" t="s">
        <v>53</v>
      </c>
    </row>
    <row r="1720" spans="34:39" x14ac:dyDescent="0.35">
      <c r="AH1720" s="21"/>
      <c r="AI1720" s="21"/>
      <c r="AJ1720" s="21"/>
      <c r="AK1720" s="21"/>
      <c r="AM1720" t="s">
        <v>53</v>
      </c>
    </row>
    <row r="1721" spans="34:39" x14ac:dyDescent="0.35">
      <c r="AH1721" s="21"/>
      <c r="AI1721" s="21"/>
      <c r="AJ1721" s="21"/>
      <c r="AK1721" s="21"/>
      <c r="AM1721" t="s">
        <v>53</v>
      </c>
    </row>
    <row r="1722" spans="34:39" x14ac:dyDescent="0.35">
      <c r="AH1722" s="21"/>
      <c r="AI1722" s="21"/>
      <c r="AJ1722" s="21"/>
      <c r="AK1722" s="21"/>
      <c r="AM1722" t="s">
        <v>53</v>
      </c>
    </row>
    <row r="1723" spans="34:39" x14ac:dyDescent="0.35">
      <c r="AH1723" s="21"/>
      <c r="AI1723" s="21"/>
      <c r="AJ1723" s="21"/>
      <c r="AK1723" s="21"/>
      <c r="AM1723" t="s">
        <v>53</v>
      </c>
    </row>
    <row r="1724" spans="34:39" x14ac:dyDescent="0.35">
      <c r="AH1724" s="21"/>
      <c r="AI1724" s="21"/>
      <c r="AJ1724" s="21"/>
      <c r="AK1724" s="21"/>
      <c r="AM1724" t="s">
        <v>53</v>
      </c>
    </row>
    <row r="1725" spans="34:39" x14ac:dyDescent="0.35">
      <c r="AH1725" s="21"/>
      <c r="AI1725" s="21"/>
      <c r="AJ1725" s="21"/>
      <c r="AK1725" s="21"/>
      <c r="AM1725" t="s">
        <v>53</v>
      </c>
    </row>
    <row r="1726" spans="34:39" x14ac:dyDescent="0.35">
      <c r="AH1726" s="21"/>
      <c r="AI1726" s="21"/>
      <c r="AJ1726" s="21"/>
      <c r="AK1726" s="21"/>
      <c r="AM1726" t="s">
        <v>53</v>
      </c>
    </row>
    <row r="1727" spans="34:39" x14ac:dyDescent="0.35">
      <c r="AH1727" s="21"/>
      <c r="AI1727" s="21"/>
      <c r="AJ1727" s="21"/>
      <c r="AK1727" s="21"/>
      <c r="AM1727" t="s">
        <v>53</v>
      </c>
    </row>
    <row r="1728" spans="34:39" x14ac:dyDescent="0.35">
      <c r="AH1728" s="21"/>
      <c r="AI1728" s="21"/>
      <c r="AJ1728" s="21"/>
      <c r="AK1728" s="21"/>
      <c r="AM1728" t="s">
        <v>53</v>
      </c>
    </row>
    <row r="1729" spans="34:39" x14ac:dyDescent="0.35">
      <c r="AH1729" s="21"/>
      <c r="AI1729" s="21"/>
      <c r="AJ1729" s="21"/>
      <c r="AK1729" s="21"/>
      <c r="AM1729" t="s">
        <v>53</v>
      </c>
    </row>
    <row r="1730" spans="34:39" x14ac:dyDescent="0.35">
      <c r="AH1730" s="21"/>
      <c r="AI1730" s="21"/>
      <c r="AJ1730" s="21"/>
      <c r="AK1730" s="21"/>
      <c r="AM1730" t="s">
        <v>53</v>
      </c>
    </row>
    <row r="1731" spans="34:39" x14ac:dyDescent="0.35">
      <c r="AH1731" s="21"/>
      <c r="AI1731" s="21"/>
      <c r="AJ1731" s="21"/>
      <c r="AK1731" s="21"/>
      <c r="AM1731" t="s">
        <v>53</v>
      </c>
    </row>
    <row r="1732" spans="34:39" x14ac:dyDescent="0.35">
      <c r="AH1732" s="21"/>
      <c r="AI1732" s="21"/>
      <c r="AJ1732" s="21"/>
      <c r="AK1732" s="21"/>
      <c r="AM1732" t="s">
        <v>53</v>
      </c>
    </row>
    <row r="1733" spans="34:39" x14ac:dyDescent="0.35">
      <c r="AH1733" s="21"/>
      <c r="AI1733" s="21"/>
      <c r="AJ1733" s="21"/>
      <c r="AK1733" s="21"/>
      <c r="AM1733" t="s">
        <v>53</v>
      </c>
    </row>
    <row r="1734" spans="34:39" x14ac:dyDescent="0.35">
      <c r="AH1734" s="21"/>
      <c r="AI1734" s="21"/>
      <c r="AJ1734" s="21"/>
      <c r="AK1734" s="21"/>
      <c r="AM1734" t="s">
        <v>53</v>
      </c>
    </row>
    <row r="1735" spans="34:39" x14ac:dyDescent="0.35">
      <c r="AH1735" s="21"/>
      <c r="AI1735" s="21"/>
      <c r="AJ1735" s="21"/>
      <c r="AK1735" s="21"/>
      <c r="AM1735" t="s">
        <v>53</v>
      </c>
    </row>
    <row r="1736" spans="34:39" x14ac:dyDescent="0.35">
      <c r="AH1736" s="21"/>
      <c r="AI1736" s="21"/>
      <c r="AJ1736" s="21"/>
      <c r="AK1736" s="21"/>
      <c r="AM1736" t="s">
        <v>53</v>
      </c>
    </row>
    <row r="1737" spans="34:39" x14ac:dyDescent="0.35">
      <c r="AH1737" s="21"/>
      <c r="AI1737" s="21"/>
      <c r="AJ1737" s="21"/>
      <c r="AK1737" s="21"/>
      <c r="AM1737" t="s">
        <v>53</v>
      </c>
    </row>
    <row r="1738" spans="34:39" x14ac:dyDescent="0.35">
      <c r="AH1738" s="21"/>
      <c r="AI1738" s="21"/>
      <c r="AJ1738" s="21"/>
      <c r="AK1738" s="21"/>
      <c r="AM1738" t="s">
        <v>53</v>
      </c>
    </row>
    <row r="1739" spans="34:39" x14ac:dyDescent="0.35">
      <c r="AH1739" s="21"/>
      <c r="AI1739" s="21"/>
      <c r="AJ1739" s="21"/>
      <c r="AK1739" s="21"/>
      <c r="AM1739" t="s">
        <v>53</v>
      </c>
    </row>
    <row r="1740" spans="34:39" x14ac:dyDescent="0.35">
      <c r="AH1740" s="21"/>
      <c r="AI1740" s="21"/>
      <c r="AJ1740" s="21"/>
      <c r="AK1740" s="21"/>
      <c r="AM1740" t="s">
        <v>53</v>
      </c>
    </row>
    <row r="1741" spans="34:39" x14ac:dyDescent="0.35">
      <c r="AH1741" s="21"/>
      <c r="AI1741" s="21"/>
      <c r="AJ1741" s="21"/>
      <c r="AK1741" s="21"/>
      <c r="AM1741" t="s">
        <v>53</v>
      </c>
    </row>
    <row r="1742" spans="34:39" x14ac:dyDescent="0.35">
      <c r="AH1742" s="21"/>
      <c r="AI1742" s="21"/>
      <c r="AJ1742" s="21"/>
      <c r="AK1742" s="21"/>
      <c r="AM1742" t="s">
        <v>53</v>
      </c>
    </row>
    <row r="1743" spans="34:39" x14ac:dyDescent="0.35">
      <c r="AH1743" s="21"/>
      <c r="AI1743" s="21"/>
      <c r="AJ1743" s="21"/>
      <c r="AK1743" s="21"/>
      <c r="AM1743" t="s">
        <v>53</v>
      </c>
    </row>
    <row r="1744" spans="34:39" x14ac:dyDescent="0.35">
      <c r="AH1744" s="21"/>
      <c r="AI1744" s="21"/>
      <c r="AJ1744" s="21"/>
      <c r="AK1744" s="21"/>
      <c r="AM1744" t="s">
        <v>53</v>
      </c>
    </row>
    <row r="1745" spans="34:39" x14ac:dyDescent="0.35">
      <c r="AH1745" s="21"/>
      <c r="AI1745" s="21"/>
      <c r="AJ1745" s="21"/>
      <c r="AK1745" s="21"/>
      <c r="AM1745" t="s">
        <v>53</v>
      </c>
    </row>
    <row r="1746" spans="34:39" x14ac:dyDescent="0.35">
      <c r="AH1746" s="21"/>
      <c r="AI1746" s="21"/>
      <c r="AJ1746" s="21"/>
      <c r="AK1746" s="21"/>
      <c r="AM1746" t="s">
        <v>53</v>
      </c>
    </row>
    <row r="1747" spans="34:39" x14ac:dyDescent="0.35">
      <c r="AH1747" s="21"/>
      <c r="AI1747" s="21"/>
      <c r="AJ1747" s="21"/>
      <c r="AK1747" s="21"/>
      <c r="AM1747" t="s">
        <v>53</v>
      </c>
    </row>
    <row r="1748" spans="34:39" x14ac:dyDescent="0.35">
      <c r="AH1748" s="21"/>
      <c r="AI1748" s="21"/>
      <c r="AJ1748" s="21"/>
      <c r="AK1748" s="21"/>
      <c r="AM1748" t="s">
        <v>53</v>
      </c>
    </row>
    <row r="1749" spans="34:39" x14ac:dyDescent="0.35">
      <c r="AH1749" s="21"/>
      <c r="AI1749" s="21"/>
      <c r="AJ1749" s="21"/>
      <c r="AK1749" s="21"/>
      <c r="AM1749" t="s">
        <v>53</v>
      </c>
    </row>
    <row r="1750" spans="34:39" x14ac:dyDescent="0.35">
      <c r="AH1750" s="21"/>
      <c r="AI1750" s="21"/>
      <c r="AJ1750" s="21"/>
      <c r="AK1750" s="21"/>
      <c r="AM1750" t="s">
        <v>53</v>
      </c>
    </row>
    <row r="1751" spans="34:39" x14ac:dyDescent="0.35">
      <c r="AH1751" s="21"/>
      <c r="AI1751" s="21"/>
      <c r="AJ1751" s="21"/>
      <c r="AK1751" s="21"/>
      <c r="AM1751" t="s">
        <v>53</v>
      </c>
    </row>
    <row r="1752" spans="34:39" x14ac:dyDescent="0.35">
      <c r="AH1752" s="21"/>
      <c r="AI1752" s="21"/>
      <c r="AJ1752" s="21"/>
      <c r="AK1752" s="21"/>
      <c r="AM1752" t="s">
        <v>53</v>
      </c>
    </row>
    <row r="1753" spans="34:39" x14ac:dyDescent="0.35">
      <c r="AH1753" s="21"/>
      <c r="AI1753" s="21"/>
      <c r="AJ1753" s="21"/>
      <c r="AK1753" s="21"/>
      <c r="AM1753" t="s">
        <v>53</v>
      </c>
    </row>
    <row r="1754" spans="34:39" x14ac:dyDescent="0.35">
      <c r="AH1754" s="21"/>
      <c r="AI1754" s="21"/>
      <c r="AJ1754" s="21"/>
      <c r="AK1754" s="21"/>
      <c r="AM1754" t="s">
        <v>53</v>
      </c>
    </row>
    <row r="1755" spans="34:39" x14ac:dyDescent="0.35">
      <c r="AH1755" s="21"/>
      <c r="AI1755" s="21"/>
      <c r="AJ1755" s="21"/>
      <c r="AK1755" s="21"/>
      <c r="AM1755" t="s">
        <v>53</v>
      </c>
    </row>
    <row r="1756" spans="34:39" x14ac:dyDescent="0.35">
      <c r="AH1756" s="21"/>
      <c r="AI1756" s="21"/>
      <c r="AJ1756" s="21"/>
      <c r="AK1756" s="21"/>
      <c r="AM1756" t="s">
        <v>53</v>
      </c>
    </row>
    <row r="1757" spans="34:39" x14ac:dyDescent="0.35">
      <c r="AH1757" s="21"/>
      <c r="AI1757" s="21"/>
      <c r="AJ1757" s="21"/>
      <c r="AK1757" s="21"/>
      <c r="AM1757" t="s">
        <v>53</v>
      </c>
    </row>
    <row r="1758" spans="34:39" x14ac:dyDescent="0.35">
      <c r="AH1758" s="21"/>
      <c r="AI1758" s="21"/>
      <c r="AJ1758" s="21"/>
      <c r="AK1758" s="21"/>
      <c r="AM1758" t="s">
        <v>53</v>
      </c>
    </row>
    <row r="1759" spans="34:39" x14ac:dyDescent="0.35">
      <c r="AH1759" s="21"/>
      <c r="AI1759" s="21"/>
      <c r="AJ1759" s="21"/>
      <c r="AK1759" s="21"/>
      <c r="AM1759" t="s">
        <v>53</v>
      </c>
    </row>
    <row r="1760" spans="34:39" x14ac:dyDescent="0.35">
      <c r="AH1760" s="21"/>
      <c r="AI1760" s="21"/>
      <c r="AJ1760" s="21"/>
      <c r="AK1760" s="21"/>
      <c r="AM1760" t="s">
        <v>53</v>
      </c>
    </row>
    <row r="1761" spans="34:39" x14ac:dyDescent="0.35">
      <c r="AH1761" s="21"/>
      <c r="AI1761" s="21"/>
      <c r="AJ1761" s="21"/>
      <c r="AK1761" s="21"/>
      <c r="AM1761" t="s">
        <v>53</v>
      </c>
    </row>
    <row r="1762" spans="34:39" x14ac:dyDescent="0.35">
      <c r="AH1762" s="21"/>
      <c r="AI1762" s="21"/>
      <c r="AJ1762" s="21"/>
      <c r="AK1762" s="21"/>
      <c r="AM1762" t="s">
        <v>53</v>
      </c>
    </row>
    <row r="1763" spans="34:39" x14ac:dyDescent="0.35">
      <c r="AH1763" s="21"/>
      <c r="AI1763" s="21"/>
      <c r="AJ1763" s="21"/>
      <c r="AK1763" s="21"/>
      <c r="AM1763" t="s">
        <v>53</v>
      </c>
    </row>
    <row r="1764" spans="34:39" x14ac:dyDescent="0.35">
      <c r="AH1764" s="21"/>
      <c r="AI1764" s="21"/>
      <c r="AJ1764" s="21"/>
      <c r="AK1764" s="21"/>
      <c r="AM1764" t="s">
        <v>53</v>
      </c>
    </row>
    <row r="1765" spans="34:39" x14ac:dyDescent="0.35">
      <c r="AH1765" s="21"/>
      <c r="AI1765" s="21"/>
      <c r="AJ1765" s="21"/>
      <c r="AK1765" s="21"/>
      <c r="AM1765" t="s">
        <v>53</v>
      </c>
    </row>
    <row r="1766" spans="34:39" x14ac:dyDescent="0.35">
      <c r="AH1766" s="21"/>
      <c r="AI1766" s="21"/>
      <c r="AJ1766" s="21"/>
      <c r="AK1766" s="21"/>
      <c r="AM1766" t="s">
        <v>53</v>
      </c>
    </row>
    <row r="1767" spans="34:39" x14ac:dyDescent="0.35">
      <c r="AH1767" s="21"/>
      <c r="AI1767" s="21"/>
      <c r="AJ1767" s="21"/>
      <c r="AK1767" s="21"/>
      <c r="AM1767" t="s">
        <v>53</v>
      </c>
    </row>
    <row r="1768" spans="34:39" x14ac:dyDescent="0.35">
      <c r="AH1768" s="21"/>
      <c r="AI1768" s="21"/>
      <c r="AJ1768" s="21"/>
      <c r="AK1768" s="21"/>
      <c r="AM1768" t="s">
        <v>53</v>
      </c>
    </row>
    <row r="1769" spans="34:39" x14ac:dyDescent="0.35">
      <c r="AH1769" s="21"/>
      <c r="AI1769" s="21"/>
      <c r="AJ1769" s="21"/>
      <c r="AK1769" s="21"/>
      <c r="AM1769" t="s">
        <v>53</v>
      </c>
    </row>
    <row r="1770" spans="34:39" x14ac:dyDescent="0.35">
      <c r="AH1770" s="21"/>
      <c r="AI1770" s="21"/>
      <c r="AJ1770" s="21"/>
      <c r="AK1770" s="21"/>
      <c r="AM1770" t="s">
        <v>53</v>
      </c>
    </row>
    <row r="1771" spans="34:39" x14ac:dyDescent="0.35">
      <c r="AH1771" s="21"/>
      <c r="AI1771" s="21"/>
      <c r="AJ1771" s="21"/>
      <c r="AK1771" s="21"/>
      <c r="AM1771" t="s">
        <v>53</v>
      </c>
    </row>
    <row r="1772" spans="34:39" x14ac:dyDescent="0.35">
      <c r="AH1772" s="21"/>
      <c r="AI1772" s="21"/>
      <c r="AJ1772" s="21"/>
      <c r="AK1772" s="21"/>
      <c r="AM1772" t="s">
        <v>53</v>
      </c>
    </row>
    <row r="1773" spans="34:39" x14ac:dyDescent="0.35">
      <c r="AH1773" s="21"/>
      <c r="AI1773" s="21"/>
      <c r="AJ1773" s="21"/>
      <c r="AK1773" s="21"/>
      <c r="AM1773" t="s">
        <v>53</v>
      </c>
    </row>
    <row r="1774" spans="34:39" x14ac:dyDescent="0.35">
      <c r="AH1774" s="21"/>
      <c r="AI1774" s="21"/>
      <c r="AJ1774" s="21"/>
      <c r="AK1774" s="21"/>
      <c r="AM1774" t="s">
        <v>53</v>
      </c>
    </row>
    <row r="1775" spans="34:39" x14ac:dyDescent="0.35">
      <c r="AH1775" s="21"/>
      <c r="AI1775" s="21"/>
      <c r="AJ1775" s="21"/>
      <c r="AK1775" s="21"/>
      <c r="AM1775" t="s">
        <v>53</v>
      </c>
    </row>
    <row r="1776" spans="34:39" x14ac:dyDescent="0.35">
      <c r="AH1776" s="21"/>
      <c r="AI1776" s="21"/>
      <c r="AJ1776" s="21"/>
      <c r="AK1776" s="21"/>
      <c r="AM1776" t="s">
        <v>53</v>
      </c>
    </row>
    <row r="1777" spans="34:39" x14ac:dyDescent="0.35">
      <c r="AH1777" s="21"/>
      <c r="AI1777" s="21"/>
      <c r="AJ1777" s="21"/>
      <c r="AK1777" s="21"/>
      <c r="AM1777" t="s">
        <v>53</v>
      </c>
    </row>
    <row r="1778" spans="34:39" x14ac:dyDescent="0.35">
      <c r="AH1778" s="21"/>
      <c r="AI1778" s="21"/>
      <c r="AJ1778" s="21"/>
      <c r="AK1778" s="21"/>
      <c r="AM1778" t="s">
        <v>53</v>
      </c>
    </row>
    <row r="1779" spans="34:39" x14ac:dyDescent="0.35">
      <c r="AH1779" s="21"/>
      <c r="AI1779" s="21"/>
      <c r="AJ1779" s="21"/>
      <c r="AK1779" s="21"/>
      <c r="AM1779" t="s">
        <v>53</v>
      </c>
    </row>
    <row r="1780" spans="34:39" x14ac:dyDescent="0.35">
      <c r="AH1780" s="21"/>
      <c r="AI1780" s="21"/>
      <c r="AJ1780" s="21"/>
      <c r="AK1780" s="21"/>
      <c r="AM1780" t="s">
        <v>53</v>
      </c>
    </row>
    <row r="1781" spans="34:39" x14ac:dyDescent="0.35">
      <c r="AH1781" s="21"/>
      <c r="AI1781" s="21"/>
      <c r="AJ1781" s="21"/>
      <c r="AK1781" s="21"/>
      <c r="AM1781" t="s">
        <v>53</v>
      </c>
    </row>
    <row r="1782" spans="34:39" x14ac:dyDescent="0.35">
      <c r="AH1782" s="21"/>
      <c r="AI1782" s="21"/>
      <c r="AJ1782" s="21"/>
      <c r="AK1782" s="21"/>
      <c r="AM1782" t="s">
        <v>53</v>
      </c>
    </row>
    <row r="1783" spans="34:39" x14ac:dyDescent="0.35">
      <c r="AH1783" s="21"/>
      <c r="AI1783" s="21"/>
      <c r="AJ1783" s="21"/>
      <c r="AK1783" s="21"/>
      <c r="AM1783" t="s">
        <v>53</v>
      </c>
    </row>
    <row r="1784" spans="34:39" x14ac:dyDescent="0.35">
      <c r="AH1784" s="21"/>
      <c r="AI1784" s="21"/>
      <c r="AJ1784" s="21"/>
      <c r="AK1784" s="21"/>
      <c r="AM1784" t="s">
        <v>53</v>
      </c>
    </row>
    <row r="1785" spans="34:39" x14ac:dyDescent="0.35">
      <c r="AH1785" s="21"/>
      <c r="AI1785" s="21"/>
      <c r="AJ1785" s="21"/>
      <c r="AK1785" s="21"/>
      <c r="AM1785" t="s">
        <v>53</v>
      </c>
    </row>
    <row r="1786" spans="34:39" x14ac:dyDescent="0.35">
      <c r="AH1786" s="21"/>
      <c r="AI1786" s="21"/>
      <c r="AJ1786" s="21"/>
      <c r="AK1786" s="21"/>
      <c r="AM1786" t="s">
        <v>53</v>
      </c>
    </row>
    <row r="1787" spans="34:39" x14ac:dyDescent="0.35">
      <c r="AH1787" s="21"/>
      <c r="AI1787" s="21"/>
      <c r="AJ1787" s="21"/>
      <c r="AK1787" s="21"/>
      <c r="AM1787" t="s">
        <v>53</v>
      </c>
    </row>
    <row r="1788" spans="34:39" x14ac:dyDescent="0.35">
      <c r="AH1788" s="21"/>
      <c r="AI1788" s="21"/>
      <c r="AJ1788" s="21"/>
      <c r="AK1788" s="21"/>
      <c r="AM1788" t="s">
        <v>53</v>
      </c>
    </row>
    <row r="1789" spans="34:39" x14ac:dyDescent="0.35">
      <c r="AH1789" s="21"/>
      <c r="AI1789" s="21"/>
      <c r="AJ1789" s="21"/>
      <c r="AK1789" s="21"/>
      <c r="AM1789" t="s">
        <v>53</v>
      </c>
    </row>
    <row r="1790" spans="34:39" x14ac:dyDescent="0.35">
      <c r="AH1790" s="21"/>
      <c r="AI1790" s="21"/>
      <c r="AJ1790" s="21"/>
      <c r="AK1790" s="21"/>
      <c r="AM1790" t="s">
        <v>53</v>
      </c>
    </row>
    <row r="1791" spans="34:39" x14ac:dyDescent="0.35">
      <c r="AH1791" s="21"/>
      <c r="AI1791" s="21"/>
      <c r="AJ1791" s="21"/>
      <c r="AK1791" s="21"/>
      <c r="AM1791" t="s">
        <v>53</v>
      </c>
    </row>
    <row r="1792" spans="34:39" x14ac:dyDescent="0.35">
      <c r="AH1792" s="21"/>
      <c r="AI1792" s="21"/>
      <c r="AJ1792" s="21"/>
      <c r="AK1792" s="21"/>
      <c r="AM1792" t="s">
        <v>53</v>
      </c>
    </row>
    <row r="1793" spans="34:39" x14ac:dyDescent="0.35">
      <c r="AH1793" s="21"/>
      <c r="AI1793" s="21"/>
      <c r="AJ1793" s="21"/>
      <c r="AK1793" s="21"/>
      <c r="AM1793" t="s">
        <v>53</v>
      </c>
    </row>
    <row r="1794" spans="34:39" x14ac:dyDescent="0.35">
      <c r="AH1794" s="21"/>
      <c r="AI1794" s="21"/>
      <c r="AJ1794" s="21"/>
      <c r="AK1794" s="21"/>
      <c r="AM1794" t="s">
        <v>53</v>
      </c>
    </row>
    <row r="1795" spans="34:39" x14ac:dyDescent="0.35">
      <c r="AH1795" s="21"/>
      <c r="AI1795" s="21"/>
      <c r="AJ1795" s="21"/>
      <c r="AK1795" s="21"/>
      <c r="AM1795" t="s">
        <v>53</v>
      </c>
    </row>
    <row r="1796" spans="34:39" x14ac:dyDescent="0.35">
      <c r="AH1796" s="21"/>
      <c r="AI1796" s="21"/>
      <c r="AJ1796" s="21"/>
      <c r="AK1796" s="21"/>
      <c r="AM1796" t="s">
        <v>53</v>
      </c>
    </row>
    <row r="1797" spans="34:39" x14ac:dyDescent="0.35">
      <c r="AH1797" s="21"/>
      <c r="AI1797" s="21"/>
      <c r="AJ1797" s="21"/>
      <c r="AK1797" s="21"/>
      <c r="AM1797" t="s">
        <v>53</v>
      </c>
    </row>
    <row r="1798" spans="34:39" x14ac:dyDescent="0.35">
      <c r="AH1798" s="21"/>
      <c r="AI1798" s="21"/>
      <c r="AJ1798" s="21"/>
      <c r="AK1798" s="21"/>
      <c r="AM1798" t="s">
        <v>53</v>
      </c>
    </row>
    <row r="1799" spans="34:39" x14ac:dyDescent="0.35">
      <c r="AH1799" s="21"/>
      <c r="AI1799" s="21"/>
      <c r="AJ1799" s="21"/>
      <c r="AK1799" s="21"/>
      <c r="AM1799" t="s">
        <v>53</v>
      </c>
    </row>
    <row r="1800" spans="34:39" x14ac:dyDescent="0.35">
      <c r="AH1800" s="21"/>
      <c r="AI1800" s="21"/>
      <c r="AJ1800" s="21"/>
      <c r="AK1800" s="21"/>
      <c r="AM1800" t="s">
        <v>53</v>
      </c>
    </row>
    <row r="1801" spans="34:39" x14ac:dyDescent="0.35">
      <c r="AH1801" s="21"/>
      <c r="AI1801" s="21"/>
      <c r="AJ1801" s="21"/>
      <c r="AK1801" s="21"/>
      <c r="AM1801" t="s">
        <v>53</v>
      </c>
    </row>
    <row r="1802" spans="34:39" x14ac:dyDescent="0.35">
      <c r="AH1802" s="21"/>
      <c r="AI1802" s="21"/>
      <c r="AJ1802" s="21"/>
      <c r="AK1802" s="21"/>
      <c r="AM1802" t="s">
        <v>53</v>
      </c>
    </row>
    <row r="1803" spans="34:39" x14ac:dyDescent="0.35">
      <c r="AH1803" s="21"/>
      <c r="AI1803" s="21"/>
      <c r="AJ1803" s="21"/>
      <c r="AK1803" s="21"/>
      <c r="AM1803" t="s">
        <v>53</v>
      </c>
    </row>
    <row r="1804" spans="34:39" x14ac:dyDescent="0.35">
      <c r="AH1804" s="21"/>
      <c r="AI1804" s="21"/>
      <c r="AJ1804" s="21"/>
      <c r="AK1804" s="21"/>
      <c r="AM1804" t="s">
        <v>53</v>
      </c>
    </row>
    <row r="1805" spans="34:39" x14ac:dyDescent="0.35">
      <c r="AH1805" s="21"/>
      <c r="AI1805" s="21"/>
      <c r="AJ1805" s="21"/>
      <c r="AK1805" s="21"/>
      <c r="AM1805" t="s">
        <v>53</v>
      </c>
    </row>
    <row r="1806" spans="34:39" x14ac:dyDescent="0.35">
      <c r="AH1806" s="21"/>
      <c r="AI1806" s="21"/>
      <c r="AJ1806" s="21"/>
      <c r="AK1806" s="21"/>
      <c r="AM1806" t="s">
        <v>53</v>
      </c>
    </row>
    <row r="1807" spans="34:39" x14ac:dyDescent="0.35">
      <c r="AH1807" s="21"/>
      <c r="AI1807" s="21"/>
      <c r="AJ1807" s="21"/>
      <c r="AK1807" s="21"/>
      <c r="AM1807" t="s">
        <v>53</v>
      </c>
    </row>
    <row r="1808" spans="34:39" x14ac:dyDescent="0.35">
      <c r="AH1808" s="21"/>
      <c r="AI1808" s="21"/>
      <c r="AJ1808" s="21"/>
      <c r="AK1808" s="21"/>
      <c r="AM1808" t="s">
        <v>53</v>
      </c>
    </row>
    <row r="1809" spans="34:39" x14ac:dyDescent="0.35">
      <c r="AH1809" s="21"/>
      <c r="AI1809" s="21"/>
      <c r="AJ1809" s="21"/>
      <c r="AK1809" s="21"/>
      <c r="AM1809" t="s">
        <v>53</v>
      </c>
    </row>
    <row r="1810" spans="34:39" x14ac:dyDescent="0.35">
      <c r="AH1810" s="21"/>
      <c r="AI1810" s="21"/>
      <c r="AJ1810" s="21"/>
      <c r="AK1810" s="21"/>
      <c r="AM1810" t="s">
        <v>53</v>
      </c>
    </row>
    <row r="1811" spans="34:39" x14ac:dyDescent="0.35">
      <c r="AH1811" s="21"/>
      <c r="AI1811" s="21"/>
      <c r="AJ1811" s="21"/>
      <c r="AK1811" s="21"/>
      <c r="AM1811" t="s">
        <v>53</v>
      </c>
    </row>
    <row r="1812" spans="34:39" x14ac:dyDescent="0.35">
      <c r="AH1812" s="21"/>
      <c r="AI1812" s="21"/>
      <c r="AJ1812" s="21"/>
      <c r="AK1812" s="21"/>
      <c r="AM1812" t="s">
        <v>53</v>
      </c>
    </row>
    <row r="1813" spans="34:39" x14ac:dyDescent="0.35">
      <c r="AH1813" s="21"/>
      <c r="AI1813" s="21"/>
      <c r="AJ1813" s="21"/>
      <c r="AK1813" s="21"/>
      <c r="AM1813" t="s">
        <v>53</v>
      </c>
    </row>
    <row r="1814" spans="34:39" x14ac:dyDescent="0.35">
      <c r="AH1814" s="21"/>
      <c r="AI1814" s="21"/>
      <c r="AJ1814" s="21"/>
      <c r="AK1814" s="21"/>
      <c r="AM1814" t="s">
        <v>53</v>
      </c>
    </row>
    <row r="1815" spans="34:39" x14ac:dyDescent="0.35">
      <c r="AH1815" s="21"/>
      <c r="AI1815" s="21"/>
      <c r="AJ1815" s="21"/>
      <c r="AK1815" s="21"/>
      <c r="AM1815" t="s">
        <v>53</v>
      </c>
    </row>
    <row r="1816" spans="34:39" x14ac:dyDescent="0.35">
      <c r="AH1816" s="21"/>
      <c r="AI1816" s="21"/>
      <c r="AJ1816" s="21"/>
      <c r="AK1816" s="21"/>
      <c r="AM1816" t="s">
        <v>53</v>
      </c>
    </row>
    <row r="1817" spans="34:39" x14ac:dyDescent="0.35">
      <c r="AH1817" s="21"/>
      <c r="AI1817" s="21"/>
      <c r="AJ1817" s="21"/>
      <c r="AK1817" s="21"/>
      <c r="AM1817" t="s">
        <v>53</v>
      </c>
    </row>
    <row r="1818" spans="34:39" x14ac:dyDescent="0.35">
      <c r="AH1818" s="21"/>
      <c r="AI1818" s="21"/>
      <c r="AJ1818" s="21"/>
      <c r="AK1818" s="21"/>
      <c r="AM1818" t="s">
        <v>53</v>
      </c>
    </row>
    <row r="1819" spans="34:39" x14ac:dyDescent="0.35">
      <c r="AH1819" s="21"/>
      <c r="AI1819" s="21"/>
      <c r="AJ1819" s="21"/>
      <c r="AK1819" s="21"/>
      <c r="AM1819" t="s">
        <v>53</v>
      </c>
    </row>
    <row r="1820" spans="34:39" x14ac:dyDescent="0.35">
      <c r="AH1820" s="21"/>
      <c r="AI1820" s="21"/>
      <c r="AJ1820" s="21"/>
      <c r="AK1820" s="21"/>
      <c r="AM1820" t="s">
        <v>53</v>
      </c>
    </row>
    <row r="1821" spans="34:39" x14ac:dyDescent="0.35">
      <c r="AH1821" s="21"/>
      <c r="AI1821" s="21"/>
      <c r="AJ1821" s="21"/>
      <c r="AK1821" s="21"/>
      <c r="AM1821" t="s">
        <v>53</v>
      </c>
    </row>
    <row r="1822" spans="34:39" x14ac:dyDescent="0.35">
      <c r="AH1822" s="21"/>
      <c r="AI1822" s="21"/>
      <c r="AJ1822" s="21"/>
      <c r="AK1822" s="21"/>
      <c r="AM1822" t="s">
        <v>53</v>
      </c>
    </row>
    <row r="1823" spans="34:39" x14ac:dyDescent="0.35">
      <c r="AH1823" s="21"/>
      <c r="AI1823" s="21"/>
      <c r="AJ1823" s="21"/>
      <c r="AK1823" s="21"/>
      <c r="AM1823" t="s">
        <v>53</v>
      </c>
    </row>
    <row r="1824" spans="34:39" x14ac:dyDescent="0.35">
      <c r="AH1824" s="21"/>
      <c r="AI1824" s="21"/>
      <c r="AJ1824" s="21"/>
      <c r="AK1824" s="21"/>
      <c r="AM1824" t="s">
        <v>53</v>
      </c>
    </row>
    <row r="1825" spans="34:39" x14ac:dyDescent="0.35">
      <c r="AH1825" s="21"/>
      <c r="AI1825" s="21"/>
      <c r="AJ1825" s="21"/>
      <c r="AK1825" s="21"/>
      <c r="AM1825" t="s">
        <v>53</v>
      </c>
    </row>
    <row r="1826" spans="34:39" x14ac:dyDescent="0.35">
      <c r="AH1826" s="21"/>
      <c r="AI1826" s="21"/>
      <c r="AJ1826" s="21"/>
      <c r="AK1826" s="21"/>
      <c r="AM1826" t="s">
        <v>53</v>
      </c>
    </row>
    <row r="1827" spans="34:39" x14ac:dyDescent="0.35">
      <c r="AH1827" s="21"/>
      <c r="AI1827" s="21"/>
      <c r="AJ1827" s="21"/>
      <c r="AK1827" s="21"/>
      <c r="AM1827" t="s">
        <v>53</v>
      </c>
    </row>
    <row r="1828" spans="34:39" x14ac:dyDescent="0.35">
      <c r="AH1828" s="21"/>
      <c r="AI1828" s="21"/>
      <c r="AJ1828" s="21"/>
      <c r="AK1828" s="21"/>
      <c r="AM1828" t="s">
        <v>53</v>
      </c>
    </row>
    <row r="1829" spans="34:39" x14ac:dyDescent="0.35">
      <c r="AH1829" s="21"/>
      <c r="AI1829" s="21"/>
      <c r="AJ1829" s="21"/>
      <c r="AK1829" s="21"/>
      <c r="AM1829" t="s">
        <v>53</v>
      </c>
    </row>
    <row r="1830" spans="34:39" x14ac:dyDescent="0.35">
      <c r="AH1830" s="21"/>
      <c r="AI1830" s="21"/>
      <c r="AJ1830" s="21"/>
      <c r="AK1830" s="21"/>
      <c r="AM1830" t="s">
        <v>53</v>
      </c>
    </row>
    <row r="1831" spans="34:39" x14ac:dyDescent="0.35">
      <c r="AH1831" s="21"/>
      <c r="AI1831" s="21"/>
      <c r="AJ1831" s="21"/>
      <c r="AK1831" s="21"/>
      <c r="AM1831" t="s">
        <v>53</v>
      </c>
    </row>
    <row r="1832" spans="34:39" x14ac:dyDescent="0.35">
      <c r="AH1832" s="21"/>
      <c r="AI1832" s="21"/>
      <c r="AJ1832" s="21"/>
      <c r="AK1832" s="21"/>
      <c r="AM1832" t="s">
        <v>53</v>
      </c>
    </row>
    <row r="1833" spans="34:39" x14ac:dyDescent="0.35">
      <c r="AH1833" s="21"/>
      <c r="AI1833" s="21"/>
      <c r="AJ1833" s="21"/>
      <c r="AK1833" s="21"/>
      <c r="AM1833" t="s">
        <v>53</v>
      </c>
    </row>
    <row r="1834" spans="34:39" x14ac:dyDescent="0.35">
      <c r="AH1834" s="21"/>
      <c r="AI1834" s="21"/>
      <c r="AJ1834" s="21"/>
      <c r="AK1834" s="21"/>
      <c r="AM1834" t="s">
        <v>53</v>
      </c>
    </row>
    <row r="1835" spans="34:39" x14ac:dyDescent="0.35">
      <c r="AH1835" s="21"/>
      <c r="AI1835" s="21"/>
      <c r="AJ1835" s="21"/>
      <c r="AK1835" s="21"/>
      <c r="AM1835" t="s">
        <v>53</v>
      </c>
    </row>
    <row r="1836" spans="34:39" x14ac:dyDescent="0.35">
      <c r="AH1836" s="21"/>
      <c r="AI1836" s="21"/>
      <c r="AJ1836" s="21"/>
      <c r="AK1836" s="21"/>
      <c r="AM1836" t="s">
        <v>53</v>
      </c>
    </row>
    <row r="1837" spans="34:39" x14ac:dyDescent="0.35">
      <c r="AH1837" s="21"/>
      <c r="AI1837" s="21"/>
      <c r="AJ1837" s="21"/>
      <c r="AK1837" s="21"/>
      <c r="AM1837" t="s">
        <v>53</v>
      </c>
    </row>
    <row r="1838" spans="34:39" x14ac:dyDescent="0.35">
      <c r="AH1838" s="21"/>
      <c r="AI1838" s="21"/>
      <c r="AJ1838" s="21"/>
      <c r="AK1838" s="21"/>
      <c r="AM1838" t="s">
        <v>53</v>
      </c>
    </row>
    <row r="1839" spans="34:39" x14ac:dyDescent="0.35">
      <c r="AH1839" s="21"/>
      <c r="AI1839" s="21"/>
      <c r="AJ1839" s="21"/>
      <c r="AK1839" s="21"/>
      <c r="AM1839" t="s">
        <v>53</v>
      </c>
    </row>
    <row r="1840" spans="34:39" x14ac:dyDescent="0.35">
      <c r="AH1840" s="21"/>
      <c r="AI1840" s="21"/>
      <c r="AJ1840" s="21"/>
      <c r="AK1840" s="21"/>
      <c r="AM1840" t="s">
        <v>53</v>
      </c>
    </row>
    <row r="1841" spans="34:39" x14ac:dyDescent="0.35">
      <c r="AH1841" s="21"/>
      <c r="AI1841" s="21"/>
      <c r="AJ1841" s="21"/>
      <c r="AK1841" s="21"/>
      <c r="AM1841" t="s">
        <v>53</v>
      </c>
    </row>
    <row r="1842" spans="34:39" x14ac:dyDescent="0.35">
      <c r="AH1842" s="21"/>
      <c r="AI1842" s="21"/>
      <c r="AJ1842" s="21"/>
      <c r="AK1842" s="21"/>
      <c r="AM1842" t="s">
        <v>53</v>
      </c>
    </row>
    <row r="1843" spans="34:39" x14ac:dyDescent="0.35">
      <c r="AH1843" s="21"/>
      <c r="AI1843" s="21"/>
      <c r="AJ1843" s="21"/>
      <c r="AK1843" s="21"/>
      <c r="AM1843" t="s">
        <v>53</v>
      </c>
    </row>
    <row r="1844" spans="34:39" x14ac:dyDescent="0.35">
      <c r="AH1844" s="21"/>
      <c r="AI1844" s="21"/>
      <c r="AJ1844" s="21"/>
      <c r="AK1844" s="21"/>
      <c r="AM1844" t="s">
        <v>53</v>
      </c>
    </row>
    <row r="1845" spans="34:39" x14ac:dyDescent="0.35">
      <c r="AH1845" s="21"/>
      <c r="AI1845" s="21"/>
      <c r="AJ1845" s="21"/>
      <c r="AK1845" s="21"/>
      <c r="AM1845" t="s">
        <v>53</v>
      </c>
    </row>
    <row r="1846" spans="34:39" x14ac:dyDescent="0.35">
      <c r="AH1846" s="21"/>
      <c r="AI1846" s="21"/>
      <c r="AJ1846" s="21"/>
      <c r="AK1846" s="21"/>
      <c r="AM1846" t="s">
        <v>53</v>
      </c>
    </row>
    <row r="1847" spans="34:39" x14ac:dyDescent="0.35">
      <c r="AH1847" s="21"/>
      <c r="AI1847" s="21"/>
      <c r="AJ1847" s="21"/>
      <c r="AK1847" s="21"/>
      <c r="AM1847" t="s">
        <v>53</v>
      </c>
    </row>
    <row r="1848" spans="34:39" x14ac:dyDescent="0.35">
      <c r="AH1848" s="21"/>
      <c r="AI1848" s="21"/>
      <c r="AJ1848" s="21"/>
      <c r="AK1848" s="21"/>
      <c r="AM1848" t="s">
        <v>53</v>
      </c>
    </row>
    <row r="1849" spans="34:39" x14ac:dyDescent="0.35">
      <c r="AH1849" s="21"/>
      <c r="AI1849" s="21"/>
      <c r="AJ1849" s="21"/>
      <c r="AK1849" s="21"/>
      <c r="AM1849" t="s">
        <v>53</v>
      </c>
    </row>
    <row r="1850" spans="34:39" x14ac:dyDescent="0.35">
      <c r="AH1850" s="21"/>
      <c r="AI1850" s="21"/>
      <c r="AJ1850" s="21"/>
      <c r="AK1850" s="21"/>
      <c r="AM1850" t="s">
        <v>53</v>
      </c>
    </row>
    <row r="1851" spans="34:39" x14ac:dyDescent="0.35">
      <c r="AH1851" s="21"/>
      <c r="AI1851" s="21"/>
      <c r="AJ1851" s="21"/>
      <c r="AK1851" s="21"/>
      <c r="AM1851" t="s">
        <v>53</v>
      </c>
    </row>
    <row r="1852" spans="34:39" x14ac:dyDescent="0.35">
      <c r="AH1852" s="21"/>
      <c r="AI1852" s="21"/>
      <c r="AJ1852" s="21"/>
      <c r="AK1852" s="21"/>
      <c r="AM1852" t="s">
        <v>53</v>
      </c>
    </row>
    <row r="1853" spans="34:39" x14ac:dyDescent="0.35">
      <c r="AH1853" s="21"/>
      <c r="AI1853" s="21"/>
      <c r="AJ1853" s="21"/>
      <c r="AK1853" s="21"/>
      <c r="AM1853" t="s">
        <v>53</v>
      </c>
    </row>
    <row r="1854" spans="34:39" x14ac:dyDescent="0.35">
      <c r="AH1854" s="21"/>
      <c r="AI1854" s="21"/>
      <c r="AJ1854" s="21"/>
      <c r="AK1854" s="21"/>
      <c r="AM1854" t="s">
        <v>53</v>
      </c>
    </row>
    <row r="1855" spans="34:39" x14ac:dyDescent="0.35">
      <c r="AH1855" s="21"/>
      <c r="AI1855" s="21"/>
      <c r="AJ1855" s="21"/>
      <c r="AK1855" s="21"/>
      <c r="AM1855" t="s">
        <v>53</v>
      </c>
    </row>
    <row r="1856" spans="34:39" x14ac:dyDescent="0.35">
      <c r="AH1856" s="21"/>
      <c r="AI1856" s="21"/>
      <c r="AJ1856" s="21"/>
      <c r="AK1856" s="21"/>
      <c r="AM1856" t="s">
        <v>53</v>
      </c>
    </row>
    <row r="1857" spans="34:39" x14ac:dyDescent="0.35">
      <c r="AH1857" s="21"/>
      <c r="AI1857" s="21"/>
      <c r="AJ1857" s="21"/>
      <c r="AK1857" s="21"/>
      <c r="AM1857" t="s">
        <v>53</v>
      </c>
    </row>
    <row r="1858" spans="34:39" x14ac:dyDescent="0.35">
      <c r="AH1858" s="21"/>
      <c r="AI1858" s="21"/>
      <c r="AJ1858" s="21"/>
      <c r="AK1858" s="21"/>
      <c r="AM1858" t="s">
        <v>53</v>
      </c>
    </row>
    <row r="1859" spans="34:39" x14ac:dyDescent="0.35">
      <c r="AH1859" s="21"/>
      <c r="AI1859" s="21"/>
      <c r="AJ1859" s="21"/>
      <c r="AK1859" s="21"/>
      <c r="AM1859" t="s">
        <v>53</v>
      </c>
    </row>
    <row r="1860" spans="34:39" x14ac:dyDescent="0.35">
      <c r="AH1860" s="21"/>
      <c r="AI1860" s="21"/>
      <c r="AJ1860" s="21"/>
      <c r="AK1860" s="21"/>
      <c r="AM1860" t="s">
        <v>53</v>
      </c>
    </row>
    <row r="1861" spans="34:39" x14ac:dyDescent="0.35">
      <c r="AH1861" s="21"/>
      <c r="AI1861" s="21"/>
      <c r="AJ1861" s="21"/>
      <c r="AK1861" s="21"/>
      <c r="AM1861" t="s">
        <v>53</v>
      </c>
    </row>
    <row r="1862" spans="34:39" x14ac:dyDescent="0.35">
      <c r="AH1862" s="21"/>
      <c r="AI1862" s="21"/>
      <c r="AJ1862" s="21"/>
      <c r="AK1862" s="21"/>
      <c r="AM1862" t="s">
        <v>53</v>
      </c>
    </row>
    <row r="1863" spans="34:39" x14ac:dyDescent="0.35">
      <c r="AH1863" s="21"/>
      <c r="AI1863" s="21"/>
      <c r="AJ1863" s="21"/>
      <c r="AK1863" s="21"/>
      <c r="AM1863" t="s">
        <v>53</v>
      </c>
    </row>
    <row r="1864" spans="34:39" x14ac:dyDescent="0.35">
      <c r="AH1864" s="21"/>
      <c r="AI1864" s="21"/>
      <c r="AJ1864" s="21"/>
      <c r="AK1864" s="21"/>
      <c r="AM1864" t="s">
        <v>53</v>
      </c>
    </row>
    <row r="1865" spans="34:39" x14ac:dyDescent="0.35">
      <c r="AH1865" s="21"/>
      <c r="AI1865" s="21"/>
      <c r="AJ1865" s="21"/>
      <c r="AK1865" s="21"/>
      <c r="AM1865" t="s">
        <v>53</v>
      </c>
    </row>
    <row r="1866" spans="34:39" x14ac:dyDescent="0.35">
      <c r="AH1866" s="21"/>
      <c r="AI1866" s="21"/>
      <c r="AJ1866" s="21"/>
      <c r="AK1866" s="21"/>
      <c r="AM1866" t="s">
        <v>53</v>
      </c>
    </row>
    <row r="1867" spans="34:39" x14ac:dyDescent="0.35">
      <c r="AH1867" s="21"/>
      <c r="AI1867" s="21"/>
      <c r="AJ1867" s="21"/>
      <c r="AK1867" s="21"/>
      <c r="AM1867" t="s">
        <v>53</v>
      </c>
    </row>
    <row r="1868" spans="34:39" x14ac:dyDescent="0.35">
      <c r="AH1868" s="21"/>
      <c r="AI1868" s="21"/>
      <c r="AJ1868" s="21"/>
      <c r="AK1868" s="21"/>
      <c r="AM1868" t="s">
        <v>53</v>
      </c>
    </row>
    <row r="1869" spans="34:39" x14ac:dyDescent="0.35">
      <c r="AH1869" s="21"/>
      <c r="AI1869" s="21"/>
      <c r="AJ1869" s="21"/>
      <c r="AK1869" s="21"/>
      <c r="AM1869" t="s">
        <v>53</v>
      </c>
    </row>
    <row r="1870" spans="34:39" x14ac:dyDescent="0.35">
      <c r="AH1870" s="21"/>
      <c r="AI1870" s="21"/>
      <c r="AJ1870" s="21"/>
      <c r="AK1870" s="21"/>
      <c r="AM1870" t="s">
        <v>53</v>
      </c>
    </row>
    <row r="1871" spans="34:39" x14ac:dyDescent="0.35">
      <c r="AH1871" s="21"/>
      <c r="AI1871" s="21"/>
      <c r="AJ1871" s="21"/>
      <c r="AK1871" s="21"/>
      <c r="AM1871" t="s">
        <v>53</v>
      </c>
    </row>
    <row r="1872" spans="34:39" x14ac:dyDescent="0.35">
      <c r="AH1872" s="21"/>
      <c r="AI1872" s="21"/>
      <c r="AJ1872" s="21"/>
      <c r="AK1872" s="21"/>
      <c r="AM1872" t="s">
        <v>53</v>
      </c>
    </row>
    <row r="1873" spans="34:39" x14ac:dyDescent="0.35">
      <c r="AH1873" s="21"/>
      <c r="AI1873" s="21"/>
      <c r="AJ1873" s="21"/>
      <c r="AK1873" s="21"/>
      <c r="AM1873" t="s">
        <v>53</v>
      </c>
    </row>
    <row r="1874" spans="34:39" x14ac:dyDescent="0.35">
      <c r="AH1874" s="21"/>
      <c r="AI1874" s="21"/>
      <c r="AJ1874" s="21"/>
      <c r="AK1874" s="21"/>
      <c r="AM1874" t="s">
        <v>53</v>
      </c>
    </row>
    <row r="1875" spans="34:39" x14ac:dyDescent="0.35">
      <c r="AH1875" s="21"/>
      <c r="AI1875" s="21"/>
      <c r="AJ1875" s="21"/>
      <c r="AK1875" s="21"/>
      <c r="AM1875" t="s">
        <v>53</v>
      </c>
    </row>
    <row r="1876" spans="34:39" x14ac:dyDescent="0.35">
      <c r="AH1876" s="21"/>
      <c r="AI1876" s="21"/>
      <c r="AJ1876" s="21"/>
      <c r="AK1876" s="21"/>
      <c r="AM1876" t="s">
        <v>53</v>
      </c>
    </row>
    <row r="1877" spans="34:39" x14ac:dyDescent="0.35">
      <c r="AH1877" s="21"/>
      <c r="AI1877" s="21"/>
      <c r="AJ1877" s="21"/>
      <c r="AK1877" s="21"/>
      <c r="AM1877" t="s">
        <v>53</v>
      </c>
    </row>
    <row r="1878" spans="34:39" x14ac:dyDescent="0.35">
      <c r="AH1878" s="21"/>
      <c r="AI1878" s="21"/>
      <c r="AJ1878" s="21"/>
      <c r="AK1878" s="21"/>
      <c r="AM1878" t="s">
        <v>53</v>
      </c>
    </row>
    <row r="1879" spans="34:39" x14ac:dyDescent="0.35">
      <c r="AH1879" s="21"/>
      <c r="AI1879" s="21"/>
      <c r="AJ1879" s="21"/>
      <c r="AK1879" s="21"/>
      <c r="AM1879" t="s">
        <v>53</v>
      </c>
    </row>
    <row r="1880" spans="34:39" x14ac:dyDescent="0.35">
      <c r="AH1880" s="21"/>
      <c r="AI1880" s="21"/>
      <c r="AJ1880" s="21"/>
      <c r="AK1880" s="21"/>
      <c r="AM1880" t="s">
        <v>53</v>
      </c>
    </row>
    <row r="1881" spans="34:39" x14ac:dyDescent="0.35">
      <c r="AH1881" s="21"/>
      <c r="AI1881" s="21"/>
      <c r="AJ1881" s="21"/>
      <c r="AK1881" s="21"/>
      <c r="AM1881" t="s">
        <v>53</v>
      </c>
    </row>
    <row r="1882" spans="34:39" x14ac:dyDescent="0.35">
      <c r="AH1882" s="21"/>
      <c r="AI1882" s="21"/>
      <c r="AJ1882" s="21"/>
      <c r="AK1882" s="21"/>
      <c r="AM1882" t="s">
        <v>53</v>
      </c>
    </row>
    <row r="1883" spans="34:39" x14ac:dyDescent="0.35">
      <c r="AH1883" s="21"/>
      <c r="AI1883" s="21"/>
      <c r="AJ1883" s="21"/>
      <c r="AK1883" s="21"/>
      <c r="AM1883" t="s">
        <v>53</v>
      </c>
    </row>
    <row r="1884" spans="34:39" x14ac:dyDescent="0.35">
      <c r="AH1884" s="21"/>
      <c r="AI1884" s="21"/>
      <c r="AJ1884" s="21"/>
      <c r="AK1884" s="21"/>
      <c r="AM1884" t="s">
        <v>53</v>
      </c>
    </row>
    <row r="1885" spans="34:39" x14ac:dyDescent="0.35">
      <c r="AH1885" s="21"/>
      <c r="AI1885" s="21"/>
      <c r="AJ1885" s="21"/>
      <c r="AK1885" s="21"/>
      <c r="AM1885" t="s">
        <v>53</v>
      </c>
    </row>
    <row r="1886" spans="34:39" x14ac:dyDescent="0.35">
      <c r="AH1886" s="21"/>
      <c r="AI1886" s="21"/>
      <c r="AJ1886" s="21"/>
      <c r="AK1886" s="21"/>
      <c r="AM1886" t="s">
        <v>53</v>
      </c>
    </row>
    <row r="1887" spans="34:39" x14ac:dyDescent="0.35">
      <c r="AH1887" s="21"/>
      <c r="AI1887" s="21"/>
      <c r="AJ1887" s="21"/>
      <c r="AK1887" s="21"/>
      <c r="AM1887" t="s">
        <v>53</v>
      </c>
    </row>
    <row r="1888" spans="34:39" x14ac:dyDescent="0.35">
      <c r="AH1888" s="21"/>
      <c r="AI1888" s="21"/>
      <c r="AJ1888" s="21"/>
      <c r="AK1888" s="21"/>
      <c r="AM1888" t="s">
        <v>53</v>
      </c>
    </row>
    <row r="1889" spans="34:39" x14ac:dyDescent="0.35">
      <c r="AH1889" s="21"/>
      <c r="AI1889" s="21"/>
      <c r="AJ1889" s="21"/>
      <c r="AK1889" s="21"/>
      <c r="AM1889" t="s">
        <v>53</v>
      </c>
    </row>
    <row r="1890" spans="34:39" x14ac:dyDescent="0.35">
      <c r="AH1890" s="21"/>
      <c r="AI1890" s="21"/>
      <c r="AJ1890" s="21"/>
      <c r="AK1890" s="21"/>
      <c r="AM1890" t="s">
        <v>53</v>
      </c>
    </row>
    <row r="1891" spans="34:39" x14ac:dyDescent="0.35">
      <c r="AH1891" s="21"/>
      <c r="AI1891" s="21"/>
      <c r="AJ1891" s="21"/>
      <c r="AK1891" s="21"/>
      <c r="AM1891" t="s">
        <v>53</v>
      </c>
    </row>
    <row r="1892" spans="34:39" x14ac:dyDescent="0.35">
      <c r="AH1892" s="21"/>
      <c r="AI1892" s="21"/>
      <c r="AJ1892" s="21"/>
      <c r="AK1892" s="21"/>
      <c r="AM1892" t="s">
        <v>53</v>
      </c>
    </row>
    <row r="1893" spans="34:39" x14ac:dyDescent="0.35">
      <c r="AH1893" s="21"/>
      <c r="AI1893" s="21"/>
      <c r="AJ1893" s="21"/>
      <c r="AK1893" s="21"/>
      <c r="AM1893" t="s">
        <v>53</v>
      </c>
    </row>
    <row r="1894" spans="34:39" x14ac:dyDescent="0.35">
      <c r="AH1894" s="21"/>
      <c r="AI1894" s="21"/>
      <c r="AJ1894" s="21"/>
      <c r="AK1894" s="21"/>
      <c r="AM1894" t="s">
        <v>53</v>
      </c>
    </row>
    <row r="1895" spans="34:39" x14ac:dyDescent="0.35">
      <c r="AH1895" s="21"/>
      <c r="AI1895" s="21"/>
      <c r="AJ1895" s="21"/>
      <c r="AK1895" s="21"/>
      <c r="AM1895" t="s">
        <v>53</v>
      </c>
    </row>
    <row r="1896" spans="34:39" x14ac:dyDescent="0.35">
      <c r="AH1896" s="21"/>
      <c r="AI1896" s="21"/>
      <c r="AJ1896" s="21"/>
      <c r="AK1896" s="21"/>
      <c r="AM1896" t="s">
        <v>53</v>
      </c>
    </row>
    <row r="1897" spans="34:39" x14ac:dyDescent="0.35">
      <c r="AH1897" s="21"/>
      <c r="AI1897" s="21"/>
      <c r="AJ1897" s="21"/>
      <c r="AK1897" s="21"/>
      <c r="AM1897" t="s">
        <v>53</v>
      </c>
    </row>
    <row r="1898" spans="34:39" x14ac:dyDescent="0.35">
      <c r="AH1898" s="21"/>
      <c r="AI1898" s="21"/>
      <c r="AJ1898" s="21"/>
      <c r="AK1898" s="21"/>
      <c r="AM1898" t="s">
        <v>53</v>
      </c>
    </row>
    <row r="1899" spans="34:39" x14ac:dyDescent="0.35">
      <c r="AH1899" s="21"/>
      <c r="AI1899" s="21"/>
      <c r="AJ1899" s="21"/>
      <c r="AK1899" s="21"/>
      <c r="AM1899" t="s">
        <v>53</v>
      </c>
    </row>
    <row r="1900" spans="34:39" x14ac:dyDescent="0.35">
      <c r="AH1900" s="21"/>
      <c r="AI1900" s="21"/>
      <c r="AJ1900" s="21"/>
      <c r="AK1900" s="21"/>
      <c r="AM1900" t="s">
        <v>53</v>
      </c>
    </row>
    <row r="1901" spans="34:39" x14ac:dyDescent="0.35">
      <c r="AH1901" s="21"/>
      <c r="AI1901" s="21"/>
      <c r="AJ1901" s="21"/>
      <c r="AK1901" s="21"/>
      <c r="AM1901" t="s">
        <v>53</v>
      </c>
    </row>
    <row r="1902" spans="34:39" x14ac:dyDescent="0.35">
      <c r="AH1902" s="21"/>
      <c r="AI1902" s="21"/>
      <c r="AJ1902" s="21"/>
      <c r="AK1902" s="21"/>
      <c r="AM1902" t="s">
        <v>53</v>
      </c>
    </row>
    <row r="1903" spans="34:39" x14ac:dyDescent="0.35">
      <c r="AH1903" s="21"/>
      <c r="AI1903" s="21"/>
      <c r="AJ1903" s="21"/>
      <c r="AK1903" s="21"/>
      <c r="AM1903" t="s">
        <v>53</v>
      </c>
    </row>
    <row r="1904" spans="34:39" x14ac:dyDescent="0.35">
      <c r="AH1904" s="21"/>
      <c r="AI1904" s="21"/>
      <c r="AJ1904" s="21"/>
      <c r="AK1904" s="21"/>
      <c r="AM1904" t="s">
        <v>53</v>
      </c>
    </row>
    <row r="1905" spans="34:39" x14ac:dyDescent="0.35">
      <c r="AH1905" s="21"/>
      <c r="AI1905" s="21"/>
      <c r="AJ1905" s="21"/>
      <c r="AK1905" s="21"/>
      <c r="AM1905" t="s">
        <v>53</v>
      </c>
    </row>
    <row r="1906" spans="34:39" x14ac:dyDescent="0.35">
      <c r="AH1906" s="21"/>
      <c r="AI1906" s="21"/>
      <c r="AJ1906" s="21"/>
      <c r="AK1906" s="21"/>
      <c r="AM1906" t="s">
        <v>53</v>
      </c>
    </row>
    <row r="1907" spans="34:39" x14ac:dyDescent="0.35">
      <c r="AH1907" s="21"/>
      <c r="AI1907" s="21"/>
      <c r="AJ1907" s="21"/>
      <c r="AK1907" s="21"/>
      <c r="AM1907" t="s">
        <v>53</v>
      </c>
    </row>
    <row r="1908" spans="34:39" x14ac:dyDescent="0.35">
      <c r="AH1908" s="21"/>
      <c r="AI1908" s="21"/>
      <c r="AJ1908" s="21"/>
      <c r="AK1908" s="21"/>
      <c r="AM1908" t="s">
        <v>53</v>
      </c>
    </row>
    <row r="1909" spans="34:39" x14ac:dyDescent="0.35">
      <c r="AH1909" s="21"/>
      <c r="AI1909" s="21"/>
      <c r="AJ1909" s="21"/>
      <c r="AK1909" s="21"/>
      <c r="AM1909" t="s">
        <v>53</v>
      </c>
    </row>
    <row r="1910" spans="34:39" x14ac:dyDescent="0.35">
      <c r="AH1910" s="21"/>
      <c r="AI1910" s="21"/>
      <c r="AJ1910" s="21"/>
      <c r="AK1910" s="21"/>
      <c r="AM1910" t="s">
        <v>53</v>
      </c>
    </row>
    <row r="1911" spans="34:39" x14ac:dyDescent="0.35">
      <c r="AH1911" s="21"/>
      <c r="AI1911" s="21"/>
      <c r="AJ1911" s="21"/>
      <c r="AK1911" s="21"/>
      <c r="AM1911" t="s">
        <v>53</v>
      </c>
    </row>
    <row r="1912" spans="34:39" x14ac:dyDescent="0.35">
      <c r="AH1912" s="21"/>
      <c r="AI1912" s="21"/>
      <c r="AJ1912" s="21"/>
      <c r="AK1912" s="21"/>
      <c r="AM1912" t="s">
        <v>53</v>
      </c>
    </row>
    <row r="1913" spans="34:39" x14ac:dyDescent="0.35">
      <c r="AH1913" s="21"/>
      <c r="AI1913" s="21"/>
      <c r="AJ1913" s="21"/>
      <c r="AK1913" s="21"/>
      <c r="AM1913" t="s">
        <v>53</v>
      </c>
    </row>
    <row r="1914" spans="34:39" x14ac:dyDescent="0.35">
      <c r="AH1914" s="21"/>
      <c r="AI1914" s="21"/>
      <c r="AJ1914" s="21"/>
      <c r="AK1914" s="21"/>
      <c r="AM1914" t="s">
        <v>53</v>
      </c>
    </row>
    <row r="1915" spans="34:39" x14ac:dyDescent="0.35">
      <c r="AH1915" s="21"/>
      <c r="AI1915" s="21"/>
      <c r="AJ1915" s="21"/>
      <c r="AK1915" s="21"/>
      <c r="AM1915" t="s">
        <v>53</v>
      </c>
    </row>
    <row r="1916" spans="34:39" x14ac:dyDescent="0.35">
      <c r="AH1916" s="21"/>
      <c r="AI1916" s="21"/>
      <c r="AJ1916" s="21"/>
      <c r="AK1916" s="21"/>
      <c r="AM1916" t="s">
        <v>53</v>
      </c>
    </row>
    <row r="1917" spans="34:39" x14ac:dyDescent="0.35">
      <c r="AH1917" s="21"/>
      <c r="AI1917" s="21"/>
      <c r="AJ1917" s="21"/>
      <c r="AK1917" s="21"/>
      <c r="AM1917" t="s">
        <v>53</v>
      </c>
    </row>
    <row r="1918" spans="34:39" x14ac:dyDescent="0.35">
      <c r="AH1918" s="21"/>
      <c r="AI1918" s="21"/>
      <c r="AJ1918" s="21"/>
      <c r="AK1918" s="21"/>
      <c r="AM1918" t="s">
        <v>53</v>
      </c>
    </row>
    <row r="1919" spans="34:39" x14ac:dyDescent="0.35">
      <c r="AH1919" s="21"/>
      <c r="AI1919" s="21"/>
      <c r="AJ1919" s="21"/>
      <c r="AK1919" s="21"/>
      <c r="AM1919" t="s">
        <v>53</v>
      </c>
    </row>
    <row r="1920" spans="34:39" x14ac:dyDescent="0.35">
      <c r="AH1920" s="21"/>
      <c r="AI1920" s="21"/>
      <c r="AJ1920" s="21"/>
      <c r="AK1920" s="21"/>
      <c r="AM1920" t="s">
        <v>53</v>
      </c>
    </row>
    <row r="1921" spans="34:39" x14ac:dyDescent="0.35">
      <c r="AH1921" s="21"/>
      <c r="AI1921" s="21"/>
      <c r="AJ1921" s="21"/>
      <c r="AK1921" s="21"/>
      <c r="AM1921" t="s">
        <v>53</v>
      </c>
    </row>
    <row r="1922" spans="34:39" x14ac:dyDescent="0.35">
      <c r="AH1922" s="21"/>
      <c r="AI1922" s="21"/>
      <c r="AJ1922" s="21"/>
      <c r="AK1922" s="21"/>
      <c r="AM1922" t="s">
        <v>53</v>
      </c>
    </row>
    <row r="1923" spans="34:39" x14ac:dyDescent="0.35">
      <c r="AH1923" s="21"/>
      <c r="AI1923" s="21"/>
      <c r="AJ1923" s="21"/>
      <c r="AK1923" s="21"/>
      <c r="AM1923" t="s">
        <v>53</v>
      </c>
    </row>
    <row r="1924" spans="34:39" x14ac:dyDescent="0.35">
      <c r="AH1924" s="21"/>
      <c r="AI1924" s="21"/>
      <c r="AJ1924" s="21"/>
      <c r="AK1924" s="21"/>
      <c r="AM1924" t="s">
        <v>53</v>
      </c>
    </row>
    <row r="1925" spans="34:39" x14ac:dyDescent="0.35">
      <c r="AH1925" s="21"/>
      <c r="AI1925" s="21"/>
      <c r="AJ1925" s="21"/>
      <c r="AK1925" s="21"/>
      <c r="AM1925" t="s">
        <v>53</v>
      </c>
    </row>
    <row r="1926" spans="34:39" x14ac:dyDescent="0.35">
      <c r="AH1926" s="21"/>
      <c r="AI1926" s="21"/>
      <c r="AJ1926" s="21"/>
      <c r="AK1926" s="21"/>
      <c r="AM1926" t="s">
        <v>53</v>
      </c>
    </row>
    <row r="1927" spans="34:39" x14ac:dyDescent="0.35">
      <c r="AH1927" s="21"/>
      <c r="AI1927" s="21"/>
      <c r="AJ1927" s="21"/>
      <c r="AK1927" s="21"/>
      <c r="AM1927" t="s">
        <v>53</v>
      </c>
    </row>
    <row r="1928" spans="34:39" x14ac:dyDescent="0.35">
      <c r="AH1928" s="21"/>
      <c r="AI1928" s="21"/>
      <c r="AJ1928" s="21"/>
      <c r="AK1928" s="21"/>
      <c r="AM1928" t="s">
        <v>53</v>
      </c>
    </row>
    <row r="1929" spans="34:39" x14ac:dyDescent="0.35">
      <c r="AH1929" s="21"/>
      <c r="AI1929" s="21"/>
      <c r="AJ1929" s="21"/>
      <c r="AK1929" s="21"/>
      <c r="AM1929" t="s">
        <v>53</v>
      </c>
    </row>
    <row r="1930" spans="34:39" x14ac:dyDescent="0.35">
      <c r="AH1930" s="21"/>
      <c r="AI1930" s="21"/>
      <c r="AJ1930" s="21"/>
      <c r="AK1930" s="21"/>
      <c r="AM1930" t="s">
        <v>53</v>
      </c>
    </row>
    <row r="1931" spans="34:39" x14ac:dyDescent="0.35">
      <c r="AH1931" s="21"/>
      <c r="AI1931" s="21"/>
      <c r="AJ1931" s="21"/>
      <c r="AK1931" s="21"/>
      <c r="AM1931" t="s">
        <v>53</v>
      </c>
    </row>
    <row r="1932" spans="34:39" x14ac:dyDescent="0.35">
      <c r="AH1932" s="21"/>
      <c r="AI1932" s="21"/>
      <c r="AJ1932" s="21"/>
      <c r="AK1932" s="21"/>
      <c r="AM1932" t="s">
        <v>53</v>
      </c>
    </row>
    <row r="1933" spans="34:39" x14ac:dyDescent="0.35">
      <c r="AH1933" s="21"/>
      <c r="AI1933" s="21"/>
      <c r="AJ1933" s="21"/>
      <c r="AK1933" s="21"/>
      <c r="AM1933" t="s">
        <v>53</v>
      </c>
    </row>
    <row r="1934" spans="34:39" x14ac:dyDescent="0.35">
      <c r="AH1934" s="21"/>
      <c r="AI1934" s="21"/>
      <c r="AJ1934" s="21"/>
      <c r="AK1934" s="21"/>
      <c r="AM1934" t="s">
        <v>53</v>
      </c>
    </row>
    <row r="1935" spans="34:39" x14ac:dyDescent="0.35">
      <c r="AH1935" s="21"/>
      <c r="AI1935" s="21"/>
      <c r="AJ1935" s="21"/>
      <c r="AK1935" s="21"/>
      <c r="AM1935" t="s">
        <v>53</v>
      </c>
    </row>
    <row r="1936" spans="34:39" x14ac:dyDescent="0.35">
      <c r="AH1936" s="21"/>
      <c r="AI1936" s="21"/>
      <c r="AJ1936" s="21"/>
      <c r="AK1936" s="21"/>
      <c r="AM1936" t="s">
        <v>53</v>
      </c>
    </row>
    <row r="1937" spans="34:39" x14ac:dyDescent="0.35">
      <c r="AH1937" s="21"/>
      <c r="AI1937" s="21"/>
      <c r="AJ1937" s="21"/>
      <c r="AK1937" s="21"/>
      <c r="AM1937" t="s">
        <v>53</v>
      </c>
    </row>
    <row r="1938" spans="34:39" x14ac:dyDescent="0.35">
      <c r="AH1938" s="21"/>
      <c r="AI1938" s="21"/>
      <c r="AJ1938" s="21"/>
      <c r="AK1938" s="21"/>
      <c r="AM1938" t="s">
        <v>53</v>
      </c>
    </row>
    <row r="1939" spans="34:39" x14ac:dyDescent="0.35">
      <c r="AH1939" s="21"/>
      <c r="AI1939" s="21"/>
      <c r="AJ1939" s="21"/>
      <c r="AK1939" s="21"/>
      <c r="AM1939" t="s">
        <v>53</v>
      </c>
    </row>
    <row r="1940" spans="34:39" x14ac:dyDescent="0.35">
      <c r="AH1940" s="21"/>
      <c r="AI1940" s="21"/>
      <c r="AJ1940" s="21"/>
      <c r="AK1940" s="21"/>
      <c r="AM1940" t="s">
        <v>53</v>
      </c>
    </row>
    <row r="1941" spans="34:39" x14ac:dyDescent="0.35">
      <c r="AH1941" s="21"/>
      <c r="AI1941" s="21"/>
      <c r="AJ1941" s="21"/>
      <c r="AK1941" s="21"/>
      <c r="AM1941" t="s">
        <v>53</v>
      </c>
    </row>
    <row r="1942" spans="34:39" x14ac:dyDescent="0.35">
      <c r="AH1942" s="21"/>
      <c r="AI1942" s="21"/>
      <c r="AJ1942" s="21"/>
      <c r="AK1942" s="21"/>
      <c r="AM1942" t="s">
        <v>53</v>
      </c>
    </row>
    <row r="1943" spans="34:39" x14ac:dyDescent="0.35">
      <c r="AH1943" s="21"/>
      <c r="AI1943" s="21"/>
      <c r="AJ1943" s="21"/>
      <c r="AK1943" s="21"/>
      <c r="AM1943" t="s">
        <v>53</v>
      </c>
    </row>
    <row r="1944" spans="34:39" x14ac:dyDescent="0.35">
      <c r="AH1944" s="21"/>
      <c r="AI1944" s="21"/>
      <c r="AJ1944" s="21"/>
      <c r="AK1944" s="21"/>
      <c r="AM1944" t="s">
        <v>53</v>
      </c>
    </row>
    <row r="1945" spans="34:39" x14ac:dyDescent="0.35">
      <c r="AH1945" s="21"/>
      <c r="AI1945" s="21"/>
      <c r="AJ1945" s="21"/>
      <c r="AK1945" s="21"/>
      <c r="AM1945" t="s">
        <v>53</v>
      </c>
    </row>
    <row r="1946" spans="34:39" x14ac:dyDescent="0.35">
      <c r="AH1946" s="21"/>
      <c r="AI1946" s="21"/>
      <c r="AJ1946" s="21"/>
      <c r="AK1946" s="21"/>
      <c r="AM1946" t="s">
        <v>53</v>
      </c>
    </row>
    <row r="1947" spans="34:39" x14ac:dyDescent="0.35">
      <c r="AH1947" s="21"/>
      <c r="AI1947" s="21"/>
      <c r="AJ1947" s="21"/>
      <c r="AK1947" s="21"/>
      <c r="AM1947" t="s">
        <v>53</v>
      </c>
    </row>
    <row r="1948" spans="34:39" x14ac:dyDescent="0.35">
      <c r="AH1948" s="21"/>
      <c r="AI1948" s="21"/>
      <c r="AJ1948" s="21"/>
      <c r="AK1948" s="21"/>
      <c r="AM1948" t="s">
        <v>53</v>
      </c>
    </row>
    <row r="1949" spans="34:39" x14ac:dyDescent="0.35">
      <c r="AH1949" s="21"/>
      <c r="AI1949" s="21"/>
      <c r="AJ1949" s="21"/>
      <c r="AK1949" s="21"/>
      <c r="AM1949" t="s">
        <v>53</v>
      </c>
    </row>
    <row r="1950" spans="34:39" x14ac:dyDescent="0.35">
      <c r="AH1950" s="21"/>
      <c r="AI1950" s="21"/>
      <c r="AJ1950" s="21"/>
      <c r="AK1950" s="21"/>
      <c r="AM1950" t="s">
        <v>53</v>
      </c>
    </row>
    <row r="1951" spans="34:39" x14ac:dyDescent="0.35">
      <c r="AH1951" s="21"/>
      <c r="AI1951" s="21"/>
      <c r="AJ1951" s="21"/>
      <c r="AK1951" s="21"/>
      <c r="AM1951" t="s">
        <v>53</v>
      </c>
    </row>
    <row r="1952" spans="34:39" x14ac:dyDescent="0.35">
      <c r="AH1952" s="21"/>
      <c r="AI1952" s="21"/>
      <c r="AJ1952" s="21"/>
      <c r="AK1952" s="21"/>
      <c r="AM1952" t="s">
        <v>53</v>
      </c>
    </row>
    <row r="1953" spans="34:39" x14ac:dyDescent="0.35">
      <c r="AH1953" s="21"/>
      <c r="AI1953" s="21"/>
      <c r="AJ1953" s="21"/>
      <c r="AK1953" s="21"/>
      <c r="AM1953" t="s">
        <v>53</v>
      </c>
    </row>
    <row r="1954" spans="34:39" x14ac:dyDescent="0.35">
      <c r="AH1954" s="21"/>
      <c r="AI1954" s="21"/>
      <c r="AJ1954" s="21"/>
      <c r="AK1954" s="21"/>
      <c r="AM1954" t="s">
        <v>53</v>
      </c>
    </row>
    <row r="1955" spans="34:39" x14ac:dyDescent="0.35">
      <c r="AH1955" s="21"/>
      <c r="AI1955" s="21"/>
      <c r="AJ1955" s="21"/>
      <c r="AK1955" s="21"/>
      <c r="AM1955" t="s">
        <v>53</v>
      </c>
    </row>
    <row r="1956" spans="34:39" x14ac:dyDescent="0.35">
      <c r="AH1956" s="21"/>
      <c r="AI1956" s="21"/>
      <c r="AJ1956" s="21"/>
      <c r="AK1956" s="21"/>
      <c r="AM1956" t="s">
        <v>53</v>
      </c>
    </row>
    <row r="1957" spans="34:39" x14ac:dyDescent="0.35">
      <c r="AH1957" s="21"/>
      <c r="AI1957" s="21"/>
      <c r="AJ1957" s="21"/>
      <c r="AK1957" s="21"/>
      <c r="AM1957" t="s">
        <v>53</v>
      </c>
    </row>
    <row r="1958" spans="34:39" x14ac:dyDescent="0.35">
      <c r="AH1958" s="21"/>
      <c r="AI1958" s="21"/>
      <c r="AJ1958" s="21"/>
      <c r="AK1958" s="21"/>
      <c r="AM1958" t="s">
        <v>53</v>
      </c>
    </row>
    <row r="1959" spans="34:39" x14ac:dyDescent="0.35">
      <c r="AH1959" s="21"/>
      <c r="AI1959" s="21"/>
      <c r="AJ1959" s="21"/>
      <c r="AK1959" s="21"/>
      <c r="AM1959" t="s">
        <v>53</v>
      </c>
    </row>
    <row r="1960" spans="34:39" x14ac:dyDescent="0.35">
      <c r="AH1960" s="21"/>
      <c r="AI1960" s="21"/>
      <c r="AJ1960" s="21"/>
      <c r="AK1960" s="21"/>
      <c r="AM1960" t="s">
        <v>53</v>
      </c>
    </row>
    <row r="1961" spans="34:39" x14ac:dyDescent="0.35">
      <c r="AH1961" s="21"/>
      <c r="AI1961" s="21"/>
      <c r="AJ1961" s="21"/>
      <c r="AK1961" s="21"/>
      <c r="AM1961" t="s">
        <v>53</v>
      </c>
    </row>
    <row r="1962" spans="34:39" x14ac:dyDescent="0.35">
      <c r="AH1962" s="21"/>
      <c r="AI1962" s="21"/>
      <c r="AJ1962" s="21"/>
      <c r="AK1962" s="21"/>
      <c r="AM1962" t="s">
        <v>53</v>
      </c>
    </row>
    <row r="1963" spans="34:39" x14ac:dyDescent="0.35">
      <c r="AH1963" s="21"/>
      <c r="AI1963" s="21"/>
      <c r="AJ1963" s="21"/>
      <c r="AK1963" s="21"/>
      <c r="AM1963" t="s">
        <v>53</v>
      </c>
    </row>
    <row r="1964" spans="34:39" x14ac:dyDescent="0.35">
      <c r="AH1964" s="21"/>
      <c r="AI1964" s="21"/>
      <c r="AJ1964" s="21"/>
      <c r="AK1964" s="21"/>
      <c r="AM1964" t="s">
        <v>53</v>
      </c>
    </row>
    <row r="1965" spans="34:39" x14ac:dyDescent="0.35">
      <c r="AH1965" s="21"/>
      <c r="AI1965" s="21"/>
      <c r="AJ1965" s="21"/>
      <c r="AK1965" s="21"/>
      <c r="AM1965" t="s">
        <v>53</v>
      </c>
    </row>
    <row r="1966" spans="34:39" x14ac:dyDescent="0.35">
      <c r="AH1966" s="21"/>
      <c r="AI1966" s="21"/>
      <c r="AJ1966" s="21"/>
      <c r="AK1966" s="21"/>
      <c r="AM1966" t="s">
        <v>53</v>
      </c>
    </row>
    <row r="1967" spans="34:39" x14ac:dyDescent="0.35">
      <c r="AH1967" s="21"/>
      <c r="AI1967" s="21"/>
      <c r="AJ1967" s="21"/>
      <c r="AK1967" s="21"/>
      <c r="AM1967" t="s">
        <v>53</v>
      </c>
    </row>
    <row r="1968" spans="34:39" x14ac:dyDescent="0.35">
      <c r="AH1968" s="21"/>
      <c r="AI1968" s="21"/>
      <c r="AJ1968" s="21"/>
      <c r="AK1968" s="21"/>
      <c r="AM1968" t="s">
        <v>53</v>
      </c>
    </row>
    <row r="1969" spans="34:39" x14ac:dyDescent="0.35">
      <c r="AH1969" s="21"/>
      <c r="AI1969" s="21"/>
      <c r="AJ1969" s="21"/>
      <c r="AK1969" s="21"/>
      <c r="AM1969" t="s">
        <v>53</v>
      </c>
    </row>
    <row r="1970" spans="34:39" x14ac:dyDescent="0.35">
      <c r="AH1970" s="21"/>
      <c r="AI1970" s="21"/>
      <c r="AJ1970" s="21"/>
      <c r="AK1970" s="21"/>
      <c r="AM1970" t="s">
        <v>53</v>
      </c>
    </row>
    <row r="1971" spans="34:39" x14ac:dyDescent="0.35">
      <c r="AH1971" s="21"/>
      <c r="AI1971" s="21"/>
      <c r="AJ1971" s="21"/>
      <c r="AK1971" s="21"/>
      <c r="AM1971" t="s">
        <v>53</v>
      </c>
    </row>
    <row r="1972" spans="34:39" x14ac:dyDescent="0.35">
      <c r="AH1972" s="21"/>
      <c r="AI1972" s="21"/>
      <c r="AJ1972" s="21"/>
      <c r="AK1972" s="21"/>
      <c r="AM1972" t="s">
        <v>53</v>
      </c>
    </row>
    <row r="1973" spans="34:39" x14ac:dyDescent="0.35">
      <c r="AH1973" s="21"/>
      <c r="AI1973" s="21"/>
      <c r="AJ1973" s="21"/>
      <c r="AK1973" s="21"/>
      <c r="AM1973" t="s">
        <v>53</v>
      </c>
    </row>
    <row r="1974" spans="34:39" x14ac:dyDescent="0.35">
      <c r="AH1974" s="21"/>
      <c r="AI1974" s="21"/>
      <c r="AJ1974" s="21"/>
      <c r="AK1974" s="21"/>
      <c r="AM1974" t="s">
        <v>53</v>
      </c>
    </row>
    <row r="1975" spans="34:39" x14ac:dyDescent="0.35">
      <c r="AH1975" s="21"/>
      <c r="AI1975" s="21"/>
      <c r="AJ1975" s="21"/>
      <c r="AK1975" s="21"/>
      <c r="AM1975" t="s">
        <v>53</v>
      </c>
    </row>
    <row r="1976" spans="34:39" x14ac:dyDescent="0.35">
      <c r="AH1976" s="21"/>
      <c r="AI1976" s="21"/>
      <c r="AJ1976" s="21"/>
      <c r="AK1976" s="21"/>
      <c r="AM1976" t="s">
        <v>53</v>
      </c>
    </row>
    <row r="1977" spans="34:39" x14ac:dyDescent="0.35">
      <c r="AH1977" s="21"/>
      <c r="AI1977" s="21"/>
      <c r="AJ1977" s="21"/>
      <c r="AK1977" s="21"/>
      <c r="AM1977" t="s">
        <v>53</v>
      </c>
    </row>
    <row r="1978" spans="34:39" x14ac:dyDescent="0.35">
      <c r="AH1978" s="21"/>
      <c r="AI1978" s="21"/>
      <c r="AJ1978" s="21"/>
      <c r="AK1978" s="21"/>
      <c r="AM1978" t="s">
        <v>53</v>
      </c>
    </row>
    <row r="1979" spans="34:39" x14ac:dyDescent="0.35">
      <c r="AH1979" s="21"/>
      <c r="AI1979" s="21"/>
      <c r="AJ1979" s="21"/>
      <c r="AK1979" s="21"/>
      <c r="AM1979" t="s">
        <v>53</v>
      </c>
    </row>
    <row r="1980" spans="34:39" x14ac:dyDescent="0.35">
      <c r="AH1980" s="21"/>
      <c r="AI1980" s="21"/>
      <c r="AJ1980" s="21"/>
      <c r="AK1980" s="21"/>
      <c r="AM1980" t="s">
        <v>53</v>
      </c>
    </row>
    <row r="1981" spans="34:39" x14ac:dyDescent="0.35">
      <c r="AH1981" s="21"/>
      <c r="AI1981" s="21"/>
      <c r="AJ1981" s="21"/>
      <c r="AK1981" s="21"/>
      <c r="AM1981" t="s">
        <v>53</v>
      </c>
    </row>
    <row r="1982" spans="34:39" x14ac:dyDescent="0.35">
      <c r="AH1982" s="21"/>
      <c r="AI1982" s="21"/>
      <c r="AJ1982" s="21"/>
      <c r="AK1982" s="21"/>
      <c r="AM1982" t="s">
        <v>53</v>
      </c>
    </row>
    <row r="1983" spans="34:39" x14ac:dyDescent="0.35">
      <c r="AH1983" s="21"/>
      <c r="AI1983" s="21"/>
      <c r="AJ1983" s="21"/>
      <c r="AK1983" s="21"/>
      <c r="AM1983" t="s">
        <v>53</v>
      </c>
    </row>
    <row r="1984" spans="34:39" x14ac:dyDescent="0.35">
      <c r="AH1984" s="21"/>
      <c r="AI1984" s="21"/>
      <c r="AJ1984" s="21"/>
      <c r="AK1984" s="21"/>
      <c r="AM1984" t="s">
        <v>53</v>
      </c>
    </row>
    <row r="1985" spans="34:39" x14ac:dyDescent="0.35">
      <c r="AH1985" s="21"/>
      <c r="AI1985" s="21"/>
      <c r="AJ1985" s="21"/>
      <c r="AK1985" s="21"/>
      <c r="AM1985" t="s">
        <v>53</v>
      </c>
    </row>
    <row r="1986" spans="34:39" x14ac:dyDescent="0.35">
      <c r="AH1986" s="21"/>
      <c r="AI1986" s="21"/>
      <c r="AJ1986" s="21"/>
      <c r="AK1986" s="21"/>
      <c r="AM1986" t="s">
        <v>53</v>
      </c>
    </row>
    <row r="1987" spans="34:39" x14ac:dyDescent="0.35">
      <c r="AH1987" s="21"/>
      <c r="AI1987" s="21"/>
      <c r="AJ1987" s="21"/>
      <c r="AK1987" s="21"/>
      <c r="AM1987" t="s">
        <v>53</v>
      </c>
    </row>
    <row r="1988" spans="34:39" x14ac:dyDescent="0.35">
      <c r="AH1988" s="21"/>
      <c r="AI1988" s="21"/>
      <c r="AJ1988" s="21"/>
      <c r="AK1988" s="21"/>
      <c r="AM1988" t="s">
        <v>53</v>
      </c>
    </row>
    <row r="1989" spans="34:39" x14ac:dyDescent="0.35">
      <c r="AH1989" s="21"/>
      <c r="AI1989" s="21"/>
      <c r="AJ1989" s="21"/>
      <c r="AK1989" s="21"/>
      <c r="AM1989" t="s">
        <v>53</v>
      </c>
    </row>
    <row r="1990" spans="34:39" x14ac:dyDescent="0.35">
      <c r="AH1990" s="21"/>
      <c r="AI1990" s="21"/>
      <c r="AJ1990" s="21"/>
      <c r="AK1990" s="21"/>
      <c r="AM1990" t="s">
        <v>53</v>
      </c>
    </row>
    <row r="1991" spans="34:39" x14ac:dyDescent="0.35">
      <c r="AH1991" s="21"/>
      <c r="AI1991" s="21"/>
      <c r="AJ1991" s="21"/>
      <c r="AK1991" s="21"/>
      <c r="AM1991" t="s">
        <v>53</v>
      </c>
    </row>
    <row r="1992" spans="34:39" x14ac:dyDescent="0.35">
      <c r="AH1992" s="21"/>
      <c r="AI1992" s="21"/>
      <c r="AJ1992" s="21"/>
      <c r="AK1992" s="21"/>
      <c r="AM1992" t="s">
        <v>53</v>
      </c>
    </row>
    <row r="1993" spans="34:39" x14ac:dyDescent="0.35">
      <c r="AH1993" s="21"/>
      <c r="AI1993" s="21"/>
      <c r="AJ1993" s="21"/>
      <c r="AK1993" s="21"/>
      <c r="AM1993" t="s">
        <v>53</v>
      </c>
    </row>
    <row r="1994" spans="34:39" x14ac:dyDescent="0.35">
      <c r="AH1994" s="21"/>
      <c r="AI1994" s="21"/>
      <c r="AJ1994" s="21"/>
      <c r="AK1994" s="21"/>
      <c r="AM1994" t="s">
        <v>53</v>
      </c>
    </row>
    <row r="1995" spans="34:39" x14ac:dyDescent="0.35">
      <c r="AH1995" s="21"/>
      <c r="AI1995" s="21"/>
      <c r="AJ1995" s="21"/>
      <c r="AK1995" s="21"/>
      <c r="AM1995" t="s">
        <v>53</v>
      </c>
    </row>
    <row r="1996" spans="34:39" x14ac:dyDescent="0.35">
      <c r="AH1996" s="21"/>
      <c r="AI1996" s="21"/>
      <c r="AJ1996" s="21"/>
      <c r="AK1996" s="21"/>
      <c r="AM1996" t="s">
        <v>53</v>
      </c>
    </row>
    <row r="1997" spans="34:39" x14ac:dyDescent="0.35">
      <c r="AH1997" s="21"/>
      <c r="AI1997" s="21"/>
      <c r="AJ1997" s="21"/>
      <c r="AK1997" s="21"/>
      <c r="AM1997" t="s">
        <v>53</v>
      </c>
    </row>
    <row r="1998" spans="34:39" x14ac:dyDescent="0.35">
      <c r="AH1998" s="21"/>
      <c r="AI1998" s="21"/>
      <c r="AJ1998" s="21"/>
      <c r="AK1998" s="21"/>
      <c r="AM1998" t="s">
        <v>53</v>
      </c>
    </row>
    <row r="1999" spans="34:39" x14ac:dyDescent="0.35">
      <c r="AH1999" s="21"/>
      <c r="AI1999" s="21"/>
      <c r="AJ1999" s="21"/>
      <c r="AK1999" s="21"/>
      <c r="AM1999" t="s">
        <v>53</v>
      </c>
    </row>
    <row r="2000" spans="34:39" x14ac:dyDescent="0.35">
      <c r="AH2000" s="21"/>
      <c r="AI2000" s="21"/>
      <c r="AJ2000" s="21"/>
      <c r="AK2000" s="21"/>
      <c r="AM2000" t="s">
        <v>53</v>
      </c>
    </row>
    <row r="2001" spans="34:39" x14ac:dyDescent="0.35">
      <c r="AH2001" s="21"/>
      <c r="AI2001" s="21"/>
      <c r="AJ2001" s="21"/>
      <c r="AK2001" s="21"/>
      <c r="AM2001" t="s">
        <v>53</v>
      </c>
    </row>
    <row r="2002" spans="34:39" x14ac:dyDescent="0.35">
      <c r="AH2002" s="21"/>
      <c r="AI2002" s="21"/>
      <c r="AJ2002" s="21"/>
      <c r="AK2002" s="21"/>
      <c r="AM2002" t="s">
        <v>53</v>
      </c>
    </row>
    <row r="2003" spans="34:39" x14ac:dyDescent="0.35">
      <c r="AH2003" s="21"/>
      <c r="AI2003" s="21"/>
      <c r="AJ2003" s="21"/>
      <c r="AK2003" s="21"/>
      <c r="AM2003" t="s">
        <v>53</v>
      </c>
    </row>
    <row r="2004" spans="34:39" x14ac:dyDescent="0.35">
      <c r="AH2004" s="21"/>
      <c r="AI2004" s="21"/>
      <c r="AJ2004" s="21"/>
      <c r="AK2004" s="21"/>
      <c r="AM2004" t="s">
        <v>53</v>
      </c>
    </row>
    <row r="2005" spans="34:39" x14ac:dyDescent="0.35">
      <c r="AH2005" s="21"/>
      <c r="AI2005" s="21"/>
      <c r="AJ2005" s="21"/>
      <c r="AK2005" s="21"/>
      <c r="AM2005" t="s">
        <v>53</v>
      </c>
    </row>
    <row r="2006" spans="34:39" x14ac:dyDescent="0.35">
      <c r="AH2006" s="21"/>
      <c r="AI2006" s="21"/>
      <c r="AJ2006" s="21"/>
      <c r="AK2006" s="21"/>
      <c r="AM2006" t="s">
        <v>53</v>
      </c>
    </row>
    <row r="2007" spans="34:39" x14ac:dyDescent="0.35">
      <c r="AH2007" s="21"/>
      <c r="AI2007" s="21"/>
      <c r="AJ2007" s="21"/>
      <c r="AK2007" s="21"/>
      <c r="AM2007" t="s">
        <v>53</v>
      </c>
    </row>
    <row r="2008" spans="34:39" x14ac:dyDescent="0.35">
      <c r="AH2008" s="21"/>
      <c r="AI2008" s="21"/>
      <c r="AJ2008" s="21"/>
      <c r="AK2008" s="21"/>
      <c r="AM2008" t="s">
        <v>53</v>
      </c>
    </row>
    <row r="2009" spans="34:39" x14ac:dyDescent="0.35">
      <c r="AH2009" s="21"/>
      <c r="AI2009" s="21"/>
      <c r="AJ2009" s="21"/>
      <c r="AK2009" s="21"/>
      <c r="AM2009" t="s">
        <v>53</v>
      </c>
    </row>
    <row r="2010" spans="34:39" x14ac:dyDescent="0.35">
      <c r="AH2010" s="21"/>
      <c r="AI2010" s="21"/>
      <c r="AJ2010" s="21"/>
      <c r="AK2010" s="21"/>
      <c r="AM2010" t="s">
        <v>53</v>
      </c>
    </row>
    <row r="2011" spans="34:39" x14ac:dyDescent="0.35">
      <c r="AH2011" s="21"/>
      <c r="AI2011" s="21"/>
      <c r="AJ2011" s="21"/>
      <c r="AK2011" s="21"/>
      <c r="AM2011" t="s">
        <v>53</v>
      </c>
    </row>
    <row r="2012" spans="34:39" x14ac:dyDescent="0.35">
      <c r="AH2012" s="21"/>
      <c r="AI2012" s="21"/>
      <c r="AJ2012" s="21"/>
      <c r="AK2012" s="21"/>
      <c r="AM2012" t="s">
        <v>53</v>
      </c>
    </row>
    <row r="2013" spans="34:39" x14ac:dyDescent="0.35">
      <c r="AH2013" s="21"/>
      <c r="AI2013" s="21"/>
      <c r="AJ2013" s="21"/>
      <c r="AK2013" s="21"/>
      <c r="AM2013" t="s">
        <v>53</v>
      </c>
    </row>
    <row r="2014" spans="34:39" x14ac:dyDescent="0.35">
      <c r="AH2014" s="21"/>
      <c r="AI2014" s="21"/>
      <c r="AJ2014" s="21"/>
      <c r="AK2014" s="21"/>
      <c r="AM2014" t="s">
        <v>53</v>
      </c>
    </row>
    <row r="2015" spans="34:39" x14ac:dyDescent="0.35">
      <c r="AH2015" s="21"/>
      <c r="AI2015" s="21"/>
      <c r="AJ2015" s="21"/>
      <c r="AK2015" s="21"/>
      <c r="AM2015" t="s">
        <v>53</v>
      </c>
    </row>
    <row r="2016" spans="34:39" x14ac:dyDescent="0.35">
      <c r="AH2016" s="21"/>
      <c r="AI2016" s="21"/>
      <c r="AJ2016" s="21"/>
      <c r="AK2016" s="21"/>
      <c r="AM2016" t="s">
        <v>53</v>
      </c>
    </row>
    <row r="2017" spans="34:39" x14ac:dyDescent="0.35">
      <c r="AH2017" s="21"/>
      <c r="AI2017" s="21"/>
      <c r="AJ2017" s="21"/>
      <c r="AK2017" s="21"/>
      <c r="AM2017" t="s">
        <v>53</v>
      </c>
    </row>
    <row r="2018" spans="34:39" x14ac:dyDescent="0.35">
      <c r="AH2018" s="21"/>
      <c r="AI2018" s="21"/>
      <c r="AJ2018" s="21"/>
      <c r="AK2018" s="21"/>
      <c r="AM2018" t="s">
        <v>53</v>
      </c>
    </row>
    <row r="2019" spans="34:39" x14ac:dyDescent="0.35">
      <c r="AH2019" s="21"/>
      <c r="AI2019" s="21"/>
      <c r="AJ2019" s="21"/>
      <c r="AK2019" s="21"/>
      <c r="AM2019" t="s">
        <v>53</v>
      </c>
    </row>
    <row r="2020" spans="34:39" x14ac:dyDescent="0.35">
      <c r="AH2020" s="21"/>
      <c r="AI2020" s="21"/>
      <c r="AJ2020" s="21"/>
      <c r="AK2020" s="21"/>
      <c r="AM2020" t="s">
        <v>53</v>
      </c>
    </row>
    <row r="2021" spans="34:39" x14ac:dyDescent="0.35">
      <c r="AH2021" s="21"/>
      <c r="AI2021" s="21"/>
      <c r="AJ2021" s="21"/>
      <c r="AK2021" s="21"/>
      <c r="AM2021" t="s">
        <v>53</v>
      </c>
    </row>
    <row r="2022" spans="34:39" x14ac:dyDescent="0.35">
      <c r="AH2022" s="21"/>
      <c r="AI2022" s="21"/>
      <c r="AJ2022" s="21"/>
      <c r="AK2022" s="21"/>
      <c r="AM2022" t="s">
        <v>53</v>
      </c>
    </row>
    <row r="2023" spans="34:39" x14ac:dyDescent="0.35">
      <c r="AH2023" s="21"/>
      <c r="AI2023" s="21"/>
      <c r="AJ2023" s="21"/>
      <c r="AK2023" s="21"/>
      <c r="AM2023" t="s">
        <v>53</v>
      </c>
    </row>
    <row r="2024" spans="34:39" x14ac:dyDescent="0.35">
      <c r="AH2024" s="21"/>
      <c r="AI2024" s="21"/>
      <c r="AJ2024" s="21"/>
      <c r="AK2024" s="21"/>
      <c r="AM2024" t="s">
        <v>53</v>
      </c>
    </row>
    <row r="2025" spans="34:39" x14ac:dyDescent="0.35">
      <c r="AH2025" s="21"/>
      <c r="AI2025" s="21"/>
      <c r="AJ2025" s="21"/>
      <c r="AK2025" s="21"/>
      <c r="AM2025" t="s">
        <v>53</v>
      </c>
    </row>
    <row r="2026" spans="34:39" x14ac:dyDescent="0.35">
      <c r="AH2026" s="21"/>
      <c r="AI2026" s="21"/>
      <c r="AJ2026" s="21"/>
      <c r="AK2026" s="21"/>
      <c r="AM2026" t="s">
        <v>53</v>
      </c>
    </row>
    <row r="2027" spans="34:39" x14ac:dyDescent="0.35">
      <c r="AH2027" s="21"/>
      <c r="AI2027" s="21"/>
      <c r="AJ2027" s="21"/>
      <c r="AK2027" s="21"/>
      <c r="AM2027" t="s">
        <v>53</v>
      </c>
    </row>
    <row r="2028" spans="34:39" x14ac:dyDescent="0.35">
      <c r="AH2028" s="21"/>
      <c r="AI2028" s="21"/>
      <c r="AJ2028" s="21"/>
      <c r="AK2028" s="21"/>
      <c r="AM2028" t="s">
        <v>53</v>
      </c>
    </row>
    <row r="2029" spans="34:39" x14ac:dyDescent="0.35">
      <c r="AH2029" s="21"/>
      <c r="AI2029" s="21"/>
      <c r="AJ2029" s="21"/>
      <c r="AK2029" s="21"/>
      <c r="AM2029" t="s">
        <v>53</v>
      </c>
    </row>
    <row r="2030" spans="34:39" x14ac:dyDescent="0.35">
      <c r="AH2030" s="21"/>
      <c r="AI2030" s="21"/>
      <c r="AJ2030" s="21"/>
      <c r="AK2030" s="21"/>
      <c r="AM2030" t="s">
        <v>53</v>
      </c>
    </row>
    <row r="2031" spans="34:39" x14ac:dyDescent="0.35">
      <c r="AH2031" s="21"/>
      <c r="AI2031" s="21"/>
      <c r="AJ2031" s="21"/>
      <c r="AK2031" s="21"/>
      <c r="AM2031" t="s">
        <v>53</v>
      </c>
    </row>
    <row r="2032" spans="34:39" x14ac:dyDescent="0.35">
      <c r="AH2032" s="21"/>
      <c r="AI2032" s="21"/>
      <c r="AJ2032" s="21"/>
      <c r="AK2032" s="21"/>
      <c r="AM2032" t="s">
        <v>53</v>
      </c>
    </row>
    <row r="2033" spans="34:39" x14ac:dyDescent="0.35">
      <c r="AH2033" s="21"/>
      <c r="AI2033" s="21"/>
      <c r="AJ2033" s="21"/>
      <c r="AK2033" s="21"/>
      <c r="AM2033" t="s">
        <v>53</v>
      </c>
    </row>
    <row r="2034" spans="34:39" x14ac:dyDescent="0.35">
      <c r="AH2034" s="21"/>
      <c r="AI2034" s="21"/>
      <c r="AJ2034" s="21"/>
      <c r="AK2034" s="21"/>
      <c r="AM2034" t="s">
        <v>53</v>
      </c>
    </row>
    <row r="2035" spans="34:39" x14ac:dyDescent="0.35">
      <c r="AH2035" s="21"/>
      <c r="AI2035" s="21"/>
      <c r="AJ2035" s="21"/>
      <c r="AK2035" s="21"/>
      <c r="AM2035" t="s">
        <v>53</v>
      </c>
    </row>
    <row r="2036" spans="34:39" x14ac:dyDescent="0.35">
      <c r="AH2036" s="21"/>
      <c r="AI2036" s="21"/>
      <c r="AJ2036" s="21"/>
      <c r="AK2036" s="21"/>
      <c r="AM2036" t="s">
        <v>53</v>
      </c>
    </row>
    <row r="2037" spans="34:39" x14ac:dyDescent="0.35">
      <c r="AH2037" s="21"/>
      <c r="AI2037" s="21"/>
      <c r="AJ2037" s="21"/>
      <c r="AK2037" s="21"/>
      <c r="AM2037" t="s">
        <v>53</v>
      </c>
    </row>
    <row r="2038" spans="34:39" x14ac:dyDescent="0.35">
      <c r="AH2038" s="21"/>
      <c r="AI2038" s="21"/>
      <c r="AJ2038" s="21"/>
      <c r="AK2038" s="21"/>
      <c r="AM2038" t="s">
        <v>53</v>
      </c>
    </row>
    <row r="2039" spans="34:39" x14ac:dyDescent="0.35">
      <c r="AH2039" s="21"/>
      <c r="AI2039" s="21"/>
      <c r="AJ2039" s="21"/>
      <c r="AK2039" s="21"/>
      <c r="AM2039" t="s">
        <v>53</v>
      </c>
    </row>
    <row r="2040" spans="34:39" x14ac:dyDescent="0.35">
      <c r="AH2040" s="21"/>
      <c r="AI2040" s="21"/>
      <c r="AJ2040" s="21"/>
      <c r="AK2040" s="21"/>
      <c r="AM2040" t="s">
        <v>53</v>
      </c>
    </row>
    <row r="2041" spans="34:39" x14ac:dyDescent="0.35">
      <c r="AH2041" s="21"/>
      <c r="AI2041" s="21"/>
      <c r="AJ2041" s="21"/>
      <c r="AK2041" s="21"/>
      <c r="AM2041" t="s">
        <v>53</v>
      </c>
    </row>
    <row r="2042" spans="34:39" x14ac:dyDescent="0.35">
      <c r="AH2042" s="21"/>
      <c r="AI2042" s="21"/>
      <c r="AJ2042" s="21"/>
      <c r="AK2042" s="21"/>
      <c r="AM2042" t="s">
        <v>53</v>
      </c>
    </row>
    <row r="2043" spans="34:39" x14ac:dyDescent="0.35">
      <c r="AH2043" s="21"/>
      <c r="AI2043" s="21"/>
      <c r="AJ2043" s="21"/>
      <c r="AK2043" s="21"/>
      <c r="AM2043" t="s">
        <v>53</v>
      </c>
    </row>
    <row r="2044" spans="34:39" x14ac:dyDescent="0.35">
      <c r="AH2044" s="21"/>
      <c r="AI2044" s="21"/>
      <c r="AJ2044" s="21"/>
      <c r="AK2044" s="21"/>
      <c r="AM2044" t="s">
        <v>53</v>
      </c>
    </row>
    <row r="2045" spans="34:39" x14ac:dyDescent="0.35">
      <c r="AH2045" s="21"/>
      <c r="AI2045" s="21"/>
      <c r="AJ2045" s="21"/>
      <c r="AK2045" s="21"/>
      <c r="AM2045" t="s">
        <v>53</v>
      </c>
    </row>
    <row r="2046" spans="34:39" x14ac:dyDescent="0.35">
      <c r="AH2046" s="21"/>
      <c r="AI2046" s="21"/>
      <c r="AJ2046" s="21"/>
      <c r="AK2046" s="21"/>
      <c r="AM2046" t="s">
        <v>53</v>
      </c>
    </row>
    <row r="2047" spans="34:39" x14ac:dyDescent="0.35">
      <c r="AH2047" s="21"/>
      <c r="AI2047" s="21"/>
      <c r="AJ2047" s="21"/>
      <c r="AK2047" s="21"/>
      <c r="AM2047" t="s">
        <v>53</v>
      </c>
    </row>
    <row r="2048" spans="34:39" x14ac:dyDescent="0.35">
      <c r="AH2048" s="21"/>
      <c r="AI2048" s="21"/>
      <c r="AJ2048" s="21"/>
      <c r="AK2048" s="21"/>
      <c r="AM2048" t="s">
        <v>53</v>
      </c>
    </row>
    <row r="2049" spans="34:39" x14ac:dyDescent="0.35">
      <c r="AH2049" s="21"/>
      <c r="AI2049" s="21"/>
      <c r="AJ2049" s="21"/>
      <c r="AK2049" s="21"/>
      <c r="AM2049" t="s">
        <v>53</v>
      </c>
    </row>
    <row r="2050" spans="34:39" x14ac:dyDescent="0.35">
      <c r="AH2050" s="21"/>
      <c r="AI2050" s="21"/>
      <c r="AJ2050" s="21"/>
      <c r="AK2050" s="21"/>
      <c r="AM2050" t="s">
        <v>53</v>
      </c>
    </row>
    <row r="2051" spans="34:39" x14ac:dyDescent="0.35">
      <c r="AH2051" s="21"/>
      <c r="AI2051" s="21"/>
      <c r="AJ2051" s="21"/>
      <c r="AK2051" s="21"/>
      <c r="AM2051" t="s">
        <v>53</v>
      </c>
    </row>
    <row r="2052" spans="34:39" x14ac:dyDescent="0.35">
      <c r="AH2052" s="21"/>
      <c r="AI2052" s="21"/>
      <c r="AJ2052" s="21"/>
      <c r="AK2052" s="21"/>
      <c r="AM2052" t="s">
        <v>53</v>
      </c>
    </row>
    <row r="2053" spans="34:39" x14ac:dyDescent="0.35">
      <c r="AH2053" s="21"/>
      <c r="AI2053" s="21"/>
      <c r="AJ2053" s="21"/>
      <c r="AK2053" s="21"/>
      <c r="AM2053" t="s">
        <v>53</v>
      </c>
    </row>
    <row r="2054" spans="34:39" x14ac:dyDescent="0.35">
      <c r="AH2054" s="21"/>
      <c r="AI2054" s="21"/>
      <c r="AJ2054" s="21"/>
      <c r="AK2054" s="21"/>
      <c r="AM2054" t="s">
        <v>53</v>
      </c>
    </row>
    <row r="2055" spans="34:39" x14ac:dyDescent="0.35">
      <c r="AH2055" s="21"/>
      <c r="AI2055" s="21"/>
      <c r="AJ2055" s="21"/>
      <c r="AK2055" s="21"/>
      <c r="AM2055" t="s">
        <v>53</v>
      </c>
    </row>
    <row r="2056" spans="34:39" x14ac:dyDescent="0.35">
      <c r="AH2056" s="21"/>
      <c r="AI2056" s="21"/>
      <c r="AJ2056" s="21"/>
      <c r="AK2056" s="21"/>
      <c r="AM2056" t="s">
        <v>53</v>
      </c>
    </row>
    <row r="2057" spans="34:39" x14ac:dyDescent="0.35">
      <c r="AH2057" s="21"/>
      <c r="AI2057" s="21"/>
      <c r="AJ2057" s="21"/>
      <c r="AK2057" s="21"/>
      <c r="AM2057" t="s">
        <v>53</v>
      </c>
    </row>
    <row r="2058" spans="34:39" x14ac:dyDescent="0.35">
      <c r="AH2058" s="21"/>
      <c r="AI2058" s="21"/>
      <c r="AJ2058" s="21"/>
      <c r="AK2058" s="21"/>
      <c r="AM2058" t="s">
        <v>53</v>
      </c>
    </row>
    <row r="2059" spans="34:39" x14ac:dyDescent="0.35">
      <c r="AH2059" s="21"/>
      <c r="AI2059" s="21"/>
      <c r="AJ2059" s="21"/>
      <c r="AK2059" s="21"/>
      <c r="AM2059" t="s">
        <v>53</v>
      </c>
    </row>
    <row r="2060" spans="34:39" x14ac:dyDescent="0.35">
      <c r="AH2060" s="21"/>
      <c r="AI2060" s="21"/>
      <c r="AJ2060" s="21"/>
      <c r="AK2060" s="21"/>
      <c r="AM2060" t="s">
        <v>53</v>
      </c>
    </row>
    <row r="2061" spans="34:39" x14ac:dyDescent="0.35">
      <c r="AH2061" s="21"/>
      <c r="AI2061" s="21"/>
      <c r="AJ2061" s="21"/>
      <c r="AK2061" s="21"/>
      <c r="AM2061" t="s">
        <v>53</v>
      </c>
    </row>
    <row r="2062" spans="34:39" x14ac:dyDescent="0.35">
      <c r="AH2062" s="21"/>
      <c r="AI2062" s="21"/>
      <c r="AJ2062" s="21"/>
      <c r="AK2062" s="21"/>
      <c r="AM2062" t="s">
        <v>53</v>
      </c>
    </row>
    <row r="2063" spans="34:39" x14ac:dyDescent="0.35">
      <c r="AH2063" s="21"/>
      <c r="AI2063" s="21"/>
      <c r="AJ2063" s="21"/>
      <c r="AK2063" s="21"/>
      <c r="AM2063" t="s">
        <v>53</v>
      </c>
    </row>
    <row r="2064" spans="34:39" x14ac:dyDescent="0.35">
      <c r="AH2064" s="21"/>
      <c r="AI2064" s="21"/>
      <c r="AJ2064" s="21"/>
      <c r="AK2064" s="21"/>
      <c r="AM2064" t="s">
        <v>53</v>
      </c>
    </row>
    <row r="2065" spans="34:39" x14ac:dyDescent="0.35">
      <c r="AH2065" s="21"/>
      <c r="AI2065" s="21"/>
      <c r="AJ2065" s="21"/>
      <c r="AK2065" s="21"/>
      <c r="AM2065" t="s">
        <v>53</v>
      </c>
    </row>
    <row r="2066" spans="34:39" x14ac:dyDescent="0.35">
      <c r="AH2066" s="21"/>
      <c r="AI2066" s="21"/>
      <c r="AJ2066" s="21"/>
      <c r="AK2066" s="21"/>
      <c r="AM2066" t="s">
        <v>53</v>
      </c>
    </row>
    <row r="2067" spans="34:39" x14ac:dyDescent="0.35">
      <c r="AH2067" s="21"/>
      <c r="AI2067" s="21"/>
      <c r="AJ2067" s="21"/>
      <c r="AK2067" s="21"/>
      <c r="AM2067" t="s">
        <v>53</v>
      </c>
    </row>
    <row r="2068" spans="34:39" x14ac:dyDescent="0.35">
      <c r="AH2068" s="21"/>
      <c r="AI2068" s="21"/>
      <c r="AJ2068" s="21"/>
      <c r="AK2068" s="21"/>
      <c r="AM2068" t="s">
        <v>53</v>
      </c>
    </row>
    <row r="2069" spans="34:39" x14ac:dyDescent="0.35">
      <c r="AH2069" s="21"/>
      <c r="AI2069" s="21"/>
      <c r="AJ2069" s="21"/>
      <c r="AK2069" s="21"/>
      <c r="AM2069" t="s">
        <v>53</v>
      </c>
    </row>
    <row r="2070" spans="34:39" x14ac:dyDescent="0.35">
      <c r="AH2070" s="21"/>
      <c r="AI2070" s="21"/>
      <c r="AJ2070" s="21"/>
      <c r="AK2070" s="21"/>
      <c r="AM2070" t="s">
        <v>53</v>
      </c>
    </row>
    <row r="2071" spans="34:39" x14ac:dyDescent="0.35">
      <c r="AH2071" s="21"/>
      <c r="AI2071" s="21"/>
      <c r="AJ2071" s="21"/>
      <c r="AK2071" s="21"/>
      <c r="AM2071" t="s">
        <v>53</v>
      </c>
    </row>
    <row r="2072" spans="34:39" x14ac:dyDescent="0.35">
      <c r="AH2072" s="21"/>
      <c r="AI2072" s="21"/>
      <c r="AJ2072" s="21"/>
      <c r="AK2072" s="21"/>
      <c r="AM2072" t="s">
        <v>53</v>
      </c>
    </row>
    <row r="2073" spans="34:39" x14ac:dyDescent="0.35">
      <c r="AH2073" s="21"/>
      <c r="AI2073" s="21"/>
      <c r="AJ2073" s="21"/>
      <c r="AK2073" s="21"/>
      <c r="AM2073" t="s">
        <v>53</v>
      </c>
    </row>
    <row r="2074" spans="34:39" x14ac:dyDescent="0.35">
      <c r="AH2074" s="21"/>
      <c r="AI2074" s="21"/>
      <c r="AJ2074" s="21"/>
      <c r="AK2074" s="21"/>
      <c r="AM2074" t="s">
        <v>53</v>
      </c>
    </row>
    <row r="2075" spans="34:39" x14ac:dyDescent="0.35">
      <c r="AH2075" s="21"/>
      <c r="AI2075" s="21"/>
      <c r="AJ2075" s="21"/>
      <c r="AK2075" s="21"/>
      <c r="AM2075" t="s">
        <v>53</v>
      </c>
    </row>
    <row r="2076" spans="34:39" x14ac:dyDescent="0.35">
      <c r="AH2076" s="21"/>
      <c r="AI2076" s="21"/>
      <c r="AJ2076" s="21"/>
      <c r="AK2076" s="21"/>
      <c r="AM2076" t="s">
        <v>53</v>
      </c>
    </row>
    <row r="2077" spans="34:39" x14ac:dyDescent="0.35">
      <c r="AH2077" s="21"/>
      <c r="AI2077" s="21"/>
      <c r="AJ2077" s="21"/>
      <c r="AK2077" s="21"/>
      <c r="AM2077" t="s">
        <v>53</v>
      </c>
    </row>
    <row r="2078" spans="34:39" x14ac:dyDescent="0.35">
      <c r="AH2078" s="21"/>
      <c r="AI2078" s="21"/>
      <c r="AJ2078" s="21"/>
      <c r="AK2078" s="21"/>
      <c r="AM2078" t="s">
        <v>53</v>
      </c>
    </row>
    <row r="2079" spans="34:39" x14ac:dyDescent="0.35">
      <c r="AH2079" s="21"/>
      <c r="AI2079" s="21"/>
      <c r="AJ2079" s="21"/>
      <c r="AK2079" s="21"/>
      <c r="AM2079" t="s">
        <v>53</v>
      </c>
    </row>
    <row r="2080" spans="34:39" x14ac:dyDescent="0.35">
      <c r="AH2080" s="21"/>
      <c r="AI2080" s="21"/>
      <c r="AJ2080" s="21"/>
      <c r="AK2080" s="21"/>
      <c r="AM2080" t="s">
        <v>53</v>
      </c>
    </row>
    <row r="2081" spans="34:39" x14ac:dyDescent="0.35">
      <c r="AH2081" s="21"/>
      <c r="AI2081" s="21"/>
      <c r="AJ2081" s="21"/>
      <c r="AK2081" s="21"/>
      <c r="AM2081" t="s">
        <v>53</v>
      </c>
    </row>
    <row r="2082" spans="34:39" x14ac:dyDescent="0.35">
      <c r="AH2082" s="21"/>
      <c r="AI2082" s="21"/>
      <c r="AJ2082" s="21"/>
      <c r="AK2082" s="21"/>
      <c r="AM2082" t="s">
        <v>53</v>
      </c>
    </row>
    <row r="2083" spans="34:39" x14ac:dyDescent="0.35">
      <c r="AH2083" s="21"/>
      <c r="AI2083" s="21"/>
      <c r="AJ2083" s="21"/>
      <c r="AK2083" s="21"/>
      <c r="AM2083" t="s">
        <v>53</v>
      </c>
    </row>
    <row r="2084" spans="34:39" x14ac:dyDescent="0.35">
      <c r="AH2084" s="21"/>
      <c r="AI2084" s="21"/>
      <c r="AJ2084" s="21"/>
      <c r="AK2084" s="21"/>
      <c r="AM2084" t="s">
        <v>53</v>
      </c>
    </row>
    <row r="2085" spans="34:39" x14ac:dyDescent="0.35">
      <c r="AH2085" s="21"/>
      <c r="AI2085" s="21"/>
      <c r="AJ2085" s="21"/>
      <c r="AK2085" s="21"/>
      <c r="AM2085" t="s">
        <v>53</v>
      </c>
    </row>
    <row r="2086" spans="34:39" x14ac:dyDescent="0.35">
      <c r="AH2086" s="21"/>
      <c r="AI2086" s="21"/>
      <c r="AJ2086" s="21"/>
      <c r="AK2086" s="21"/>
      <c r="AM2086" t="s">
        <v>53</v>
      </c>
    </row>
    <row r="2087" spans="34:39" x14ac:dyDescent="0.35">
      <c r="AH2087" s="21"/>
      <c r="AI2087" s="21"/>
      <c r="AJ2087" s="21"/>
      <c r="AK2087" s="21"/>
      <c r="AM2087" t="s">
        <v>53</v>
      </c>
    </row>
    <row r="2088" spans="34:39" x14ac:dyDescent="0.35">
      <c r="AH2088" s="21"/>
      <c r="AI2088" s="21"/>
      <c r="AJ2088" s="21"/>
      <c r="AK2088" s="21"/>
      <c r="AM2088" t="s">
        <v>53</v>
      </c>
    </row>
    <row r="2089" spans="34:39" x14ac:dyDescent="0.35">
      <c r="AH2089" s="21"/>
      <c r="AI2089" s="21"/>
      <c r="AJ2089" s="21"/>
      <c r="AK2089" s="21"/>
      <c r="AM2089" t="s">
        <v>53</v>
      </c>
    </row>
    <row r="2090" spans="34:39" x14ac:dyDescent="0.35">
      <c r="AH2090" s="21"/>
      <c r="AI2090" s="21"/>
      <c r="AJ2090" s="21"/>
      <c r="AK2090" s="21"/>
      <c r="AM2090" t="s">
        <v>53</v>
      </c>
    </row>
    <row r="2091" spans="34:39" x14ac:dyDescent="0.35">
      <c r="AH2091" s="21"/>
      <c r="AI2091" s="21"/>
      <c r="AJ2091" s="21"/>
      <c r="AK2091" s="21"/>
      <c r="AM2091" t="s">
        <v>53</v>
      </c>
    </row>
    <row r="2092" spans="34:39" x14ac:dyDescent="0.35">
      <c r="AH2092" s="21"/>
      <c r="AI2092" s="21"/>
      <c r="AJ2092" s="21"/>
      <c r="AK2092" s="21"/>
      <c r="AM2092" t="s">
        <v>53</v>
      </c>
    </row>
    <row r="2093" spans="34:39" x14ac:dyDescent="0.35">
      <c r="AH2093" s="21"/>
      <c r="AI2093" s="21"/>
      <c r="AJ2093" s="21"/>
      <c r="AK2093" s="21"/>
      <c r="AM2093" t="s">
        <v>53</v>
      </c>
    </row>
    <row r="2094" spans="34:39" x14ac:dyDescent="0.35">
      <c r="AH2094" s="21"/>
      <c r="AI2094" s="21"/>
      <c r="AJ2094" s="21"/>
      <c r="AK2094" s="21"/>
      <c r="AM2094" t="s">
        <v>53</v>
      </c>
    </row>
    <row r="2095" spans="34:39" x14ac:dyDescent="0.35">
      <c r="AH2095" s="21"/>
      <c r="AI2095" s="21"/>
      <c r="AJ2095" s="21"/>
      <c r="AK2095" s="21"/>
      <c r="AM2095" t="s">
        <v>53</v>
      </c>
    </row>
    <row r="2096" spans="34:39" x14ac:dyDescent="0.35">
      <c r="AH2096" s="21"/>
      <c r="AI2096" s="21"/>
      <c r="AJ2096" s="21"/>
      <c r="AK2096" s="21"/>
      <c r="AM2096" t="s">
        <v>53</v>
      </c>
    </row>
    <row r="2097" spans="34:39" x14ac:dyDescent="0.35">
      <c r="AH2097" s="21"/>
      <c r="AI2097" s="21"/>
      <c r="AJ2097" s="21"/>
      <c r="AK2097" s="21"/>
      <c r="AM2097" t="s">
        <v>53</v>
      </c>
    </row>
    <row r="2098" spans="34:39" x14ac:dyDescent="0.35">
      <c r="AH2098" s="21"/>
      <c r="AI2098" s="21"/>
      <c r="AJ2098" s="21"/>
      <c r="AK2098" s="21"/>
      <c r="AM2098" t="s">
        <v>53</v>
      </c>
    </row>
    <row r="2099" spans="34:39" x14ac:dyDescent="0.35">
      <c r="AH2099" s="21"/>
      <c r="AI2099" s="21"/>
      <c r="AJ2099" s="21"/>
      <c r="AK2099" s="21"/>
      <c r="AM2099" t="s">
        <v>53</v>
      </c>
    </row>
    <row r="2100" spans="34:39" x14ac:dyDescent="0.35">
      <c r="AH2100" s="21"/>
      <c r="AI2100" s="21"/>
      <c r="AJ2100" s="21"/>
      <c r="AK2100" s="21"/>
      <c r="AM2100" t="s">
        <v>53</v>
      </c>
    </row>
    <row r="2101" spans="34:39" x14ac:dyDescent="0.35">
      <c r="AH2101" s="21"/>
      <c r="AI2101" s="21"/>
      <c r="AJ2101" s="21"/>
      <c r="AK2101" s="21"/>
      <c r="AM2101" t="s">
        <v>53</v>
      </c>
    </row>
    <row r="2102" spans="34:39" x14ac:dyDescent="0.35">
      <c r="AH2102" s="21"/>
      <c r="AI2102" s="21"/>
      <c r="AJ2102" s="21"/>
      <c r="AK2102" s="21"/>
      <c r="AM2102" t="s">
        <v>53</v>
      </c>
    </row>
    <row r="2103" spans="34:39" x14ac:dyDescent="0.35">
      <c r="AH2103" s="21"/>
      <c r="AI2103" s="21"/>
      <c r="AJ2103" s="21"/>
      <c r="AK2103" s="21"/>
      <c r="AM2103" t="s">
        <v>53</v>
      </c>
    </row>
    <row r="2104" spans="34:39" x14ac:dyDescent="0.35">
      <c r="AH2104" s="21"/>
      <c r="AI2104" s="21"/>
      <c r="AJ2104" s="21"/>
      <c r="AK2104" s="21"/>
      <c r="AM2104" t="s">
        <v>53</v>
      </c>
    </row>
    <row r="2105" spans="34:39" x14ac:dyDescent="0.35">
      <c r="AH2105" s="21"/>
      <c r="AI2105" s="21"/>
      <c r="AJ2105" s="21"/>
      <c r="AK2105" s="21"/>
      <c r="AM2105" t="s">
        <v>53</v>
      </c>
    </row>
    <row r="2106" spans="34:39" x14ac:dyDescent="0.35">
      <c r="AH2106" s="21"/>
      <c r="AI2106" s="21"/>
      <c r="AJ2106" s="21"/>
      <c r="AK2106" s="21"/>
      <c r="AM2106" t="s">
        <v>53</v>
      </c>
    </row>
    <row r="2107" spans="34:39" x14ac:dyDescent="0.35">
      <c r="AH2107" s="21"/>
      <c r="AI2107" s="21"/>
      <c r="AJ2107" s="21"/>
      <c r="AK2107" s="21"/>
      <c r="AM2107" t="s">
        <v>53</v>
      </c>
    </row>
    <row r="2108" spans="34:39" x14ac:dyDescent="0.35">
      <c r="AH2108" s="21"/>
      <c r="AI2108" s="21"/>
      <c r="AJ2108" s="21"/>
      <c r="AK2108" s="21"/>
      <c r="AM2108" t="s">
        <v>53</v>
      </c>
    </row>
    <row r="2109" spans="34:39" x14ac:dyDescent="0.35">
      <c r="AH2109" s="21"/>
      <c r="AI2109" s="21"/>
      <c r="AJ2109" s="21"/>
      <c r="AK2109" s="21"/>
      <c r="AM2109" t="s">
        <v>53</v>
      </c>
    </row>
    <row r="2110" spans="34:39" x14ac:dyDescent="0.35">
      <c r="AH2110" s="21"/>
      <c r="AI2110" s="21"/>
      <c r="AJ2110" s="21"/>
      <c r="AK2110" s="21"/>
      <c r="AM2110" t="s">
        <v>53</v>
      </c>
    </row>
    <row r="2111" spans="34:39" x14ac:dyDescent="0.35">
      <c r="AH2111" s="21"/>
      <c r="AI2111" s="21"/>
      <c r="AJ2111" s="21"/>
      <c r="AK2111" s="21"/>
      <c r="AM2111" t="s">
        <v>53</v>
      </c>
    </row>
    <row r="2112" spans="34:39" x14ac:dyDescent="0.35">
      <c r="AH2112" s="21"/>
      <c r="AI2112" s="21"/>
      <c r="AJ2112" s="21"/>
      <c r="AK2112" s="21"/>
      <c r="AM2112" t="s">
        <v>53</v>
      </c>
    </row>
    <row r="2113" spans="34:39" x14ac:dyDescent="0.35">
      <c r="AH2113" s="21"/>
      <c r="AI2113" s="21"/>
      <c r="AJ2113" s="21"/>
      <c r="AK2113" s="21"/>
      <c r="AM2113" t="s">
        <v>53</v>
      </c>
    </row>
    <row r="2114" spans="34:39" x14ac:dyDescent="0.35">
      <c r="AH2114" s="21"/>
      <c r="AI2114" s="21"/>
      <c r="AJ2114" s="21"/>
      <c r="AK2114" s="21"/>
      <c r="AM2114" t="s">
        <v>53</v>
      </c>
    </row>
    <row r="2115" spans="34:39" x14ac:dyDescent="0.35">
      <c r="AH2115" s="21"/>
      <c r="AI2115" s="21"/>
      <c r="AJ2115" s="21"/>
      <c r="AK2115" s="21"/>
      <c r="AM2115" t="s">
        <v>53</v>
      </c>
    </row>
    <row r="2116" spans="34:39" x14ac:dyDescent="0.35">
      <c r="AH2116" s="21"/>
      <c r="AI2116" s="21"/>
      <c r="AJ2116" s="21"/>
      <c r="AK2116" s="21"/>
      <c r="AM2116" t="s">
        <v>53</v>
      </c>
    </row>
    <row r="2117" spans="34:39" x14ac:dyDescent="0.35">
      <c r="AH2117" s="21"/>
      <c r="AI2117" s="21"/>
      <c r="AJ2117" s="21"/>
      <c r="AK2117" s="21"/>
      <c r="AM2117" t="s">
        <v>53</v>
      </c>
    </row>
    <row r="2118" spans="34:39" x14ac:dyDescent="0.35">
      <c r="AH2118" s="21"/>
      <c r="AI2118" s="21"/>
      <c r="AJ2118" s="21"/>
      <c r="AK2118" s="21"/>
      <c r="AM2118" t="s">
        <v>53</v>
      </c>
    </row>
    <row r="2119" spans="34:39" x14ac:dyDescent="0.35">
      <c r="AH2119" s="21"/>
      <c r="AI2119" s="21"/>
      <c r="AJ2119" s="21"/>
      <c r="AK2119" s="21"/>
      <c r="AM2119" t="s">
        <v>53</v>
      </c>
    </row>
    <row r="2120" spans="34:39" x14ac:dyDescent="0.35">
      <c r="AH2120" s="21"/>
      <c r="AI2120" s="21"/>
      <c r="AJ2120" s="21"/>
      <c r="AK2120" s="21"/>
      <c r="AM2120" t="s">
        <v>53</v>
      </c>
    </row>
    <row r="2121" spans="34:39" x14ac:dyDescent="0.35">
      <c r="AH2121" s="21"/>
      <c r="AI2121" s="21"/>
      <c r="AJ2121" s="21"/>
      <c r="AK2121" s="21"/>
      <c r="AM2121" t="s">
        <v>53</v>
      </c>
    </row>
    <row r="2122" spans="34:39" x14ac:dyDescent="0.35">
      <c r="AH2122" s="21"/>
      <c r="AI2122" s="21"/>
      <c r="AJ2122" s="21"/>
      <c r="AK2122" s="21"/>
      <c r="AM2122" t="s">
        <v>53</v>
      </c>
    </row>
    <row r="2123" spans="34:39" x14ac:dyDescent="0.35">
      <c r="AH2123" s="21"/>
      <c r="AI2123" s="21"/>
      <c r="AJ2123" s="21"/>
      <c r="AK2123" s="21"/>
      <c r="AM2123" t="s">
        <v>53</v>
      </c>
    </row>
    <row r="2124" spans="34:39" x14ac:dyDescent="0.35">
      <c r="AH2124" s="21"/>
      <c r="AI2124" s="21"/>
      <c r="AJ2124" s="21"/>
      <c r="AK2124" s="21"/>
      <c r="AM2124" t="s">
        <v>53</v>
      </c>
    </row>
    <row r="2125" spans="34:39" x14ac:dyDescent="0.35">
      <c r="AH2125" s="21"/>
      <c r="AI2125" s="21"/>
      <c r="AJ2125" s="21"/>
      <c r="AK2125" s="21"/>
      <c r="AM2125" t="s">
        <v>53</v>
      </c>
    </row>
    <row r="2126" spans="34:39" x14ac:dyDescent="0.35">
      <c r="AH2126" s="21"/>
      <c r="AI2126" s="21"/>
      <c r="AJ2126" s="21"/>
      <c r="AK2126" s="21"/>
      <c r="AM2126" t="s">
        <v>53</v>
      </c>
    </row>
    <row r="2127" spans="34:39" x14ac:dyDescent="0.35">
      <c r="AH2127" s="21"/>
      <c r="AI2127" s="21"/>
      <c r="AJ2127" s="21"/>
      <c r="AK2127" s="21"/>
      <c r="AM2127" t="s">
        <v>53</v>
      </c>
    </row>
    <row r="2128" spans="34:39" x14ac:dyDescent="0.35">
      <c r="AH2128" s="21"/>
      <c r="AI2128" s="21"/>
      <c r="AJ2128" s="21"/>
      <c r="AK2128" s="21"/>
      <c r="AM2128" t="s">
        <v>53</v>
      </c>
    </row>
    <row r="2129" spans="34:39" x14ac:dyDescent="0.35">
      <c r="AH2129" s="21"/>
      <c r="AI2129" s="21"/>
      <c r="AJ2129" s="21"/>
      <c r="AK2129" s="21"/>
      <c r="AM2129" t="s">
        <v>53</v>
      </c>
    </row>
    <row r="2130" spans="34:39" x14ac:dyDescent="0.35">
      <c r="AH2130" s="21"/>
      <c r="AI2130" s="21"/>
      <c r="AJ2130" s="21"/>
      <c r="AK2130" s="21"/>
      <c r="AM2130" t="s">
        <v>53</v>
      </c>
    </row>
    <row r="2131" spans="34:39" x14ac:dyDescent="0.35">
      <c r="AH2131" s="21"/>
      <c r="AI2131" s="21"/>
      <c r="AJ2131" s="21"/>
      <c r="AK2131" s="21"/>
      <c r="AM2131" t="s">
        <v>53</v>
      </c>
    </row>
    <row r="2132" spans="34:39" x14ac:dyDescent="0.35">
      <c r="AH2132" s="21"/>
      <c r="AI2132" s="21"/>
      <c r="AJ2132" s="21"/>
      <c r="AK2132" s="21"/>
      <c r="AM2132" t="s">
        <v>53</v>
      </c>
    </row>
    <row r="2133" spans="34:39" x14ac:dyDescent="0.35">
      <c r="AH2133" s="21"/>
      <c r="AI2133" s="21"/>
      <c r="AJ2133" s="21"/>
      <c r="AK2133" s="21"/>
      <c r="AM2133" t="s">
        <v>53</v>
      </c>
    </row>
    <row r="2134" spans="34:39" x14ac:dyDescent="0.35">
      <c r="AH2134" s="21"/>
      <c r="AI2134" s="21"/>
      <c r="AJ2134" s="21"/>
      <c r="AK2134" s="21"/>
      <c r="AM2134" t="s">
        <v>53</v>
      </c>
    </row>
    <row r="2135" spans="34:39" x14ac:dyDescent="0.35">
      <c r="AH2135" s="21"/>
      <c r="AI2135" s="21"/>
      <c r="AJ2135" s="21"/>
      <c r="AK2135" s="21"/>
      <c r="AM2135" t="s">
        <v>53</v>
      </c>
    </row>
    <row r="2136" spans="34:39" x14ac:dyDescent="0.35">
      <c r="AH2136" s="21"/>
      <c r="AI2136" s="21"/>
      <c r="AJ2136" s="21"/>
      <c r="AK2136" s="21"/>
      <c r="AM2136" t="s">
        <v>53</v>
      </c>
    </row>
    <row r="2137" spans="34:39" x14ac:dyDescent="0.35">
      <c r="AH2137" s="21"/>
      <c r="AI2137" s="21"/>
      <c r="AJ2137" s="21"/>
      <c r="AK2137" s="21"/>
      <c r="AM2137" t="s">
        <v>53</v>
      </c>
    </row>
    <row r="2138" spans="34:39" x14ac:dyDescent="0.35">
      <c r="AH2138" s="21"/>
      <c r="AI2138" s="21"/>
      <c r="AJ2138" s="21"/>
      <c r="AK2138" s="21"/>
      <c r="AM2138" t="s">
        <v>53</v>
      </c>
    </row>
    <row r="2139" spans="34:39" x14ac:dyDescent="0.35">
      <c r="AH2139" s="21"/>
      <c r="AI2139" s="21"/>
      <c r="AJ2139" s="21"/>
      <c r="AK2139" s="21"/>
      <c r="AM2139" t="s">
        <v>53</v>
      </c>
    </row>
    <row r="2140" spans="34:39" x14ac:dyDescent="0.35">
      <c r="AH2140" s="21"/>
      <c r="AI2140" s="21"/>
      <c r="AJ2140" s="21"/>
      <c r="AK2140" s="21"/>
      <c r="AM2140" t="s">
        <v>53</v>
      </c>
    </row>
    <row r="2141" spans="34:39" x14ac:dyDescent="0.35">
      <c r="AH2141" s="21"/>
      <c r="AI2141" s="21"/>
      <c r="AJ2141" s="21"/>
      <c r="AK2141" s="21"/>
      <c r="AM2141" t="s">
        <v>53</v>
      </c>
    </row>
    <row r="2142" spans="34:39" x14ac:dyDescent="0.35">
      <c r="AH2142" s="21"/>
      <c r="AI2142" s="21"/>
      <c r="AJ2142" s="21"/>
      <c r="AK2142" s="21"/>
      <c r="AM2142" t="s">
        <v>53</v>
      </c>
    </row>
    <row r="2143" spans="34:39" x14ac:dyDescent="0.35">
      <c r="AH2143" s="21"/>
      <c r="AI2143" s="21"/>
      <c r="AJ2143" s="21"/>
      <c r="AK2143" s="21"/>
      <c r="AM2143" t="s">
        <v>53</v>
      </c>
    </row>
    <row r="2144" spans="34:39" x14ac:dyDescent="0.35">
      <c r="AH2144" s="21"/>
      <c r="AI2144" s="21"/>
      <c r="AJ2144" s="21"/>
      <c r="AK2144" s="21"/>
      <c r="AM2144" t="s">
        <v>53</v>
      </c>
    </row>
    <row r="2145" spans="34:39" x14ac:dyDescent="0.35">
      <c r="AH2145" s="21"/>
      <c r="AI2145" s="21"/>
      <c r="AJ2145" s="21"/>
      <c r="AK2145" s="21"/>
      <c r="AM2145" t="s">
        <v>53</v>
      </c>
    </row>
    <row r="2146" spans="34:39" x14ac:dyDescent="0.35">
      <c r="AH2146" s="21"/>
      <c r="AI2146" s="21"/>
      <c r="AJ2146" s="21"/>
      <c r="AK2146" s="21"/>
      <c r="AM2146" t="s">
        <v>53</v>
      </c>
    </row>
    <row r="2147" spans="34:39" x14ac:dyDescent="0.35">
      <c r="AH2147" s="21"/>
      <c r="AI2147" s="21"/>
      <c r="AJ2147" s="21"/>
      <c r="AK2147" s="21"/>
      <c r="AM2147" t="s">
        <v>53</v>
      </c>
    </row>
    <row r="2148" spans="34:39" x14ac:dyDescent="0.35">
      <c r="AH2148" s="21"/>
      <c r="AI2148" s="21"/>
      <c r="AJ2148" s="21"/>
      <c r="AK2148" s="21"/>
      <c r="AM2148" t="s">
        <v>53</v>
      </c>
    </row>
    <row r="2149" spans="34:39" x14ac:dyDescent="0.35">
      <c r="AH2149" s="21"/>
      <c r="AI2149" s="21"/>
      <c r="AJ2149" s="21"/>
      <c r="AK2149" s="21"/>
      <c r="AM2149" t="s">
        <v>53</v>
      </c>
    </row>
    <row r="2150" spans="34:39" x14ac:dyDescent="0.35">
      <c r="AH2150" s="21"/>
      <c r="AI2150" s="21"/>
      <c r="AJ2150" s="21"/>
      <c r="AK2150" s="21"/>
      <c r="AM2150" t="s">
        <v>53</v>
      </c>
    </row>
    <row r="2151" spans="34:39" x14ac:dyDescent="0.35">
      <c r="AH2151" s="21"/>
      <c r="AI2151" s="21"/>
      <c r="AJ2151" s="21"/>
      <c r="AK2151" s="21"/>
      <c r="AM2151" t="s">
        <v>53</v>
      </c>
    </row>
    <row r="2152" spans="34:39" x14ac:dyDescent="0.35">
      <c r="AH2152" s="21"/>
      <c r="AI2152" s="21"/>
      <c r="AJ2152" s="21"/>
      <c r="AK2152" s="21"/>
      <c r="AM2152" t="s">
        <v>53</v>
      </c>
    </row>
    <row r="2153" spans="34:39" x14ac:dyDescent="0.35">
      <c r="AH2153" s="21"/>
      <c r="AI2153" s="21"/>
      <c r="AJ2153" s="21"/>
      <c r="AK2153" s="21"/>
      <c r="AM2153" t="s">
        <v>53</v>
      </c>
    </row>
    <row r="2154" spans="34:39" x14ac:dyDescent="0.35">
      <c r="AH2154" s="21"/>
      <c r="AI2154" s="21"/>
      <c r="AJ2154" s="21"/>
      <c r="AK2154" s="21"/>
      <c r="AM2154" t="s">
        <v>53</v>
      </c>
    </row>
    <row r="2155" spans="34:39" x14ac:dyDescent="0.35">
      <c r="AH2155" s="21"/>
      <c r="AI2155" s="21"/>
      <c r="AJ2155" s="21"/>
      <c r="AK2155" s="21"/>
      <c r="AM2155" t="s">
        <v>53</v>
      </c>
    </row>
    <row r="2156" spans="34:39" x14ac:dyDescent="0.35">
      <c r="AH2156" s="21"/>
      <c r="AI2156" s="21"/>
      <c r="AJ2156" s="21"/>
      <c r="AK2156" s="21"/>
      <c r="AM2156" t="s">
        <v>53</v>
      </c>
    </row>
    <row r="2157" spans="34:39" x14ac:dyDescent="0.35">
      <c r="AH2157" s="21"/>
      <c r="AI2157" s="21"/>
      <c r="AJ2157" s="21"/>
      <c r="AK2157" s="21"/>
      <c r="AM2157" t="s">
        <v>53</v>
      </c>
    </row>
    <row r="2158" spans="34:39" x14ac:dyDescent="0.35">
      <c r="AH2158" s="21"/>
      <c r="AI2158" s="21"/>
      <c r="AJ2158" s="21"/>
      <c r="AK2158" s="21"/>
      <c r="AM2158" t="s">
        <v>53</v>
      </c>
    </row>
    <row r="2159" spans="34:39" x14ac:dyDescent="0.35">
      <c r="AH2159" s="21"/>
      <c r="AI2159" s="21"/>
      <c r="AJ2159" s="21"/>
      <c r="AK2159" s="21"/>
      <c r="AM2159" t="s">
        <v>53</v>
      </c>
    </row>
    <row r="2160" spans="34:39" x14ac:dyDescent="0.35">
      <c r="AH2160" s="21"/>
      <c r="AI2160" s="21"/>
      <c r="AJ2160" s="21"/>
      <c r="AK2160" s="21"/>
      <c r="AM2160" t="s">
        <v>53</v>
      </c>
    </row>
    <row r="2161" spans="34:39" x14ac:dyDescent="0.35">
      <c r="AH2161" s="21"/>
      <c r="AI2161" s="21"/>
      <c r="AJ2161" s="21"/>
      <c r="AK2161" s="21"/>
      <c r="AM2161" t="s">
        <v>53</v>
      </c>
    </row>
    <row r="2162" spans="34:39" x14ac:dyDescent="0.35">
      <c r="AH2162" s="21"/>
      <c r="AI2162" s="21"/>
      <c r="AJ2162" s="21"/>
      <c r="AK2162" s="21"/>
      <c r="AM2162" t="s">
        <v>53</v>
      </c>
    </row>
    <row r="2163" spans="34:39" x14ac:dyDescent="0.35">
      <c r="AH2163" s="21"/>
      <c r="AI2163" s="21"/>
      <c r="AJ2163" s="21"/>
      <c r="AK2163" s="21"/>
      <c r="AM2163" t="s">
        <v>53</v>
      </c>
    </row>
    <row r="2164" spans="34:39" x14ac:dyDescent="0.35">
      <c r="AH2164" s="21"/>
      <c r="AI2164" s="21"/>
      <c r="AJ2164" s="21"/>
      <c r="AK2164" s="21"/>
      <c r="AM2164" t="s">
        <v>53</v>
      </c>
    </row>
    <row r="2165" spans="34:39" x14ac:dyDescent="0.35">
      <c r="AH2165" s="21"/>
      <c r="AI2165" s="21"/>
      <c r="AJ2165" s="21"/>
      <c r="AK2165" s="21"/>
      <c r="AM2165" t="s">
        <v>53</v>
      </c>
    </row>
    <row r="2166" spans="34:39" x14ac:dyDescent="0.35">
      <c r="AH2166" s="21"/>
      <c r="AI2166" s="21"/>
      <c r="AJ2166" s="21"/>
      <c r="AK2166" s="21"/>
      <c r="AM2166" t="s">
        <v>53</v>
      </c>
    </row>
    <row r="2167" spans="34:39" x14ac:dyDescent="0.35">
      <c r="AH2167" s="21"/>
      <c r="AI2167" s="21"/>
      <c r="AJ2167" s="21"/>
      <c r="AK2167" s="21"/>
      <c r="AM2167" t="s">
        <v>53</v>
      </c>
    </row>
    <row r="2168" spans="34:39" x14ac:dyDescent="0.35">
      <c r="AH2168" s="21"/>
      <c r="AI2168" s="21"/>
      <c r="AJ2168" s="21"/>
      <c r="AK2168" s="21"/>
      <c r="AM2168" t="s">
        <v>53</v>
      </c>
    </row>
    <row r="2169" spans="34:39" x14ac:dyDescent="0.35">
      <c r="AH2169" s="21"/>
      <c r="AI2169" s="21"/>
      <c r="AJ2169" s="21"/>
      <c r="AK2169" s="21"/>
      <c r="AM2169" t="s">
        <v>53</v>
      </c>
    </row>
    <row r="2170" spans="34:39" x14ac:dyDescent="0.35">
      <c r="AH2170" s="21"/>
      <c r="AI2170" s="21"/>
      <c r="AJ2170" s="21"/>
      <c r="AK2170" s="21"/>
      <c r="AM2170" t="s">
        <v>53</v>
      </c>
    </row>
    <row r="2171" spans="34:39" x14ac:dyDescent="0.35">
      <c r="AH2171" s="21"/>
      <c r="AI2171" s="21"/>
      <c r="AJ2171" s="21"/>
      <c r="AK2171" s="21"/>
      <c r="AM2171" t="s">
        <v>53</v>
      </c>
    </row>
    <row r="2172" spans="34:39" x14ac:dyDescent="0.35">
      <c r="AH2172" s="21"/>
      <c r="AI2172" s="21"/>
      <c r="AJ2172" s="21"/>
      <c r="AK2172" s="21"/>
      <c r="AM2172" t="s">
        <v>53</v>
      </c>
    </row>
    <row r="2173" spans="34:39" x14ac:dyDescent="0.35">
      <c r="AH2173" s="21"/>
      <c r="AI2173" s="21"/>
      <c r="AJ2173" s="21"/>
      <c r="AK2173" s="21"/>
      <c r="AM2173" t="s">
        <v>53</v>
      </c>
    </row>
    <row r="2174" spans="34:39" x14ac:dyDescent="0.35">
      <c r="AH2174" s="21"/>
      <c r="AI2174" s="21"/>
      <c r="AJ2174" s="21"/>
      <c r="AK2174" s="21"/>
      <c r="AM2174" t="s">
        <v>53</v>
      </c>
    </row>
    <row r="2175" spans="34:39" x14ac:dyDescent="0.35">
      <c r="AH2175" s="21"/>
      <c r="AI2175" s="21"/>
      <c r="AJ2175" s="21"/>
      <c r="AK2175" s="21"/>
      <c r="AM2175" t="s">
        <v>53</v>
      </c>
    </row>
    <row r="2176" spans="34:39" x14ac:dyDescent="0.35">
      <c r="AH2176" s="21"/>
      <c r="AI2176" s="21"/>
      <c r="AJ2176" s="21"/>
      <c r="AK2176" s="21"/>
      <c r="AM2176" t="s">
        <v>53</v>
      </c>
    </row>
    <row r="2177" spans="34:39" x14ac:dyDescent="0.35">
      <c r="AH2177" s="21"/>
      <c r="AI2177" s="21"/>
      <c r="AJ2177" s="21"/>
      <c r="AK2177" s="21"/>
      <c r="AM2177" t="s">
        <v>53</v>
      </c>
    </row>
    <row r="2178" spans="34:39" x14ac:dyDescent="0.35">
      <c r="AH2178" s="21"/>
      <c r="AI2178" s="21"/>
      <c r="AJ2178" s="21"/>
      <c r="AK2178" s="21"/>
      <c r="AM2178" t="s">
        <v>53</v>
      </c>
    </row>
    <row r="2179" spans="34:39" x14ac:dyDescent="0.35">
      <c r="AH2179" s="21"/>
      <c r="AI2179" s="21"/>
      <c r="AJ2179" s="21"/>
      <c r="AK2179" s="21"/>
      <c r="AM2179" t="s">
        <v>53</v>
      </c>
    </row>
    <row r="2180" spans="34:39" x14ac:dyDescent="0.35">
      <c r="AH2180" s="21"/>
      <c r="AI2180" s="21"/>
      <c r="AJ2180" s="21"/>
      <c r="AK2180" s="21"/>
      <c r="AM2180" t="s">
        <v>53</v>
      </c>
    </row>
    <row r="2181" spans="34:39" x14ac:dyDescent="0.35">
      <c r="AH2181" s="21"/>
      <c r="AI2181" s="21"/>
      <c r="AJ2181" s="21"/>
      <c r="AK2181" s="21"/>
      <c r="AM2181" t="s">
        <v>53</v>
      </c>
    </row>
    <row r="2182" spans="34:39" x14ac:dyDescent="0.35">
      <c r="AH2182" s="21"/>
      <c r="AI2182" s="21"/>
      <c r="AJ2182" s="21"/>
      <c r="AK2182" s="21"/>
      <c r="AM2182" t="s">
        <v>53</v>
      </c>
    </row>
    <row r="2183" spans="34:39" x14ac:dyDescent="0.35">
      <c r="AH2183" s="21"/>
      <c r="AI2183" s="21"/>
      <c r="AJ2183" s="21"/>
      <c r="AK2183" s="21"/>
      <c r="AM2183" t="s">
        <v>53</v>
      </c>
    </row>
    <row r="2184" spans="34:39" x14ac:dyDescent="0.35">
      <c r="AH2184" s="21"/>
      <c r="AI2184" s="21"/>
      <c r="AJ2184" s="21"/>
      <c r="AK2184" s="21"/>
      <c r="AM2184" t="s">
        <v>53</v>
      </c>
    </row>
    <row r="2185" spans="34:39" x14ac:dyDescent="0.35">
      <c r="AH2185" s="21"/>
      <c r="AI2185" s="21"/>
      <c r="AJ2185" s="21"/>
      <c r="AK2185" s="21"/>
      <c r="AM2185" t="s">
        <v>53</v>
      </c>
    </row>
    <row r="2186" spans="34:39" x14ac:dyDescent="0.35">
      <c r="AH2186" s="21"/>
      <c r="AI2186" s="21"/>
      <c r="AJ2186" s="21"/>
      <c r="AK2186" s="21"/>
      <c r="AM2186" t="s">
        <v>53</v>
      </c>
    </row>
    <row r="2187" spans="34:39" x14ac:dyDescent="0.35">
      <c r="AH2187" s="21"/>
      <c r="AI2187" s="21"/>
      <c r="AJ2187" s="21"/>
      <c r="AK2187" s="21"/>
      <c r="AM2187" t="s">
        <v>53</v>
      </c>
    </row>
    <row r="2188" spans="34:39" x14ac:dyDescent="0.35">
      <c r="AH2188" s="21"/>
      <c r="AI2188" s="21"/>
      <c r="AJ2188" s="21"/>
      <c r="AK2188" s="21"/>
      <c r="AM2188" t="s">
        <v>53</v>
      </c>
    </row>
    <row r="2189" spans="34:39" x14ac:dyDescent="0.35">
      <c r="AH2189" s="21"/>
      <c r="AI2189" s="21"/>
      <c r="AJ2189" s="21"/>
      <c r="AK2189" s="21"/>
      <c r="AM2189" t="s">
        <v>53</v>
      </c>
    </row>
    <row r="2190" spans="34:39" x14ac:dyDescent="0.35">
      <c r="AH2190" s="21"/>
      <c r="AI2190" s="21"/>
      <c r="AJ2190" s="21"/>
      <c r="AK2190" s="21"/>
      <c r="AM2190" t="s">
        <v>53</v>
      </c>
    </row>
    <row r="2191" spans="34:39" x14ac:dyDescent="0.35">
      <c r="AH2191" s="21"/>
      <c r="AI2191" s="21"/>
      <c r="AJ2191" s="21"/>
      <c r="AK2191" s="21"/>
      <c r="AM2191" t="s">
        <v>53</v>
      </c>
    </row>
    <row r="2192" spans="34:39" x14ac:dyDescent="0.35">
      <c r="AH2192" s="21"/>
      <c r="AI2192" s="21"/>
      <c r="AJ2192" s="21"/>
      <c r="AK2192" s="21"/>
      <c r="AM2192" t="s">
        <v>53</v>
      </c>
    </row>
    <row r="2193" spans="34:39" x14ac:dyDescent="0.35">
      <c r="AH2193" s="21"/>
      <c r="AI2193" s="21"/>
      <c r="AJ2193" s="21"/>
      <c r="AK2193" s="21"/>
      <c r="AM2193" t="s">
        <v>53</v>
      </c>
    </row>
    <row r="2194" spans="34:39" x14ac:dyDescent="0.35">
      <c r="AH2194" s="21"/>
      <c r="AI2194" s="21"/>
      <c r="AJ2194" s="21"/>
      <c r="AK2194" s="21"/>
      <c r="AM2194" t="s">
        <v>53</v>
      </c>
    </row>
    <row r="2195" spans="34:39" x14ac:dyDescent="0.35">
      <c r="AH2195" s="21"/>
      <c r="AI2195" s="21"/>
      <c r="AJ2195" s="21"/>
      <c r="AK2195" s="21"/>
      <c r="AM2195" t="s">
        <v>53</v>
      </c>
    </row>
    <row r="2196" spans="34:39" x14ac:dyDescent="0.35">
      <c r="AH2196" s="21"/>
      <c r="AI2196" s="21"/>
      <c r="AJ2196" s="21"/>
      <c r="AK2196" s="21"/>
      <c r="AM2196" t="s">
        <v>53</v>
      </c>
    </row>
    <row r="2197" spans="34:39" x14ac:dyDescent="0.35">
      <c r="AH2197" s="21"/>
      <c r="AI2197" s="21"/>
      <c r="AJ2197" s="21"/>
      <c r="AK2197" s="21"/>
      <c r="AM2197" t="s">
        <v>53</v>
      </c>
    </row>
    <row r="2198" spans="34:39" x14ac:dyDescent="0.35">
      <c r="AH2198" s="21"/>
      <c r="AI2198" s="21"/>
      <c r="AJ2198" s="21"/>
      <c r="AK2198" s="21"/>
      <c r="AM2198" t="s">
        <v>53</v>
      </c>
    </row>
    <row r="2199" spans="34:39" x14ac:dyDescent="0.35">
      <c r="AH2199" s="21"/>
      <c r="AI2199" s="21"/>
      <c r="AJ2199" s="21"/>
      <c r="AK2199" s="21"/>
      <c r="AM2199" t="s">
        <v>53</v>
      </c>
    </row>
    <row r="2200" spans="34:39" x14ac:dyDescent="0.35">
      <c r="AH2200" s="21"/>
      <c r="AI2200" s="21"/>
      <c r="AJ2200" s="21"/>
      <c r="AK2200" s="21"/>
      <c r="AM2200" t="s">
        <v>53</v>
      </c>
    </row>
    <row r="2201" spans="34:39" x14ac:dyDescent="0.35">
      <c r="AH2201" s="21"/>
      <c r="AI2201" s="21"/>
      <c r="AJ2201" s="21"/>
      <c r="AK2201" s="21"/>
      <c r="AM2201" t="s">
        <v>53</v>
      </c>
    </row>
    <row r="2202" spans="34:39" x14ac:dyDescent="0.35">
      <c r="AH2202" s="21"/>
      <c r="AI2202" s="21"/>
      <c r="AJ2202" s="21"/>
      <c r="AK2202" s="21"/>
      <c r="AM2202" t="s">
        <v>53</v>
      </c>
    </row>
    <row r="2203" spans="34:39" x14ac:dyDescent="0.35">
      <c r="AH2203" s="21"/>
      <c r="AI2203" s="21"/>
      <c r="AJ2203" s="21"/>
      <c r="AK2203" s="21"/>
      <c r="AM2203" t="s">
        <v>53</v>
      </c>
    </row>
    <row r="2204" spans="34:39" x14ac:dyDescent="0.35">
      <c r="AH2204" s="21"/>
      <c r="AI2204" s="21"/>
      <c r="AJ2204" s="21"/>
      <c r="AK2204" s="21"/>
      <c r="AM2204" t="s">
        <v>53</v>
      </c>
    </row>
    <row r="2205" spans="34:39" x14ac:dyDescent="0.35">
      <c r="AH2205" s="21"/>
      <c r="AI2205" s="21"/>
      <c r="AJ2205" s="21"/>
      <c r="AK2205" s="21"/>
      <c r="AM2205" t="s">
        <v>53</v>
      </c>
    </row>
    <row r="2206" spans="34:39" x14ac:dyDescent="0.35">
      <c r="AH2206" s="21"/>
      <c r="AI2206" s="21"/>
      <c r="AJ2206" s="21"/>
      <c r="AK2206" s="21"/>
      <c r="AM2206" t="s">
        <v>53</v>
      </c>
    </row>
    <row r="2207" spans="34:39" x14ac:dyDescent="0.35">
      <c r="AH2207" s="21"/>
      <c r="AI2207" s="21"/>
      <c r="AJ2207" s="21"/>
      <c r="AK2207" s="21"/>
      <c r="AM2207" t="s">
        <v>53</v>
      </c>
    </row>
    <row r="2208" spans="34:39" x14ac:dyDescent="0.35">
      <c r="AH2208" s="21"/>
      <c r="AI2208" s="21"/>
      <c r="AJ2208" s="21"/>
      <c r="AK2208" s="21"/>
      <c r="AM2208" t="s">
        <v>53</v>
      </c>
    </row>
    <row r="2209" spans="34:39" x14ac:dyDescent="0.35">
      <c r="AH2209" s="21"/>
      <c r="AI2209" s="21"/>
      <c r="AJ2209" s="21"/>
      <c r="AK2209" s="21"/>
      <c r="AM2209" t="s">
        <v>53</v>
      </c>
    </row>
    <row r="2210" spans="34:39" x14ac:dyDescent="0.35">
      <c r="AH2210" s="21"/>
      <c r="AI2210" s="21"/>
      <c r="AJ2210" s="21"/>
      <c r="AK2210" s="21"/>
      <c r="AM2210" t="s">
        <v>53</v>
      </c>
    </row>
    <row r="2211" spans="34:39" x14ac:dyDescent="0.35">
      <c r="AH2211" s="21"/>
      <c r="AI2211" s="21"/>
      <c r="AJ2211" s="21"/>
      <c r="AK2211" s="21"/>
      <c r="AM2211" t="s">
        <v>53</v>
      </c>
    </row>
    <row r="2212" spans="34:39" x14ac:dyDescent="0.35">
      <c r="AH2212" s="21"/>
      <c r="AI2212" s="21"/>
      <c r="AJ2212" s="21"/>
      <c r="AK2212" s="21"/>
      <c r="AM2212" t="s">
        <v>53</v>
      </c>
    </row>
    <row r="2213" spans="34:39" x14ac:dyDescent="0.35">
      <c r="AH2213" s="21"/>
      <c r="AI2213" s="21"/>
      <c r="AJ2213" s="21"/>
      <c r="AK2213" s="21"/>
      <c r="AM2213" t="s">
        <v>53</v>
      </c>
    </row>
    <row r="2214" spans="34:39" x14ac:dyDescent="0.35">
      <c r="AH2214" s="21"/>
      <c r="AI2214" s="21"/>
      <c r="AJ2214" s="21"/>
      <c r="AK2214" s="21"/>
      <c r="AM2214" t="s">
        <v>53</v>
      </c>
    </row>
    <row r="2215" spans="34:39" x14ac:dyDescent="0.35">
      <c r="AH2215" s="21"/>
      <c r="AI2215" s="21"/>
      <c r="AJ2215" s="21"/>
      <c r="AK2215" s="21"/>
      <c r="AM2215" t="s">
        <v>53</v>
      </c>
    </row>
    <row r="2216" spans="34:39" x14ac:dyDescent="0.35">
      <c r="AH2216" s="21"/>
      <c r="AI2216" s="21"/>
      <c r="AJ2216" s="21"/>
      <c r="AK2216" s="21"/>
      <c r="AM2216" t="s">
        <v>53</v>
      </c>
    </row>
    <row r="2217" spans="34:39" x14ac:dyDescent="0.35">
      <c r="AH2217" s="21"/>
      <c r="AI2217" s="21"/>
      <c r="AJ2217" s="21"/>
      <c r="AK2217" s="21"/>
      <c r="AM2217" t="s">
        <v>53</v>
      </c>
    </row>
    <row r="2218" spans="34:39" x14ac:dyDescent="0.35">
      <c r="AH2218" s="21"/>
      <c r="AI2218" s="21"/>
      <c r="AJ2218" s="21"/>
      <c r="AK2218" s="21"/>
      <c r="AM2218" t="s">
        <v>53</v>
      </c>
    </row>
    <row r="2219" spans="34:39" x14ac:dyDescent="0.35">
      <c r="AH2219" s="21"/>
      <c r="AI2219" s="21"/>
      <c r="AJ2219" s="21"/>
      <c r="AK2219" s="21"/>
      <c r="AM2219" t="s">
        <v>53</v>
      </c>
    </row>
    <row r="2220" spans="34:39" x14ac:dyDescent="0.35">
      <c r="AH2220" s="21"/>
      <c r="AI2220" s="21"/>
      <c r="AJ2220" s="21"/>
      <c r="AK2220" s="21"/>
      <c r="AM2220" t="s">
        <v>53</v>
      </c>
    </row>
    <row r="2221" spans="34:39" x14ac:dyDescent="0.35">
      <c r="AH2221" s="21"/>
      <c r="AI2221" s="21"/>
      <c r="AJ2221" s="21"/>
      <c r="AK2221" s="21"/>
      <c r="AM2221" t="s">
        <v>53</v>
      </c>
    </row>
    <row r="2222" spans="34:39" x14ac:dyDescent="0.35">
      <c r="AH2222" s="21"/>
      <c r="AI2222" s="21"/>
      <c r="AJ2222" s="21"/>
      <c r="AK2222" s="21"/>
      <c r="AM2222" t="s">
        <v>53</v>
      </c>
    </row>
    <row r="2223" spans="34:39" x14ac:dyDescent="0.35">
      <c r="AH2223" s="21"/>
      <c r="AI2223" s="21"/>
      <c r="AJ2223" s="21"/>
      <c r="AK2223" s="21"/>
      <c r="AM2223" t="s">
        <v>53</v>
      </c>
    </row>
    <row r="2224" spans="34:39" x14ac:dyDescent="0.35">
      <c r="AH2224" s="21"/>
      <c r="AI2224" s="21"/>
      <c r="AJ2224" s="21"/>
      <c r="AK2224" s="21"/>
      <c r="AM2224" t="s">
        <v>53</v>
      </c>
    </row>
    <row r="2225" spans="34:39" x14ac:dyDescent="0.35">
      <c r="AH2225" s="21"/>
      <c r="AI2225" s="21"/>
      <c r="AJ2225" s="21"/>
      <c r="AK2225" s="21"/>
      <c r="AM2225" t="s">
        <v>53</v>
      </c>
    </row>
    <row r="2226" spans="34:39" x14ac:dyDescent="0.35">
      <c r="AH2226" s="21"/>
      <c r="AI2226" s="21"/>
      <c r="AJ2226" s="21"/>
      <c r="AK2226" s="21"/>
      <c r="AM2226" t="s">
        <v>53</v>
      </c>
    </row>
    <row r="2227" spans="34:39" x14ac:dyDescent="0.35">
      <c r="AH2227" s="21"/>
      <c r="AI2227" s="21"/>
      <c r="AJ2227" s="21"/>
      <c r="AK2227" s="21"/>
      <c r="AM2227" t="s">
        <v>53</v>
      </c>
    </row>
    <row r="2228" spans="34:39" x14ac:dyDescent="0.35">
      <c r="AH2228" s="21"/>
      <c r="AI2228" s="21"/>
      <c r="AJ2228" s="21"/>
      <c r="AK2228" s="21"/>
      <c r="AM2228" t="s">
        <v>53</v>
      </c>
    </row>
    <row r="2229" spans="34:39" x14ac:dyDescent="0.35">
      <c r="AH2229" s="21"/>
      <c r="AI2229" s="21"/>
      <c r="AJ2229" s="21"/>
      <c r="AK2229" s="21"/>
      <c r="AM2229" t="s">
        <v>53</v>
      </c>
    </row>
    <row r="2230" spans="34:39" x14ac:dyDescent="0.35">
      <c r="AH2230" s="21"/>
      <c r="AI2230" s="21"/>
      <c r="AJ2230" s="21"/>
      <c r="AK2230" s="21"/>
      <c r="AM2230" t="s">
        <v>53</v>
      </c>
    </row>
    <row r="2231" spans="34:39" x14ac:dyDescent="0.35">
      <c r="AH2231" s="21"/>
      <c r="AI2231" s="21"/>
      <c r="AJ2231" s="21"/>
      <c r="AK2231" s="21"/>
      <c r="AM2231" t="s">
        <v>53</v>
      </c>
    </row>
    <row r="2232" spans="34:39" x14ac:dyDescent="0.35">
      <c r="AH2232" s="21"/>
      <c r="AI2232" s="21"/>
      <c r="AJ2232" s="21"/>
      <c r="AK2232" s="21"/>
      <c r="AM2232" t="s">
        <v>53</v>
      </c>
    </row>
    <row r="2233" spans="34:39" x14ac:dyDescent="0.35">
      <c r="AH2233" s="21"/>
      <c r="AI2233" s="21"/>
      <c r="AJ2233" s="21"/>
      <c r="AK2233" s="21"/>
      <c r="AM2233" t="s">
        <v>53</v>
      </c>
    </row>
    <row r="2234" spans="34:39" x14ac:dyDescent="0.35">
      <c r="AH2234" s="21"/>
      <c r="AI2234" s="21"/>
      <c r="AJ2234" s="21"/>
      <c r="AK2234" s="21"/>
      <c r="AM2234" t="s">
        <v>53</v>
      </c>
    </row>
    <row r="2235" spans="34:39" x14ac:dyDescent="0.35">
      <c r="AH2235" s="21"/>
      <c r="AI2235" s="21"/>
      <c r="AJ2235" s="21"/>
      <c r="AK2235" s="21"/>
      <c r="AM2235" t="s">
        <v>53</v>
      </c>
    </row>
    <row r="2236" spans="34:39" x14ac:dyDescent="0.35">
      <c r="AH2236" s="21"/>
      <c r="AI2236" s="21"/>
      <c r="AJ2236" s="21"/>
      <c r="AK2236" s="21"/>
      <c r="AM2236" t="s">
        <v>53</v>
      </c>
    </row>
    <row r="2237" spans="34:39" x14ac:dyDescent="0.35">
      <c r="AH2237" s="21"/>
      <c r="AI2237" s="21"/>
      <c r="AJ2237" s="21"/>
      <c r="AK2237" s="21"/>
      <c r="AM2237" t="s">
        <v>53</v>
      </c>
    </row>
    <row r="2238" spans="34:39" x14ac:dyDescent="0.35">
      <c r="AH2238" s="21"/>
      <c r="AI2238" s="21"/>
      <c r="AJ2238" s="21"/>
      <c r="AK2238" s="21"/>
      <c r="AM2238" t="s">
        <v>53</v>
      </c>
    </row>
    <row r="2239" spans="34:39" x14ac:dyDescent="0.35">
      <c r="AH2239" s="21"/>
      <c r="AI2239" s="21"/>
      <c r="AJ2239" s="21"/>
      <c r="AK2239" s="21"/>
      <c r="AM2239" t="s">
        <v>53</v>
      </c>
    </row>
    <row r="2240" spans="34:39" x14ac:dyDescent="0.35">
      <c r="AH2240" s="21"/>
      <c r="AI2240" s="21"/>
      <c r="AJ2240" s="21"/>
      <c r="AK2240" s="21"/>
      <c r="AM2240" t="s">
        <v>53</v>
      </c>
    </row>
    <row r="2241" spans="34:39" x14ac:dyDescent="0.35">
      <c r="AH2241" s="21"/>
      <c r="AI2241" s="21"/>
      <c r="AJ2241" s="21"/>
      <c r="AK2241" s="21"/>
      <c r="AM2241" t="s">
        <v>53</v>
      </c>
    </row>
    <row r="2242" spans="34:39" x14ac:dyDescent="0.35">
      <c r="AH2242" s="21"/>
      <c r="AI2242" s="21"/>
      <c r="AJ2242" s="21"/>
      <c r="AK2242" s="21"/>
      <c r="AM2242" t="s">
        <v>53</v>
      </c>
    </row>
    <row r="2243" spans="34:39" x14ac:dyDescent="0.35">
      <c r="AH2243" s="21"/>
      <c r="AI2243" s="21"/>
      <c r="AJ2243" s="21"/>
      <c r="AK2243" s="21"/>
      <c r="AM2243" t="s">
        <v>53</v>
      </c>
    </row>
    <row r="2244" spans="34:39" x14ac:dyDescent="0.35">
      <c r="AH2244" s="21"/>
      <c r="AI2244" s="21"/>
      <c r="AJ2244" s="21"/>
      <c r="AK2244" s="21"/>
      <c r="AM2244" t="s">
        <v>53</v>
      </c>
    </row>
    <row r="2245" spans="34:39" x14ac:dyDescent="0.35">
      <c r="AH2245" s="21"/>
      <c r="AI2245" s="21"/>
      <c r="AJ2245" s="21"/>
      <c r="AK2245" s="21"/>
      <c r="AM2245" t="s">
        <v>53</v>
      </c>
    </row>
    <row r="2246" spans="34:39" x14ac:dyDescent="0.35">
      <c r="AH2246" s="21"/>
      <c r="AI2246" s="21"/>
      <c r="AJ2246" s="21"/>
      <c r="AK2246" s="21"/>
      <c r="AM2246" t="s">
        <v>53</v>
      </c>
    </row>
    <row r="2247" spans="34:39" x14ac:dyDescent="0.35">
      <c r="AH2247" s="21"/>
      <c r="AI2247" s="21"/>
      <c r="AJ2247" s="21"/>
      <c r="AK2247" s="21"/>
      <c r="AM2247" t="s">
        <v>53</v>
      </c>
    </row>
    <row r="2248" spans="34:39" x14ac:dyDescent="0.35">
      <c r="AH2248" s="21"/>
      <c r="AI2248" s="21"/>
      <c r="AJ2248" s="21"/>
      <c r="AK2248" s="21"/>
      <c r="AM2248" t="s">
        <v>53</v>
      </c>
    </row>
    <row r="2249" spans="34:39" x14ac:dyDescent="0.35">
      <c r="AH2249" s="21"/>
      <c r="AI2249" s="21"/>
      <c r="AJ2249" s="21"/>
      <c r="AK2249" s="21"/>
      <c r="AM2249" t="s">
        <v>53</v>
      </c>
    </row>
    <row r="2250" spans="34:39" x14ac:dyDescent="0.35">
      <c r="AH2250" s="21"/>
      <c r="AI2250" s="21"/>
      <c r="AJ2250" s="21"/>
      <c r="AK2250" s="21"/>
      <c r="AM2250" t="s">
        <v>53</v>
      </c>
    </row>
    <row r="2251" spans="34:39" x14ac:dyDescent="0.35">
      <c r="AH2251" s="21"/>
      <c r="AI2251" s="21"/>
      <c r="AJ2251" s="21"/>
      <c r="AK2251" s="21"/>
      <c r="AM2251" t="s">
        <v>53</v>
      </c>
    </row>
    <row r="2252" spans="34:39" x14ac:dyDescent="0.35">
      <c r="AH2252" s="21"/>
      <c r="AI2252" s="21"/>
      <c r="AJ2252" s="21"/>
      <c r="AK2252" s="21"/>
      <c r="AM2252" t="s">
        <v>53</v>
      </c>
    </row>
    <row r="2253" spans="34:39" x14ac:dyDescent="0.35">
      <c r="AH2253" s="21"/>
      <c r="AI2253" s="21"/>
      <c r="AJ2253" s="21"/>
      <c r="AK2253" s="21"/>
      <c r="AM2253" t="s">
        <v>53</v>
      </c>
    </row>
    <row r="2254" spans="34:39" x14ac:dyDescent="0.35">
      <c r="AH2254" s="21"/>
      <c r="AI2254" s="21"/>
      <c r="AJ2254" s="21"/>
      <c r="AK2254" s="21"/>
      <c r="AM2254" t="s">
        <v>53</v>
      </c>
    </row>
    <row r="2255" spans="34:39" x14ac:dyDescent="0.35">
      <c r="AH2255" s="21"/>
      <c r="AI2255" s="21"/>
      <c r="AJ2255" s="21"/>
      <c r="AK2255" s="21"/>
      <c r="AM2255" t="s">
        <v>53</v>
      </c>
    </row>
    <row r="2256" spans="34:39" x14ac:dyDescent="0.35">
      <c r="AH2256" s="21"/>
      <c r="AI2256" s="21"/>
      <c r="AJ2256" s="21"/>
      <c r="AK2256" s="21"/>
      <c r="AM2256" t="s">
        <v>53</v>
      </c>
    </row>
    <row r="2257" spans="34:39" x14ac:dyDescent="0.35">
      <c r="AH2257" s="21"/>
      <c r="AI2257" s="21"/>
      <c r="AJ2257" s="21"/>
      <c r="AK2257" s="21"/>
      <c r="AM2257" t="s">
        <v>53</v>
      </c>
    </row>
    <row r="2258" spans="34:39" x14ac:dyDescent="0.35">
      <c r="AH2258" s="21"/>
      <c r="AI2258" s="21"/>
      <c r="AJ2258" s="21"/>
      <c r="AK2258" s="21"/>
      <c r="AM2258" t="s">
        <v>53</v>
      </c>
    </row>
    <row r="2259" spans="34:39" x14ac:dyDescent="0.35">
      <c r="AH2259" s="21"/>
      <c r="AI2259" s="21"/>
      <c r="AJ2259" s="21"/>
      <c r="AK2259" s="21"/>
      <c r="AM2259" t="s">
        <v>53</v>
      </c>
    </row>
    <row r="2260" spans="34:39" x14ac:dyDescent="0.35">
      <c r="AH2260" s="21"/>
      <c r="AI2260" s="21"/>
      <c r="AJ2260" s="21"/>
      <c r="AK2260" s="21"/>
      <c r="AM2260" t="s">
        <v>53</v>
      </c>
    </row>
    <row r="2261" spans="34:39" x14ac:dyDescent="0.35">
      <c r="AH2261" s="21"/>
      <c r="AI2261" s="21"/>
      <c r="AJ2261" s="21"/>
      <c r="AK2261" s="21"/>
      <c r="AM2261" t="s">
        <v>53</v>
      </c>
    </row>
    <row r="2262" spans="34:39" x14ac:dyDescent="0.35">
      <c r="AH2262" s="21"/>
      <c r="AI2262" s="21"/>
      <c r="AJ2262" s="21"/>
      <c r="AK2262" s="21"/>
      <c r="AM2262" t="s">
        <v>53</v>
      </c>
    </row>
    <row r="2263" spans="34:39" x14ac:dyDescent="0.35">
      <c r="AH2263" s="21"/>
      <c r="AI2263" s="21"/>
      <c r="AJ2263" s="21"/>
      <c r="AK2263" s="21"/>
      <c r="AM2263" t="s">
        <v>53</v>
      </c>
    </row>
    <row r="2264" spans="34:39" x14ac:dyDescent="0.35">
      <c r="AH2264" s="21"/>
      <c r="AI2264" s="21"/>
      <c r="AJ2264" s="21"/>
      <c r="AK2264" s="21"/>
      <c r="AM2264" t="s">
        <v>53</v>
      </c>
    </row>
    <row r="2265" spans="34:39" x14ac:dyDescent="0.35">
      <c r="AH2265" s="21"/>
      <c r="AI2265" s="21"/>
      <c r="AJ2265" s="21"/>
      <c r="AK2265" s="21"/>
      <c r="AM2265" t="s">
        <v>53</v>
      </c>
    </row>
    <row r="2266" spans="34:39" x14ac:dyDescent="0.35">
      <c r="AH2266" s="21"/>
      <c r="AI2266" s="21"/>
      <c r="AJ2266" s="21"/>
      <c r="AK2266" s="21"/>
      <c r="AM2266" t="s">
        <v>53</v>
      </c>
    </row>
    <row r="2267" spans="34:39" x14ac:dyDescent="0.35">
      <c r="AH2267" s="21"/>
      <c r="AI2267" s="21"/>
      <c r="AJ2267" s="21"/>
      <c r="AK2267" s="21"/>
      <c r="AM2267" t="s">
        <v>53</v>
      </c>
    </row>
    <row r="2268" spans="34:39" x14ac:dyDescent="0.35">
      <c r="AH2268" s="21"/>
      <c r="AI2268" s="21"/>
      <c r="AJ2268" s="21"/>
      <c r="AK2268" s="21"/>
      <c r="AM2268" t="s">
        <v>53</v>
      </c>
    </row>
    <row r="2269" spans="34:39" x14ac:dyDescent="0.35">
      <c r="AH2269" s="21"/>
      <c r="AI2269" s="21"/>
      <c r="AJ2269" s="21"/>
      <c r="AK2269" s="21"/>
      <c r="AM2269" t="s">
        <v>53</v>
      </c>
    </row>
    <row r="2270" spans="34:39" x14ac:dyDescent="0.35">
      <c r="AH2270" s="21"/>
      <c r="AI2270" s="21"/>
      <c r="AJ2270" s="21"/>
      <c r="AK2270" s="21"/>
      <c r="AM2270" t="s">
        <v>53</v>
      </c>
    </row>
    <row r="2271" spans="34:39" x14ac:dyDescent="0.35">
      <c r="AH2271" s="21"/>
      <c r="AI2271" s="21"/>
      <c r="AJ2271" s="21"/>
      <c r="AK2271" s="21"/>
      <c r="AM2271" t="s">
        <v>53</v>
      </c>
    </row>
    <row r="2272" spans="34:39" x14ac:dyDescent="0.35">
      <c r="AH2272" s="21"/>
      <c r="AI2272" s="21"/>
      <c r="AJ2272" s="21"/>
      <c r="AK2272" s="21"/>
      <c r="AM2272" t="s">
        <v>53</v>
      </c>
    </row>
    <row r="2273" spans="34:39" x14ac:dyDescent="0.35">
      <c r="AH2273" s="21"/>
      <c r="AI2273" s="21"/>
      <c r="AJ2273" s="21"/>
      <c r="AK2273" s="21"/>
      <c r="AM2273" t="s">
        <v>53</v>
      </c>
    </row>
    <row r="2274" spans="34:39" x14ac:dyDescent="0.35">
      <c r="AH2274" s="21"/>
      <c r="AI2274" s="21"/>
      <c r="AJ2274" s="21"/>
      <c r="AK2274" s="21"/>
      <c r="AM2274" t="s">
        <v>53</v>
      </c>
    </row>
    <row r="2275" spans="34:39" x14ac:dyDescent="0.35">
      <c r="AH2275" s="21"/>
      <c r="AI2275" s="21"/>
      <c r="AJ2275" s="21"/>
      <c r="AK2275" s="21"/>
      <c r="AM2275" t="s">
        <v>53</v>
      </c>
    </row>
    <row r="2276" spans="34:39" x14ac:dyDescent="0.35">
      <c r="AH2276" s="21"/>
      <c r="AI2276" s="21"/>
      <c r="AJ2276" s="21"/>
      <c r="AK2276" s="21"/>
      <c r="AM2276" t="s">
        <v>53</v>
      </c>
    </row>
    <row r="2277" spans="34:39" x14ac:dyDescent="0.35">
      <c r="AH2277" s="21"/>
      <c r="AI2277" s="21"/>
      <c r="AJ2277" s="21"/>
      <c r="AK2277" s="21"/>
      <c r="AM2277" t="s">
        <v>53</v>
      </c>
    </row>
    <row r="2278" spans="34:39" x14ac:dyDescent="0.35">
      <c r="AH2278" s="21"/>
      <c r="AI2278" s="21"/>
      <c r="AJ2278" s="21"/>
      <c r="AK2278" s="21"/>
      <c r="AM2278" t="s">
        <v>53</v>
      </c>
    </row>
    <row r="2279" spans="34:39" x14ac:dyDescent="0.35">
      <c r="AH2279" s="21"/>
      <c r="AI2279" s="21"/>
      <c r="AJ2279" s="21"/>
      <c r="AK2279" s="21"/>
      <c r="AM2279" t="s">
        <v>53</v>
      </c>
    </row>
    <row r="2280" spans="34:39" x14ac:dyDescent="0.35">
      <c r="AH2280" s="21"/>
      <c r="AI2280" s="21"/>
      <c r="AJ2280" s="21"/>
      <c r="AK2280" s="21"/>
      <c r="AM2280" t="s">
        <v>53</v>
      </c>
    </row>
    <row r="2281" spans="34:39" x14ac:dyDescent="0.35">
      <c r="AH2281" s="21"/>
      <c r="AI2281" s="21"/>
      <c r="AJ2281" s="21"/>
      <c r="AK2281" s="21"/>
      <c r="AM2281" t="s">
        <v>53</v>
      </c>
    </row>
    <row r="2282" spans="34:39" x14ac:dyDescent="0.35">
      <c r="AH2282" s="21"/>
      <c r="AI2282" s="21"/>
      <c r="AJ2282" s="21"/>
      <c r="AK2282" s="21"/>
      <c r="AM2282" t="s">
        <v>53</v>
      </c>
    </row>
    <row r="2283" spans="34:39" x14ac:dyDescent="0.35">
      <c r="AH2283" s="21"/>
      <c r="AI2283" s="21"/>
      <c r="AJ2283" s="21"/>
      <c r="AK2283" s="21"/>
      <c r="AM2283" t="s">
        <v>53</v>
      </c>
    </row>
    <row r="2284" spans="34:39" x14ac:dyDescent="0.35">
      <c r="AH2284" s="21"/>
      <c r="AI2284" s="21"/>
      <c r="AJ2284" s="21"/>
      <c r="AK2284" s="21"/>
      <c r="AM2284" t="s">
        <v>53</v>
      </c>
    </row>
    <row r="2285" spans="34:39" x14ac:dyDescent="0.35">
      <c r="AH2285" s="21"/>
      <c r="AI2285" s="21"/>
      <c r="AJ2285" s="21"/>
      <c r="AK2285" s="21"/>
      <c r="AM2285" t="s">
        <v>53</v>
      </c>
    </row>
    <row r="2286" spans="34:39" x14ac:dyDescent="0.35">
      <c r="AH2286" s="21"/>
      <c r="AI2286" s="21"/>
      <c r="AJ2286" s="21"/>
      <c r="AK2286" s="21"/>
      <c r="AM2286" t="s">
        <v>53</v>
      </c>
    </row>
    <row r="2287" spans="34:39" x14ac:dyDescent="0.35">
      <c r="AH2287" s="21"/>
      <c r="AI2287" s="21"/>
      <c r="AJ2287" s="21"/>
      <c r="AK2287" s="21"/>
      <c r="AM2287" t="s">
        <v>53</v>
      </c>
    </row>
    <row r="2288" spans="34:39" x14ac:dyDescent="0.35">
      <c r="AH2288" s="21"/>
      <c r="AI2288" s="21"/>
      <c r="AJ2288" s="21"/>
      <c r="AK2288" s="21"/>
      <c r="AM2288" t="s">
        <v>53</v>
      </c>
    </row>
    <row r="2289" spans="34:39" x14ac:dyDescent="0.35">
      <c r="AH2289" s="21"/>
      <c r="AI2289" s="21"/>
      <c r="AJ2289" s="21"/>
      <c r="AK2289" s="21"/>
      <c r="AM2289" t="s">
        <v>53</v>
      </c>
    </row>
    <row r="2290" spans="34:39" x14ac:dyDescent="0.35">
      <c r="AH2290" s="21"/>
      <c r="AI2290" s="21"/>
      <c r="AJ2290" s="21"/>
      <c r="AK2290" s="21"/>
      <c r="AM2290" t="s">
        <v>53</v>
      </c>
    </row>
    <row r="2291" spans="34:39" x14ac:dyDescent="0.35">
      <c r="AH2291" s="21"/>
      <c r="AI2291" s="21"/>
      <c r="AJ2291" s="21"/>
      <c r="AK2291" s="21"/>
      <c r="AM2291" t="s">
        <v>53</v>
      </c>
    </row>
    <row r="2292" spans="34:39" x14ac:dyDescent="0.35">
      <c r="AH2292" s="21"/>
      <c r="AI2292" s="21"/>
      <c r="AJ2292" s="21"/>
      <c r="AK2292" s="21"/>
      <c r="AM2292" t="s">
        <v>53</v>
      </c>
    </row>
    <row r="2293" spans="34:39" x14ac:dyDescent="0.35">
      <c r="AH2293" s="21"/>
      <c r="AI2293" s="21"/>
      <c r="AJ2293" s="21"/>
      <c r="AK2293" s="21"/>
      <c r="AM2293" t="s">
        <v>53</v>
      </c>
    </row>
    <row r="2294" spans="34:39" x14ac:dyDescent="0.35">
      <c r="AH2294" s="21"/>
      <c r="AI2294" s="21"/>
      <c r="AJ2294" s="21"/>
      <c r="AK2294" s="21"/>
      <c r="AM2294" t="s">
        <v>53</v>
      </c>
    </row>
    <row r="2295" spans="34:39" x14ac:dyDescent="0.35">
      <c r="AH2295" s="21"/>
      <c r="AI2295" s="21"/>
      <c r="AJ2295" s="21"/>
      <c r="AK2295" s="21"/>
      <c r="AM2295" t="s">
        <v>53</v>
      </c>
    </row>
    <row r="2296" spans="34:39" x14ac:dyDescent="0.35">
      <c r="AH2296" s="21"/>
      <c r="AI2296" s="21"/>
      <c r="AJ2296" s="21"/>
      <c r="AK2296" s="21"/>
      <c r="AM2296" t="s">
        <v>53</v>
      </c>
    </row>
    <row r="2297" spans="34:39" x14ac:dyDescent="0.35">
      <c r="AH2297" s="21"/>
      <c r="AI2297" s="21"/>
      <c r="AJ2297" s="21"/>
      <c r="AK2297" s="21"/>
      <c r="AM2297" t="s">
        <v>53</v>
      </c>
    </row>
    <row r="2298" spans="34:39" x14ac:dyDescent="0.35">
      <c r="AH2298" s="21"/>
      <c r="AI2298" s="21"/>
      <c r="AJ2298" s="21"/>
      <c r="AK2298" s="21"/>
      <c r="AM2298" t="s">
        <v>53</v>
      </c>
    </row>
    <row r="2299" spans="34:39" x14ac:dyDescent="0.35">
      <c r="AH2299" s="21"/>
      <c r="AI2299" s="21"/>
      <c r="AJ2299" s="21"/>
      <c r="AK2299" s="21"/>
      <c r="AM2299" t="s">
        <v>53</v>
      </c>
    </row>
    <row r="2300" spans="34:39" x14ac:dyDescent="0.35">
      <c r="AH2300" s="21"/>
      <c r="AI2300" s="21"/>
      <c r="AJ2300" s="21"/>
      <c r="AK2300" s="21"/>
      <c r="AM2300" t="s">
        <v>53</v>
      </c>
    </row>
    <row r="2301" spans="34:39" x14ac:dyDescent="0.35">
      <c r="AH2301" s="21"/>
      <c r="AI2301" s="21"/>
      <c r="AJ2301" s="21"/>
      <c r="AK2301" s="21"/>
      <c r="AM2301" t="s">
        <v>53</v>
      </c>
    </row>
    <row r="2302" spans="34:39" x14ac:dyDescent="0.35">
      <c r="AH2302" s="21"/>
      <c r="AI2302" s="21"/>
      <c r="AJ2302" s="21"/>
      <c r="AK2302" s="21"/>
      <c r="AM2302" t="s">
        <v>53</v>
      </c>
    </row>
    <row r="2303" spans="34:39" x14ac:dyDescent="0.35">
      <c r="AH2303" s="21"/>
      <c r="AI2303" s="21"/>
      <c r="AJ2303" s="21"/>
      <c r="AK2303" s="21"/>
      <c r="AM2303" t="s">
        <v>53</v>
      </c>
    </row>
    <row r="2304" spans="34:39" x14ac:dyDescent="0.35">
      <c r="AH2304" s="21"/>
      <c r="AI2304" s="21"/>
      <c r="AJ2304" s="21"/>
      <c r="AK2304" s="21"/>
      <c r="AM2304" t="s">
        <v>53</v>
      </c>
    </row>
    <row r="2305" spans="34:39" x14ac:dyDescent="0.35">
      <c r="AH2305" s="21"/>
      <c r="AI2305" s="21"/>
      <c r="AJ2305" s="21"/>
      <c r="AK2305" s="21"/>
      <c r="AM2305" t="s">
        <v>53</v>
      </c>
    </row>
    <row r="2306" spans="34:39" x14ac:dyDescent="0.35">
      <c r="AH2306" s="21"/>
      <c r="AI2306" s="21"/>
      <c r="AJ2306" s="21"/>
      <c r="AK2306" s="21"/>
      <c r="AM2306" t="s">
        <v>53</v>
      </c>
    </row>
    <row r="2307" spans="34:39" x14ac:dyDescent="0.35">
      <c r="AH2307" s="21"/>
      <c r="AI2307" s="21"/>
      <c r="AJ2307" s="21"/>
      <c r="AK2307" s="21"/>
      <c r="AM2307" t="s">
        <v>53</v>
      </c>
    </row>
    <row r="2308" spans="34:39" x14ac:dyDescent="0.35">
      <c r="AH2308" s="21"/>
      <c r="AI2308" s="21"/>
      <c r="AJ2308" s="21"/>
      <c r="AK2308" s="21"/>
      <c r="AM2308" t="s">
        <v>53</v>
      </c>
    </row>
    <row r="2309" spans="34:39" x14ac:dyDescent="0.35">
      <c r="AH2309" s="21"/>
      <c r="AI2309" s="21"/>
      <c r="AJ2309" s="21"/>
      <c r="AK2309" s="21"/>
      <c r="AM2309" t="s">
        <v>53</v>
      </c>
    </row>
    <row r="2310" spans="34:39" x14ac:dyDescent="0.35">
      <c r="AH2310" s="21"/>
      <c r="AI2310" s="21"/>
      <c r="AJ2310" s="21"/>
      <c r="AK2310" s="21"/>
      <c r="AM2310" t="s">
        <v>53</v>
      </c>
    </row>
    <row r="2311" spans="34:39" x14ac:dyDescent="0.35">
      <c r="AH2311" s="21"/>
      <c r="AI2311" s="21"/>
      <c r="AJ2311" s="21"/>
      <c r="AK2311" s="21"/>
      <c r="AM2311" t="s">
        <v>53</v>
      </c>
    </row>
    <row r="2312" spans="34:39" x14ac:dyDescent="0.35">
      <c r="AH2312" s="21"/>
      <c r="AI2312" s="21"/>
      <c r="AJ2312" s="21"/>
      <c r="AK2312" s="21"/>
      <c r="AM2312" t="s">
        <v>53</v>
      </c>
    </row>
    <row r="2313" spans="34:39" x14ac:dyDescent="0.35">
      <c r="AH2313" s="21"/>
      <c r="AI2313" s="21"/>
      <c r="AJ2313" s="21"/>
      <c r="AK2313" s="21"/>
      <c r="AM2313" t="s">
        <v>53</v>
      </c>
    </row>
    <row r="2314" spans="34:39" x14ac:dyDescent="0.35">
      <c r="AH2314" s="21"/>
      <c r="AI2314" s="21"/>
      <c r="AJ2314" s="21"/>
      <c r="AK2314" s="21"/>
      <c r="AM2314" t="s">
        <v>53</v>
      </c>
    </row>
    <row r="2315" spans="34:39" x14ac:dyDescent="0.35">
      <c r="AH2315" s="21"/>
      <c r="AI2315" s="21"/>
      <c r="AJ2315" s="21"/>
      <c r="AK2315" s="21"/>
      <c r="AM2315" t="s">
        <v>53</v>
      </c>
    </row>
    <row r="2316" spans="34:39" x14ac:dyDescent="0.35">
      <c r="AH2316" s="21"/>
      <c r="AI2316" s="21"/>
      <c r="AJ2316" s="21"/>
      <c r="AK2316" s="21"/>
      <c r="AM2316" t="s">
        <v>53</v>
      </c>
    </row>
    <row r="2317" spans="34:39" x14ac:dyDescent="0.35">
      <c r="AH2317" s="21"/>
      <c r="AI2317" s="21"/>
      <c r="AJ2317" s="21"/>
      <c r="AK2317" s="21"/>
      <c r="AM2317" t="s">
        <v>53</v>
      </c>
    </row>
    <row r="2318" spans="34:39" x14ac:dyDescent="0.35">
      <c r="AH2318" s="21"/>
      <c r="AI2318" s="21"/>
      <c r="AJ2318" s="21"/>
      <c r="AK2318" s="21"/>
      <c r="AM2318" t="s">
        <v>53</v>
      </c>
    </row>
    <row r="2319" spans="34:39" x14ac:dyDescent="0.35">
      <c r="AH2319" s="21"/>
      <c r="AI2319" s="21"/>
      <c r="AJ2319" s="21"/>
      <c r="AK2319" s="21"/>
      <c r="AM2319" t="s">
        <v>53</v>
      </c>
    </row>
    <row r="2320" spans="34:39" x14ac:dyDescent="0.35">
      <c r="AH2320" s="21"/>
      <c r="AI2320" s="21"/>
      <c r="AJ2320" s="21"/>
      <c r="AK2320" s="21"/>
      <c r="AM2320" t="s">
        <v>53</v>
      </c>
    </row>
    <row r="2321" spans="34:39" x14ac:dyDescent="0.35">
      <c r="AH2321" s="21"/>
      <c r="AI2321" s="21"/>
      <c r="AJ2321" s="21"/>
      <c r="AK2321" s="21"/>
      <c r="AM2321" t="s">
        <v>53</v>
      </c>
    </row>
    <row r="2322" spans="34:39" x14ac:dyDescent="0.35">
      <c r="AH2322" s="21"/>
      <c r="AI2322" s="21"/>
      <c r="AJ2322" s="21"/>
      <c r="AK2322" s="21"/>
      <c r="AM2322" t="s">
        <v>53</v>
      </c>
    </row>
    <row r="2323" spans="34:39" x14ac:dyDescent="0.35">
      <c r="AH2323" s="21"/>
      <c r="AI2323" s="21"/>
      <c r="AJ2323" s="21"/>
      <c r="AK2323" s="21"/>
      <c r="AM2323" t="s">
        <v>53</v>
      </c>
    </row>
    <row r="2324" spans="34:39" x14ac:dyDescent="0.35">
      <c r="AH2324" s="21"/>
      <c r="AI2324" s="21"/>
      <c r="AJ2324" s="21"/>
      <c r="AK2324" s="21"/>
      <c r="AM2324" t="s">
        <v>53</v>
      </c>
    </row>
    <row r="2325" spans="34:39" x14ac:dyDescent="0.35">
      <c r="AH2325" s="21"/>
      <c r="AI2325" s="21"/>
      <c r="AJ2325" s="21"/>
      <c r="AK2325" s="21"/>
      <c r="AM2325" t="s">
        <v>53</v>
      </c>
    </row>
    <row r="2326" spans="34:39" x14ac:dyDescent="0.35">
      <c r="AH2326" s="21"/>
      <c r="AI2326" s="21"/>
      <c r="AJ2326" s="21"/>
      <c r="AK2326" s="21"/>
      <c r="AM2326" t="s">
        <v>53</v>
      </c>
    </row>
    <row r="2327" spans="34:39" x14ac:dyDescent="0.35">
      <c r="AH2327" s="21"/>
      <c r="AI2327" s="21"/>
      <c r="AJ2327" s="21"/>
      <c r="AK2327" s="21"/>
      <c r="AM2327" t="s">
        <v>53</v>
      </c>
    </row>
    <row r="2328" spans="34:39" x14ac:dyDescent="0.35">
      <c r="AH2328" s="21"/>
      <c r="AI2328" s="21"/>
      <c r="AJ2328" s="21"/>
      <c r="AK2328" s="21"/>
      <c r="AM2328" t="s">
        <v>53</v>
      </c>
    </row>
    <row r="2329" spans="34:39" x14ac:dyDescent="0.35">
      <c r="AH2329" s="21"/>
      <c r="AI2329" s="21"/>
      <c r="AJ2329" s="21"/>
      <c r="AK2329" s="21"/>
      <c r="AM2329" t="s">
        <v>53</v>
      </c>
    </row>
    <row r="2330" spans="34:39" x14ac:dyDescent="0.35">
      <c r="AH2330" s="21"/>
      <c r="AI2330" s="21"/>
      <c r="AJ2330" s="21"/>
      <c r="AK2330" s="21"/>
      <c r="AM2330" t="s">
        <v>53</v>
      </c>
    </row>
    <row r="2331" spans="34:39" x14ac:dyDescent="0.35">
      <c r="AH2331" s="21"/>
      <c r="AI2331" s="21"/>
      <c r="AJ2331" s="21"/>
      <c r="AK2331" s="21"/>
      <c r="AM2331" t="s">
        <v>53</v>
      </c>
    </row>
    <row r="2332" spans="34:39" x14ac:dyDescent="0.35">
      <c r="AH2332" s="21"/>
      <c r="AI2332" s="21"/>
      <c r="AJ2332" s="21"/>
      <c r="AK2332" s="21"/>
      <c r="AM2332" t="s">
        <v>53</v>
      </c>
    </row>
    <row r="2333" spans="34:39" x14ac:dyDescent="0.35">
      <c r="AH2333" s="21"/>
      <c r="AI2333" s="21"/>
      <c r="AJ2333" s="21"/>
      <c r="AK2333" s="21"/>
      <c r="AM2333" t="s">
        <v>53</v>
      </c>
    </row>
    <row r="2334" spans="34:39" x14ac:dyDescent="0.35">
      <c r="AH2334" s="21"/>
      <c r="AI2334" s="21"/>
      <c r="AJ2334" s="21"/>
      <c r="AK2334" s="21"/>
      <c r="AM2334" t="s">
        <v>53</v>
      </c>
    </row>
    <row r="2335" spans="34:39" x14ac:dyDescent="0.35">
      <c r="AH2335" s="21"/>
      <c r="AI2335" s="21"/>
      <c r="AJ2335" s="21"/>
      <c r="AK2335" s="21"/>
      <c r="AM2335" t="s">
        <v>53</v>
      </c>
    </row>
    <row r="2336" spans="34:39" x14ac:dyDescent="0.35">
      <c r="AH2336" s="21"/>
      <c r="AI2336" s="21"/>
      <c r="AJ2336" s="21"/>
      <c r="AK2336" s="21"/>
      <c r="AM2336" t="s">
        <v>53</v>
      </c>
    </row>
    <row r="2337" spans="34:39" x14ac:dyDescent="0.35">
      <c r="AH2337" s="21"/>
      <c r="AI2337" s="21"/>
      <c r="AJ2337" s="21"/>
      <c r="AK2337" s="21"/>
      <c r="AM2337" t="s">
        <v>53</v>
      </c>
    </row>
    <row r="2338" spans="34:39" x14ac:dyDescent="0.35">
      <c r="AH2338" s="21"/>
      <c r="AI2338" s="21"/>
      <c r="AJ2338" s="21"/>
      <c r="AK2338" s="21"/>
      <c r="AM2338" t="s">
        <v>53</v>
      </c>
    </row>
    <row r="2339" spans="34:39" x14ac:dyDescent="0.35">
      <c r="AH2339" s="21"/>
      <c r="AI2339" s="21"/>
      <c r="AJ2339" s="21"/>
      <c r="AK2339" s="21"/>
      <c r="AM2339" t="s">
        <v>53</v>
      </c>
    </row>
    <row r="2340" spans="34:39" x14ac:dyDescent="0.35">
      <c r="AH2340" s="21"/>
      <c r="AI2340" s="21"/>
      <c r="AJ2340" s="21"/>
      <c r="AK2340" s="21"/>
      <c r="AM2340" t="s">
        <v>53</v>
      </c>
    </row>
    <row r="2341" spans="34:39" x14ac:dyDescent="0.35">
      <c r="AH2341" s="21"/>
      <c r="AI2341" s="21"/>
      <c r="AJ2341" s="21"/>
      <c r="AK2341" s="21"/>
      <c r="AM2341" t="s">
        <v>53</v>
      </c>
    </row>
    <row r="2342" spans="34:39" x14ac:dyDescent="0.35">
      <c r="AH2342" s="21"/>
      <c r="AI2342" s="21"/>
      <c r="AJ2342" s="21"/>
      <c r="AK2342" s="21"/>
      <c r="AM2342" t="s">
        <v>53</v>
      </c>
    </row>
    <row r="2343" spans="34:39" x14ac:dyDescent="0.35">
      <c r="AH2343" s="21"/>
      <c r="AI2343" s="21"/>
      <c r="AJ2343" s="21"/>
      <c r="AK2343" s="21"/>
      <c r="AM2343" t="s">
        <v>53</v>
      </c>
    </row>
    <row r="2344" spans="34:39" x14ac:dyDescent="0.35">
      <c r="AH2344" s="21"/>
      <c r="AI2344" s="21"/>
      <c r="AJ2344" s="21"/>
      <c r="AK2344" s="21"/>
      <c r="AM2344" t="s">
        <v>53</v>
      </c>
    </row>
    <row r="2345" spans="34:39" x14ac:dyDescent="0.35">
      <c r="AH2345" s="21"/>
      <c r="AI2345" s="21"/>
      <c r="AJ2345" s="21"/>
      <c r="AK2345" s="21"/>
      <c r="AM2345" t="s">
        <v>53</v>
      </c>
    </row>
    <row r="2346" spans="34:39" x14ac:dyDescent="0.35">
      <c r="AH2346" s="21"/>
      <c r="AI2346" s="21"/>
      <c r="AJ2346" s="21"/>
      <c r="AK2346" s="21"/>
      <c r="AM2346" t="s">
        <v>53</v>
      </c>
    </row>
    <row r="2347" spans="34:39" x14ac:dyDescent="0.35">
      <c r="AH2347" s="21"/>
      <c r="AI2347" s="21"/>
      <c r="AJ2347" s="21"/>
      <c r="AK2347" s="21"/>
      <c r="AM2347" t="s">
        <v>53</v>
      </c>
    </row>
    <row r="2348" spans="34:39" x14ac:dyDescent="0.35">
      <c r="AH2348" s="21"/>
      <c r="AI2348" s="21"/>
      <c r="AJ2348" s="21"/>
      <c r="AK2348" s="21"/>
      <c r="AM2348" t="s">
        <v>53</v>
      </c>
    </row>
    <row r="2349" spans="34:39" x14ac:dyDescent="0.35">
      <c r="AH2349" s="21"/>
      <c r="AI2349" s="21"/>
      <c r="AJ2349" s="21"/>
      <c r="AK2349" s="21"/>
      <c r="AM2349" t="s">
        <v>53</v>
      </c>
    </row>
    <row r="2350" spans="34:39" x14ac:dyDescent="0.35">
      <c r="AH2350" s="21"/>
      <c r="AI2350" s="21"/>
      <c r="AJ2350" s="21"/>
      <c r="AK2350" s="21"/>
      <c r="AM2350" t="s">
        <v>53</v>
      </c>
    </row>
    <row r="2351" spans="34:39" x14ac:dyDescent="0.35">
      <c r="AH2351" s="21"/>
      <c r="AI2351" s="21"/>
      <c r="AJ2351" s="21"/>
      <c r="AK2351" s="21"/>
      <c r="AM2351" t="s">
        <v>53</v>
      </c>
    </row>
    <row r="2352" spans="34:39" x14ac:dyDescent="0.35">
      <c r="AH2352" s="21"/>
      <c r="AI2352" s="21"/>
      <c r="AJ2352" s="21"/>
      <c r="AK2352" s="21"/>
      <c r="AM2352" t="s">
        <v>53</v>
      </c>
    </row>
    <row r="2353" spans="34:39" x14ac:dyDescent="0.35">
      <c r="AH2353" s="21"/>
      <c r="AI2353" s="21"/>
      <c r="AJ2353" s="21"/>
      <c r="AK2353" s="21"/>
      <c r="AM2353" t="s">
        <v>53</v>
      </c>
    </row>
    <row r="2354" spans="34:39" x14ac:dyDescent="0.35">
      <c r="AH2354" s="21"/>
      <c r="AI2354" s="21"/>
      <c r="AJ2354" s="21"/>
      <c r="AK2354" s="21"/>
      <c r="AM2354" t="s">
        <v>53</v>
      </c>
    </row>
    <row r="2355" spans="34:39" x14ac:dyDescent="0.35">
      <c r="AH2355" s="21"/>
      <c r="AI2355" s="21"/>
      <c r="AJ2355" s="21"/>
      <c r="AK2355" s="21"/>
      <c r="AM2355" t="s">
        <v>53</v>
      </c>
    </row>
    <row r="2356" spans="34:39" x14ac:dyDescent="0.35">
      <c r="AH2356" s="21"/>
      <c r="AI2356" s="21"/>
      <c r="AJ2356" s="21"/>
      <c r="AK2356" s="21"/>
      <c r="AM2356" t="s">
        <v>53</v>
      </c>
    </row>
    <row r="2357" spans="34:39" x14ac:dyDescent="0.35">
      <c r="AH2357" s="21"/>
      <c r="AI2357" s="21"/>
      <c r="AJ2357" s="21"/>
      <c r="AK2357" s="21"/>
      <c r="AM2357" t="s">
        <v>53</v>
      </c>
    </row>
    <row r="2358" spans="34:39" x14ac:dyDescent="0.35">
      <c r="AH2358" s="21"/>
      <c r="AI2358" s="21"/>
      <c r="AJ2358" s="21"/>
      <c r="AK2358" s="21"/>
      <c r="AM2358" t="s">
        <v>53</v>
      </c>
    </row>
    <row r="2359" spans="34:39" x14ac:dyDescent="0.35">
      <c r="AH2359" s="21"/>
      <c r="AI2359" s="21"/>
      <c r="AJ2359" s="21"/>
      <c r="AK2359" s="21"/>
      <c r="AM2359" t="s">
        <v>53</v>
      </c>
    </row>
    <row r="2360" spans="34:39" x14ac:dyDescent="0.35">
      <c r="AH2360" s="21"/>
      <c r="AI2360" s="21"/>
      <c r="AJ2360" s="21"/>
      <c r="AK2360" s="21"/>
      <c r="AM2360" t="s">
        <v>53</v>
      </c>
    </row>
    <row r="2361" spans="34:39" x14ac:dyDescent="0.35">
      <c r="AH2361" s="21"/>
      <c r="AI2361" s="21"/>
      <c r="AJ2361" s="21"/>
      <c r="AK2361" s="21"/>
      <c r="AM2361" t="s">
        <v>53</v>
      </c>
    </row>
    <row r="2362" spans="34:39" x14ac:dyDescent="0.35">
      <c r="AH2362" s="21"/>
      <c r="AI2362" s="21"/>
      <c r="AJ2362" s="21"/>
      <c r="AK2362" s="21"/>
      <c r="AM2362" t="s">
        <v>53</v>
      </c>
    </row>
    <row r="2363" spans="34:39" x14ac:dyDescent="0.35">
      <c r="AH2363" s="21"/>
      <c r="AI2363" s="21"/>
      <c r="AJ2363" s="21"/>
      <c r="AK2363" s="21"/>
      <c r="AM2363" t="s">
        <v>53</v>
      </c>
    </row>
    <row r="2364" spans="34:39" x14ac:dyDescent="0.35">
      <c r="AH2364" s="21"/>
      <c r="AI2364" s="21"/>
      <c r="AJ2364" s="21"/>
      <c r="AK2364" s="21"/>
      <c r="AM2364" t="s">
        <v>53</v>
      </c>
    </row>
    <row r="2365" spans="34:39" x14ac:dyDescent="0.35">
      <c r="AH2365" s="21"/>
      <c r="AI2365" s="21"/>
      <c r="AJ2365" s="21"/>
      <c r="AK2365" s="21"/>
      <c r="AM2365" t="s">
        <v>53</v>
      </c>
    </row>
    <row r="2366" spans="34:39" x14ac:dyDescent="0.35">
      <c r="AH2366" s="21"/>
      <c r="AI2366" s="21"/>
      <c r="AJ2366" s="21"/>
      <c r="AK2366" s="21"/>
      <c r="AM2366" t="s">
        <v>53</v>
      </c>
    </row>
    <row r="2367" spans="34:39" x14ac:dyDescent="0.35">
      <c r="AH2367" s="21"/>
      <c r="AI2367" s="21"/>
      <c r="AJ2367" s="21"/>
      <c r="AK2367" s="21"/>
      <c r="AM2367" t="s">
        <v>53</v>
      </c>
    </row>
    <row r="2368" spans="34:39" x14ac:dyDescent="0.35">
      <c r="AH2368" s="21"/>
      <c r="AI2368" s="21"/>
      <c r="AJ2368" s="21"/>
      <c r="AK2368" s="21"/>
      <c r="AM2368" t="s">
        <v>53</v>
      </c>
    </row>
    <row r="2369" spans="34:39" x14ac:dyDescent="0.35">
      <c r="AH2369" s="21"/>
      <c r="AI2369" s="21"/>
      <c r="AJ2369" s="21"/>
      <c r="AK2369" s="21"/>
      <c r="AM2369" t="s">
        <v>53</v>
      </c>
    </row>
    <row r="2370" spans="34:39" x14ac:dyDescent="0.35">
      <c r="AH2370" s="21"/>
      <c r="AI2370" s="21"/>
      <c r="AJ2370" s="21"/>
      <c r="AK2370" s="21"/>
      <c r="AM2370" t="s">
        <v>53</v>
      </c>
    </row>
    <row r="2371" spans="34:39" x14ac:dyDescent="0.35">
      <c r="AH2371" s="21"/>
      <c r="AI2371" s="21"/>
      <c r="AJ2371" s="21"/>
      <c r="AK2371" s="21"/>
      <c r="AM2371" t="s">
        <v>53</v>
      </c>
    </row>
    <row r="2372" spans="34:39" x14ac:dyDescent="0.35">
      <c r="AH2372" s="21"/>
      <c r="AI2372" s="21"/>
      <c r="AJ2372" s="21"/>
      <c r="AK2372" s="21"/>
      <c r="AM2372" t="s">
        <v>53</v>
      </c>
    </row>
    <row r="2373" spans="34:39" x14ac:dyDescent="0.35">
      <c r="AH2373" s="21"/>
      <c r="AI2373" s="21"/>
      <c r="AJ2373" s="21"/>
      <c r="AK2373" s="21"/>
      <c r="AM2373" t="s">
        <v>53</v>
      </c>
    </row>
    <row r="2374" spans="34:39" x14ac:dyDescent="0.35">
      <c r="AH2374" s="21"/>
      <c r="AI2374" s="21"/>
      <c r="AJ2374" s="21"/>
      <c r="AK2374" s="21"/>
      <c r="AM2374" t="s">
        <v>53</v>
      </c>
    </row>
    <row r="2375" spans="34:39" x14ac:dyDescent="0.35">
      <c r="AH2375" s="21"/>
      <c r="AI2375" s="21"/>
      <c r="AJ2375" s="21"/>
      <c r="AK2375" s="21"/>
      <c r="AM2375" t="s">
        <v>53</v>
      </c>
    </row>
    <row r="2376" spans="34:39" x14ac:dyDescent="0.35">
      <c r="AH2376" s="21"/>
      <c r="AI2376" s="21"/>
      <c r="AJ2376" s="21"/>
      <c r="AK2376" s="21"/>
      <c r="AM2376" t="s">
        <v>53</v>
      </c>
    </row>
    <row r="2377" spans="34:39" x14ac:dyDescent="0.35">
      <c r="AH2377" s="21"/>
      <c r="AI2377" s="21"/>
      <c r="AJ2377" s="21"/>
      <c r="AK2377" s="21"/>
      <c r="AM2377" t="s">
        <v>53</v>
      </c>
    </row>
    <row r="2378" spans="34:39" x14ac:dyDescent="0.35">
      <c r="AH2378" s="21"/>
      <c r="AI2378" s="21"/>
      <c r="AJ2378" s="21"/>
      <c r="AK2378" s="21"/>
      <c r="AM2378" t="s">
        <v>53</v>
      </c>
    </row>
    <row r="2379" spans="34:39" x14ac:dyDescent="0.35">
      <c r="AH2379" s="21"/>
      <c r="AI2379" s="21"/>
      <c r="AJ2379" s="21"/>
      <c r="AK2379" s="21"/>
      <c r="AM2379" t="s">
        <v>53</v>
      </c>
    </row>
    <row r="2380" spans="34:39" x14ac:dyDescent="0.35">
      <c r="AH2380" s="21"/>
      <c r="AI2380" s="21"/>
      <c r="AJ2380" s="21"/>
      <c r="AK2380" s="21"/>
      <c r="AM2380" t="s">
        <v>53</v>
      </c>
    </row>
    <row r="2381" spans="34:39" x14ac:dyDescent="0.35">
      <c r="AH2381" s="21"/>
      <c r="AI2381" s="21"/>
      <c r="AJ2381" s="21"/>
      <c r="AK2381" s="21"/>
      <c r="AM2381" t="s">
        <v>53</v>
      </c>
    </row>
    <row r="2382" spans="34:39" x14ac:dyDescent="0.35">
      <c r="AH2382" s="21"/>
      <c r="AI2382" s="21"/>
      <c r="AJ2382" s="21"/>
      <c r="AK2382" s="21"/>
      <c r="AM2382" t="s">
        <v>53</v>
      </c>
    </row>
    <row r="2383" spans="34:39" x14ac:dyDescent="0.35">
      <c r="AH2383" s="21"/>
      <c r="AI2383" s="21"/>
      <c r="AJ2383" s="21"/>
      <c r="AK2383" s="21"/>
      <c r="AM2383" t="s">
        <v>53</v>
      </c>
    </row>
    <row r="2384" spans="34:39" x14ac:dyDescent="0.35">
      <c r="AH2384" s="21"/>
      <c r="AI2384" s="21"/>
      <c r="AJ2384" s="21"/>
      <c r="AK2384" s="21"/>
      <c r="AM2384" t="s">
        <v>53</v>
      </c>
    </row>
    <row r="2385" spans="34:39" x14ac:dyDescent="0.35">
      <c r="AH2385" s="21"/>
      <c r="AI2385" s="21"/>
      <c r="AJ2385" s="21"/>
      <c r="AK2385" s="21"/>
      <c r="AM2385" t="s">
        <v>53</v>
      </c>
    </row>
    <row r="2386" spans="34:39" x14ac:dyDescent="0.35">
      <c r="AH2386" s="21"/>
      <c r="AI2386" s="21"/>
      <c r="AJ2386" s="21"/>
      <c r="AK2386" s="21"/>
      <c r="AM2386" t="s">
        <v>53</v>
      </c>
    </row>
    <row r="2387" spans="34:39" x14ac:dyDescent="0.35">
      <c r="AH2387" s="21"/>
      <c r="AI2387" s="21"/>
      <c r="AJ2387" s="21"/>
      <c r="AK2387" s="21"/>
      <c r="AM2387" t="s">
        <v>53</v>
      </c>
    </row>
    <row r="2388" spans="34:39" x14ac:dyDescent="0.35">
      <c r="AH2388" s="21"/>
      <c r="AI2388" s="21"/>
      <c r="AJ2388" s="21"/>
      <c r="AK2388" s="21"/>
      <c r="AM2388" t="s">
        <v>53</v>
      </c>
    </row>
    <row r="2389" spans="34:39" x14ac:dyDescent="0.35">
      <c r="AH2389" s="21"/>
      <c r="AI2389" s="21"/>
      <c r="AJ2389" s="21"/>
      <c r="AK2389" s="21"/>
      <c r="AM2389" t="s">
        <v>53</v>
      </c>
    </row>
    <row r="2390" spans="34:39" x14ac:dyDescent="0.35">
      <c r="AH2390" s="21"/>
      <c r="AI2390" s="21"/>
      <c r="AJ2390" s="21"/>
      <c r="AK2390" s="21"/>
      <c r="AM2390" t="s">
        <v>53</v>
      </c>
    </row>
    <row r="2391" spans="34:39" x14ac:dyDescent="0.35">
      <c r="AH2391" s="21"/>
      <c r="AI2391" s="21"/>
      <c r="AJ2391" s="21"/>
      <c r="AK2391" s="21"/>
      <c r="AM2391" t="s">
        <v>53</v>
      </c>
    </row>
    <row r="2392" spans="34:39" x14ac:dyDescent="0.35">
      <c r="AH2392" s="21"/>
      <c r="AI2392" s="21"/>
      <c r="AJ2392" s="21"/>
      <c r="AK2392" s="21"/>
      <c r="AM2392" t="s">
        <v>53</v>
      </c>
    </row>
    <row r="2393" spans="34:39" x14ac:dyDescent="0.35">
      <c r="AH2393" s="21"/>
      <c r="AI2393" s="21"/>
      <c r="AJ2393" s="21"/>
      <c r="AK2393" s="21"/>
      <c r="AM2393" t="s">
        <v>53</v>
      </c>
    </row>
    <row r="2394" spans="34:39" x14ac:dyDescent="0.35">
      <c r="AH2394" s="21"/>
      <c r="AI2394" s="21"/>
      <c r="AJ2394" s="21"/>
      <c r="AK2394" s="21"/>
      <c r="AM2394" t="s">
        <v>53</v>
      </c>
    </row>
    <row r="2395" spans="34:39" x14ac:dyDescent="0.35">
      <c r="AH2395" s="21"/>
      <c r="AI2395" s="21"/>
      <c r="AJ2395" s="21"/>
      <c r="AK2395" s="21"/>
      <c r="AM2395" t="s">
        <v>53</v>
      </c>
    </row>
    <row r="2396" spans="34:39" x14ac:dyDescent="0.35">
      <c r="AH2396" s="21"/>
      <c r="AI2396" s="21"/>
      <c r="AJ2396" s="21"/>
      <c r="AK2396" s="21"/>
      <c r="AM2396" t="s">
        <v>53</v>
      </c>
    </row>
    <row r="2397" spans="34:39" x14ac:dyDescent="0.35">
      <c r="AH2397" s="21"/>
      <c r="AI2397" s="21"/>
      <c r="AJ2397" s="21"/>
      <c r="AK2397" s="21"/>
      <c r="AM2397" t="s">
        <v>53</v>
      </c>
    </row>
    <row r="2398" spans="34:39" x14ac:dyDescent="0.35">
      <c r="AH2398" s="21"/>
      <c r="AI2398" s="21"/>
      <c r="AJ2398" s="21"/>
      <c r="AK2398" s="21"/>
      <c r="AM2398" t="s">
        <v>53</v>
      </c>
    </row>
    <row r="2399" spans="34:39" x14ac:dyDescent="0.35">
      <c r="AH2399" s="21"/>
      <c r="AI2399" s="21"/>
      <c r="AJ2399" s="21"/>
      <c r="AK2399" s="21"/>
      <c r="AM2399" t="s">
        <v>53</v>
      </c>
    </row>
    <row r="2400" spans="34:39" x14ac:dyDescent="0.35">
      <c r="AH2400" s="21"/>
      <c r="AI2400" s="21"/>
      <c r="AJ2400" s="21"/>
      <c r="AK2400" s="21"/>
      <c r="AM2400" t="s">
        <v>53</v>
      </c>
    </row>
    <row r="2401" spans="34:39" x14ac:dyDescent="0.35">
      <c r="AH2401" s="21"/>
      <c r="AI2401" s="21"/>
      <c r="AJ2401" s="21"/>
      <c r="AK2401" s="21"/>
      <c r="AM2401" t="s">
        <v>53</v>
      </c>
    </row>
    <row r="2402" spans="34:39" x14ac:dyDescent="0.35">
      <c r="AH2402" s="21"/>
      <c r="AI2402" s="21"/>
      <c r="AJ2402" s="21"/>
      <c r="AK2402" s="21"/>
      <c r="AM2402" t="s">
        <v>53</v>
      </c>
    </row>
    <row r="2403" spans="34:39" x14ac:dyDescent="0.35">
      <c r="AH2403" s="21"/>
      <c r="AI2403" s="21"/>
      <c r="AJ2403" s="21"/>
      <c r="AK2403" s="21"/>
      <c r="AM2403" t="s">
        <v>53</v>
      </c>
    </row>
    <row r="2404" spans="34:39" x14ac:dyDescent="0.35">
      <c r="AH2404" s="21"/>
      <c r="AI2404" s="21"/>
      <c r="AJ2404" s="21"/>
      <c r="AK2404" s="21"/>
      <c r="AM2404" t="s">
        <v>53</v>
      </c>
    </row>
    <row r="2405" spans="34:39" x14ac:dyDescent="0.35">
      <c r="AH2405" s="21"/>
      <c r="AI2405" s="21"/>
      <c r="AJ2405" s="21"/>
      <c r="AK2405" s="21"/>
      <c r="AM2405" t="s">
        <v>53</v>
      </c>
    </row>
    <row r="2406" spans="34:39" x14ac:dyDescent="0.35">
      <c r="AH2406" s="21"/>
      <c r="AI2406" s="21"/>
      <c r="AJ2406" s="21"/>
      <c r="AK2406" s="21"/>
      <c r="AM2406" t="s">
        <v>53</v>
      </c>
    </row>
    <row r="2407" spans="34:39" x14ac:dyDescent="0.35">
      <c r="AH2407" s="21"/>
      <c r="AI2407" s="21"/>
      <c r="AJ2407" s="21"/>
      <c r="AK2407" s="21"/>
      <c r="AM2407" t="s">
        <v>53</v>
      </c>
    </row>
    <row r="2408" spans="34:39" x14ac:dyDescent="0.35">
      <c r="AH2408" s="21"/>
      <c r="AI2408" s="21"/>
      <c r="AJ2408" s="21"/>
      <c r="AK2408" s="21"/>
      <c r="AM2408" t="s">
        <v>53</v>
      </c>
    </row>
    <row r="2409" spans="34:39" x14ac:dyDescent="0.35">
      <c r="AH2409" s="21"/>
      <c r="AI2409" s="21"/>
      <c r="AJ2409" s="21"/>
      <c r="AK2409" s="21"/>
      <c r="AM2409" t="s">
        <v>53</v>
      </c>
    </row>
    <row r="2410" spans="34:39" x14ac:dyDescent="0.35">
      <c r="AH2410" s="21"/>
      <c r="AI2410" s="21"/>
      <c r="AJ2410" s="21"/>
      <c r="AK2410" s="21"/>
      <c r="AM2410" t="s">
        <v>53</v>
      </c>
    </row>
    <row r="2411" spans="34:39" x14ac:dyDescent="0.35">
      <c r="AH2411" s="21"/>
      <c r="AI2411" s="21"/>
      <c r="AJ2411" s="21"/>
      <c r="AK2411" s="21"/>
      <c r="AM2411" t="s">
        <v>53</v>
      </c>
    </row>
    <row r="2412" spans="34:39" x14ac:dyDescent="0.35">
      <c r="AH2412" s="21"/>
      <c r="AI2412" s="21"/>
      <c r="AJ2412" s="21"/>
      <c r="AK2412" s="21"/>
      <c r="AM2412" t="s">
        <v>53</v>
      </c>
    </row>
    <row r="2413" spans="34:39" x14ac:dyDescent="0.35">
      <c r="AH2413" s="21"/>
      <c r="AI2413" s="21"/>
      <c r="AJ2413" s="21"/>
      <c r="AK2413" s="21"/>
      <c r="AM2413" t="s">
        <v>53</v>
      </c>
    </row>
    <row r="2414" spans="34:39" x14ac:dyDescent="0.35">
      <c r="AH2414" s="21"/>
      <c r="AI2414" s="21"/>
      <c r="AJ2414" s="21"/>
      <c r="AK2414" s="21"/>
      <c r="AM2414" t="s">
        <v>53</v>
      </c>
    </row>
    <row r="2415" spans="34:39" x14ac:dyDescent="0.35">
      <c r="AH2415" s="21"/>
      <c r="AI2415" s="21"/>
      <c r="AJ2415" s="21"/>
      <c r="AK2415" s="21"/>
      <c r="AM2415" t="s">
        <v>53</v>
      </c>
    </row>
    <row r="2416" spans="34:39" x14ac:dyDescent="0.35">
      <c r="AH2416" s="21"/>
      <c r="AI2416" s="21"/>
      <c r="AJ2416" s="21"/>
      <c r="AK2416" s="21"/>
      <c r="AM2416" t="s">
        <v>53</v>
      </c>
    </row>
    <row r="2417" spans="34:39" x14ac:dyDescent="0.35">
      <c r="AH2417" s="21"/>
      <c r="AI2417" s="21"/>
      <c r="AJ2417" s="21"/>
      <c r="AK2417" s="21"/>
      <c r="AM2417" t="s">
        <v>53</v>
      </c>
    </row>
    <row r="2418" spans="34:39" x14ac:dyDescent="0.35">
      <c r="AH2418" s="21"/>
      <c r="AI2418" s="21"/>
      <c r="AJ2418" s="21"/>
      <c r="AK2418" s="21"/>
      <c r="AM2418" t="s">
        <v>53</v>
      </c>
    </row>
    <row r="2419" spans="34:39" x14ac:dyDescent="0.35">
      <c r="AH2419" s="21"/>
      <c r="AI2419" s="21"/>
      <c r="AJ2419" s="21"/>
      <c r="AK2419" s="21"/>
      <c r="AM2419" t="s">
        <v>53</v>
      </c>
    </row>
    <row r="2420" spans="34:39" x14ac:dyDescent="0.35">
      <c r="AH2420" s="21"/>
      <c r="AI2420" s="21"/>
      <c r="AJ2420" s="21"/>
      <c r="AK2420" s="21"/>
      <c r="AM2420" t="s">
        <v>53</v>
      </c>
    </row>
    <row r="2421" spans="34:39" x14ac:dyDescent="0.35">
      <c r="AH2421" s="21"/>
      <c r="AI2421" s="21"/>
      <c r="AJ2421" s="21"/>
      <c r="AK2421" s="21"/>
      <c r="AM2421" t="s">
        <v>53</v>
      </c>
    </row>
    <row r="2422" spans="34:39" x14ac:dyDescent="0.35">
      <c r="AH2422" s="21"/>
      <c r="AI2422" s="21"/>
      <c r="AJ2422" s="21"/>
      <c r="AK2422" s="21"/>
      <c r="AM2422" t="s">
        <v>53</v>
      </c>
    </row>
    <row r="2423" spans="34:39" x14ac:dyDescent="0.35">
      <c r="AH2423" s="21"/>
      <c r="AI2423" s="21"/>
      <c r="AJ2423" s="21"/>
      <c r="AK2423" s="21"/>
      <c r="AM2423" t="s">
        <v>53</v>
      </c>
    </row>
    <row r="2424" spans="34:39" x14ac:dyDescent="0.35">
      <c r="AH2424" s="21"/>
      <c r="AI2424" s="21"/>
      <c r="AJ2424" s="21"/>
      <c r="AK2424" s="21"/>
      <c r="AM2424" t="s">
        <v>53</v>
      </c>
    </row>
    <row r="2425" spans="34:39" x14ac:dyDescent="0.35">
      <c r="AH2425" s="21"/>
      <c r="AI2425" s="21"/>
      <c r="AJ2425" s="21"/>
      <c r="AK2425" s="21"/>
      <c r="AM2425" t="s">
        <v>53</v>
      </c>
    </row>
    <row r="2426" spans="34:39" x14ac:dyDescent="0.35">
      <c r="AH2426" s="21"/>
      <c r="AI2426" s="21"/>
      <c r="AJ2426" s="21"/>
      <c r="AK2426" s="21"/>
      <c r="AM2426" t="s">
        <v>53</v>
      </c>
    </row>
    <row r="2427" spans="34:39" x14ac:dyDescent="0.35">
      <c r="AH2427" s="21"/>
      <c r="AI2427" s="21"/>
      <c r="AJ2427" s="21"/>
      <c r="AK2427" s="21"/>
      <c r="AM2427" t="s">
        <v>53</v>
      </c>
    </row>
    <row r="2428" spans="34:39" x14ac:dyDescent="0.35">
      <c r="AH2428" s="21"/>
      <c r="AI2428" s="21"/>
      <c r="AJ2428" s="21"/>
      <c r="AK2428" s="21"/>
      <c r="AM2428" t="s">
        <v>53</v>
      </c>
    </row>
    <row r="2429" spans="34:39" x14ac:dyDescent="0.35">
      <c r="AH2429" s="21"/>
      <c r="AI2429" s="21"/>
      <c r="AJ2429" s="21"/>
      <c r="AK2429" s="21"/>
      <c r="AM2429" t="s">
        <v>53</v>
      </c>
    </row>
    <row r="2430" spans="34:39" x14ac:dyDescent="0.35">
      <c r="AH2430" s="21"/>
      <c r="AI2430" s="21"/>
      <c r="AJ2430" s="21"/>
      <c r="AK2430" s="21"/>
      <c r="AM2430" t="s">
        <v>53</v>
      </c>
    </row>
    <row r="2431" spans="34:39" x14ac:dyDescent="0.35">
      <c r="AH2431" s="21"/>
      <c r="AI2431" s="21"/>
      <c r="AJ2431" s="21"/>
      <c r="AK2431" s="21"/>
      <c r="AM2431" t="s">
        <v>53</v>
      </c>
    </row>
    <row r="2432" spans="34:39" x14ac:dyDescent="0.35">
      <c r="AH2432" s="21"/>
      <c r="AI2432" s="21"/>
      <c r="AJ2432" s="21"/>
      <c r="AK2432" s="21"/>
      <c r="AM2432" t="s">
        <v>53</v>
      </c>
    </row>
    <row r="2433" spans="34:39" x14ac:dyDescent="0.35">
      <c r="AH2433" s="21"/>
      <c r="AI2433" s="21"/>
      <c r="AJ2433" s="21"/>
      <c r="AK2433" s="21"/>
      <c r="AM2433" t="s">
        <v>53</v>
      </c>
    </row>
    <row r="2434" spans="34:39" x14ac:dyDescent="0.35">
      <c r="AH2434" s="21"/>
      <c r="AI2434" s="21"/>
      <c r="AJ2434" s="21"/>
      <c r="AK2434" s="21"/>
      <c r="AM2434" t="s">
        <v>53</v>
      </c>
    </row>
    <row r="2435" spans="34:39" x14ac:dyDescent="0.35">
      <c r="AH2435" s="21"/>
      <c r="AI2435" s="21"/>
      <c r="AJ2435" s="21"/>
      <c r="AK2435" s="21"/>
      <c r="AM2435" t="s">
        <v>53</v>
      </c>
    </row>
    <row r="2436" spans="34:39" x14ac:dyDescent="0.35">
      <c r="AH2436" s="21"/>
      <c r="AI2436" s="21"/>
      <c r="AJ2436" s="21"/>
      <c r="AK2436" s="21"/>
      <c r="AM2436" t="s">
        <v>53</v>
      </c>
    </row>
    <row r="2437" spans="34:39" x14ac:dyDescent="0.35">
      <c r="AH2437" s="21"/>
      <c r="AI2437" s="21"/>
      <c r="AJ2437" s="21"/>
      <c r="AK2437" s="21"/>
      <c r="AM2437" t="s">
        <v>53</v>
      </c>
    </row>
    <row r="2438" spans="34:39" x14ac:dyDescent="0.35">
      <c r="AH2438" s="21"/>
      <c r="AI2438" s="21"/>
      <c r="AJ2438" s="21"/>
      <c r="AK2438" s="21"/>
      <c r="AM2438" t="s">
        <v>53</v>
      </c>
    </row>
    <row r="2439" spans="34:39" x14ac:dyDescent="0.35">
      <c r="AH2439" s="21"/>
      <c r="AI2439" s="21"/>
      <c r="AJ2439" s="21"/>
      <c r="AK2439" s="21"/>
      <c r="AM2439" t="s">
        <v>53</v>
      </c>
    </row>
    <row r="2440" spans="34:39" x14ac:dyDescent="0.35">
      <c r="AH2440" s="21"/>
      <c r="AI2440" s="21"/>
      <c r="AJ2440" s="21"/>
      <c r="AK2440" s="21"/>
      <c r="AM2440" t="s">
        <v>53</v>
      </c>
    </row>
    <row r="2441" spans="34:39" x14ac:dyDescent="0.35">
      <c r="AH2441" s="21"/>
      <c r="AI2441" s="21"/>
      <c r="AJ2441" s="21"/>
      <c r="AK2441" s="21"/>
      <c r="AM2441" t="s">
        <v>53</v>
      </c>
    </row>
    <row r="2442" spans="34:39" x14ac:dyDescent="0.35">
      <c r="AH2442" s="21"/>
      <c r="AI2442" s="21"/>
      <c r="AJ2442" s="21"/>
      <c r="AK2442" s="21"/>
      <c r="AM2442" t="s">
        <v>53</v>
      </c>
    </row>
    <row r="2443" spans="34:39" x14ac:dyDescent="0.35">
      <c r="AH2443" s="21"/>
      <c r="AI2443" s="21"/>
      <c r="AJ2443" s="21"/>
      <c r="AK2443" s="21"/>
      <c r="AM2443" t="s">
        <v>53</v>
      </c>
    </row>
    <row r="2444" spans="34:39" x14ac:dyDescent="0.35">
      <c r="AH2444" s="21"/>
      <c r="AI2444" s="21"/>
      <c r="AJ2444" s="21"/>
      <c r="AK2444" s="21"/>
      <c r="AM2444" t="s">
        <v>53</v>
      </c>
    </row>
    <row r="2445" spans="34:39" x14ac:dyDescent="0.35">
      <c r="AH2445" s="21"/>
      <c r="AI2445" s="21"/>
      <c r="AJ2445" s="21"/>
      <c r="AK2445" s="21"/>
      <c r="AM2445" t="s">
        <v>53</v>
      </c>
    </row>
    <row r="2446" spans="34:39" x14ac:dyDescent="0.35">
      <c r="AH2446" s="21"/>
      <c r="AI2446" s="21"/>
      <c r="AJ2446" s="21"/>
      <c r="AK2446" s="21"/>
      <c r="AM2446" t="s">
        <v>53</v>
      </c>
    </row>
    <row r="2447" spans="34:39" x14ac:dyDescent="0.35">
      <c r="AH2447" s="21"/>
      <c r="AI2447" s="21"/>
      <c r="AJ2447" s="21"/>
      <c r="AK2447" s="21"/>
      <c r="AM2447" t="s">
        <v>53</v>
      </c>
    </row>
    <row r="2448" spans="34:39" x14ac:dyDescent="0.35">
      <c r="AH2448" s="21"/>
      <c r="AI2448" s="21"/>
      <c r="AJ2448" s="21"/>
      <c r="AK2448" s="21"/>
      <c r="AM2448" t="s">
        <v>53</v>
      </c>
    </row>
    <row r="2449" spans="34:39" x14ac:dyDescent="0.35">
      <c r="AH2449" s="21"/>
      <c r="AI2449" s="21"/>
      <c r="AJ2449" s="21"/>
      <c r="AK2449" s="21"/>
      <c r="AM2449" t="s">
        <v>53</v>
      </c>
    </row>
    <row r="2450" spans="34:39" x14ac:dyDescent="0.35">
      <c r="AH2450" s="21"/>
      <c r="AI2450" s="21"/>
      <c r="AJ2450" s="21"/>
      <c r="AK2450" s="21"/>
      <c r="AM2450" t="s">
        <v>53</v>
      </c>
    </row>
    <row r="2451" spans="34:39" x14ac:dyDescent="0.35">
      <c r="AH2451" s="21"/>
      <c r="AI2451" s="21"/>
      <c r="AJ2451" s="21"/>
      <c r="AK2451" s="21"/>
      <c r="AM2451" t="s">
        <v>53</v>
      </c>
    </row>
    <row r="2452" spans="34:39" x14ac:dyDescent="0.35">
      <c r="AH2452" s="21"/>
      <c r="AI2452" s="21"/>
      <c r="AJ2452" s="21"/>
      <c r="AK2452" s="21"/>
      <c r="AM2452" t="s">
        <v>53</v>
      </c>
    </row>
    <row r="2453" spans="34:39" x14ac:dyDescent="0.35">
      <c r="AH2453" s="21"/>
      <c r="AI2453" s="21"/>
      <c r="AJ2453" s="21"/>
      <c r="AK2453" s="21"/>
      <c r="AM2453" t="s">
        <v>53</v>
      </c>
    </row>
    <row r="2454" spans="34:39" x14ac:dyDescent="0.35">
      <c r="AH2454" s="21"/>
      <c r="AI2454" s="21"/>
      <c r="AJ2454" s="21"/>
      <c r="AK2454" s="21"/>
      <c r="AM2454" t="s">
        <v>53</v>
      </c>
    </row>
    <row r="2455" spans="34:39" x14ac:dyDescent="0.35">
      <c r="AH2455" s="21"/>
      <c r="AI2455" s="21"/>
      <c r="AJ2455" s="21"/>
      <c r="AK2455" s="21"/>
      <c r="AM2455" t="s">
        <v>53</v>
      </c>
    </row>
    <row r="2456" spans="34:39" x14ac:dyDescent="0.35">
      <c r="AH2456" s="21"/>
      <c r="AI2456" s="21"/>
      <c r="AJ2456" s="21"/>
      <c r="AK2456" s="21"/>
      <c r="AM2456" t="s">
        <v>53</v>
      </c>
    </row>
    <row r="2457" spans="34:39" x14ac:dyDescent="0.35">
      <c r="AH2457" s="21"/>
      <c r="AI2457" s="21"/>
      <c r="AJ2457" s="21"/>
      <c r="AK2457" s="21"/>
      <c r="AM2457" t="s">
        <v>53</v>
      </c>
    </row>
    <row r="2458" spans="34:39" x14ac:dyDescent="0.35">
      <c r="AH2458" s="21"/>
      <c r="AI2458" s="21"/>
      <c r="AJ2458" s="21"/>
      <c r="AK2458" s="21"/>
      <c r="AM2458" t="s">
        <v>53</v>
      </c>
    </row>
    <row r="2459" spans="34:39" x14ac:dyDescent="0.35">
      <c r="AH2459" s="21"/>
      <c r="AI2459" s="21"/>
      <c r="AJ2459" s="21"/>
      <c r="AK2459" s="21"/>
      <c r="AM2459" t="s">
        <v>53</v>
      </c>
    </row>
    <row r="2460" spans="34:39" x14ac:dyDescent="0.35">
      <c r="AH2460" s="21"/>
      <c r="AI2460" s="21"/>
      <c r="AJ2460" s="21"/>
      <c r="AK2460" s="21"/>
      <c r="AM2460" t="s">
        <v>53</v>
      </c>
    </row>
    <row r="2461" spans="34:39" x14ac:dyDescent="0.35">
      <c r="AH2461" s="21"/>
      <c r="AI2461" s="21"/>
      <c r="AJ2461" s="21"/>
      <c r="AK2461" s="21"/>
      <c r="AM2461" t="s">
        <v>53</v>
      </c>
    </row>
    <row r="2462" spans="34:39" x14ac:dyDescent="0.35">
      <c r="AH2462" s="21"/>
      <c r="AI2462" s="21"/>
      <c r="AJ2462" s="21"/>
      <c r="AK2462" s="21"/>
      <c r="AM2462" t="s">
        <v>53</v>
      </c>
    </row>
    <row r="2463" spans="34:39" x14ac:dyDescent="0.35">
      <c r="AH2463" s="21"/>
      <c r="AI2463" s="21"/>
      <c r="AJ2463" s="21"/>
      <c r="AK2463" s="21"/>
      <c r="AM2463" t="s">
        <v>53</v>
      </c>
    </row>
    <row r="2464" spans="34:39" x14ac:dyDescent="0.35">
      <c r="AH2464" s="21"/>
      <c r="AI2464" s="21"/>
      <c r="AJ2464" s="21"/>
      <c r="AK2464" s="21"/>
      <c r="AM2464" t="s">
        <v>53</v>
      </c>
    </row>
    <row r="2465" spans="34:39" x14ac:dyDescent="0.35">
      <c r="AH2465" s="21"/>
      <c r="AI2465" s="21"/>
      <c r="AJ2465" s="21"/>
      <c r="AK2465" s="21"/>
      <c r="AM2465" t="s">
        <v>53</v>
      </c>
    </row>
    <row r="2466" spans="34:39" x14ac:dyDescent="0.35">
      <c r="AH2466" s="21"/>
      <c r="AI2466" s="21"/>
      <c r="AJ2466" s="21"/>
      <c r="AK2466" s="21"/>
      <c r="AM2466" t="s">
        <v>53</v>
      </c>
    </row>
    <row r="2467" spans="34:39" x14ac:dyDescent="0.35">
      <c r="AH2467" s="21"/>
      <c r="AI2467" s="21"/>
      <c r="AJ2467" s="21"/>
      <c r="AK2467" s="21"/>
      <c r="AM2467" t="s">
        <v>53</v>
      </c>
    </row>
    <row r="2468" spans="34:39" x14ac:dyDescent="0.35">
      <c r="AH2468" s="21"/>
      <c r="AI2468" s="21"/>
      <c r="AJ2468" s="21"/>
      <c r="AK2468" s="21"/>
      <c r="AM2468" t="s">
        <v>53</v>
      </c>
    </row>
    <row r="2469" spans="34:39" x14ac:dyDescent="0.35">
      <c r="AH2469" s="21"/>
      <c r="AI2469" s="21"/>
      <c r="AJ2469" s="21"/>
      <c r="AK2469" s="21"/>
      <c r="AM2469" t="s">
        <v>53</v>
      </c>
    </row>
    <row r="2470" spans="34:39" x14ac:dyDescent="0.35">
      <c r="AH2470" s="21"/>
      <c r="AI2470" s="21"/>
      <c r="AJ2470" s="21"/>
      <c r="AK2470" s="21"/>
      <c r="AM2470" t="s">
        <v>53</v>
      </c>
    </row>
    <row r="2471" spans="34:39" x14ac:dyDescent="0.35">
      <c r="AH2471" s="21"/>
      <c r="AI2471" s="21"/>
      <c r="AJ2471" s="21"/>
      <c r="AK2471" s="21"/>
      <c r="AM2471" t="s">
        <v>53</v>
      </c>
    </row>
    <row r="2472" spans="34:39" x14ac:dyDescent="0.35">
      <c r="AH2472" s="21"/>
      <c r="AI2472" s="21"/>
      <c r="AJ2472" s="21"/>
      <c r="AK2472" s="21"/>
      <c r="AM2472" t="s">
        <v>53</v>
      </c>
    </row>
    <row r="2473" spans="34:39" x14ac:dyDescent="0.35">
      <c r="AH2473" s="21"/>
      <c r="AI2473" s="21"/>
      <c r="AJ2473" s="21"/>
      <c r="AK2473" s="21"/>
      <c r="AM2473" t="s">
        <v>53</v>
      </c>
    </row>
    <row r="2474" spans="34:39" x14ac:dyDescent="0.35">
      <c r="AH2474" s="21"/>
      <c r="AI2474" s="21"/>
      <c r="AJ2474" s="21"/>
      <c r="AK2474" s="21"/>
      <c r="AM2474" t="s">
        <v>53</v>
      </c>
    </row>
    <row r="2475" spans="34:39" x14ac:dyDescent="0.35">
      <c r="AH2475" s="21"/>
      <c r="AI2475" s="21"/>
      <c r="AJ2475" s="21"/>
      <c r="AK2475" s="21"/>
      <c r="AM2475" t="s">
        <v>53</v>
      </c>
    </row>
    <row r="2476" spans="34:39" x14ac:dyDescent="0.35">
      <c r="AH2476" s="21"/>
      <c r="AI2476" s="21"/>
      <c r="AJ2476" s="21"/>
      <c r="AK2476" s="21"/>
      <c r="AM2476" t="s">
        <v>53</v>
      </c>
    </row>
    <row r="2477" spans="34:39" x14ac:dyDescent="0.35">
      <c r="AH2477" s="21"/>
      <c r="AI2477" s="21"/>
      <c r="AJ2477" s="21"/>
      <c r="AK2477" s="21"/>
      <c r="AM2477" t="s">
        <v>53</v>
      </c>
    </row>
    <row r="2478" spans="34:39" x14ac:dyDescent="0.35">
      <c r="AH2478" s="21"/>
      <c r="AI2478" s="21"/>
      <c r="AJ2478" s="21"/>
      <c r="AK2478" s="21"/>
      <c r="AM2478" t="s">
        <v>53</v>
      </c>
    </row>
    <row r="2479" spans="34:39" x14ac:dyDescent="0.35">
      <c r="AH2479" s="21"/>
      <c r="AI2479" s="21"/>
      <c r="AJ2479" s="21"/>
      <c r="AK2479" s="21"/>
      <c r="AM2479" t="s">
        <v>53</v>
      </c>
    </row>
    <row r="2480" spans="34:39" x14ac:dyDescent="0.35">
      <c r="AH2480" s="21"/>
      <c r="AI2480" s="21"/>
      <c r="AJ2480" s="21"/>
      <c r="AK2480" s="21"/>
      <c r="AM2480" t="s">
        <v>53</v>
      </c>
    </row>
    <row r="2481" spans="34:39" x14ac:dyDescent="0.35">
      <c r="AH2481" s="21"/>
      <c r="AI2481" s="21"/>
      <c r="AJ2481" s="21"/>
      <c r="AK2481" s="21"/>
      <c r="AM2481" t="s">
        <v>53</v>
      </c>
    </row>
    <row r="2482" spans="34:39" x14ac:dyDescent="0.35">
      <c r="AH2482" s="21"/>
      <c r="AI2482" s="21"/>
      <c r="AJ2482" s="21"/>
      <c r="AK2482" s="21"/>
      <c r="AM2482" t="s">
        <v>53</v>
      </c>
    </row>
    <row r="2483" spans="34:39" x14ac:dyDescent="0.35">
      <c r="AH2483" s="21"/>
      <c r="AI2483" s="21"/>
      <c r="AJ2483" s="21"/>
      <c r="AK2483" s="21"/>
      <c r="AM2483" t="s">
        <v>53</v>
      </c>
    </row>
    <row r="2484" spans="34:39" x14ac:dyDescent="0.35">
      <c r="AH2484" s="21"/>
      <c r="AI2484" s="21"/>
      <c r="AJ2484" s="21"/>
      <c r="AK2484" s="21"/>
      <c r="AM2484" t="s">
        <v>53</v>
      </c>
    </row>
    <row r="2485" spans="34:39" x14ac:dyDescent="0.35">
      <c r="AH2485" s="21"/>
      <c r="AI2485" s="21"/>
      <c r="AJ2485" s="21"/>
      <c r="AK2485" s="21"/>
      <c r="AM2485" t="s">
        <v>53</v>
      </c>
    </row>
    <row r="2486" spans="34:39" x14ac:dyDescent="0.35">
      <c r="AH2486" s="21"/>
      <c r="AI2486" s="21"/>
      <c r="AJ2486" s="21"/>
      <c r="AK2486" s="21"/>
      <c r="AM2486" t="s">
        <v>53</v>
      </c>
    </row>
    <row r="2487" spans="34:39" x14ac:dyDescent="0.35">
      <c r="AH2487" s="21"/>
      <c r="AI2487" s="21"/>
      <c r="AJ2487" s="21"/>
      <c r="AK2487" s="21"/>
      <c r="AM2487" t="s">
        <v>53</v>
      </c>
    </row>
    <row r="2488" spans="34:39" x14ac:dyDescent="0.35">
      <c r="AH2488" s="21"/>
      <c r="AI2488" s="21"/>
      <c r="AJ2488" s="21"/>
      <c r="AK2488" s="21"/>
      <c r="AM2488" t="s">
        <v>53</v>
      </c>
    </row>
    <row r="2489" spans="34:39" x14ac:dyDescent="0.35">
      <c r="AH2489" s="21"/>
      <c r="AI2489" s="21"/>
      <c r="AJ2489" s="21"/>
      <c r="AK2489" s="21"/>
      <c r="AM2489" t="s">
        <v>53</v>
      </c>
    </row>
    <row r="2490" spans="34:39" x14ac:dyDescent="0.35">
      <c r="AH2490" s="21"/>
      <c r="AI2490" s="21"/>
      <c r="AJ2490" s="21"/>
      <c r="AK2490" s="21"/>
      <c r="AM2490" t="s">
        <v>53</v>
      </c>
    </row>
    <row r="2491" spans="34:39" x14ac:dyDescent="0.35">
      <c r="AH2491" s="21"/>
      <c r="AI2491" s="21"/>
      <c r="AJ2491" s="21"/>
      <c r="AK2491" s="21"/>
      <c r="AM2491" t="s">
        <v>53</v>
      </c>
    </row>
    <row r="2492" spans="34:39" x14ac:dyDescent="0.35">
      <c r="AH2492" s="21"/>
      <c r="AI2492" s="21"/>
      <c r="AJ2492" s="21"/>
      <c r="AK2492" s="21"/>
      <c r="AM2492" t="s">
        <v>53</v>
      </c>
    </row>
    <row r="2493" spans="34:39" x14ac:dyDescent="0.35">
      <c r="AH2493" s="21"/>
      <c r="AI2493" s="21"/>
      <c r="AJ2493" s="21"/>
      <c r="AK2493" s="21"/>
      <c r="AM2493" t="s">
        <v>53</v>
      </c>
    </row>
    <row r="2494" spans="34:39" x14ac:dyDescent="0.35">
      <c r="AH2494" s="21"/>
      <c r="AI2494" s="21"/>
      <c r="AJ2494" s="21"/>
      <c r="AK2494" s="21"/>
      <c r="AM2494" t="s">
        <v>53</v>
      </c>
    </row>
    <row r="2495" spans="34:39" x14ac:dyDescent="0.35">
      <c r="AH2495" s="21"/>
      <c r="AI2495" s="21"/>
      <c r="AJ2495" s="21"/>
      <c r="AK2495" s="21"/>
      <c r="AM2495" t="s">
        <v>53</v>
      </c>
    </row>
    <row r="2496" spans="34:39" x14ac:dyDescent="0.35">
      <c r="AH2496" s="21"/>
      <c r="AI2496" s="21"/>
      <c r="AJ2496" s="21"/>
      <c r="AK2496" s="21"/>
      <c r="AM2496" t="s">
        <v>53</v>
      </c>
    </row>
    <row r="2497" spans="34:39" x14ac:dyDescent="0.35">
      <c r="AH2497" s="21"/>
      <c r="AI2497" s="21"/>
      <c r="AJ2497" s="21"/>
      <c r="AK2497" s="21"/>
      <c r="AM2497" t="s">
        <v>53</v>
      </c>
    </row>
    <row r="2498" spans="34:39" x14ac:dyDescent="0.35">
      <c r="AH2498" s="21"/>
      <c r="AI2498" s="21"/>
      <c r="AJ2498" s="21"/>
      <c r="AK2498" s="21"/>
      <c r="AM2498" t="s">
        <v>53</v>
      </c>
    </row>
    <row r="2499" spans="34:39" x14ac:dyDescent="0.35">
      <c r="AH2499" s="21"/>
      <c r="AI2499" s="21"/>
      <c r="AJ2499" s="21"/>
      <c r="AK2499" s="21"/>
      <c r="AM2499" t="s">
        <v>53</v>
      </c>
    </row>
    <row r="2500" spans="34:39" x14ac:dyDescent="0.35">
      <c r="AH2500" s="21"/>
      <c r="AI2500" s="21"/>
      <c r="AJ2500" s="21"/>
      <c r="AK2500" s="21"/>
      <c r="AM2500" t="s">
        <v>53</v>
      </c>
    </row>
    <row r="2501" spans="34:39" x14ac:dyDescent="0.35">
      <c r="AH2501" s="21"/>
      <c r="AI2501" s="21"/>
      <c r="AJ2501" s="21"/>
      <c r="AK2501" s="21"/>
      <c r="AM2501" t="s">
        <v>53</v>
      </c>
    </row>
    <row r="2502" spans="34:39" x14ac:dyDescent="0.35">
      <c r="AH2502" s="21"/>
      <c r="AI2502" s="21"/>
      <c r="AJ2502" s="21"/>
      <c r="AK2502" s="21"/>
      <c r="AM2502" t="s">
        <v>53</v>
      </c>
    </row>
    <row r="2503" spans="34:39" x14ac:dyDescent="0.35">
      <c r="AH2503" s="21"/>
      <c r="AI2503" s="21"/>
      <c r="AJ2503" s="21"/>
      <c r="AK2503" s="21"/>
      <c r="AM2503" t="s">
        <v>53</v>
      </c>
    </row>
    <row r="2504" spans="34:39" x14ac:dyDescent="0.35">
      <c r="AH2504" s="21"/>
      <c r="AI2504" s="21"/>
      <c r="AJ2504" s="21"/>
      <c r="AK2504" s="21"/>
      <c r="AM2504" t="s">
        <v>53</v>
      </c>
    </row>
    <row r="2505" spans="34:39" x14ac:dyDescent="0.35">
      <c r="AH2505" s="21"/>
      <c r="AI2505" s="21"/>
      <c r="AJ2505" s="21"/>
      <c r="AK2505" s="21"/>
      <c r="AM2505" t="s">
        <v>53</v>
      </c>
    </row>
    <row r="2506" spans="34:39" x14ac:dyDescent="0.35">
      <c r="AH2506" s="21"/>
      <c r="AI2506" s="21"/>
      <c r="AJ2506" s="21"/>
      <c r="AK2506" s="21"/>
      <c r="AM2506" t="s">
        <v>53</v>
      </c>
    </row>
    <row r="2507" spans="34:39" x14ac:dyDescent="0.35">
      <c r="AH2507" s="21"/>
      <c r="AI2507" s="21"/>
      <c r="AJ2507" s="21"/>
      <c r="AK2507" s="21"/>
      <c r="AM2507" t="s">
        <v>53</v>
      </c>
    </row>
    <row r="2508" spans="34:39" x14ac:dyDescent="0.35">
      <c r="AH2508" s="21"/>
      <c r="AI2508" s="21"/>
      <c r="AJ2508" s="21"/>
      <c r="AK2508" s="21"/>
      <c r="AM2508" t="s">
        <v>53</v>
      </c>
    </row>
    <row r="2509" spans="34:39" x14ac:dyDescent="0.35">
      <c r="AH2509" s="21"/>
      <c r="AI2509" s="21"/>
      <c r="AJ2509" s="21"/>
      <c r="AK2509" s="21"/>
      <c r="AM2509" t="s">
        <v>53</v>
      </c>
    </row>
    <row r="2510" spans="34:39" x14ac:dyDescent="0.35">
      <c r="AH2510" s="21"/>
      <c r="AI2510" s="21"/>
      <c r="AJ2510" s="21"/>
      <c r="AK2510" s="21"/>
      <c r="AM2510" t="s">
        <v>53</v>
      </c>
    </row>
    <row r="2511" spans="34:39" x14ac:dyDescent="0.35">
      <c r="AH2511" s="21"/>
      <c r="AI2511" s="21"/>
      <c r="AJ2511" s="21"/>
      <c r="AK2511" s="21"/>
      <c r="AM2511" t="s">
        <v>53</v>
      </c>
    </row>
    <row r="2512" spans="34:39" x14ac:dyDescent="0.35">
      <c r="AH2512" s="21"/>
      <c r="AI2512" s="21"/>
      <c r="AJ2512" s="21"/>
      <c r="AK2512" s="21"/>
      <c r="AM2512" t="s">
        <v>53</v>
      </c>
    </row>
    <row r="2513" spans="34:39" x14ac:dyDescent="0.35">
      <c r="AH2513" s="21"/>
      <c r="AI2513" s="21"/>
      <c r="AJ2513" s="21"/>
      <c r="AK2513" s="21"/>
      <c r="AM2513" t="s">
        <v>53</v>
      </c>
    </row>
    <row r="2514" spans="34:39" x14ac:dyDescent="0.35">
      <c r="AH2514" s="21"/>
      <c r="AI2514" s="21"/>
      <c r="AJ2514" s="21"/>
      <c r="AK2514" s="21"/>
      <c r="AM2514" t="s">
        <v>53</v>
      </c>
    </row>
    <row r="2515" spans="34:39" x14ac:dyDescent="0.35">
      <c r="AH2515" s="21"/>
      <c r="AI2515" s="21"/>
      <c r="AJ2515" s="21"/>
      <c r="AK2515" s="21"/>
      <c r="AM2515" t="s">
        <v>53</v>
      </c>
    </row>
    <row r="2516" spans="34:39" x14ac:dyDescent="0.35">
      <c r="AH2516" s="21"/>
      <c r="AI2516" s="21"/>
      <c r="AJ2516" s="21"/>
      <c r="AK2516" s="21"/>
      <c r="AM2516" t="s">
        <v>53</v>
      </c>
    </row>
    <row r="2517" spans="34:39" x14ac:dyDescent="0.35">
      <c r="AH2517" s="21"/>
      <c r="AI2517" s="21"/>
      <c r="AJ2517" s="21"/>
      <c r="AK2517" s="21"/>
      <c r="AM2517" t="s">
        <v>53</v>
      </c>
    </row>
    <row r="2518" spans="34:39" x14ac:dyDescent="0.35">
      <c r="AH2518" s="21"/>
      <c r="AI2518" s="21"/>
      <c r="AJ2518" s="21"/>
      <c r="AK2518" s="21"/>
      <c r="AM2518" t="s">
        <v>53</v>
      </c>
    </row>
    <row r="2519" spans="34:39" x14ac:dyDescent="0.35">
      <c r="AH2519" s="21"/>
      <c r="AI2519" s="21"/>
      <c r="AJ2519" s="21"/>
      <c r="AK2519" s="21"/>
      <c r="AM2519" t="s">
        <v>53</v>
      </c>
    </row>
    <row r="2520" spans="34:39" x14ac:dyDescent="0.35">
      <c r="AH2520" s="21"/>
      <c r="AI2520" s="21"/>
      <c r="AJ2520" s="21"/>
      <c r="AK2520" s="21"/>
      <c r="AM2520" t="s">
        <v>53</v>
      </c>
    </row>
    <row r="2521" spans="34:39" x14ac:dyDescent="0.35">
      <c r="AH2521" s="21"/>
      <c r="AI2521" s="21"/>
      <c r="AJ2521" s="21"/>
      <c r="AK2521" s="21"/>
      <c r="AM2521" t="s">
        <v>53</v>
      </c>
    </row>
    <row r="2522" spans="34:39" x14ac:dyDescent="0.35">
      <c r="AH2522" s="21"/>
      <c r="AI2522" s="21"/>
      <c r="AJ2522" s="21"/>
      <c r="AK2522" s="21"/>
      <c r="AM2522" t="s">
        <v>53</v>
      </c>
    </row>
    <row r="2523" spans="34:39" x14ac:dyDescent="0.35">
      <c r="AH2523" s="21"/>
      <c r="AI2523" s="21"/>
      <c r="AJ2523" s="21"/>
      <c r="AK2523" s="21"/>
      <c r="AM2523" t="s">
        <v>53</v>
      </c>
    </row>
    <row r="2524" spans="34:39" x14ac:dyDescent="0.35">
      <c r="AH2524" s="21"/>
      <c r="AI2524" s="21"/>
      <c r="AJ2524" s="21"/>
      <c r="AK2524" s="21"/>
      <c r="AM2524" t="s">
        <v>53</v>
      </c>
    </row>
    <row r="2525" spans="34:39" x14ac:dyDescent="0.35">
      <c r="AH2525" s="21"/>
      <c r="AI2525" s="21"/>
      <c r="AJ2525" s="21"/>
      <c r="AK2525" s="21"/>
      <c r="AM2525" t="s">
        <v>53</v>
      </c>
    </row>
    <row r="2526" spans="34:39" x14ac:dyDescent="0.35">
      <c r="AH2526" s="21"/>
      <c r="AI2526" s="21"/>
      <c r="AJ2526" s="21"/>
      <c r="AK2526" s="21"/>
      <c r="AM2526" t="s">
        <v>53</v>
      </c>
    </row>
    <row r="2527" spans="34:39" x14ac:dyDescent="0.35">
      <c r="AH2527" s="21"/>
      <c r="AI2527" s="21"/>
      <c r="AJ2527" s="21"/>
      <c r="AK2527" s="21"/>
      <c r="AM2527" t="s">
        <v>53</v>
      </c>
    </row>
    <row r="2528" spans="34:39" x14ac:dyDescent="0.35">
      <c r="AH2528" s="21"/>
      <c r="AI2528" s="21"/>
      <c r="AJ2528" s="21"/>
      <c r="AK2528" s="21"/>
      <c r="AM2528" t="s">
        <v>53</v>
      </c>
    </row>
    <row r="2529" spans="34:39" x14ac:dyDescent="0.35">
      <c r="AH2529" s="21"/>
      <c r="AI2529" s="21"/>
      <c r="AJ2529" s="21"/>
      <c r="AK2529" s="21"/>
      <c r="AM2529" t="s">
        <v>53</v>
      </c>
    </row>
    <row r="2530" spans="34:39" x14ac:dyDescent="0.35">
      <c r="AH2530" s="21"/>
      <c r="AI2530" s="21"/>
      <c r="AJ2530" s="21"/>
      <c r="AK2530" s="21"/>
      <c r="AM2530" t="s">
        <v>53</v>
      </c>
    </row>
    <row r="2531" spans="34:39" x14ac:dyDescent="0.35">
      <c r="AH2531" s="21"/>
      <c r="AI2531" s="21"/>
      <c r="AJ2531" s="21"/>
      <c r="AK2531" s="21"/>
      <c r="AM2531" t="s">
        <v>53</v>
      </c>
    </row>
    <row r="2532" spans="34:39" x14ac:dyDescent="0.35">
      <c r="AH2532" s="21"/>
      <c r="AI2532" s="21"/>
      <c r="AJ2532" s="21"/>
      <c r="AK2532" s="21"/>
      <c r="AM2532" t="s">
        <v>53</v>
      </c>
    </row>
    <row r="2533" spans="34:39" x14ac:dyDescent="0.35">
      <c r="AH2533" s="21"/>
      <c r="AI2533" s="21"/>
      <c r="AJ2533" s="21"/>
      <c r="AK2533" s="21"/>
      <c r="AM2533" t="s">
        <v>53</v>
      </c>
    </row>
    <row r="2534" spans="34:39" x14ac:dyDescent="0.35">
      <c r="AH2534" s="21"/>
      <c r="AI2534" s="21"/>
      <c r="AJ2534" s="21"/>
      <c r="AK2534" s="21"/>
      <c r="AM2534" t="s">
        <v>53</v>
      </c>
    </row>
    <row r="2535" spans="34:39" x14ac:dyDescent="0.35">
      <c r="AH2535" s="21"/>
      <c r="AI2535" s="21"/>
      <c r="AJ2535" s="21"/>
      <c r="AK2535" s="21"/>
      <c r="AM2535" t="s">
        <v>53</v>
      </c>
    </row>
    <row r="2536" spans="34:39" x14ac:dyDescent="0.35">
      <c r="AH2536" s="21"/>
      <c r="AI2536" s="21"/>
      <c r="AJ2536" s="21"/>
      <c r="AK2536" s="21"/>
      <c r="AM2536" t="s">
        <v>53</v>
      </c>
    </row>
    <row r="2537" spans="34:39" x14ac:dyDescent="0.35">
      <c r="AH2537" s="21"/>
      <c r="AI2537" s="21"/>
      <c r="AJ2537" s="21"/>
      <c r="AK2537" s="21"/>
      <c r="AM2537" t="s">
        <v>53</v>
      </c>
    </row>
    <row r="2538" spans="34:39" x14ac:dyDescent="0.35">
      <c r="AH2538" s="21"/>
      <c r="AI2538" s="21"/>
      <c r="AJ2538" s="21"/>
      <c r="AK2538" s="21"/>
      <c r="AM2538" t="s">
        <v>53</v>
      </c>
    </row>
    <row r="2539" spans="34:39" x14ac:dyDescent="0.35">
      <c r="AH2539" s="21"/>
      <c r="AI2539" s="21"/>
      <c r="AJ2539" s="21"/>
      <c r="AK2539" s="21"/>
      <c r="AM2539" t="s">
        <v>53</v>
      </c>
    </row>
    <row r="2540" spans="34:39" x14ac:dyDescent="0.35">
      <c r="AH2540" s="21"/>
      <c r="AI2540" s="21"/>
      <c r="AJ2540" s="21"/>
      <c r="AK2540" s="21"/>
      <c r="AM2540" t="s">
        <v>53</v>
      </c>
    </row>
    <row r="2541" spans="34:39" x14ac:dyDescent="0.35">
      <c r="AH2541" s="21"/>
      <c r="AI2541" s="21"/>
      <c r="AJ2541" s="21"/>
      <c r="AK2541" s="21"/>
      <c r="AM2541" t="s">
        <v>53</v>
      </c>
    </row>
    <row r="2542" spans="34:39" x14ac:dyDescent="0.35">
      <c r="AH2542" s="21"/>
      <c r="AI2542" s="21"/>
      <c r="AJ2542" s="21"/>
      <c r="AK2542" s="21"/>
      <c r="AM2542" t="s">
        <v>53</v>
      </c>
    </row>
    <row r="2543" spans="34:39" x14ac:dyDescent="0.35">
      <c r="AH2543" s="21"/>
      <c r="AI2543" s="21"/>
      <c r="AJ2543" s="21"/>
      <c r="AK2543" s="21"/>
      <c r="AM2543" t="s">
        <v>53</v>
      </c>
    </row>
    <row r="2544" spans="34:39" x14ac:dyDescent="0.35">
      <c r="AH2544" s="21"/>
      <c r="AI2544" s="21"/>
      <c r="AJ2544" s="21"/>
      <c r="AK2544" s="21"/>
      <c r="AM2544" t="s">
        <v>53</v>
      </c>
    </row>
    <row r="2545" spans="34:39" x14ac:dyDescent="0.35">
      <c r="AH2545" s="21"/>
      <c r="AI2545" s="21"/>
      <c r="AJ2545" s="21"/>
      <c r="AK2545" s="21"/>
      <c r="AM2545" t="s">
        <v>53</v>
      </c>
    </row>
    <row r="2546" spans="34:39" x14ac:dyDescent="0.35">
      <c r="AH2546" s="21"/>
      <c r="AI2546" s="21"/>
      <c r="AJ2546" s="21"/>
      <c r="AK2546" s="21"/>
      <c r="AM2546" t="s">
        <v>53</v>
      </c>
    </row>
    <row r="2547" spans="34:39" x14ac:dyDescent="0.35">
      <c r="AH2547" s="21"/>
      <c r="AI2547" s="21"/>
      <c r="AJ2547" s="21"/>
      <c r="AK2547" s="21"/>
      <c r="AM2547" t="s">
        <v>53</v>
      </c>
    </row>
    <row r="2548" spans="34:39" x14ac:dyDescent="0.35">
      <c r="AH2548" s="21"/>
      <c r="AI2548" s="21"/>
      <c r="AJ2548" s="21"/>
      <c r="AK2548" s="21"/>
      <c r="AM2548" t="s">
        <v>53</v>
      </c>
    </row>
    <row r="2549" spans="34:39" x14ac:dyDescent="0.35">
      <c r="AH2549" s="21"/>
      <c r="AI2549" s="21"/>
      <c r="AJ2549" s="21"/>
      <c r="AK2549" s="21"/>
      <c r="AM2549" t="s">
        <v>53</v>
      </c>
    </row>
    <row r="2550" spans="34:39" x14ac:dyDescent="0.35">
      <c r="AH2550" s="21"/>
      <c r="AI2550" s="21"/>
      <c r="AJ2550" s="21"/>
      <c r="AK2550" s="21"/>
      <c r="AM2550" t="s">
        <v>53</v>
      </c>
    </row>
    <row r="2551" spans="34:39" x14ac:dyDescent="0.35">
      <c r="AH2551" s="21"/>
      <c r="AI2551" s="21"/>
      <c r="AJ2551" s="21"/>
      <c r="AK2551" s="21"/>
      <c r="AM2551" t="s">
        <v>53</v>
      </c>
    </row>
    <row r="2552" spans="34:39" x14ac:dyDescent="0.35">
      <c r="AH2552" s="21"/>
      <c r="AI2552" s="21"/>
      <c r="AJ2552" s="21"/>
      <c r="AK2552" s="21"/>
      <c r="AM2552" t="s">
        <v>53</v>
      </c>
    </row>
    <row r="2553" spans="34:39" x14ac:dyDescent="0.35">
      <c r="AH2553" s="21"/>
      <c r="AI2553" s="21"/>
      <c r="AJ2553" s="21"/>
      <c r="AK2553" s="21"/>
      <c r="AM2553" t="s">
        <v>53</v>
      </c>
    </row>
    <row r="2554" spans="34:39" x14ac:dyDescent="0.35">
      <c r="AH2554" s="21"/>
      <c r="AI2554" s="21"/>
      <c r="AJ2554" s="21"/>
      <c r="AK2554" s="21"/>
      <c r="AM2554" t="s">
        <v>53</v>
      </c>
    </row>
    <row r="2555" spans="34:39" x14ac:dyDescent="0.35">
      <c r="AH2555" s="21"/>
      <c r="AI2555" s="21"/>
      <c r="AJ2555" s="21"/>
      <c r="AK2555" s="21"/>
      <c r="AM2555" t="s">
        <v>53</v>
      </c>
    </row>
    <row r="2556" spans="34:39" x14ac:dyDescent="0.35">
      <c r="AH2556" s="21"/>
      <c r="AI2556" s="21"/>
      <c r="AJ2556" s="21"/>
      <c r="AK2556" s="21"/>
      <c r="AM2556" t="s">
        <v>53</v>
      </c>
    </row>
    <row r="2557" spans="34:39" x14ac:dyDescent="0.35">
      <c r="AH2557" s="21"/>
      <c r="AI2557" s="21"/>
      <c r="AJ2557" s="21"/>
      <c r="AK2557" s="21"/>
      <c r="AM2557" t="s">
        <v>53</v>
      </c>
    </row>
    <row r="2558" spans="34:39" x14ac:dyDescent="0.35">
      <c r="AH2558" s="21"/>
      <c r="AI2558" s="21"/>
      <c r="AJ2558" s="21"/>
      <c r="AK2558" s="21"/>
      <c r="AM2558" t="s">
        <v>53</v>
      </c>
    </row>
    <row r="2559" spans="34:39" x14ac:dyDescent="0.35">
      <c r="AH2559" s="21"/>
      <c r="AI2559" s="21"/>
      <c r="AJ2559" s="21"/>
      <c r="AK2559" s="21"/>
      <c r="AM2559" t="s">
        <v>53</v>
      </c>
    </row>
    <row r="2560" spans="34:39" x14ac:dyDescent="0.35">
      <c r="AH2560" s="21"/>
      <c r="AI2560" s="21"/>
      <c r="AJ2560" s="21"/>
      <c r="AK2560" s="21"/>
      <c r="AM2560" t="s">
        <v>53</v>
      </c>
    </row>
    <row r="2561" spans="34:39" x14ac:dyDescent="0.35">
      <c r="AH2561" s="21"/>
      <c r="AI2561" s="21"/>
      <c r="AJ2561" s="21"/>
      <c r="AK2561" s="21"/>
      <c r="AM2561" t="s">
        <v>53</v>
      </c>
    </row>
    <row r="2562" spans="34:39" x14ac:dyDescent="0.35">
      <c r="AH2562" s="21"/>
      <c r="AI2562" s="21"/>
      <c r="AJ2562" s="21"/>
      <c r="AK2562" s="21"/>
      <c r="AM2562" t="s">
        <v>53</v>
      </c>
    </row>
    <row r="2563" spans="34:39" x14ac:dyDescent="0.35">
      <c r="AH2563" s="21"/>
      <c r="AI2563" s="21"/>
      <c r="AJ2563" s="21"/>
      <c r="AK2563" s="21"/>
      <c r="AM2563" t="s">
        <v>53</v>
      </c>
    </row>
    <row r="2564" spans="34:39" x14ac:dyDescent="0.35">
      <c r="AH2564" s="21"/>
      <c r="AI2564" s="21"/>
      <c r="AJ2564" s="21"/>
      <c r="AK2564" s="21"/>
      <c r="AM2564" t="s">
        <v>53</v>
      </c>
    </row>
    <row r="2565" spans="34:39" x14ac:dyDescent="0.35">
      <c r="AH2565" s="21"/>
      <c r="AI2565" s="21"/>
      <c r="AJ2565" s="21"/>
      <c r="AK2565" s="21"/>
      <c r="AM2565" t="s">
        <v>53</v>
      </c>
    </row>
    <row r="2566" spans="34:39" x14ac:dyDescent="0.35">
      <c r="AH2566" s="21"/>
      <c r="AI2566" s="21"/>
      <c r="AJ2566" s="21"/>
      <c r="AK2566" s="21"/>
      <c r="AM2566" t="s">
        <v>53</v>
      </c>
    </row>
    <row r="2567" spans="34:39" x14ac:dyDescent="0.35">
      <c r="AH2567" s="21"/>
      <c r="AI2567" s="21"/>
      <c r="AJ2567" s="21"/>
      <c r="AK2567" s="21"/>
      <c r="AM2567" t="s">
        <v>53</v>
      </c>
    </row>
    <row r="2568" spans="34:39" x14ac:dyDescent="0.35">
      <c r="AH2568" s="21"/>
      <c r="AI2568" s="21"/>
      <c r="AJ2568" s="21"/>
      <c r="AK2568" s="21"/>
      <c r="AM2568" t="s">
        <v>53</v>
      </c>
    </row>
    <row r="2569" spans="34:39" x14ac:dyDescent="0.35">
      <c r="AH2569" s="21"/>
      <c r="AI2569" s="21"/>
      <c r="AJ2569" s="21"/>
      <c r="AK2569" s="21"/>
      <c r="AM2569" t="s">
        <v>53</v>
      </c>
    </row>
    <row r="2570" spans="34:39" x14ac:dyDescent="0.35">
      <c r="AH2570" s="21"/>
      <c r="AI2570" s="21"/>
      <c r="AJ2570" s="21"/>
      <c r="AK2570" s="21"/>
      <c r="AM2570" t="s">
        <v>53</v>
      </c>
    </row>
    <row r="2571" spans="34:39" x14ac:dyDescent="0.35">
      <c r="AH2571" s="21"/>
      <c r="AI2571" s="21"/>
      <c r="AJ2571" s="21"/>
      <c r="AK2571" s="21"/>
      <c r="AM2571" t="s">
        <v>53</v>
      </c>
    </row>
    <row r="2572" spans="34:39" x14ac:dyDescent="0.35">
      <c r="AH2572" s="21"/>
      <c r="AI2572" s="21"/>
      <c r="AJ2572" s="21"/>
      <c r="AK2572" s="21"/>
      <c r="AM2572" t="s">
        <v>53</v>
      </c>
    </row>
    <row r="2573" spans="34:39" x14ac:dyDescent="0.35">
      <c r="AH2573" s="21"/>
      <c r="AI2573" s="21"/>
      <c r="AJ2573" s="21"/>
      <c r="AK2573" s="21"/>
      <c r="AM2573" t="s">
        <v>53</v>
      </c>
    </row>
    <row r="2574" spans="34:39" x14ac:dyDescent="0.35">
      <c r="AH2574" s="21"/>
      <c r="AI2574" s="21"/>
      <c r="AJ2574" s="21"/>
      <c r="AK2574" s="21"/>
      <c r="AM2574" t="s">
        <v>53</v>
      </c>
    </row>
    <row r="2575" spans="34:39" x14ac:dyDescent="0.35">
      <c r="AH2575" s="21"/>
      <c r="AI2575" s="21"/>
      <c r="AJ2575" s="21"/>
      <c r="AK2575" s="21"/>
      <c r="AM2575" t="s">
        <v>53</v>
      </c>
    </row>
    <row r="2576" spans="34:39" x14ac:dyDescent="0.35">
      <c r="AH2576" s="21"/>
      <c r="AI2576" s="21"/>
      <c r="AJ2576" s="21"/>
      <c r="AK2576" s="21"/>
      <c r="AM2576" t="s">
        <v>53</v>
      </c>
    </row>
    <row r="2577" spans="34:39" x14ac:dyDescent="0.35">
      <c r="AH2577" s="21"/>
      <c r="AI2577" s="21"/>
      <c r="AJ2577" s="21"/>
      <c r="AK2577" s="21"/>
      <c r="AM2577" t="s">
        <v>53</v>
      </c>
    </row>
    <row r="2578" spans="34:39" x14ac:dyDescent="0.35">
      <c r="AH2578" s="21"/>
      <c r="AI2578" s="21"/>
      <c r="AJ2578" s="21"/>
      <c r="AK2578" s="21"/>
      <c r="AM2578" t="s">
        <v>53</v>
      </c>
    </row>
    <row r="2579" spans="34:39" x14ac:dyDescent="0.35">
      <c r="AH2579" s="21"/>
      <c r="AI2579" s="21"/>
      <c r="AJ2579" s="21"/>
      <c r="AK2579" s="21"/>
      <c r="AM2579" t="s">
        <v>53</v>
      </c>
    </row>
    <row r="2580" spans="34:39" x14ac:dyDescent="0.35">
      <c r="AH2580" s="21"/>
      <c r="AI2580" s="21"/>
      <c r="AJ2580" s="21"/>
      <c r="AK2580" s="21"/>
      <c r="AM2580" t="s">
        <v>53</v>
      </c>
    </row>
    <row r="2581" spans="34:39" x14ac:dyDescent="0.35">
      <c r="AH2581" s="21"/>
      <c r="AI2581" s="21"/>
      <c r="AJ2581" s="21"/>
      <c r="AK2581" s="21"/>
      <c r="AM2581" t="s">
        <v>53</v>
      </c>
    </row>
    <row r="2582" spans="34:39" x14ac:dyDescent="0.35">
      <c r="AH2582" s="21"/>
      <c r="AI2582" s="21"/>
      <c r="AJ2582" s="21"/>
      <c r="AK2582" s="21"/>
      <c r="AM2582" t="s">
        <v>53</v>
      </c>
    </row>
    <row r="2583" spans="34:39" x14ac:dyDescent="0.35">
      <c r="AH2583" s="21"/>
      <c r="AI2583" s="21"/>
      <c r="AJ2583" s="21"/>
      <c r="AK2583" s="21"/>
      <c r="AM2583" t="s">
        <v>53</v>
      </c>
    </row>
    <row r="2584" spans="34:39" x14ac:dyDescent="0.35">
      <c r="AH2584" s="21"/>
      <c r="AI2584" s="21"/>
      <c r="AJ2584" s="21"/>
      <c r="AK2584" s="21"/>
      <c r="AM2584" t="s">
        <v>53</v>
      </c>
    </row>
    <row r="2585" spans="34:39" x14ac:dyDescent="0.35">
      <c r="AH2585" s="21"/>
      <c r="AI2585" s="21"/>
      <c r="AJ2585" s="21"/>
      <c r="AK2585" s="21"/>
      <c r="AM2585" t="s">
        <v>53</v>
      </c>
    </row>
    <row r="2586" spans="34:39" x14ac:dyDescent="0.35">
      <c r="AH2586" s="21"/>
      <c r="AI2586" s="21"/>
      <c r="AJ2586" s="21"/>
      <c r="AK2586" s="21"/>
      <c r="AM2586" t="s">
        <v>53</v>
      </c>
    </row>
    <row r="2587" spans="34:39" x14ac:dyDescent="0.35">
      <c r="AH2587" s="21"/>
      <c r="AI2587" s="21"/>
      <c r="AJ2587" s="21"/>
      <c r="AK2587" s="21"/>
      <c r="AM2587" t="s">
        <v>53</v>
      </c>
    </row>
    <row r="2588" spans="34:39" x14ac:dyDescent="0.35">
      <c r="AH2588" s="21"/>
      <c r="AI2588" s="21"/>
      <c r="AJ2588" s="21"/>
      <c r="AK2588" s="21"/>
      <c r="AM2588" t="s">
        <v>53</v>
      </c>
    </row>
    <row r="2589" spans="34:39" x14ac:dyDescent="0.35">
      <c r="AH2589" s="21"/>
      <c r="AI2589" s="21"/>
      <c r="AJ2589" s="21"/>
      <c r="AK2589" s="21"/>
      <c r="AM2589" t="s">
        <v>53</v>
      </c>
    </row>
    <row r="2590" spans="34:39" x14ac:dyDescent="0.35">
      <c r="AH2590" s="21"/>
      <c r="AI2590" s="21"/>
      <c r="AJ2590" s="21"/>
      <c r="AK2590" s="21"/>
      <c r="AM2590" t="s">
        <v>53</v>
      </c>
    </row>
    <row r="2591" spans="34:39" x14ac:dyDescent="0.35">
      <c r="AH2591" s="21"/>
      <c r="AI2591" s="21"/>
      <c r="AJ2591" s="21"/>
      <c r="AK2591" s="21"/>
      <c r="AM2591" t="s">
        <v>53</v>
      </c>
    </row>
    <row r="2592" spans="34:39" x14ac:dyDescent="0.35">
      <c r="AH2592" s="21"/>
      <c r="AI2592" s="21"/>
      <c r="AJ2592" s="21"/>
      <c r="AK2592" s="21"/>
      <c r="AM2592" t="s">
        <v>53</v>
      </c>
    </row>
    <row r="2593" spans="34:39" x14ac:dyDescent="0.35">
      <c r="AH2593" s="21"/>
      <c r="AI2593" s="21"/>
      <c r="AJ2593" s="21"/>
      <c r="AK2593" s="21"/>
      <c r="AM2593" t="s">
        <v>53</v>
      </c>
    </row>
    <row r="2594" spans="34:39" x14ac:dyDescent="0.35">
      <c r="AH2594" s="21"/>
      <c r="AI2594" s="21"/>
      <c r="AJ2594" s="21"/>
      <c r="AK2594" s="21"/>
      <c r="AM2594" t="s">
        <v>53</v>
      </c>
    </row>
    <row r="2595" spans="34:39" x14ac:dyDescent="0.35">
      <c r="AH2595" s="21"/>
      <c r="AI2595" s="21"/>
      <c r="AJ2595" s="21"/>
      <c r="AK2595" s="21"/>
      <c r="AM2595" t="s">
        <v>53</v>
      </c>
    </row>
    <row r="2596" spans="34:39" x14ac:dyDescent="0.35">
      <c r="AH2596" s="21"/>
      <c r="AI2596" s="21"/>
      <c r="AJ2596" s="21"/>
      <c r="AK2596" s="21"/>
      <c r="AM2596" t="s">
        <v>53</v>
      </c>
    </row>
    <row r="2597" spans="34:39" x14ac:dyDescent="0.35">
      <c r="AH2597" s="21"/>
      <c r="AI2597" s="21"/>
      <c r="AJ2597" s="21"/>
      <c r="AK2597" s="21"/>
      <c r="AM2597" t="s">
        <v>53</v>
      </c>
    </row>
    <row r="2598" spans="34:39" x14ac:dyDescent="0.35">
      <c r="AH2598" s="21"/>
      <c r="AI2598" s="21"/>
      <c r="AJ2598" s="21"/>
      <c r="AK2598" s="21"/>
      <c r="AM2598" t="s">
        <v>53</v>
      </c>
    </row>
    <row r="2599" spans="34:39" x14ac:dyDescent="0.35">
      <c r="AH2599" s="21"/>
      <c r="AI2599" s="21"/>
      <c r="AJ2599" s="21"/>
      <c r="AK2599" s="21"/>
      <c r="AM2599" t="s">
        <v>53</v>
      </c>
    </row>
    <row r="2600" spans="34:39" x14ac:dyDescent="0.35">
      <c r="AH2600" s="21"/>
      <c r="AI2600" s="21"/>
      <c r="AJ2600" s="21"/>
      <c r="AK2600" s="21"/>
      <c r="AM2600" t="s">
        <v>53</v>
      </c>
    </row>
    <row r="2601" spans="34:39" x14ac:dyDescent="0.35">
      <c r="AH2601" s="21"/>
      <c r="AI2601" s="21"/>
      <c r="AJ2601" s="21"/>
      <c r="AK2601" s="21"/>
      <c r="AM2601" t="s">
        <v>53</v>
      </c>
    </row>
    <row r="2602" spans="34:39" x14ac:dyDescent="0.35">
      <c r="AH2602" s="21"/>
      <c r="AI2602" s="21"/>
      <c r="AJ2602" s="21"/>
      <c r="AK2602" s="21"/>
      <c r="AM2602" t="s">
        <v>53</v>
      </c>
    </row>
    <row r="2603" spans="34:39" x14ac:dyDescent="0.35">
      <c r="AH2603" s="21"/>
      <c r="AI2603" s="21"/>
      <c r="AJ2603" s="21"/>
      <c r="AK2603" s="21"/>
      <c r="AM2603" t="s">
        <v>53</v>
      </c>
    </row>
    <row r="2604" spans="34:39" x14ac:dyDescent="0.35">
      <c r="AH2604" s="21"/>
      <c r="AI2604" s="21"/>
      <c r="AJ2604" s="21"/>
      <c r="AK2604" s="21"/>
      <c r="AM2604" t="s">
        <v>53</v>
      </c>
    </row>
    <row r="2605" spans="34:39" x14ac:dyDescent="0.35">
      <c r="AH2605" s="21"/>
      <c r="AI2605" s="21"/>
      <c r="AJ2605" s="21"/>
      <c r="AK2605" s="21"/>
      <c r="AM2605" t="s">
        <v>53</v>
      </c>
    </row>
    <row r="2606" spans="34:39" x14ac:dyDescent="0.35">
      <c r="AH2606" s="21"/>
      <c r="AI2606" s="21"/>
      <c r="AJ2606" s="21"/>
      <c r="AK2606" s="21"/>
      <c r="AM2606" t="s">
        <v>53</v>
      </c>
    </row>
    <row r="2607" spans="34:39" x14ac:dyDescent="0.35">
      <c r="AH2607" s="21"/>
      <c r="AI2607" s="21"/>
      <c r="AJ2607" s="21"/>
      <c r="AK2607" s="21"/>
      <c r="AM2607" t="s">
        <v>53</v>
      </c>
    </row>
    <row r="2608" spans="34:39" x14ac:dyDescent="0.35">
      <c r="AH2608" s="21"/>
      <c r="AI2608" s="21"/>
      <c r="AJ2608" s="21"/>
      <c r="AK2608" s="21"/>
      <c r="AM2608" t="s">
        <v>53</v>
      </c>
    </row>
    <row r="2609" spans="34:39" x14ac:dyDescent="0.35">
      <c r="AH2609" s="21"/>
      <c r="AI2609" s="21"/>
      <c r="AJ2609" s="21"/>
      <c r="AK2609" s="21"/>
      <c r="AM2609" t="s">
        <v>53</v>
      </c>
    </row>
    <row r="2610" spans="34:39" x14ac:dyDescent="0.35">
      <c r="AH2610" s="21"/>
      <c r="AI2610" s="21"/>
      <c r="AJ2610" s="21"/>
      <c r="AK2610" s="21"/>
      <c r="AM2610" t="s">
        <v>53</v>
      </c>
    </row>
    <row r="2611" spans="34:39" x14ac:dyDescent="0.35">
      <c r="AH2611" s="21"/>
      <c r="AI2611" s="21"/>
      <c r="AJ2611" s="21"/>
      <c r="AK2611" s="21"/>
      <c r="AM2611" t="s">
        <v>53</v>
      </c>
    </row>
    <row r="2612" spans="34:39" x14ac:dyDescent="0.35">
      <c r="AH2612" s="21"/>
      <c r="AI2612" s="21"/>
      <c r="AJ2612" s="21"/>
      <c r="AK2612" s="21"/>
      <c r="AM2612" t="s">
        <v>53</v>
      </c>
    </row>
    <row r="2613" spans="34:39" x14ac:dyDescent="0.35">
      <c r="AH2613" s="21"/>
      <c r="AI2613" s="21"/>
      <c r="AJ2613" s="21"/>
      <c r="AK2613" s="21"/>
      <c r="AM2613" t="s">
        <v>53</v>
      </c>
    </row>
    <row r="2614" spans="34:39" x14ac:dyDescent="0.35">
      <c r="AH2614" s="21"/>
      <c r="AI2614" s="21"/>
      <c r="AJ2614" s="21"/>
      <c r="AK2614" s="21"/>
      <c r="AM2614" t="s">
        <v>53</v>
      </c>
    </row>
    <row r="2615" spans="34:39" x14ac:dyDescent="0.35">
      <c r="AH2615" s="21"/>
      <c r="AI2615" s="21"/>
      <c r="AJ2615" s="21"/>
      <c r="AK2615" s="21"/>
      <c r="AM2615" t="s">
        <v>53</v>
      </c>
    </row>
    <row r="2616" spans="34:39" x14ac:dyDescent="0.35">
      <c r="AH2616" s="21"/>
      <c r="AI2616" s="21"/>
      <c r="AJ2616" s="21"/>
      <c r="AK2616" s="21"/>
      <c r="AM2616" t="s">
        <v>53</v>
      </c>
    </row>
    <row r="2617" spans="34:39" x14ac:dyDescent="0.35">
      <c r="AH2617" s="21"/>
      <c r="AI2617" s="21"/>
      <c r="AJ2617" s="21"/>
      <c r="AK2617" s="21"/>
      <c r="AM2617" t="s">
        <v>53</v>
      </c>
    </row>
    <row r="2618" spans="34:39" x14ac:dyDescent="0.35">
      <c r="AH2618" s="21"/>
      <c r="AI2618" s="21"/>
      <c r="AJ2618" s="21"/>
      <c r="AK2618" s="21"/>
      <c r="AM2618" t="s">
        <v>53</v>
      </c>
    </row>
    <row r="2619" spans="34:39" x14ac:dyDescent="0.35">
      <c r="AH2619" s="21"/>
      <c r="AI2619" s="21"/>
      <c r="AJ2619" s="21"/>
      <c r="AK2619" s="21"/>
      <c r="AM2619" t="s">
        <v>53</v>
      </c>
    </row>
    <row r="2620" spans="34:39" x14ac:dyDescent="0.35">
      <c r="AH2620" s="21"/>
      <c r="AI2620" s="21"/>
      <c r="AJ2620" s="21"/>
      <c r="AK2620" s="21"/>
      <c r="AM2620" t="s">
        <v>53</v>
      </c>
    </row>
    <row r="2621" spans="34:39" x14ac:dyDescent="0.35">
      <c r="AH2621" s="21"/>
      <c r="AI2621" s="21"/>
      <c r="AJ2621" s="21"/>
      <c r="AK2621" s="21"/>
      <c r="AM2621" t="s">
        <v>53</v>
      </c>
    </row>
    <row r="2622" spans="34:39" x14ac:dyDescent="0.35">
      <c r="AH2622" s="21"/>
      <c r="AI2622" s="21"/>
      <c r="AJ2622" s="21"/>
      <c r="AK2622" s="21"/>
      <c r="AM2622" t="s">
        <v>53</v>
      </c>
    </row>
    <row r="2623" spans="34:39" x14ac:dyDescent="0.35">
      <c r="AH2623" s="21"/>
      <c r="AI2623" s="21"/>
      <c r="AJ2623" s="21"/>
      <c r="AK2623" s="21"/>
      <c r="AM2623" t="s">
        <v>53</v>
      </c>
    </row>
    <row r="2624" spans="34:39" x14ac:dyDescent="0.35">
      <c r="AH2624" s="21"/>
      <c r="AI2624" s="21"/>
      <c r="AJ2624" s="21"/>
      <c r="AK2624" s="21"/>
      <c r="AM2624" t="s">
        <v>53</v>
      </c>
    </row>
    <row r="2625" spans="34:39" x14ac:dyDescent="0.35">
      <c r="AH2625" s="21"/>
      <c r="AI2625" s="21"/>
      <c r="AJ2625" s="21"/>
      <c r="AK2625" s="21"/>
      <c r="AM2625" t="s">
        <v>53</v>
      </c>
    </row>
    <row r="2626" spans="34:39" x14ac:dyDescent="0.35">
      <c r="AH2626" s="21"/>
      <c r="AI2626" s="21"/>
      <c r="AJ2626" s="21"/>
      <c r="AK2626" s="21"/>
      <c r="AM2626" t="s">
        <v>53</v>
      </c>
    </row>
    <row r="2627" spans="34:39" x14ac:dyDescent="0.35">
      <c r="AH2627" s="21"/>
      <c r="AI2627" s="21"/>
      <c r="AJ2627" s="21"/>
      <c r="AK2627" s="21"/>
      <c r="AM2627" t="s">
        <v>53</v>
      </c>
    </row>
    <row r="2628" spans="34:39" x14ac:dyDescent="0.35">
      <c r="AH2628" s="21"/>
      <c r="AI2628" s="21"/>
      <c r="AJ2628" s="21"/>
      <c r="AK2628" s="21"/>
      <c r="AM2628" t="s">
        <v>53</v>
      </c>
    </row>
    <row r="2629" spans="34:39" x14ac:dyDescent="0.35">
      <c r="AH2629" s="21"/>
      <c r="AI2629" s="21"/>
      <c r="AJ2629" s="21"/>
      <c r="AK2629" s="21"/>
      <c r="AM2629" t="s">
        <v>53</v>
      </c>
    </row>
    <row r="2630" spans="34:39" x14ac:dyDescent="0.35">
      <c r="AH2630" s="21"/>
      <c r="AI2630" s="21"/>
      <c r="AJ2630" s="21"/>
      <c r="AK2630" s="21"/>
      <c r="AM2630" t="s">
        <v>53</v>
      </c>
    </row>
    <row r="2631" spans="34:39" x14ac:dyDescent="0.35">
      <c r="AH2631" s="21"/>
      <c r="AI2631" s="21"/>
      <c r="AJ2631" s="21"/>
      <c r="AK2631" s="21"/>
      <c r="AM2631" t="s">
        <v>53</v>
      </c>
    </row>
    <row r="2632" spans="34:39" x14ac:dyDescent="0.35">
      <c r="AH2632" s="21"/>
      <c r="AI2632" s="21"/>
      <c r="AJ2632" s="21"/>
      <c r="AK2632" s="21"/>
      <c r="AM2632" t="s">
        <v>53</v>
      </c>
    </row>
    <row r="2633" spans="34:39" x14ac:dyDescent="0.35">
      <c r="AH2633" s="21"/>
      <c r="AI2633" s="21"/>
      <c r="AJ2633" s="21"/>
      <c r="AK2633" s="21"/>
      <c r="AM2633" t="s">
        <v>53</v>
      </c>
    </row>
    <row r="2634" spans="34:39" x14ac:dyDescent="0.35">
      <c r="AH2634" s="21"/>
      <c r="AI2634" s="21"/>
      <c r="AJ2634" s="21"/>
      <c r="AK2634" s="21"/>
      <c r="AM2634" t="s">
        <v>53</v>
      </c>
    </row>
    <row r="2635" spans="34:39" x14ac:dyDescent="0.35">
      <c r="AH2635" s="21"/>
      <c r="AI2635" s="21"/>
      <c r="AJ2635" s="21"/>
      <c r="AK2635" s="21"/>
      <c r="AM2635" t="s">
        <v>53</v>
      </c>
    </row>
    <row r="2636" spans="34:39" x14ac:dyDescent="0.35">
      <c r="AH2636" s="21"/>
      <c r="AI2636" s="21"/>
      <c r="AJ2636" s="21"/>
      <c r="AK2636" s="21"/>
      <c r="AM2636" t="s">
        <v>53</v>
      </c>
    </row>
    <row r="2637" spans="34:39" x14ac:dyDescent="0.35">
      <c r="AH2637" s="21"/>
      <c r="AI2637" s="21"/>
      <c r="AJ2637" s="21"/>
      <c r="AK2637" s="21"/>
      <c r="AM2637" t="s">
        <v>53</v>
      </c>
    </row>
    <row r="2638" spans="34:39" x14ac:dyDescent="0.35">
      <c r="AH2638" s="21"/>
      <c r="AI2638" s="21"/>
      <c r="AJ2638" s="21"/>
      <c r="AK2638" s="21"/>
      <c r="AM2638" t="s">
        <v>53</v>
      </c>
    </row>
    <row r="2639" spans="34:39" x14ac:dyDescent="0.35">
      <c r="AH2639" s="21"/>
      <c r="AI2639" s="21"/>
      <c r="AJ2639" s="21"/>
      <c r="AK2639" s="21"/>
      <c r="AM2639" t="s">
        <v>53</v>
      </c>
    </row>
    <row r="2640" spans="34:39" x14ac:dyDescent="0.35">
      <c r="AH2640" s="21"/>
      <c r="AI2640" s="21"/>
      <c r="AJ2640" s="21"/>
      <c r="AK2640" s="21"/>
      <c r="AM2640" t="s">
        <v>53</v>
      </c>
    </row>
    <row r="2641" spans="34:39" x14ac:dyDescent="0.35">
      <c r="AH2641" s="21"/>
      <c r="AI2641" s="21"/>
      <c r="AJ2641" s="21"/>
      <c r="AK2641" s="21"/>
      <c r="AM2641" t="s">
        <v>53</v>
      </c>
    </row>
    <row r="2642" spans="34:39" x14ac:dyDescent="0.35">
      <c r="AH2642" s="21"/>
      <c r="AI2642" s="21"/>
      <c r="AJ2642" s="21"/>
      <c r="AK2642" s="21"/>
      <c r="AM2642" t="s">
        <v>53</v>
      </c>
    </row>
    <row r="2643" spans="34:39" x14ac:dyDescent="0.35">
      <c r="AH2643" s="21"/>
      <c r="AI2643" s="21"/>
      <c r="AJ2643" s="21"/>
      <c r="AK2643" s="21"/>
      <c r="AM2643" t="s">
        <v>53</v>
      </c>
    </row>
    <row r="2644" spans="34:39" x14ac:dyDescent="0.35">
      <c r="AH2644" s="21"/>
      <c r="AI2644" s="21"/>
      <c r="AJ2644" s="21"/>
      <c r="AK2644" s="21"/>
      <c r="AM2644" t="s">
        <v>53</v>
      </c>
    </row>
    <row r="2645" spans="34:39" x14ac:dyDescent="0.35">
      <c r="AH2645" s="21"/>
      <c r="AI2645" s="21"/>
      <c r="AJ2645" s="21"/>
      <c r="AK2645" s="21"/>
      <c r="AM2645" t="s">
        <v>53</v>
      </c>
    </row>
    <row r="2646" spans="34:39" x14ac:dyDescent="0.35">
      <c r="AH2646" s="21"/>
      <c r="AI2646" s="21"/>
      <c r="AJ2646" s="21"/>
      <c r="AK2646" s="21"/>
      <c r="AM2646" t="s">
        <v>53</v>
      </c>
    </row>
    <row r="2647" spans="34:39" x14ac:dyDescent="0.35">
      <c r="AH2647" s="21"/>
      <c r="AI2647" s="21"/>
      <c r="AJ2647" s="21"/>
      <c r="AK2647" s="21"/>
      <c r="AM2647" t="s">
        <v>53</v>
      </c>
    </row>
    <row r="2648" spans="34:39" x14ac:dyDescent="0.35">
      <c r="AH2648" s="21"/>
      <c r="AI2648" s="21"/>
      <c r="AJ2648" s="21"/>
      <c r="AK2648" s="21"/>
      <c r="AM2648" t="s">
        <v>53</v>
      </c>
    </row>
    <row r="2649" spans="34:39" x14ac:dyDescent="0.35">
      <c r="AH2649" s="21"/>
      <c r="AI2649" s="21"/>
      <c r="AJ2649" s="21"/>
      <c r="AK2649" s="21"/>
      <c r="AM2649" t="s">
        <v>53</v>
      </c>
    </row>
    <row r="2650" spans="34:39" x14ac:dyDescent="0.35">
      <c r="AH2650" s="21"/>
      <c r="AI2650" s="21"/>
      <c r="AJ2650" s="21"/>
      <c r="AK2650" s="21"/>
      <c r="AM2650" t="s">
        <v>53</v>
      </c>
    </row>
    <row r="2651" spans="34:39" x14ac:dyDescent="0.35">
      <c r="AH2651" s="21"/>
      <c r="AI2651" s="21"/>
      <c r="AJ2651" s="21"/>
      <c r="AK2651" s="21"/>
      <c r="AM2651" t="s">
        <v>53</v>
      </c>
    </row>
    <row r="2652" spans="34:39" x14ac:dyDescent="0.35">
      <c r="AH2652" s="21"/>
      <c r="AI2652" s="21"/>
      <c r="AJ2652" s="21"/>
      <c r="AK2652" s="21"/>
      <c r="AM2652" t="s">
        <v>53</v>
      </c>
    </row>
    <row r="2653" spans="34:39" x14ac:dyDescent="0.35">
      <c r="AH2653" s="21"/>
      <c r="AI2653" s="21"/>
      <c r="AJ2653" s="21"/>
      <c r="AK2653" s="21"/>
      <c r="AM2653" t="s">
        <v>53</v>
      </c>
    </row>
    <row r="2654" spans="34:39" x14ac:dyDescent="0.35">
      <c r="AH2654" s="21"/>
      <c r="AI2654" s="21"/>
      <c r="AJ2654" s="21"/>
      <c r="AK2654" s="21"/>
      <c r="AM2654" t="s">
        <v>53</v>
      </c>
    </row>
    <row r="2655" spans="34:39" x14ac:dyDescent="0.35">
      <c r="AH2655" s="21"/>
      <c r="AI2655" s="21"/>
      <c r="AJ2655" s="21"/>
      <c r="AK2655" s="21"/>
      <c r="AM2655" t="s">
        <v>53</v>
      </c>
    </row>
    <row r="2656" spans="34:39" x14ac:dyDescent="0.35">
      <c r="AH2656" s="21"/>
      <c r="AI2656" s="21"/>
      <c r="AJ2656" s="21"/>
      <c r="AK2656" s="21"/>
      <c r="AM2656" t="s">
        <v>53</v>
      </c>
    </row>
    <row r="2657" spans="34:39" x14ac:dyDescent="0.35">
      <c r="AH2657" s="21"/>
      <c r="AI2657" s="21"/>
      <c r="AJ2657" s="21"/>
      <c r="AK2657" s="21"/>
      <c r="AM2657" t="s">
        <v>53</v>
      </c>
    </row>
    <row r="2658" spans="34:39" x14ac:dyDescent="0.35">
      <c r="AH2658" s="21"/>
      <c r="AI2658" s="21"/>
      <c r="AJ2658" s="21"/>
      <c r="AK2658" s="21"/>
      <c r="AM2658" t="s">
        <v>53</v>
      </c>
    </row>
    <row r="2659" spans="34:39" x14ac:dyDescent="0.35">
      <c r="AH2659" s="21"/>
      <c r="AI2659" s="21"/>
      <c r="AJ2659" s="21"/>
      <c r="AK2659" s="21"/>
      <c r="AM2659" t="s">
        <v>53</v>
      </c>
    </row>
    <row r="2660" spans="34:39" x14ac:dyDescent="0.35">
      <c r="AH2660" s="21"/>
      <c r="AI2660" s="21"/>
      <c r="AJ2660" s="21"/>
      <c r="AK2660" s="21"/>
      <c r="AM2660" t="s">
        <v>53</v>
      </c>
    </row>
    <row r="2661" spans="34:39" x14ac:dyDescent="0.35">
      <c r="AH2661" s="21"/>
      <c r="AI2661" s="21"/>
      <c r="AJ2661" s="21"/>
      <c r="AK2661" s="21"/>
      <c r="AM2661" t="s">
        <v>53</v>
      </c>
    </row>
    <row r="2662" spans="34:39" x14ac:dyDescent="0.35">
      <c r="AH2662" s="21"/>
      <c r="AI2662" s="21"/>
      <c r="AJ2662" s="21"/>
      <c r="AK2662" s="21"/>
      <c r="AM2662" t="s">
        <v>53</v>
      </c>
    </row>
    <row r="2663" spans="34:39" x14ac:dyDescent="0.35">
      <c r="AH2663" s="21"/>
      <c r="AI2663" s="21"/>
      <c r="AJ2663" s="21"/>
      <c r="AK2663" s="21"/>
      <c r="AM2663" t="s">
        <v>53</v>
      </c>
    </row>
    <row r="2664" spans="34:39" x14ac:dyDescent="0.35">
      <c r="AH2664" s="21"/>
      <c r="AI2664" s="21"/>
      <c r="AJ2664" s="21"/>
      <c r="AK2664" s="21"/>
      <c r="AM2664" t="s">
        <v>53</v>
      </c>
    </row>
    <row r="2665" spans="34:39" x14ac:dyDescent="0.35">
      <c r="AH2665" s="21"/>
      <c r="AI2665" s="21"/>
      <c r="AJ2665" s="21"/>
      <c r="AK2665" s="21"/>
      <c r="AM2665" t="s">
        <v>53</v>
      </c>
    </row>
    <row r="2666" spans="34:39" x14ac:dyDescent="0.35">
      <c r="AH2666" s="21"/>
      <c r="AI2666" s="21"/>
      <c r="AJ2666" s="21"/>
      <c r="AK2666" s="21"/>
      <c r="AM2666" t="s">
        <v>53</v>
      </c>
    </row>
    <row r="2667" spans="34:39" x14ac:dyDescent="0.35">
      <c r="AH2667" s="21"/>
      <c r="AI2667" s="21"/>
      <c r="AJ2667" s="21"/>
      <c r="AK2667" s="21"/>
      <c r="AM2667" t="s">
        <v>53</v>
      </c>
    </row>
    <row r="2668" spans="34:39" x14ac:dyDescent="0.35">
      <c r="AH2668" s="21"/>
      <c r="AI2668" s="21"/>
      <c r="AJ2668" s="21"/>
      <c r="AK2668" s="21"/>
      <c r="AM2668" t="s">
        <v>53</v>
      </c>
    </row>
    <row r="2669" spans="34:39" x14ac:dyDescent="0.35">
      <c r="AH2669" s="21"/>
      <c r="AI2669" s="21"/>
      <c r="AJ2669" s="21"/>
      <c r="AK2669" s="21"/>
      <c r="AM2669" t="s">
        <v>53</v>
      </c>
    </row>
    <row r="2670" spans="34:39" x14ac:dyDescent="0.35">
      <c r="AH2670" s="21"/>
      <c r="AI2670" s="21"/>
      <c r="AJ2670" s="21"/>
      <c r="AK2670" s="21"/>
      <c r="AM2670" t="s">
        <v>53</v>
      </c>
    </row>
    <row r="2671" spans="34:39" x14ac:dyDescent="0.35">
      <c r="AH2671" s="21"/>
      <c r="AI2671" s="21"/>
      <c r="AJ2671" s="21"/>
      <c r="AK2671" s="21"/>
      <c r="AM2671" t="s">
        <v>53</v>
      </c>
    </row>
    <row r="2672" spans="34:39" x14ac:dyDescent="0.35">
      <c r="AH2672" s="21"/>
      <c r="AI2672" s="21"/>
      <c r="AJ2672" s="21"/>
      <c r="AK2672" s="21"/>
      <c r="AM2672" t="s">
        <v>53</v>
      </c>
    </row>
    <row r="2673" spans="34:39" x14ac:dyDescent="0.35">
      <c r="AH2673" s="21"/>
      <c r="AI2673" s="21"/>
      <c r="AJ2673" s="21"/>
      <c r="AK2673" s="21"/>
      <c r="AM2673" t="s">
        <v>53</v>
      </c>
    </row>
    <row r="2674" spans="34:39" x14ac:dyDescent="0.35">
      <c r="AH2674" s="21"/>
      <c r="AI2674" s="21"/>
      <c r="AJ2674" s="21"/>
      <c r="AK2674" s="21"/>
      <c r="AM2674" t="s">
        <v>53</v>
      </c>
    </row>
    <row r="2675" spans="34:39" x14ac:dyDescent="0.35">
      <c r="AH2675" s="21"/>
      <c r="AI2675" s="21"/>
      <c r="AJ2675" s="21"/>
      <c r="AK2675" s="21"/>
      <c r="AM2675" t="s">
        <v>53</v>
      </c>
    </row>
    <row r="2676" spans="34:39" x14ac:dyDescent="0.35">
      <c r="AH2676" s="21"/>
      <c r="AI2676" s="21"/>
      <c r="AJ2676" s="21"/>
      <c r="AK2676" s="21"/>
      <c r="AM2676" t="s">
        <v>53</v>
      </c>
    </row>
    <row r="2677" spans="34:39" x14ac:dyDescent="0.35">
      <c r="AH2677" s="21"/>
      <c r="AI2677" s="21"/>
      <c r="AJ2677" s="21"/>
      <c r="AK2677" s="21"/>
      <c r="AM2677" t="s">
        <v>53</v>
      </c>
    </row>
    <row r="2678" spans="34:39" x14ac:dyDescent="0.35">
      <c r="AH2678" s="21"/>
      <c r="AI2678" s="21"/>
      <c r="AJ2678" s="21"/>
      <c r="AK2678" s="21"/>
      <c r="AM2678" t="s">
        <v>53</v>
      </c>
    </row>
    <row r="2679" spans="34:39" x14ac:dyDescent="0.35">
      <c r="AH2679" s="21"/>
      <c r="AI2679" s="21"/>
      <c r="AJ2679" s="21"/>
      <c r="AK2679" s="21"/>
      <c r="AM2679" t="s">
        <v>53</v>
      </c>
    </row>
    <row r="2680" spans="34:39" x14ac:dyDescent="0.35">
      <c r="AH2680" s="21"/>
      <c r="AI2680" s="21"/>
      <c r="AJ2680" s="21"/>
      <c r="AK2680" s="21"/>
      <c r="AM2680" t="s">
        <v>53</v>
      </c>
    </row>
    <row r="2681" spans="34:39" x14ac:dyDescent="0.35">
      <c r="AH2681" s="21"/>
      <c r="AI2681" s="21"/>
      <c r="AJ2681" s="21"/>
      <c r="AK2681" s="21"/>
      <c r="AM2681" t="s">
        <v>53</v>
      </c>
    </row>
    <row r="2682" spans="34:39" x14ac:dyDescent="0.35">
      <c r="AH2682" s="21"/>
      <c r="AI2682" s="21"/>
      <c r="AJ2682" s="21"/>
      <c r="AK2682" s="21"/>
      <c r="AM2682" t="s">
        <v>53</v>
      </c>
    </row>
    <row r="2683" spans="34:39" x14ac:dyDescent="0.35">
      <c r="AH2683" s="21"/>
      <c r="AI2683" s="21"/>
      <c r="AJ2683" s="21"/>
      <c r="AK2683" s="21"/>
      <c r="AM2683" t="s">
        <v>53</v>
      </c>
    </row>
    <row r="2684" spans="34:39" x14ac:dyDescent="0.35">
      <c r="AH2684" s="21"/>
      <c r="AI2684" s="21"/>
      <c r="AJ2684" s="21"/>
      <c r="AK2684" s="21"/>
      <c r="AM2684" t="s">
        <v>53</v>
      </c>
    </row>
    <row r="2685" spans="34:39" x14ac:dyDescent="0.35">
      <c r="AH2685" s="21"/>
      <c r="AI2685" s="21"/>
      <c r="AJ2685" s="21"/>
      <c r="AK2685" s="21"/>
      <c r="AM2685" t="s">
        <v>53</v>
      </c>
    </row>
    <row r="2686" spans="34:39" x14ac:dyDescent="0.35">
      <c r="AH2686" s="21"/>
      <c r="AI2686" s="21"/>
      <c r="AJ2686" s="21"/>
      <c r="AK2686" s="21"/>
      <c r="AM2686" t="s">
        <v>53</v>
      </c>
    </row>
    <row r="2687" spans="34:39" x14ac:dyDescent="0.35">
      <c r="AH2687" s="21"/>
      <c r="AI2687" s="21"/>
      <c r="AJ2687" s="21"/>
      <c r="AK2687" s="21"/>
      <c r="AM2687" t="s">
        <v>53</v>
      </c>
    </row>
    <row r="2688" spans="34:39" x14ac:dyDescent="0.35">
      <c r="AH2688" s="21"/>
      <c r="AI2688" s="21"/>
      <c r="AJ2688" s="21"/>
      <c r="AK2688" s="21"/>
      <c r="AM2688" t="s">
        <v>53</v>
      </c>
    </row>
    <row r="2689" spans="34:39" x14ac:dyDescent="0.35">
      <c r="AH2689" s="21"/>
      <c r="AI2689" s="21"/>
      <c r="AJ2689" s="21"/>
      <c r="AK2689" s="21"/>
      <c r="AM2689" t="s">
        <v>53</v>
      </c>
    </row>
    <row r="2690" spans="34:39" x14ac:dyDescent="0.35">
      <c r="AH2690" s="21"/>
      <c r="AI2690" s="21"/>
      <c r="AJ2690" s="21"/>
      <c r="AK2690" s="21"/>
      <c r="AM2690" t="s">
        <v>53</v>
      </c>
    </row>
    <row r="2691" spans="34:39" x14ac:dyDescent="0.35">
      <c r="AH2691" s="21"/>
      <c r="AI2691" s="21"/>
      <c r="AJ2691" s="21"/>
      <c r="AK2691" s="21"/>
      <c r="AM2691" t="s">
        <v>53</v>
      </c>
    </row>
    <row r="2692" spans="34:39" x14ac:dyDescent="0.35">
      <c r="AH2692" s="21"/>
      <c r="AI2692" s="21"/>
      <c r="AJ2692" s="21"/>
      <c r="AK2692" s="21"/>
      <c r="AM2692" t="s">
        <v>53</v>
      </c>
    </row>
    <row r="2693" spans="34:39" x14ac:dyDescent="0.35">
      <c r="AH2693" s="21"/>
      <c r="AI2693" s="21"/>
      <c r="AJ2693" s="21"/>
      <c r="AK2693" s="21"/>
      <c r="AM2693" t="s">
        <v>53</v>
      </c>
    </row>
    <row r="2694" spans="34:39" x14ac:dyDescent="0.35">
      <c r="AH2694" s="21"/>
      <c r="AI2694" s="21"/>
      <c r="AJ2694" s="21"/>
      <c r="AK2694" s="21"/>
      <c r="AM2694" t="s">
        <v>53</v>
      </c>
    </row>
    <row r="2695" spans="34:39" x14ac:dyDescent="0.35">
      <c r="AH2695" s="21"/>
      <c r="AI2695" s="21"/>
      <c r="AJ2695" s="21"/>
      <c r="AK2695" s="21"/>
      <c r="AM2695" t="s">
        <v>53</v>
      </c>
    </row>
    <row r="2696" spans="34:39" x14ac:dyDescent="0.35">
      <c r="AH2696" s="21"/>
      <c r="AI2696" s="21"/>
      <c r="AJ2696" s="21"/>
      <c r="AK2696" s="21"/>
      <c r="AM2696" t="s">
        <v>53</v>
      </c>
    </row>
    <row r="2697" spans="34:39" x14ac:dyDescent="0.35">
      <c r="AH2697" s="21"/>
      <c r="AI2697" s="21"/>
      <c r="AJ2697" s="21"/>
      <c r="AK2697" s="21"/>
      <c r="AM2697" t="s">
        <v>53</v>
      </c>
    </row>
    <row r="2698" spans="34:39" x14ac:dyDescent="0.35">
      <c r="AH2698" s="21"/>
      <c r="AI2698" s="21"/>
      <c r="AJ2698" s="21"/>
      <c r="AK2698" s="21"/>
      <c r="AM2698" t="s">
        <v>53</v>
      </c>
    </row>
    <row r="2699" spans="34:39" x14ac:dyDescent="0.35">
      <c r="AH2699" s="21"/>
      <c r="AI2699" s="21"/>
      <c r="AJ2699" s="21"/>
      <c r="AK2699" s="21"/>
      <c r="AM2699" t="s">
        <v>53</v>
      </c>
    </row>
    <row r="2700" spans="34:39" x14ac:dyDescent="0.35">
      <c r="AH2700" s="21"/>
      <c r="AI2700" s="21"/>
      <c r="AJ2700" s="21"/>
      <c r="AK2700" s="21"/>
      <c r="AM2700" t="s">
        <v>53</v>
      </c>
    </row>
    <row r="2701" spans="34:39" x14ac:dyDescent="0.35">
      <c r="AH2701" s="21"/>
      <c r="AI2701" s="21"/>
      <c r="AJ2701" s="21"/>
      <c r="AK2701" s="21"/>
      <c r="AM2701" t="s">
        <v>53</v>
      </c>
    </row>
    <row r="2702" spans="34:39" x14ac:dyDescent="0.35">
      <c r="AH2702" s="21"/>
      <c r="AI2702" s="21"/>
      <c r="AJ2702" s="21"/>
      <c r="AK2702" s="21"/>
      <c r="AM2702" t="s">
        <v>53</v>
      </c>
    </row>
    <row r="2703" spans="34:39" x14ac:dyDescent="0.35">
      <c r="AH2703" s="21"/>
      <c r="AI2703" s="21"/>
      <c r="AJ2703" s="21"/>
      <c r="AK2703" s="21"/>
      <c r="AM2703" t="s">
        <v>53</v>
      </c>
    </row>
    <row r="2704" spans="34:39" x14ac:dyDescent="0.35">
      <c r="AH2704" s="21"/>
      <c r="AI2704" s="21"/>
      <c r="AJ2704" s="21"/>
      <c r="AK2704" s="21"/>
      <c r="AM2704" t="s">
        <v>53</v>
      </c>
    </row>
    <row r="2705" spans="34:39" x14ac:dyDescent="0.35">
      <c r="AH2705" s="21"/>
      <c r="AI2705" s="21"/>
      <c r="AJ2705" s="21"/>
      <c r="AK2705" s="21"/>
      <c r="AM2705" t="s">
        <v>53</v>
      </c>
    </row>
    <row r="2706" spans="34:39" x14ac:dyDescent="0.35">
      <c r="AH2706" s="21"/>
      <c r="AI2706" s="21"/>
      <c r="AJ2706" s="21"/>
      <c r="AK2706" s="21"/>
      <c r="AM2706" t="s">
        <v>53</v>
      </c>
    </row>
    <row r="2707" spans="34:39" x14ac:dyDescent="0.35">
      <c r="AH2707" s="21"/>
      <c r="AI2707" s="21"/>
      <c r="AJ2707" s="21"/>
      <c r="AK2707" s="21"/>
      <c r="AM2707" t="s">
        <v>53</v>
      </c>
    </row>
    <row r="2708" spans="34:39" x14ac:dyDescent="0.35">
      <c r="AH2708" s="21"/>
      <c r="AI2708" s="21"/>
      <c r="AJ2708" s="21"/>
      <c r="AK2708" s="21"/>
      <c r="AM2708" t="s">
        <v>53</v>
      </c>
    </row>
    <row r="2709" spans="34:39" x14ac:dyDescent="0.35">
      <c r="AH2709" s="21"/>
      <c r="AI2709" s="21"/>
      <c r="AJ2709" s="21"/>
      <c r="AK2709" s="21"/>
      <c r="AM2709" t="s">
        <v>53</v>
      </c>
    </row>
    <row r="2710" spans="34:39" x14ac:dyDescent="0.35">
      <c r="AH2710" s="21"/>
      <c r="AI2710" s="21"/>
      <c r="AJ2710" s="21"/>
      <c r="AK2710" s="21"/>
      <c r="AM2710" t="s">
        <v>53</v>
      </c>
    </row>
    <row r="2711" spans="34:39" x14ac:dyDescent="0.35">
      <c r="AH2711" s="21"/>
      <c r="AI2711" s="21"/>
      <c r="AJ2711" s="21"/>
      <c r="AK2711" s="21"/>
      <c r="AM2711" t="s">
        <v>53</v>
      </c>
    </row>
    <row r="2712" spans="34:39" x14ac:dyDescent="0.35">
      <c r="AH2712" s="21"/>
      <c r="AI2712" s="21"/>
      <c r="AJ2712" s="21"/>
      <c r="AK2712" s="21"/>
      <c r="AM2712" t="s">
        <v>53</v>
      </c>
    </row>
    <row r="2713" spans="34:39" x14ac:dyDescent="0.35">
      <c r="AH2713" s="21"/>
      <c r="AI2713" s="21"/>
      <c r="AJ2713" s="21"/>
      <c r="AK2713" s="21"/>
      <c r="AM2713" t="s">
        <v>53</v>
      </c>
    </row>
    <row r="2714" spans="34:39" x14ac:dyDescent="0.35">
      <c r="AH2714" s="21"/>
      <c r="AI2714" s="21"/>
      <c r="AJ2714" s="21"/>
      <c r="AK2714" s="21"/>
      <c r="AM2714" t="s">
        <v>53</v>
      </c>
    </row>
    <row r="2715" spans="34:39" x14ac:dyDescent="0.35">
      <c r="AH2715" s="21"/>
      <c r="AI2715" s="21"/>
      <c r="AJ2715" s="21"/>
      <c r="AK2715" s="21"/>
      <c r="AM2715" t="s">
        <v>53</v>
      </c>
    </row>
    <row r="2716" spans="34:39" x14ac:dyDescent="0.35">
      <c r="AH2716" s="21"/>
      <c r="AI2716" s="21"/>
      <c r="AJ2716" s="21"/>
      <c r="AK2716" s="21"/>
      <c r="AM2716" t="s">
        <v>53</v>
      </c>
    </row>
    <row r="2717" spans="34:39" x14ac:dyDescent="0.35">
      <c r="AH2717" s="21"/>
      <c r="AI2717" s="21"/>
      <c r="AJ2717" s="21"/>
      <c r="AK2717" s="21"/>
      <c r="AM2717" t="s">
        <v>53</v>
      </c>
    </row>
    <row r="2718" spans="34:39" x14ac:dyDescent="0.35">
      <c r="AH2718" s="21"/>
      <c r="AI2718" s="21"/>
      <c r="AJ2718" s="21"/>
      <c r="AK2718" s="21"/>
      <c r="AM2718" t="s">
        <v>53</v>
      </c>
    </row>
    <row r="2719" spans="34:39" x14ac:dyDescent="0.35">
      <c r="AH2719" s="21"/>
      <c r="AI2719" s="21"/>
      <c r="AJ2719" s="21"/>
      <c r="AK2719" s="21"/>
      <c r="AM2719" t="s">
        <v>53</v>
      </c>
    </row>
    <row r="2720" spans="34:39" x14ac:dyDescent="0.35">
      <c r="AH2720" s="21"/>
      <c r="AI2720" s="21"/>
      <c r="AJ2720" s="21"/>
      <c r="AK2720" s="21"/>
      <c r="AM2720" t="s">
        <v>53</v>
      </c>
    </row>
    <row r="2721" spans="34:39" x14ac:dyDescent="0.35">
      <c r="AH2721" s="21"/>
      <c r="AI2721" s="21"/>
      <c r="AJ2721" s="21"/>
      <c r="AK2721" s="21"/>
      <c r="AM2721" t="s">
        <v>53</v>
      </c>
    </row>
    <row r="2722" spans="34:39" x14ac:dyDescent="0.35">
      <c r="AH2722" s="21"/>
      <c r="AI2722" s="21"/>
      <c r="AJ2722" s="21"/>
      <c r="AK2722" s="21"/>
      <c r="AM2722" t="s">
        <v>53</v>
      </c>
    </row>
    <row r="2723" spans="34:39" x14ac:dyDescent="0.35">
      <c r="AH2723" s="21"/>
      <c r="AI2723" s="21"/>
      <c r="AJ2723" s="21"/>
      <c r="AK2723" s="21"/>
      <c r="AM2723" t="s">
        <v>53</v>
      </c>
    </row>
    <row r="2724" spans="34:39" x14ac:dyDescent="0.35">
      <c r="AH2724" s="21"/>
      <c r="AI2724" s="21"/>
      <c r="AJ2724" s="21"/>
      <c r="AK2724" s="21"/>
      <c r="AM2724" t="s">
        <v>53</v>
      </c>
    </row>
    <row r="2725" spans="34:39" x14ac:dyDescent="0.35">
      <c r="AH2725" s="21"/>
      <c r="AI2725" s="21"/>
      <c r="AJ2725" s="21"/>
      <c r="AK2725" s="21"/>
      <c r="AM2725" t="s">
        <v>53</v>
      </c>
    </row>
    <row r="2726" spans="34:39" x14ac:dyDescent="0.35">
      <c r="AH2726" s="21"/>
      <c r="AI2726" s="21"/>
      <c r="AJ2726" s="21"/>
      <c r="AK2726" s="21"/>
      <c r="AM2726" t="s">
        <v>53</v>
      </c>
    </row>
    <row r="2727" spans="34:39" x14ac:dyDescent="0.35">
      <c r="AH2727" s="21"/>
      <c r="AI2727" s="21"/>
      <c r="AJ2727" s="21"/>
      <c r="AK2727" s="21"/>
      <c r="AM2727" t="s">
        <v>53</v>
      </c>
    </row>
    <row r="2728" spans="34:39" x14ac:dyDescent="0.35">
      <c r="AH2728" s="21"/>
      <c r="AI2728" s="21"/>
      <c r="AJ2728" s="21"/>
      <c r="AK2728" s="21"/>
      <c r="AM2728" t="s">
        <v>53</v>
      </c>
    </row>
    <row r="2729" spans="34:39" x14ac:dyDescent="0.35">
      <c r="AH2729" s="21"/>
      <c r="AI2729" s="21"/>
      <c r="AJ2729" s="21"/>
      <c r="AK2729" s="21"/>
      <c r="AM2729" t="s">
        <v>53</v>
      </c>
    </row>
    <row r="2730" spans="34:39" x14ac:dyDescent="0.35">
      <c r="AH2730" s="21"/>
      <c r="AI2730" s="21"/>
      <c r="AJ2730" s="21"/>
      <c r="AK2730" s="21"/>
      <c r="AM2730" t="s">
        <v>53</v>
      </c>
    </row>
    <row r="2731" spans="34:39" x14ac:dyDescent="0.35">
      <c r="AH2731" s="21"/>
      <c r="AI2731" s="21"/>
      <c r="AJ2731" s="21"/>
      <c r="AK2731" s="21"/>
      <c r="AM2731" t="s">
        <v>53</v>
      </c>
    </row>
    <row r="2732" spans="34:39" x14ac:dyDescent="0.35">
      <c r="AH2732" s="21"/>
      <c r="AI2732" s="21"/>
      <c r="AJ2732" s="21"/>
      <c r="AK2732" s="21"/>
      <c r="AM2732" t="s">
        <v>53</v>
      </c>
    </row>
    <row r="2733" spans="34:39" x14ac:dyDescent="0.35">
      <c r="AH2733" s="21"/>
      <c r="AI2733" s="21"/>
      <c r="AJ2733" s="21"/>
      <c r="AK2733" s="21"/>
      <c r="AM2733" t="s">
        <v>53</v>
      </c>
    </row>
    <row r="2734" spans="34:39" x14ac:dyDescent="0.35">
      <c r="AH2734" s="21"/>
      <c r="AI2734" s="21"/>
      <c r="AJ2734" s="21"/>
      <c r="AK2734" s="21"/>
      <c r="AM2734" t="s">
        <v>53</v>
      </c>
    </row>
    <row r="2735" spans="34:39" x14ac:dyDescent="0.35">
      <c r="AH2735" s="21"/>
      <c r="AI2735" s="21"/>
      <c r="AJ2735" s="21"/>
      <c r="AK2735" s="21"/>
      <c r="AM2735" t="s">
        <v>53</v>
      </c>
    </row>
    <row r="2736" spans="34:39" x14ac:dyDescent="0.35">
      <c r="AH2736" s="21"/>
      <c r="AI2736" s="21"/>
      <c r="AJ2736" s="21"/>
      <c r="AK2736" s="21"/>
      <c r="AM2736" t="s">
        <v>53</v>
      </c>
    </row>
    <row r="2737" spans="34:39" x14ac:dyDescent="0.35">
      <c r="AH2737" s="21"/>
      <c r="AI2737" s="21"/>
      <c r="AJ2737" s="21"/>
      <c r="AK2737" s="21"/>
      <c r="AM2737" t="s">
        <v>53</v>
      </c>
    </row>
    <row r="2738" spans="34:39" x14ac:dyDescent="0.35">
      <c r="AH2738" s="21"/>
      <c r="AI2738" s="21"/>
      <c r="AJ2738" s="21"/>
      <c r="AK2738" s="21"/>
      <c r="AM2738" t="s">
        <v>53</v>
      </c>
    </row>
    <row r="2739" spans="34:39" x14ac:dyDescent="0.35">
      <c r="AH2739" s="21"/>
      <c r="AI2739" s="21"/>
      <c r="AJ2739" s="21"/>
      <c r="AK2739" s="21"/>
      <c r="AM2739" t="s">
        <v>53</v>
      </c>
    </row>
    <row r="2740" spans="34:39" x14ac:dyDescent="0.35">
      <c r="AH2740" s="21"/>
      <c r="AI2740" s="21"/>
      <c r="AJ2740" s="21"/>
      <c r="AK2740" s="21"/>
      <c r="AM2740" t="s">
        <v>53</v>
      </c>
    </row>
    <row r="2741" spans="34:39" x14ac:dyDescent="0.35">
      <c r="AH2741" s="21"/>
      <c r="AI2741" s="21"/>
      <c r="AJ2741" s="21"/>
      <c r="AK2741" s="21"/>
      <c r="AM2741" t="s">
        <v>53</v>
      </c>
    </row>
    <row r="2742" spans="34:39" x14ac:dyDescent="0.35">
      <c r="AH2742" s="21"/>
      <c r="AI2742" s="21"/>
      <c r="AJ2742" s="21"/>
      <c r="AK2742" s="21"/>
      <c r="AM2742" t="s">
        <v>53</v>
      </c>
    </row>
    <row r="2743" spans="34:39" x14ac:dyDescent="0.35">
      <c r="AH2743" s="21"/>
      <c r="AI2743" s="21"/>
      <c r="AJ2743" s="21"/>
      <c r="AK2743" s="21"/>
      <c r="AM2743" t="s">
        <v>53</v>
      </c>
    </row>
    <row r="2744" spans="34:39" x14ac:dyDescent="0.35">
      <c r="AH2744" s="21"/>
      <c r="AI2744" s="21"/>
      <c r="AJ2744" s="21"/>
      <c r="AK2744" s="21"/>
      <c r="AM2744" t="s">
        <v>53</v>
      </c>
    </row>
    <row r="2745" spans="34:39" x14ac:dyDescent="0.35">
      <c r="AH2745" s="21"/>
      <c r="AI2745" s="21"/>
      <c r="AJ2745" s="21"/>
      <c r="AK2745" s="21"/>
      <c r="AM2745" t="s">
        <v>53</v>
      </c>
    </row>
    <row r="2746" spans="34:39" x14ac:dyDescent="0.35">
      <c r="AH2746" s="21"/>
      <c r="AI2746" s="21"/>
      <c r="AJ2746" s="21"/>
      <c r="AK2746" s="21"/>
      <c r="AM2746" t="s">
        <v>53</v>
      </c>
    </row>
    <row r="2747" spans="34:39" x14ac:dyDescent="0.35">
      <c r="AH2747" s="21"/>
      <c r="AI2747" s="21"/>
      <c r="AJ2747" s="21"/>
      <c r="AK2747" s="21"/>
      <c r="AM2747" t="s">
        <v>53</v>
      </c>
    </row>
    <row r="2748" spans="34:39" x14ac:dyDescent="0.35">
      <c r="AH2748" s="21"/>
      <c r="AI2748" s="21"/>
      <c r="AJ2748" s="21"/>
      <c r="AK2748" s="21"/>
      <c r="AM2748" t="s">
        <v>53</v>
      </c>
    </row>
    <row r="2749" spans="34:39" x14ac:dyDescent="0.35">
      <c r="AH2749" s="21"/>
      <c r="AI2749" s="21"/>
      <c r="AJ2749" s="21"/>
      <c r="AK2749" s="21"/>
      <c r="AM2749" t="s">
        <v>53</v>
      </c>
    </row>
    <row r="2750" spans="34:39" x14ac:dyDescent="0.35">
      <c r="AH2750" s="21"/>
      <c r="AI2750" s="21"/>
      <c r="AJ2750" s="21"/>
      <c r="AK2750" s="21"/>
      <c r="AM2750" t="s">
        <v>53</v>
      </c>
    </row>
    <row r="2751" spans="34:39" x14ac:dyDescent="0.35">
      <c r="AH2751" s="21"/>
      <c r="AI2751" s="21"/>
      <c r="AJ2751" s="21"/>
      <c r="AK2751" s="21"/>
      <c r="AM2751" t="s">
        <v>53</v>
      </c>
    </row>
    <row r="2752" spans="34:39" x14ac:dyDescent="0.35">
      <c r="AH2752" s="21"/>
      <c r="AI2752" s="21"/>
      <c r="AJ2752" s="21"/>
      <c r="AK2752" s="21"/>
      <c r="AM2752" t="s">
        <v>53</v>
      </c>
    </row>
    <row r="2753" spans="34:39" x14ac:dyDescent="0.35">
      <c r="AH2753" s="21"/>
      <c r="AI2753" s="21"/>
      <c r="AJ2753" s="21"/>
      <c r="AK2753" s="21"/>
      <c r="AM2753" t="s">
        <v>53</v>
      </c>
    </row>
    <row r="2754" spans="34:39" x14ac:dyDescent="0.35">
      <c r="AH2754" s="21"/>
      <c r="AI2754" s="21"/>
      <c r="AJ2754" s="21"/>
      <c r="AK2754" s="21"/>
      <c r="AM2754" t="s">
        <v>53</v>
      </c>
    </row>
    <row r="2755" spans="34:39" x14ac:dyDescent="0.35">
      <c r="AH2755" s="21"/>
      <c r="AI2755" s="21"/>
      <c r="AJ2755" s="21"/>
      <c r="AK2755" s="21"/>
      <c r="AM2755" t="s">
        <v>53</v>
      </c>
    </row>
    <row r="2756" spans="34:39" x14ac:dyDescent="0.35">
      <c r="AH2756" s="21"/>
      <c r="AI2756" s="21"/>
      <c r="AJ2756" s="21"/>
      <c r="AK2756" s="21"/>
      <c r="AM2756" t="s">
        <v>53</v>
      </c>
    </row>
    <row r="2757" spans="34:39" x14ac:dyDescent="0.35">
      <c r="AH2757" s="21"/>
      <c r="AI2757" s="21"/>
      <c r="AJ2757" s="21"/>
      <c r="AK2757" s="21"/>
      <c r="AM2757" t="s">
        <v>53</v>
      </c>
    </row>
    <row r="2758" spans="34:39" x14ac:dyDescent="0.35">
      <c r="AH2758" s="21"/>
      <c r="AI2758" s="21"/>
      <c r="AJ2758" s="21"/>
      <c r="AK2758" s="21"/>
      <c r="AM2758" t="s">
        <v>53</v>
      </c>
    </row>
    <row r="2759" spans="34:39" x14ac:dyDescent="0.35">
      <c r="AH2759" s="21"/>
      <c r="AI2759" s="21"/>
      <c r="AJ2759" s="21"/>
      <c r="AK2759" s="21"/>
      <c r="AM2759" t="s">
        <v>53</v>
      </c>
    </row>
    <row r="2760" spans="34:39" x14ac:dyDescent="0.35">
      <c r="AH2760" s="21"/>
      <c r="AI2760" s="21"/>
      <c r="AJ2760" s="21"/>
      <c r="AK2760" s="21"/>
      <c r="AM2760" t="s">
        <v>53</v>
      </c>
    </row>
    <row r="2761" spans="34:39" x14ac:dyDescent="0.35">
      <c r="AH2761" s="21"/>
      <c r="AI2761" s="21"/>
      <c r="AJ2761" s="21"/>
      <c r="AK2761" s="21"/>
      <c r="AM2761" t="s">
        <v>53</v>
      </c>
    </row>
    <row r="2762" spans="34:39" x14ac:dyDescent="0.35">
      <c r="AH2762" s="21"/>
      <c r="AI2762" s="21"/>
      <c r="AJ2762" s="21"/>
      <c r="AK2762" s="21"/>
      <c r="AM2762" t="s">
        <v>53</v>
      </c>
    </row>
    <row r="2763" spans="34:39" x14ac:dyDescent="0.35">
      <c r="AH2763" s="21"/>
      <c r="AI2763" s="21"/>
      <c r="AJ2763" s="21"/>
      <c r="AK2763" s="21"/>
      <c r="AM2763" t="s">
        <v>53</v>
      </c>
    </row>
    <row r="2764" spans="34:39" x14ac:dyDescent="0.35">
      <c r="AH2764" s="21"/>
      <c r="AI2764" s="21"/>
      <c r="AJ2764" s="21"/>
      <c r="AK2764" s="21"/>
      <c r="AM2764" t="s">
        <v>53</v>
      </c>
    </row>
    <row r="2765" spans="34:39" x14ac:dyDescent="0.35">
      <c r="AH2765" s="21"/>
      <c r="AI2765" s="21"/>
      <c r="AJ2765" s="21"/>
      <c r="AK2765" s="21"/>
      <c r="AM2765" t="s">
        <v>53</v>
      </c>
    </row>
    <row r="2766" spans="34:39" x14ac:dyDescent="0.35">
      <c r="AH2766" s="21"/>
      <c r="AI2766" s="21"/>
      <c r="AJ2766" s="21"/>
      <c r="AK2766" s="21"/>
      <c r="AM2766" t="s">
        <v>53</v>
      </c>
    </row>
    <row r="2767" spans="34:39" x14ac:dyDescent="0.35">
      <c r="AH2767" s="21"/>
      <c r="AI2767" s="21"/>
      <c r="AJ2767" s="21"/>
      <c r="AK2767" s="21"/>
      <c r="AM2767" t="s">
        <v>53</v>
      </c>
    </row>
    <row r="2768" spans="34:39" x14ac:dyDescent="0.35">
      <c r="AH2768" s="21"/>
      <c r="AI2768" s="21"/>
      <c r="AJ2768" s="21"/>
      <c r="AK2768" s="21"/>
      <c r="AM2768" t="s">
        <v>53</v>
      </c>
    </row>
    <row r="2769" spans="34:39" x14ac:dyDescent="0.35">
      <c r="AH2769" s="21"/>
      <c r="AI2769" s="21"/>
      <c r="AJ2769" s="21"/>
      <c r="AK2769" s="21"/>
      <c r="AM2769" t="s">
        <v>53</v>
      </c>
    </row>
    <row r="2770" spans="34:39" x14ac:dyDescent="0.35">
      <c r="AH2770" s="21"/>
      <c r="AI2770" s="21"/>
      <c r="AJ2770" s="21"/>
      <c r="AK2770" s="21"/>
      <c r="AM2770" t="s">
        <v>53</v>
      </c>
    </row>
    <row r="2771" spans="34:39" x14ac:dyDescent="0.35">
      <c r="AH2771" s="21"/>
      <c r="AI2771" s="21"/>
      <c r="AJ2771" s="21"/>
      <c r="AK2771" s="21"/>
      <c r="AM2771" t="s">
        <v>53</v>
      </c>
    </row>
    <row r="2772" spans="34:39" x14ac:dyDescent="0.35">
      <c r="AH2772" s="21"/>
      <c r="AI2772" s="21"/>
      <c r="AJ2772" s="21"/>
      <c r="AK2772" s="21"/>
      <c r="AM2772" t="s">
        <v>53</v>
      </c>
    </row>
    <row r="2773" spans="34:39" x14ac:dyDescent="0.35">
      <c r="AH2773" s="21"/>
      <c r="AI2773" s="21"/>
      <c r="AJ2773" s="21"/>
      <c r="AK2773" s="21"/>
      <c r="AM2773" t="s">
        <v>53</v>
      </c>
    </row>
    <row r="2774" spans="34:39" x14ac:dyDescent="0.35">
      <c r="AH2774" s="21"/>
      <c r="AI2774" s="21"/>
      <c r="AJ2774" s="21"/>
      <c r="AK2774" s="21"/>
      <c r="AM2774" t="s">
        <v>53</v>
      </c>
    </row>
    <row r="2775" spans="34:39" x14ac:dyDescent="0.35">
      <c r="AH2775" s="21"/>
      <c r="AI2775" s="21"/>
      <c r="AJ2775" s="21"/>
      <c r="AK2775" s="21"/>
      <c r="AM2775" t="s">
        <v>53</v>
      </c>
    </row>
    <row r="2776" spans="34:39" x14ac:dyDescent="0.35">
      <c r="AH2776" s="21"/>
      <c r="AI2776" s="21"/>
      <c r="AJ2776" s="21"/>
      <c r="AK2776" s="21"/>
      <c r="AM2776" t="s">
        <v>53</v>
      </c>
    </row>
    <row r="2777" spans="34:39" x14ac:dyDescent="0.35">
      <c r="AH2777" s="21"/>
      <c r="AI2777" s="21"/>
      <c r="AJ2777" s="21"/>
      <c r="AK2777" s="21"/>
      <c r="AM2777" t="s">
        <v>53</v>
      </c>
    </row>
    <row r="2778" spans="34:39" x14ac:dyDescent="0.35">
      <c r="AH2778" s="21"/>
      <c r="AI2778" s="21"/>
      <c r="AJ2778" s="21"/>
      <c r="AK2778" s="21"/>
      <c r="AM2778" t="s">
        <v>53</v>
      </c>
    </row>
    <row r="2779" spans="34:39" x14ac:dyDescent="0.35">
      <c r="AH2779" s="21"/>
      <c r="AI2779" s="21"/>
      <c r="AJ2779" s="21"/>
      <c r="AK2779" s="21"/>
      <c r="AM2779" t="s">
        <v>53</v>
      </c>
    </row>
    <row r="2780" spans="34:39" x14ac:dyDescent="0.35">
      <c r="AH2780" s="21"/>
      <c r="AI2780" s="21"/>
      <c r="AJ2780" s="21"/>
      <c r="AK2780" s="21"/>
      <c r="AM2780" t="s">
        <v>53</v>
      </c>
    </row>
    <row r="2781" spans="34:39" x14ac:dyDescent="0.35">
      <c r="AH2781" s="21"/>
      <c r="AI2781" s="21"/>
      <c r="AJ2781" s="21"/>
      <c r="AK2781" s="21"/>
      <c r="AM2781" t="s">
        <v>53</v>
      </c>
    </row>
    <row r="2782" spans="34:39" x14ac:dyDescent="0.35">
      <c r="AH2782" s="21"/>
      <c r="AI2782" s="21"/>
      <c r="AJ2782" s="21"/>
      <c r="AK2782" s="21"/>
      <c r="AM2782" t="s">
        <v>53</v>
      </c>
    </row>
    <row r="2783" spans="34:39" x14ac:dyDescent="0.35">
      <c r="AH2783" s="21"/>
      <c r="AI2783" s="21"/>
      <c r="AJ2783" s="21"/>
      <c r="AK2783" s="21"/>
      <c r="AM2783" t="s">
        <v>53</v>
      </c>
    </row>
    <row r="2784" spans="34:39" x14ac:dyDescent="0.35">
      <c r="AH2784" s="21"/>
      <c r="AI2784" s="21"/>
      <c r="AJ2784" s="21"/>
      <c r="AK2784" s="21"/>
      <c r="AM2784" t="s">
        <v>53</v>
      </c>
    </row>
    <row r="2785" spans="34:39" x14ac:dyDescent="0.35">
      <c r="AH2785" s="21"/>
      <c r="AI2785" s="21"/>
      <c r="AJ2785" s="21"/>
      <c r="AK2785" s="21"/>
      <c r="AM2785" t="s">
        <v>53</v>
      </c>
    </row>
    <row r="2786" spans="34:39" x14ac:dyDescent="0.35">
      <c r="AH2786" s="21"/>
      <c r="AI2786" s="21"/>
      <c r="AJ2786" s="21"/>
      <c r="AK2786" s="21"/>
      <c r="AM2786" t="s">
        <v>53</v>
      </c>
    </row>
    <row r="2787" spans="34:39" x14ac:dyDescent="0.35">
      <c r="AH2787" s="21"/>
      <c r="AI2787" s="21"/>
      <c r="AJ2787" s="21"/>
      <c r="AK2787" s="21"/>
      <c r="AM2787" t="s">
        <v>53</v>
      </c>
    </row>
    <row r="2788" spans="34:39" x14ac:dyDescent="0.35">
      <c r="AH2788" s="21"/>
      <c r="AI2788" s="21"/>
      <c r="AJ2788" s="21"/>
      <c r="AK2788" s="21"/>
      <c r="AM2788" t="s">
        <v>53</v>
      </c>
    </row>
    <row r="2789" spans="34:39" x14ac:dyDescent="0.35">
      <c r="AH2789" s="21"/>
      <c r="AI2789" s="21"/>
      <c r="AJ2789" s="21"/>
      <c r="AK2789" s="21"/>
      <c r="AM2789" t="s">
        <v>53</v>
      </c>
    </row>
    <row r="2790" spans="34:39" x14ac:dyDescent="0.35">
      <c r="AH2790" s="21"/>
      <c r="AI2790" s="21"/>
      <c r="AJ2790" s="21"/>
      <c r="AK2790" s="21"/>
      <c r="AM2790" t="s">
        <v>53</v>
      </c>
    </row>
    <row r="2791" spans="34:39" x14ac:dyDescent="0.35">
      <c r="AH2791" s="21"/>
      <c r="AI2791" s="21"/>
      <c r="AJ2791" s="21"/>
      <c r="AK2791" s="21"/>
      <c r="AM2791" t="s">
        <v>53</v>
      </c>
    </row>
    <row r="2792" spans="34:39" x14ac:dyDescent="0.35">
      <c r="AH2792" s="21"/>
      <c r="AI2792" s="21"/>
      <c r="AJ2792" s="21"/>
      <c r="AK2792" s="21"/>
      <c r="AM2792" t="s">
        <v>53</v>
      </c>
    </row>
    <row r="2793" spans="34:39" x14ac:dyDescent="0.35">
      <c r="AH2793" s="21"/>
      <c r="AI2793" s="21"/>
      <c r="AJ2793" s="21"/>
      <c r="AK2793" s="21"/>
      <c r="AM2793" t="s">
        <v>53</v>
      </c>
    </row>
    <row r="2794" spans="34:39" x14ac:dyDescent="0.35">
      <c r="AH2794" s="21"/>
      <c r="AI2794" s="21"/>
      <c r="AJ2794" s="21"/>
      <c r="AK2794" s="21"/>
      <c r="AM2794" t="s">
        <v>53</v>
      </c>
    </row>
    <row r="2795" spans="34:39" x14ac:dyDescent="0.35">
      <c r="AH2795" s="21"/>
      <c r="AI2795" s="21"/>
      <c r="AJ2795" s="21"/>
      <c r="AK2795" s="21"/>
      <c r="AM2795" t="s">
        <v>53</v>
      </c>
    </row>
    <row r="2796" spans="34:39" x14ac:dyDescent="0.35">
      <c r="AH2796" s="21"/>
      <c r="AI2796" s="21"/>
      <c r="AJ2796" s="21"/>
      <c r="AK2796" s="21"/>
      <c r="AM2796" t="s">
        <v>53</v>
      </c>
    </row>
    <row r="2797" spans="34:39" x14ac:dyDescent="0.35">
      <c r="AH2797" s="21"/>
      <c r="AI2797" s="21"/>
      <c r="AJ2797" s="21"/>
      <c r="AK2797" s="21"/>
      <c r="AM2797" t="s">
        <v>53</v>
      </c>
    </row>
    <row r="2798" spans="34:39" x14ac:dyDescent="0.35">
      <c r="AH2798" s="21"/>
      <c r="AI2798" s="21"/>
      <c r="AJ2798" s="21"/>
      <c r="AK2798" s="21"/>
      <c r="AM2798" t="s">
        <v>53</v>
      </c>
    </row>
    <row r="2799" spans="34:39" x14ac:dyDescent="0.35">
      <c r="AH2799" s="21"/>
      <c r="AI2799" s="21"/>
      <c r="AJ2799" s="21"/>
      <c r="AK2799" s="21"/>
      <c r="AM2799" t="s">
        <v>53</v>
      </c>
    </row>
    <row r="2800" spans="34:39" x14ac:dyDescent="0.35">
      <c r="AH2800" s="21"/>
      <c r="AI2800" s="21"/>
      <c r="AJ2800" s="21"/>
      <c r="AK2800" s="21"/>
      <c r="AM2800" t="s">
        <v>53</v>
      </c>
    </row>
    <row r="2801" spans="34:39" x14ac:dyDescent="0.35">
      <c r="AH2801" s="21"/>
      <c r="AI2801" s="21"/>
      <c r="AJ2801" s="21"/>
      <c r="AK2801" s="21"/>
      <c r="AM2801" t="s">
        <v>53</v>
      </c>
    </row>
    <row r="2802" spans="34:39" x14ac:dyDescent="0.35">
      <c r="AH2802" s="21"/>
      <c r="AI2802" s="21"/>
      <c r="AJ2802" s="21"/>
      <c r="AK2802" s="21"/>
      <c r="AM2802" t="s">
        <v>53</v>
      </c>
    </row>
    <row r="2803" spans="34:39" x14ac:dyDescent="0.35">
      <c r="AH2803" s="21"/>
      <c r="AI2803" s="21"/>
      <c r="AJ2803" s="21"/>
      <c r="AK2803" s="21"/>
      <c r="AM2803" t="s">
        <v>53</v>
      </c>
    </row>
    <row r="2804" spans="34:39" x14ac:dyDescent="0.35">
      <c r="AH2804" s="21"/>
      <c r="AI2804" s="21"/>
      <c r="AJ2804" s="21"/>
      <c r="AK2804" s="21"/>
      <c r="AM2804" t="s">
        <v>53</v>
      </c>
    </row>
    <row r="2805" spans="34:39" x14ac:dyDescent="0.35">
      <c r="AH2805" s="21"/>
      <c r="AI2805" s="21"/>
      <c r="AJ2805" s="21"/>
      <c r="AK2805" s="21"/>
      <c r="AM2805" t="s">
        <v>53</v>
      </c>
    </row>
    <row r="2806" spans="34:39" x14ac:dyDescent="0.35">
      <c r="AH2806" s="21"/>
      <c r="AI2806" s="21"/>
      <c r="AJ2806" s="21"/>
      <c r="AK2806" s="21"/>
      <c r="AM2806" t="s">
        <v>53</v>
      </c>
    </row>
    <row r="2807" spans="34:39" x14ac:dyDescent="0.35">
      <c r="AH2807" s="21"/>
      <c r="AI2807" s="21"/>
      <c r="AJ2807" s="21"/>
      <c r="AK2807" s="21"/>
      <c r="AM2807" t="s">
        <v>53</v>
      </c>
    </row>
    <row r="2808" spans="34:39" x14ac:dyDescent="0.35">
      <c r="AH2808" s="21"/>
      <c r="AI2808" s="21"/>
      <c r="AJ2808" s="21"/>
      <c r="AK2808" s="21"/>
      <c r="AM2808" t="s">
        <v>53</v>
      </c>
    </row>
    <row r="2809" spans="34:39" x14ac:dyDescent="0.35">
      <c r="AH2809" s="21"/>
      <c r="AI2809" s="21"/>
      <c r="AJ2809" s="21"/>
      <c r="AK2809" s="21"/>
      <c r="AM2809" t="s">
        <v>53</v>
      </c>
    </row>
    <row r="2810" spans="34:39" x14ac:dyDescent="0.35">
      <c r="AH2810" s="21"/>
      <c r="AI2810" s="21"/>
      <c r="AJ2810" s="21"/>
      <c r="AK2810" s="21"/>
      <c r="AM2810" t="s">
        <v>53</v>
      </c>
    </row>
    <row r="2811" spans="34:39" x14ac:dyDescent="0.35">
      <c r="AH2811" s="21"/>
      <c r="AI2811" s="21"/>
      <c r="AJ2811" s="21"/>
      <c r="AK2811" s="21"/>
      <c r="AM2811" t="s">
        <v>53</v>
      </c>
    </row>
    <row r="2812" spans="34:39" x14ac:dyDescent="0.35">
      <c r="AH2812" s="21"/>
      <c r="AI2812" s="21"/>
      <c r="AJ2812" s="21"/>
      <c r="AK2812" s="21"/>
      <c r="AM2812" t="s">
        <v>53</v>
      </c>
    </row>
    <row r="2813" spans="34:39" x14ac:dyDescent="0.35">
      <c r="AH2813" s="21"/>
      <c r="AI2813" s="21"/>
      <c r="AJ2813" s="21"/>
      <c r="AK2813" s="21"/>
      <c r="AM2813" t="s">
        <v>53</v>
      </c>
    </row>
    <row r="2814" spans="34:39" x14ac:dyDescent="0.35">
      <c r="AH2814" s="21"/>
      <c r="AI2814" s="21"/>
      <c r="AJ2814" s="21"/>
      <c r="AK2814" s="21"/>
      <c r="AM2814" t="s">
        <v>53</v>
      </c>
    </row>
    <row r="2815" spans="34:39" x14ac:dyDescent="0.35">
      <c r="AH2815" s="21"/>
      <c r="AI2815" s="21"/>
      <c r="AJ2815" s="21"/>
      <c r="AK2815" s="21"/>
      <c r="AM2815" t="s">
        <v>53</v>
      </c>
    </row>
    <row r="2816" spans="34:39" x14ac:dyDescent="0.35">
      <c r="AH2816" s="21"/>
      <c r="AI2816" s="21"/>
      <c r="AJ2816" s="21"/>
      <c r="AK2816" s="21"/>
      <c r="AM2816" t="s">
        <v>53</v>
      </c>
    </row>
    <row r="2817" spans="34:39" x14ac:dyDescent="0.35">
      <c r="AH2817" s="21"/>
      <c r="AI2817" s="21"/>
      <c r="AJ2817" s="21"/>
      <c r="AK2817" s="21"/>
      <c r="AM2817" t="s">
        <v>53</v>
      </c>
    </row>
    <row r="2818" spans="34:39" x14ac:dyDescent="0.35">
      <c r="AH2818" s="21"/>
      <c r="AI2818" s="21"/>
      <c r="AJ2818" s="21"/>
      <c r="AK2818" s="21"/>
      <c r="AM2818" t="s">
        <v>53</v>
      </c>
    </row>
    <row r="2819" spans="34:39" x14ac:dyDescent="0.35">
      <c r="AH2819" s="21"/>
      <c r="AI2819" s="21"/>
      <c r="AJ2819" s="21"/>
      <c r="AK2819" s="21"/>
      <c r="AM2819" t="s">
        <v>53</v>
      </c>
    </row>
    <row r="2820" spans="34:39" x14ac:dyDescent="0.35">
      <c r="AH2820" s="21"/>
      <c r="AI2820" s="21"/>
      <c r="AJ2820" s="21"/>
      <c r="AK2820" s="21"/>
      <c r="AM2820" t="s">
        <v>53</v>
      </c>
    </row>
    <row r="2821" spans="34:39" x14ac:dyDescent="0.35">
      <c r="AH2821" s="21"/>
      <c r="AI2821" s="21"/>
      <c r="AJ2821" s="21"/>
      <c r="AK2821" s="21"/>
      <c r="AM2821" t="s">
        <v>53</v>
      </c>
    </row>
    <row r="2822" spans="34:39" x14ac:dyDescent="0.35">
      <c r="AH2822" s="21"/>
      <c r="AI2822" s="21"/>
      <c r="AJ2822" s="21"/>
      <c r="AK2822" s="21"/>
      <c r="AM2822" t="s">
        <v>53</v>
      </c>
    </row>
    <row r="2823" spans="34:39" x14ac:dyDescent="0.35">
      <c r="AH2823" s="21"/>
      <c r="AI2823" s="21"/>
      <c r="AJ2823" s="21"/>
      <c r="AK2823" s="21"/>
      <c r="AM2823" t="s">
        <v>53</v>
      </c>
    </row>
    <row r="2824" spans="34:39" x14ac:dyDescent="0.35">
      <c r="AH2824" s="21"/>
      <c r="AI2824" s="21"/>
      <c r="AJ2824" s="21"/>
      <c r="AK2824" s="21"/>
      <c r="AM2824" t="s">
        <v>53</v>
      </c>
    </row>
    <row r="2825" spans="34:39" x14ac:dyDescent="0.35">
      <c r="AH2825" s="21"/>
      <c r="AI2825" s="21"/>
      <c r="AJ2825" s="21"/>
      <c r="AK2825" s="21"/>
      <c r="AM2825" t="s">
        <v>53</v>
      </c>
    </row>
    <row r="2826" spans="34:39" x14ac:dyDescent="0.35">
      <c r="AH2826" s="21"/>
      <c r="AI2826" s="21"/>
      <c r="AJ2826" s="21"/>
      <c r="AK2826" s="21"/>
      <c r="AM2826" t="s">
        <v>53</v>
      </c>
    </row>
    <row r="2827" spans="34:39" x14ac:dyDescent="0.35">
      <c r="AH2827" s="21"/>
      <c r="AI2827" s="21"/>
      <c r="AJ2827" s="21"/>
      <c r="AK2827" s="21"/>
      <c r="AM2827" t="s">
        <v>53</v>
      </c>
    </row>
    <row r="2828" spans="34:39" x14ac:dyDescent="0.35">
      <c r="AH2828" s="21"/>
      <c r="AI2828" s="21"/>
      <c r="AJ2828" s="21"/>
      <c r="AK2828" s="21"/>
      <c r="AM2828" t="s">
        <v>53</v>
      </c>
    </row>
    <row r="2829" spans="34:39" x14ac:dyDescent="0.35">
      <c r="AH2829" s="21"/>
      <c r="AI2829" s="21"/>
      <c r="AJ2829" s="21"/>
      <c r="AK2829" s="21"/>
      <c r="AM2829" t="s">
        <v>53</v>
      </c>
    </row>
    <row r="2830" spans="34:39" x14ac:dyDescent="0.35">
      <c r="AH2830" s="21"/>
      <c r="AI2830" s="21"/>
      <c r="AJ2830" s="21"/>
      <c r="AK2830" s="21"/>
      <c r="AM2830" t="s">
        <v>53</v>
      </c>
    </row>
    <row r="2831" spans="34:39" x14ac:dyDescent="0.35">
      <c r="AH2831" s="21"/>
      <c r="AI2831" s="21"/>
      <c r="AJ2831" s="21"/>
      <c r="AK2831" s="21"/>
      <c r="AM2831" t="s">
        <v>53</v>
      </c>
    </row>
    <row r="2832" spans="34:39" x14ac:dyDescent="0.35">
      <c r="AH2832" s="21"/>
      <c r="AI2832" s="21"/>
      <c r="AJ2832" s="21"/>
      <c r="AK2832" s="21"/>
      <c r="AM2832" t="s">
        <v>53</v>
      </c>
    </row>
    <row r="2833" spans="34:39" x14ac:dyDescent="0.35">
      <c r="AH2833" s="21"/>
      <c r="AI2833" s="21"/>
      <c r="AJ2833" s="21"/>
      <c r="AK2833" s="21"/>
      <c r="AM2833" t="s">
        <v>53</v>
      </c>
    </row>
    <row r="2834" spans="34:39" x14ac:dyDescent="0.35">
      <c r="AH2834" s="21"/>
      <c r="AI2834" s="21"/>
      <c r="AJ2834" s="21"/>
      <c r="AK2834" s="21"/>
      <c r="AM2834" t="s">
        <v>53</v>
      </c>
    </row>
    <row r="2835" spans="34:39" x14ac:dyDescent="0.35">
      <c r="AH2835" s="21"/>
      <c r="AI2835" s="21"/>
      <c r="AJ2835" s="21"/>
      <c r="AK2835" s="21"/>
      <c r="AM2835" t="s">
        <v>53</v>
      </c>
    </row>
    <row r="2836" spans="34:39" x14ac:dyDescent="0.35">
      <c r="AH2836" s="21"/>
      <c r="AI2836" s="21"/>
      <c r="AJ2836" s="21"/>
      <c r="AK2836" s="21"/>
      <c r="AM2836" t="s">
        <v>53</v>
      </c>
    </row>
    <row r="2837" spans="34:39" x14ac:dyDescent="0.35">
      <c r="AH2837" s="21"/>
      <c r="AI2837" s="21"/>
      <c r="AJ2837" s="21"/>
      <c r="AK2837" s="21"/>
      <c r="AM2837" t="s">
        <v>53</v>
      </c>
    </row>
    <row r="2838" spans="34:39" x14ac:dyDescent="0.35">
      <c r="AH2838" s="21"/>
      <c r="AI2838" s="21"/>
      <c r="AJ2838" s="21"/>
      <c r="AK2838" s="21"/>
      <c r="AM2838" t="s">
        <v>53</v>
      </c>
    </row>
    <row r="2839" spans="34:39" x14ac:dyDescent="0.35">
      <c r="AH2839" s="21"/>
      <c r="AI2839" s="21"/>
      <c r="AJ2839" s="21"/>
      <c r="AK2839" s="21"/>
      <c r="AM2839" t="s">
        <v>53</v>
      </c>
    </row>
    <row r="2840" spans="34:39" x14ac:dyDescent="0.35">
      <c r="AH2840" s="21"/>
      <c r="AI2840" s="21"/>
      <c r="AJ2840" s="21"/>
      <c r="AK2840" s="21"/>
      <c r="AM2840" t="s">
        <v>53</v>
      </c>
    </row>
    <row r="2841" spans="34:39" x14ac:dyDescent="0.35">
      <c r="AH2841" s="21"/>
      <c r="AI2841" s="21"/>
      <c r="AJ2841" s="21"/>
      <c r="AK2841" s="21"/>
      <c r="AM2841" t="s">
        <v>53</v>
      </c>
    </row>
    <row r="2842" spans="34:39" x14ac:dyDescent="0.35">
      <c r="AH2842" s="21"/>
      <c r="AI2842" s="21"/>
      <c r="AJ2842" s="21"/>
      <c r="AK2842" s="21"/>
      <c r="AM2842" t="s">
        <v>53</v>
      </c>
    </row>
    <row r="2843" spans="34:39" x14ac:dyDescent="0.35">
      <c r="AH2843" s="21"/>
      <c r="AI2843" s="21"/>
      <c r="AJ2843" s="21"/>
      <c r="AK2843" s="21"/>
      <c r="AM2843" t="s">
        <v>53</v>
      </c>
    </row>
    <row r="2844" spans="34:39" x14ac:dyDescent="0.35">
      <c r="AH2844" s="21"/>
      <c r="AI2844" s="21"/>
      <c r="AJ2844" s="21"/>
      <c r="AK2844" s="21"/>
      <c r="AM2844" t="s">
        <v>53</v>
      </c>
    </row>
    <row r="2845" spans="34:39" x14ac:dyDescent="0.35">
      <c r="AH2845" s="21"/>
      <c r="AI2845" s="21"/>
      <c r="AJ2845" s="21"/>
      <c r="AK2845" s="21"/>
      <c r="AM2845" t="s">
        <v>53</v>
      </c>
    </row>
    <row r="2846" spans="34:39" x14ac:dyDescent="0.35">
      <c r="AH2846" s="21"/>
      <c r="AI2846" s="21"/>
      <c r="AJ2846" s="21"/>
      <c r="AK2846" s="21"/>
      <c r="AM2846" t="s">
        <v>53</v>
      </c>
    </row>
    <row r="2847" spans="34:39" x14ac:dyDescent="0.35">
      <c r="AH2847" s="21"/>
      <c r="AI2847" s="21"/>
      <c r="AJ2847" s="21"/>
      <c r="AK2847" s="21"/>
      <c r="AM2847" t="s">
        <v>53</v>
      </c>
    </row>
    <row r="2848" spans="34:39" x14ac:dyDescent="0.35">
      <c r="AH2848" s="21"/>
      <c r="AI2848" s="21"/>
      <c r="AJ2848" s="21"/>
      <c r="AK2848" s="21"/>
      <c r="AM2848" t="s">
        <v>53</v>
      </c>
    </row>
    <row r="2849" spans="34:39" x14ac:dyDescent="0.35">
      <c r="AH2849" s="21"/>
      <c r="AI2849" s="21"/>
      <c r="AJ2849" s="21"/>
      <c r="AK2849" s="21"/>
      <c r="AM2849" t="s">
        <v>53</v>
      </c>
    </row>
    <row r="2850" spans="34:39" x14ac:dyDescent="0.35">
      <c r="AH2850" s="21"/>
      <c r="AI2850" s="21"/>
      <c r="AJ2850" s="21"/>
      <c r="AK2850" s="21"/>
      <c r="AM2850" t="s">
        <v>53</v>
      </c>
    </row>
    <row r="2851" spans="34:39" x14ac:dyDescent="0.35">
      <c r="AH2851" s="21"/>
      <c r="AI2851" s="21"/>
      <c r="AJ2851" s="21"/>
      <c r="AK2851" s="21"/>
      <c r="AM2851" t="s">
        <v>53</v>
      </c>
    </row>
    <row r="2852" spans="34:39" x14ac:dyDescent="0.35">
      <c r="AH2852" s="21"/>
      <c r="AI2852" s="21"/>
      <c r="AJ2852" s="21"/>
      <c r="AK2852" s="21"/>
      <c r="AM2852" t="s">
        <v>53</v>
      </c>
    </row>
    <row r="2853" spans="34:39" x14ac:dyDescent="0.35">
      <c r="AH2853" s="21"/>
      <c r="AI2853" s="21"/>
      <c r="AJ2853" s="21"/>
      <c r="AK2853" s="21"/>
      <c r="AM2853" t="s">
        <v>53</v>
      </c>
    </row>
    <row r="2854" spans="34:39" x14ac:dyDescent="0.35">
      <c r="AH2854" s="21"/>
      <c r="AI2854" s="21"/>
      <c r="AJ2854" s="21"/>
      <c r="AK2854" s="21"/>
      <c r="AM2854" t="s">
        <v>53</v>
      </c>
    </row>
    <row r="2855" spans="34:39" x14ac:dyDescent="0.35">
      <c r="AH2855" s="21"/>
      <c r="AI2855" s="21"/>
      <c r="AJ2855" s="21"/>
      <c r="AK2855" s="21"/>
      <c r="AM2855" t="s">
        <v>53</v>
      </c>
    </row>
    <row r="2856" spans="34:39" x14ac:dyDescent="0.35">
      <c r="AH2856" s="21"/>
      <c r="AI2856" s="21"/>
      <c r="AJ2856" s="21"/>
      <c r="AK2856" s="21"/>
      <c r="AM2856" t="s">
        <v>53</v>
      </c>
    </row>
    <row r="2857" spans="34:39" x14ac:dyDescent="0.35">
      <c r="AH2857" s="21"/>
      <c r="AI2857" s="21"/>
      <c r="AJ2857" s="21"/>
      <c r="AK2857" s="21"/>
      <c r="AM2857" t="s">
        <v>53</v>
      </c>
    </row>
    <row r="2858" spans="34:39" x14ac:dyDescent="0.35">
      <c r="AH2858" s="21"/>
      <c r="AI2858" s="21"/>
      <c r="AJ2858" s="21"/>
      <c r="AK2858" s="21"/>
      <c r="AM2858" t="s">
        <v>53</v>
      </c>
    </row>
    <row r="2859" spans="34:39" x14ac:dyDescent="0.35">
      <c r="AH2859" s="21"/>
      <c r="AI2859" s="21"/>
      <c r="AJ2859" s="21"/>
      <c r="AK2859" s="21"/>
      <c r="AM2859" t="s">
        <v>53</v>
      </c>
    </row>
    <row r="2860" spans="34:39" x14ac:dyDescent="0.35">
      <c r="AH2860" s="21"/>
      <c r="AI2860" s="21"/>
      <c r="AJ2860" s="21"/>
      <c r="AK2860" s="21"/>
      <c r="AM2860" t="s">
        <v>53</v>
      </c>
    </row>
    <row r="2861" spans="34:39" x14ac:dyDescent="0.35">
      <c r="AH2861" s="21"/>
      <c r="AI2861" s="21"/>
      <c r="AJ2861" s="21"/>
      <c r="AK2861" s="21"/>
      <c r="AM2861" t="s">
        <v>53</v>
      </c>
    </row>
    <row r="2862" spans="34:39" x14ac:dyDescent="0.35">
      <c r="AH2862" s="21"/>
      <c r="AI2862" s="21"/>
      <c r="AJ2862" s="21"/>
      <c r="AK2862" s="21"/>
      <c r="AM2862" t="s">
        <v>53</v>
      </c>
    </row>
    <row r="2863" spans="34:39" x14ac:dyDescent="0.35">
      <c r="AH2863" s="21"/>
      <c r="AI2863" s="21"/>
      <c r="AJ2863" s="21"/>
      <c r="AK2863" s="21"/>
      <c r="AM2863" t="s">
        <v>53</v>
      </c>
    </row>
    <row r="2864" spans="34:39" x14ac:dyDescent="0.35">
      <c r="AH2864" s="21"/>
      <c r="AI2864" s="21"/>
      <c r="AJ2864" s="21"/>
      <c r="AK2864" s="21"/>
      <c r="AM2864" t="s">
        <v>53</v>
      </c>
    </row>
    <row r="2865" spans="34:39" x14ac:dyDescent="0.35">
      <c r="AH2865" s="21"/>
      <c r="AI2865" s="21"/>
      <c r="AJ2865" s="21"/>
      <c r="AK2865" s="21"/>
      <c r="AM2865" t="s">
        <v>53</v>
      </c>
    </row>
    <row r="2866" spans="34:39" x14ac:dyDescent="0.35">
      <c r="AH2866" s="21"/>
      <c r="AI2866" s="21"/>
      <c r="AJ2866" s="21"/>
      <c r="AK2866" s="21"/>
      <c r="AM2866" t="s">
        <v>53</v>
      </c>
    </row>
    <row r="2867" spans="34:39" x14ac:dyDescent="0.35">
      <c r="AH2867" s="21"/>
      <c r="AI2867" s="21"/>
      <c r="AJ2867" s="21"/>
      <c r="AK2867" s="21"/>
      <c r="AM2867" t="s">
        <v>53</v>
      </c>
    </row>
    <row r="2868" spans="34:39" x14ac:dyDescent="0.35">
      <c r="AH2868" s="21"/>
      <c r="AI2868" s="21"/>
      <c r="AJ2868" s="21"/>
      <c r="AK2868" s="21"/>
      <c r="AM2868" t="s">
        <v>53</v>
      </c>
    </row>
    <row r="2869" spans="34:39" x14ac:dyDescent="0.35">
      <c r="AH2869" s="21"/>
      <c r="AI2869" s="21"/>
      <c r="AJ2869" s="21"/>
      <c r="AK2869" s="21"/>
      <c r="AM2869" t="s">
        <v>53</v>
      </c>
    </row>
    <row r="2870" spans="34:39" x14ac:dyDescent="0.35">
      <c r="AH2870" s="21"/>
      <c r="AI2870" s="21"/>
      <c r="AJ2870" s="21"/>
      <c r="AK2870" s="21"/>
      <c r="AM2870" t="s">
        <v>53</v>
      </c>
    </row>
    <row r="2871" spans="34:39" x14ac:dyDescent="0.35">
      <c r="AH2871" s="21"/>
      <c r="AI2871" s="21"/>
      <c r="AJ2871" s="21"/>
      <c r="AK2871" s="21"/>
      <c r="AM2871" t="s">
        <v>53</v>
      </c>
    </row>
    <row r="2872" spans="34:39" x14ac:dyDescent="0.35">
      <c r="AH2872" s="21"/>
      <c r="AI2872" s="21"/>
      <c r="AJ2872" s="21"/>
      <c r="AK2872" s="21"/>
      <c r="AM2872" t="s">
        <v>53</v>
      </c>
    </row>
    <row r="2873" spans="34:39" x14ac:dyDescent="0.35">
      <c r="AH2873" s="21"/>
      <c r="AI2873" s="21"/>
      <c r="AJ2873" s="21"/>
      <c r="AK2873" s="21"/>
      <c r="AM2873" t="s">
        <v>53</v>
      </c>
    </row>
    <row r="2874" spans="34:39" x14ac:dyDescent="0.35">
      <c r="AH2874" s="21"/>
      <c r="AI2874" s="21"/>
      <c r="AJ2874" s="21"/>
      <c r="AK2874" s="21"/>
      <c r="AM2874" t="s">
        <v>53</v>
      </c>
    </row>
    <row r="2875" spans="34:39" x14ac:dyDescent="0.35">
      <c r="AH2875" s="21"/>
      <c r="AI2875" s="21"/>
      <c r="AJ2875" s="21"/>
      <c r="AK2875" s="21"/>
      <c r="AM2875" t="s">
        <v>53</v>
      </c>
    </row>
    <row r="2876" spans="34:39" x14ac:dyDescent="0.35">
      <c r="AH2876" s="21"/>
      <c r="AI2876" s="21"/>
      <c r="AJ2876" s="21"/>
      <c r="AK2876" s="21"/>
      <c r="AM2876" t="s">
        <v>53</v>
      </c>
    </row>
    <row r="2877" spans="34:39" x14ac:dyDescent="0.35">
      <c r="AH2877" s="21"/>
      <c r="AI2877" s="21"/>
      <c r="AJ2877" s="21"/>
      <c r="AK2877" s="21"/>
      <c r="AM2877" t="s">
        <v>53</v>
      </c>
    </row>
    <row r="2878" spans="34:39" x14ac:dyDescent="0.35">
      <c r="AH2878" s="21"/>
      <c r="AI2878" s="21"/>
      <c r="AJ2878" s="21"/>
      <c r="AK2878" s="21"/>
      <c r="AM2878" t="s">
        <v>53</v>
      </c>
    </row>
    <row r="2879" spans="34:39" x14ac:dyDescent="0.35">
      <c r="AH2879" s="21"/>
      <c r="AI2879" s="21"/>
      <c r="AJ2879" s="21"/>
      <c r="AK2879" s="21"/>
      <c r="AM2879" t="s">
        <v>53</v>
      </c>
    </row>
    <row r="2880" spans="34:39" x14ac:dyDescent="0.35">
      <c r="AH2880" s="21"/>
      <c r="AI2880" s="21"/>
      <c r="AJ2880" s="21"/>
      <c r="AK2880" s="21"/>
      <c r="AM2880" t="s">
        <v>53</v>
      </c>
    </row>
    <row r="2881" spans="34:39" x14ac:dyDescent="0.35">
      <c r="AH2881" s="21"/>
      <c r="AI2881" s="21"/>
      <c r="AJ2881" s="21"/>
      <c r="AK2881" s="21"/>
      <c r="AM2881" t="s">
        <v>53</v>
      </c>
    </row>
    <row r="2882" spans="34:39" x14ac:dyDescent="0.35">
      <c r="AH2882" s="21"/>
      <c r="AI2882" s="21"/>
      <c r="AJ2882" s="21"/>
      <c r="AK2882" s="21"/>
      <c r="AM2882" t="s">
        <v>53</v>
      </c>
    </row>
    <row r="2883" spans="34:39" x14ac:dyDescent="0.35">
      <c r="AH2883" s="21"/>
      <c r="AI2883" s="21"/>
      <c r="AJ2883" s="21"/>
      <c r="AK2883" s="21"/>
      <c r="AM2883" t="s">
        <v>53</v>
      </c>
    </row>
    <row r="2884" spans="34:39" x14ac:dyDescent="0.35">
      <c r="AH2884" s="21"/>
      <c r="AI2884" s="21"/>
      <c r="AJ2884" s="21"/>
      <c r="AK2884" s="21"/>
      <c r="AM2884" t="s">
        <v>53</v>
      </c>
    </row>
    <row r="2885" spans="34:39" x14ac:dyDescent="0.35">
      <c r="AH2885" s="21"/>
      <c r="AI2885" s="21"/>
      <c r="AJ2885" s="21"/>
      <c r="AK2885" s="21"/>
      <c r="AM2885" t="s">
        <v>53</v>
      </c>
    </row>
    <row r="2886" spans="34:39" x14ac:dyDescent="0.35">
      <c r="AH2886" s="21"/>
      <c r="AI2886" s="21"/>
      <c r="AJ2886" s="21"/>
      <c r="AK2886" s="21"/>
      <c r="AM2886" t="s">
        <v>53</v>
      </c>
    </row>
    <row r="2887" spans="34:39" x14ac:dyDescent="0.35">
      <c r="AH2887" s="21"/>
      <c r="AI2887" s="21"/>
      <c r="AJ2887" s="21"/>
      <c r="AK2887" s="21"/>
      <c r="AM2887" t="s">
        <v>53</v>
      </c>
    </row>
    <row r="2888" spans="34:39" x14ac:dyDescent="0.35">
      <c r="AH2888" s="21"/>
      <c r="AI2888" s="21"/>
      <c r="AJ2888" s="21"/>
      <c r="AK2888" s="21"/>
      <c r="AM2888" t="s">
        <v>53</v>
      </c>
    </row>
    <row r="2889" spans="34:39" x14ac:dyDescent="0.35">
      <c r="AH2889" s="21"/>
      <c r="AI2889" s="21"/>
      <c r="AJ2889" s="21"/>
      <c r="AK2889" s="21"/>
      <c r="AM2889" t="s">
        <v>53</v>
      </c>
    </row>
    <row r="2890" spans="34:39" x14ac:dyDescent="0.35">
      <c r="AH2890" s="21"/>
      <c r="AI2890" s="21"/>
      <c r="AJ2890" s="21"/>
      <c r="AK2890" s="21"/>
      <c r="AM2890" t="s">
        <v>53</v>
      </c>
    </row>
    <row r="2891" spans="34:39" x14ac:dyDescent="0.35">
      <c r="AH2891" s="21"/>
      <c r="AI2891" s="21"/>
      <c r="AJ2891" s="21"/>
      <c r="AK2891" s="21"/>
      <c r="AM2891" t="s">
        <v>53</v>
      </c>
    </row>
    <row r="2892" spans="34:39" x14ac:dyDescent="0.35">
      <c r="AH2892" s="21"/>
      <c r="AI2892" s="21"/>
      <c r="AJ2892" s="21"/>
      <c r="AK2892" s="21"/>
      <c r="AM2892" t="s">
        <v>53</v>
      </c>
    </row>
    <row r="2893" spans="34:39" x14ac:dyDescent="0.35">
      <c r="AH2893" s="21"/>
      <c r="AI2893" s="21"/>
      <c r="AJ2893" s="21"/>
      <c r="AK2893" s="21"/>
      <c r="AM2893" t="s">
        <v>53</v>
      </c>
    </row>
    <row r="2894" spans="34:39" x14ac:dyDescent="0.35">
      <c r="AH2894" s="21"/>
      <c r="AI2894" s="21"/>
      <c r="AJ2894" s="21"/>
      <c r="AK2894" s="21"/>
      <c r="AM2894" t="s">
        <v>53</v>
      </c>
    </row>
    <row r="2895" spans="34:39" x14ac:dyDescent="0.35">
      <c r="AH2895" s="21"/>
      <c r="AI2895" s="21"/>
      <c r="AJ2895" s="21"/>
      <c r="AK2895" s="21"/>
      <c r="AM2895" t="s">
        <v>53</v>
      </c>
    </row>
    <row r="2896" spans="34:39" x14ac:dyDescent="0.35">
      <c r="AH2896" s="21"/>
      <c r="AI2896" s="21"/>
      <c r="AJ2896" s="21"/>
      <c r="AK2896" s="21"/>
      <c r="AM2896" t="s">
        <v>53</v>
      </c>
    </row>
    <row r="2897" spans="34:39" x14ac:dyDescent="0.35">
      <c r="AH2897" s="21"/>
      <c r="AI2897" s="21"/>
      <c r="AJ2897" s="21"/>
      <c r="AK2897" s="21"/>
      <c r="AM2897" t="s">
        <v>53</v>
      </c>
    </row>
    <row r="2898" spans="34:39" x14ac:dyDescent="0.35">
      <c r="AH2898" s="21"/>
      <c r="AI2898" s="21"/>
      <c r="AJ2898" s="21"/>
      <c r="AK2898" s="21"/>
      <c r="AM2898" t="s">
        <v>53</v>
      </c>
    </row>
    <row r="2899" spans="34:39" x14ac:dyDescent="0.35">
      <c r="AH2899" s="21"/>
      <c r="AI2899" s="21"/>
      <c r="AJ2899" s="21"/>
      <c r="AK2899" s="21"/>
      <c r="AM2899" t="s">
        <v>53</v>
      </c>
    </row>
    <row r="2900" spans="34:39" x14ac:dyDescent="0.35">
      <c r="AH2900" s="21"/>
      <c r="AI2900" s="21"/>
      <c r="AJ2900" s="21"/>
      <c r="AK2900" s="21"/>
      <c r="AM2900" t="s">
        <v>53</v>
      </c>
    </row>
    <row r="2901" spans="34:39" x14ac:dyDescent="0.35">
      <c r="AH2901" s="21"/>
      <c r="AI2901" s="21"/>
      <c r="AJ2901" s="21"/>
      <c r="AK2901" s="21"/>
      <c r="AM2901" t="s">
        <v>53</v>
      </c>
    </row>
    <row r="2902" spans="34:39" x14ac:dyDescent="0.35">
      <c r="AH2902" s="21"/>
      <c r="AI2902" s="21"/>
      <c r="AJ2902" s="21"/>
      <c r="AK2902" s="21"/>
      <c r="AM2902" t="s">
        <v>53</v>
      </c>
    </row>
    <row r="2903" spans="34:39" x14ac:dyDescent="0.35">
      <c r="AH2903" s="21"/>
      <c r="AI2903" s="21"/>
      <c r="AJ2903" s="21"/>
      <c r="AK2903" s="21"/>
      <c r="AM2903" t="s">
        <v>53</v>
      </c>
    </row>
    <row r="2904" spans="34:39" x14ac:dyDescent="0.35">
      <c r="AH2904" s="21"/>
      <c r="AI2904" s="21"/>
      <c r="AJ2904" s="21"/>
      <c r="AK2904" s="21"/>
      <c r="AM2904" t="s">
        <v>53</v>
      </c>
    </row>
    <row r="2905" spans="34:39" x14ac:dyDescent="0.35">
      <c r="AH2905" s="21"/>
      <c r="AI2905" s="21"/>
      <c r="AJ2905" s="21"/>
      <c r="AK2905" s="21"/>
      <c r="AM2905" t="s">
        <v>53</v>
      </c>
    </row>
    <row r="2906" spans="34:39" x14ac:dyDescent="0.35">
      <c r="AH2906" s="21"/>
      <c r="AI2906" s="21"/>
      <c r="AJ2906" s="21"/>
      <c r="AK2906" s="21"/>
      <c r="AM2906" t="s">
        <v>53</v>
      </c>
    </row>
    <row r="2907" spans="34:39" x14ac:dyDescent="0.35">
      <c r="AH2907" s="21"/>
      <c r="AI2907" s="21"/>
      <c r="AJ2907" s="21"/>
      <c r="AK2907" s="21"/>
      <c r="AM2907" t="s">
        <v>53</v>
      </c>
    </row>
    <row r="2908" spans="34:39" x14ac:dyDescent="0.35">
      <c r="AH2908" s="21"/>
      <c r="AI2908" s="21"/>
      <c r="AJ2908" s="21"/>
      <c r="AK2908" s="21"/>
      <c r="AM2908" t="s">
        <v>53</v>
      </c>
    </row>
    <row r="2909" spans="34:39" x14ac:dyDescent="0.35">
      <c r="AH2909" s="21"/>
      <c r="AI2909" s="21"/>
      <c r="AJ2909" s="21"/>
      <c r="AK2909" s="21"/>
      <c r="AM2909" t="s">
        <v>53</v>
      </c>
    </row>
    <row r="2910" spans="34:39" x14ac:dyDescent="0.35">
      <c r="AH2910" s="21"/>
      <c r="AI2910" s="21"/>
      <c r="AJ2910" s="21"/>
      <c r="AK2910" s="21"/>
      <c r="AM2910" t="s">
        <v>53</v>
      </c>
    </row>
    <row r="2911" spans="34:39" x14ac:dyDescent="0.35">
      <c r="AH2911" s="21"/>
      <c r="AI2911" s="21"/>
      <c r="AJ2911" s="21"/>
      <c r="AK2911" s="21"/>
      <c r="AM2911" t="s">
        <v>53</v>
      </c>
    </row>
    <row r="2912" spans="34:39" x14ac:dyDescent="0.35">
      <c r="AH2912" s="21"/>
      <c r="AI2912" s="21"/>
      <c r="AJ2912" s="21"/>
      <c r="AK2912" s="21"/>
      <c r="AM2912" t="s">
        <v>53</v>
      </c>
    </row>
    <row r="2913" spans="34:39" x14ac:dyDescent="0.35">
      <c r="AH2913" s="21"/>
      <c r="AI2913" s="21"/>
      <c r="AJ2913" s="21"/>
      <c r="AK2913" s="21"/>
      <c r="AM2913" t="s">
        <v>53</v>
      </c>
    </row>
    <row r="2914" spans="34:39" x14ac:dyDescent="0.35">
      <c r="AH2914" s="21"/>
      <c r="AI2914" s="21"/>
      <c r="AJ2914" s="21"/>
      <c r="AK2914" s="21"/>
      <c r="AM2914" t="s">
        <v>53</v>
      </c>
    </row>
    <row r="2915" spans="34:39" x14ac:dyDescent="0.35">
      <c r="AH2915" s="21"/>
      <c r="AI2915" s="21"/>
      <c r="AJ2915" s="21"/>
      <c r="AK2915" s="21"/>
      <c r="AM2915" t="s">
        <v>53</v>
      </c>
    </row>
    <row r="2916" spans="34:39" x14ac:dyDescent="0.35">
      <c r="AH2916" s="21"/>
      <c r="AI2916" s="21"/>
      <c r="AJ2916" s="21"/>
      <c r="AK2916" s="21"/>
      <c r="AM2916" t="s">
        <v>53</v>
      </c>
    </row>
    <row r="2917" spans="34:39" x14ac:dyDescent="0.35">
      <c r="AH2917" s="21"/>
      <c r="AI2917" s="21"/>
      <c r="AJ2917" s="21"/>
      <c r="AK2917" s="21"/>
      <c r="AM2917" t="s">
        <v>53</v>
      </c>
    </row>
    <row r="2918" spans="34:39" x14ac:dyDescent="0.35">
      <c r="AH2918" s="21"/>
      <c r="AI2918" s="21"/>
      <c r="AJ2918" s="21"/>
      <c r="AK2918" s="21"/>
      <c r="AM2918" t="s">
        <v>53</v>
      </c>
    </row>
    <row r="2919" spans="34:39" x14ac:dyDescent="0.35">
      <c r="AH2919" s="21"/>
      <c r="AI2919" s="21"/>
      <c r="AJ2919" s="21"/>
      <c r="AK2919" s="21"/>
      <c r="AM2919" t="s">
        <v>53</v>
      </c>
    </row>
    <row r="2920" spans="34:39" x14ac:dyDescent="0.35">
      <c r="AH2920" s="21"/>
      <c r="AI2920" s="21"/>
      <c r="AJ2920" s="21"/>
      <c r="AK2920" s="21"/>
      <c r="AM2920" t="s">
        <v>53</v>
      </c>
    </row>
    <row r="2921" spans="34:39" x14ac:dyDescent="0.35">
      <c r="AH2921" s="21"/>
      <c r="AI2921" s="21"/>
      <c r="AJ2921" s="21"/>
      <c r="AK2921" s="21"/>
      <c r="AM2921" t="s">
        <v>53</v>
      </c>
    </row>
    <row r="2922" spans="34:39" x14ac:dyDescent="0.35">
      <c r="AH2922" s="21"/>
      <c r="AI2922" s="21"/>
      <c r="AJ2922" s="21"/>
      <c r="AK2922" s="21"/>
      <c r="AM2922" t="s">
        <v>53</v>
      </c>
    </row>
    <row r="2923" spans="34:39" x14ac:dyDescent="0.35">
      <c r="AH2923" s="21"/>
      <c r="AI2923" s="21"/>
      <c r="AJ2923" s="21"/>
      <c r="AK2923" s="21"/>
      <c r="AM2923" t="s">
        <v>53</v>
      </c>
    </row>
    <row r="2924" spans="34:39" x14ac:dyDescent="0.35">
      <c r="AH2924" s="21"/>
      <c r="AI2924" s="21"/>
      <c r="AJ2924" s="21"/>
      <c r="AK2924" s="21"/>
      <c r="AM2924" t="s">
        <v>53</v>
      </c>
    </row>
    <row r="2925" spans="34:39" x14ac:dyDescent="0.35">
      <c r="AH2925" s="21"/>
      <c r="AI2925" s="21"/>
      <c r="AJ2925" s="21"/>
      <c r="AK2925" s="21"/>
      <c r="AM2925" t="s">
        <v>53</v>
      </c>
    </row>
    <row r="2926" spans="34:39" x14ac:dyDescent="0.35">
      <c r="AH2926" s="21"/>
      <c r="AI2926" s="21"/>
      <c r="AJ2926" s="21"/>
      <c r="AK2926" s="21"/>
      <c r="AM2926" t="s">
        <v>53</v>
      </c>
    </row>
    <row r="2927" spans="34:39" x14ac:dyDescent="0.35">
      <c r="AH2927" s="21"/>
      <c r="AI2927" s="21"/>
      <c r="AJ2927" s="21"/>
      <c r="AK2927" s="21"/>
      <c r="AM2927" t="s">
        <v>53</v>
      </c>
    </row>
    <row r="2928" spans="34:39" x14ac:dyDescent="0.35">
      <c r="AH2928" s="21"/>
      <c r="AI2928" s="21"/>
      <c r="AJ2928" s="21"/>
      <c r="AK2928" s="21"/>
      <c r="AM2928" t="s">
        <v>53</v>
      </c>
    </row>
    <row r="2929" spans="34:39" x14ac:dyDescent="0.35">
      <c r="AH2929" s="21"/>
      <c r="AI2929" s="21"/>
      <c r="AJ2929" s="21"/>
      <c r="AK2929" s="21"/>
      <c r="AM2929" t="s">
        <v>53</v>
      </c>
    </row>
    <row r="2930" spans="34:39" x14ac:dyDescent="0.35">
      <c r="AH2930" s="21"/>
      <c r="AI2930" s="21"/>
      <c r="AJ2930" s="21"/>
      <c r="AK2930" s="21"/>
      <c r="AM2930" t="s">
        <v>53</v>
      </c>
    </row>
    <row r="2931" spans="34:39" x14ac:dyDescent="0.35">
      <c r="AH2931" s="21"/>
      <c r="AI2931" s="21"/>
      <c r="AJ2931" s="21"/>
      <c r="AK2931" s="21"/>
      <c r="AM2931" t="s">
        <v>53</v>
      </c>
    </row>
    <row r="2932" spans="34:39" x14ac:dyDescent="0.35">
      <c r="AH2932" s="21"/>
      <c r="AI2932" s="21"/>
      <c r="AJ2932" s="21"/>
      <c r="AK2932" s="21"/>
      <c r="AM2932" t="s">
        <v>53</v>
      </c>
    </row>
    <row r="2933" spans="34:39" x14ac:dyDescent="0.35">
      <c r="AH2933" s="21"/>
      <c r="AI2933" s="21"/>
      <c r="AJ2933" s="21"/>
      <c r="AK2933" s="21"/>
      <c r="AM2933" t="s">
        <v>53</v>
      </c>
    </row>
    <row r="2934" spans="34:39" x14ac:dyDescent="0.35">
      <c r="AH2934" s="21"/>
      <c r="AI2934" s="21"/>
      <c r="AJ2934" s="21"/>
      <c r="AK2934" s="21"/>
      <c r="AM2934" t="s">
        <v>53</v>
      </c>
    </row>
    <row r="2935" spans="34:39" x14ac:dyDescent="0.35">
      <c r="AH2935" s="21"/>
      <c r="AI2935" s="21"/>
      <c r="AJ2935" s="21"/>
      <c r="AK2935" s="21"/>
      <c r="AM2935" t="s">
        <v>53</v>
      </c>
    </row>
    <row r="2936" spans="34:39" x14ac:dyDescent="0.35">
      <c r="AH2936" s="21"/>
      <c r="AI2936" s="21"/>
      <c r="AJ2936" s="21"/>
      <c r="AK2936" s="21"/>
      <c r="AM2936" t="s">
        <v>53</v>
      </c>
    </row>
    <row r="2937" spans="34:39" x14ac:dyDescent="0.35">
      <c r="AH2937" s="21"/>
      <c r="AI2937" s="21"/>
      <c r="AJ2937" s="21"/>
      <c r="AK2937" s="21"/>
      <c r="AM2937" t="s">
        <v>53</v>
      </c>
    </row>
    <row r="2938" spans="34:39" x14ac:dyDescent="0.35">
      <c r="AH2938" s="21"/>
      <c r="AI2938" s="21"/>
      <c r="AJ2938" s="21"/>
      <c r="AK2938" s="21"/>
      <c r="AM2938" t="s">
        <v>53</v>
      </c>
    </row>
    <row r="2939" spans="34:39" x14ac:dyDescent="0.35">
      <c r="AH2939" s="21"/>
      <c r="AI2939" s="21"/>
      <c r="AJ2939" s="21"/>
      <c r="AK2939" s="21"/>
      <c r="AM2939" t="s">
        <v>53</v>
      </c>
    </row>
    <row r="2940" spans="34:39" x14ac:dyDescent="0.35">
      <c r="AH2940" s="21"/>
      <c r="AI2940" s="21"/>
      <c r="AJ2940" s="21"/>
      <c r="AK2940" s="21"/>
      <c r="AM2940" t="s">
        <v>53</v>
      </c>
    </row>
    <row r="2941" spans="34:39" x14ac:dyDescent="0.35">
      <c r="AH2941" s="21"/>
      <c r="AI2941" s="21"/>
      <c r="AJ2941" s="21"/>
      <c r="AK2941" s="21"/>
      <c r="AM2941" t="s">
        <v>53</v>
      </c>
    </row>
    <row r="2942" spans="34:39" x14ac:dyDescent="0.35">
      <c r="AH2942" s="21"/>
      <c r="AI2942" s="21"/>
      <c r="AJ2942" s="21"/>
      <c r="AK2942" s="21"/>
      <c r="AM2942" t="s">
        <v>53</v>
      </c>
    </row>
    <row r="2943" spans="34:39" x14ac:dyDescent="0.35">
      <c r="AH2943" s="21"/>
      <c r="AI2943" s="21"/>
      <c r="AJ2943" s="21"/>
      <c r="AK2943" s="21"/>
      <c r="AM2943" t="s">
        <v>53</v>
      </c>
    </row>
    <row r="2944" spans="34:39" x14ac:dyDescent="0.35">
      <c r="AH2944" s="21"/>
      <c r="AI2944" s="21"/>
      <c r="AJ2944" s="21"/>
      <c r="AK2944" s="21"/>
      <c r="AM2944" t="s">
        <v>53</v>
      </c>
    </row>
    <row r="2945" spans="34:39" x14ac:dyDescent="0.35">
      <c r="AH2945" s="21"/>
      <c r="AI2945" s="21"/>
      <c r="AJ2945" s="21"/>
      <c r="AK2945" s="21"/>
      <c r="AM2945" t="s">
        <v>53</v>
      </c>
    </row>
    <row r="2946" spans="34:39" x14ac:dyDescent="0.35">
      <c r="AH2946" s="21"/>
      <c r="AI2946" s="21"/>
      <c r="AJ2946" s="21"/>
      <c r="AK2946" s="21"/>
      <c r="AM2946" t="s">
        <v>53</v>
      </c>
    </row>
    <row r="2947" spans="34:39" x14ac:dyDescent="0.35">
      <c r="AH2947" s="21"/>
      <c r="AI2947" s="21"/>
      <c r="AJ2947" s="21"/>
      <c r="AK2947" s="21"/>
      <c r="AM2947" t="s">
        <v>53</v>
      </c>
    </row>
    <row r="2948" spans="34:39" x14ac:dyDescent="0.35">
      <c r="AH2948" s="21"/>
      <c r="AI2948" s="21"/>
      <c r="AJ2948" s="21"/>
      <c r="AK2948" s="21"/>
      <c r="AM2948" t="s">
        <v>53</v>
      </c>
    </row>
    <row r="2949" spans="34:39" x14ac:dyDescent="0.35">
      <c r="AH2949" s="21"/>
      <c r="AI2949" s="21"/>
      <c r="AJ2949" s="21"/>
      <c r="AK2949" s="21"/>
      <c r="AM2949" t="s">
        <v>53</v>
      </c>
    </row>
    <row r="2950" spans="34:39" x14ac:dyDescent="0.35">
      <c r="AH2950" s="21"/>
      <c r="AI2950" s="21"/>
      <c r="AJ2950" s="21"/>
      <c r="AK2950" s="21"/>
      <c r="AM2950" t="s">
        <v>53</v>
      </c>
    </row>
    <row r="2951" spans="34:39" x14ac:dyDescent="0.35">
      <c r="AH2951" s="21"/>
      <c r="AI2951" s="21"/>
      <c r="AJ2951" s="21"/>
      <c r="AK2951" s="21"/>
      <c r="AM2951" t="s">
        <v>53</v>
      </c>
    </row>
    <row r="2952" spans="34:39" x14ac:dyDescent="0.35">
      <c r="AH2952" s="21"/>
      <c r="AI2952" s="21"/>
      <c r="AJ2952" s="21"/>
      <c r="AK2952" s="21"/>
      <c r="AM2952" t="s">
        <v>53</v>
      </c>
    </row>
    <row r="2953" spans="34:39" x14ac:dyDescent="0.35">
      <c r="AH2953" s="21"/>
      <c r="AI2953" s="21"/>
      <c r="AJ2953" s="21"/>
      <c r="AK2953" s="21"/>
      <c r="AM2953" t="s">
        <v>53</v>
      </c>
    </row>
    <row r="2954" spans="34:39" x14ac:dyDescent="0.35">
      <c r="AH2954" s="21"/>
      <c r="AI2954" s="21"/>
      <c r="AJ2954" s="21"/>
      <c r="AK2954" s="21"/>
      <c r="AM2954" t="s">
        <v>53</v>
      </c>
    </row>
    <row r="2955" spans="34:39" x14ac:dyDescent="0.35">
      <c r="AH2955" s="21"/>
      <c r="AI2955" s="21"/>
      <c r="AJ2955" s="21"/>
      <c r="AK2955" s="21"/>
      <c r="AM2955" s="26" t="s">
        <v>38</v>
      </c>
    </row>
    <row r="2956" spans="34:39" x14ac:dyDescent="0.35">
      <c r="AH2956" s="21"/>
      <c r="AI2956" s="21"/>
      <c r="AJ2956" s="21"/>
      <c r="AK2956" s="21"/>
      <c r="AM2956" s="26" t="s">
        <v>38</v>
      </c>
    </row>
    <row r="2957" spans="34:39" x14ac:dyDescent="0.35">
      <c r="AH2957" s="21"/>
      <c r="AI2957" s="21"/>
      <c r="AJ2957" s="21"/>
      <c r="AK2957" s="21"/>
      <c r="AM2957" s="26" t="s">
        <v>38</v>
      </c>
    </row>
    <row r="2958" spans="34:39" x14ac:dyDescent="0.35">
      <c r="AH2958" s="21"/>
      <c r="AI2958" s="21"/>
      <c r="AJ2958" s="21"/>
      <c r="AK2958" s="21"/>
      <c r="AM2958" s="26" t="s">
        <v>38</v>
      </c>
    </row>
    <row r="2959" spans="34:39" x14ac:dyDescent="0.35">
      <c r="AH2959" s="21"/>
      <c r="AI2959" s="21"/>
      <c r="AJ2959" s="21"/>
      <c r="AK2959" s="21"/>
      <c r="AM2959" s="26" t="s">
        <v>38</v>
      </c>
    </row>
    <row r="2960" spans="34:39" x14ac:dyDescent="0.35">
      <c r="AH2960" s="21"/>
      <c r="AI2960" s="21"/>
      <c r="AJ2960" s="21"/>
      <c r="AK2960" s="21"/>
      <c r="AM2960" s="26" t="s">
        <v>38</v>
      </c>
    </row>
    <row r="2961" spans="34:39" x14ac:dyDescent="0.35">
      <c r="AH2961" s="21"/>
      <c r="AI2961" s="21"/>
      <c r="AJ2961" s="21"/>
      <c r="AK2961" s="21"/>
      <c r="AM2961" s="26" t="s">
        <v>38</v>
      </c>
    </row>
    <row r="2962" spans="34:39" x14ac:dyDescent="0.35">
      <c r="AH2962" s="21"/>
      <c r="AI2962" s="21"/>
      <c r="AJ2962" s="21"/>
      <c r="AK2962" s="21"/>
      <c r="AM2962" s="26" t="s">
        <v>38</v>
      </c>
    </row>
    <row r="2963" spans="34:39" x14ac:dyDescent="0.35">
      <c r="AH2963" s="21"/>
      <c r="AI2963" s="21"/>
      <c r="AJ2963" s="21"/>
      <c r="AK2963" s="21"/>
      <c r="AM2963" s="26" t="s">
        <v>38</v>
      </c>
    </row>
    <row r="2964" spans="34:39" x14ac:dyDescent="0.35">
      <c r="AH2964" s="21"/>
      <c r="AI2964" s="21"/>
      <c r="AJ2964" s="21"/>
      <c r="AK2964" s="21"/>
      <c r="AM2964" s="26" t="s">
        <v>38</v>
      </c>
    </row>
    <row r="2965" spans="34:39" x14ac:dyDescent="0.35">
      <c r="AH2965" s="21"/>
      <c r="AI2965" s="21"/>
      <c r="AJ2965" s="21"/>
      <c r="AK2965" s="21"/>
      <c r="AM2965" s="26" t="s">
        <v>38</v>
      </c>
    </row>
    <row r="2966" spans="34:39" x14ac:dyDescent="0.35">
      <c r="AH2966" s="21"/>
      <c r="AI2966" s="21"/>
      <c r="AJ2966" s="21"/>
      <c r="AK2966" s="21"/>
      <c r="AM2966" s="26" t="s">
        <v>38</v>
      </c>
    </row>
    <row r="2967" spans="34:39" x14ac:dyDescent="0.35">
      <c r="AH2967" s="21"/>
      <c r="AI2967" s="21"/>
      <c r="AJ2967" s="21"/>
      <c r="AK2967" s="21"/>
      <c r="AM2967" s="26" t="s">
        <v>38</v>
      </c>
    </row>
    <row r="2968" spans="34:39" x14ac:dyDescent="0.35">
      <c r="AH2968" s="21"/>
      <c r="AI2968" s="21"/>
      <c r="AJ2968" s="21"/>
      <c r="AK2968" s="21"/>
      <c r="AM2968" s="26" t="s">
        <v>38</v>
      </c>
    </row>
    <row r="2969" spans="34:39" x14ac:dyDescent="0.35">
      <c r="AH2969" s="21"/>
      <c r="AI2969" s="21"/>
      <c r="AJ2969" s="21"/>
      <c r="AK2969" s="21"/>
      <c r="AM2969" s="26" t="s">
        <v>38</v>
      </c>
    </row>
    <row r="2970" spans="34:39" x14ac:dyDescent="0.35">
      <c r="AH2970" s="21"/>
      <c r="AI2970" s="21"/>
      <c r="AJ2970" s="21"/>
      <c r="AK2970" s="21"/>
      <c r="AM2970" s="26" t="s">
        <v>38</v>
      </c>
    </row>
    <row r="2971" spans="34:39" x14ac:dyDescent="0.35">
      <c r="AH2971" s="21"/>
      <c r="AI2971" s="21"/>
      <c r="AJ2971" s="21"/>
      <c r="AK2971" s="21"/>
      <c r="AM2971" s="26" t="s">
        <v>38</v>
      </c>
    </row>
    <row r="2972" spans="34:39" x14ac:dyDescent="0.35">
      <c r="AH2972" s="21"/>
      <c r="AI2972" s="21"/>
      <c r="AJ2972" s="21"/>
      <c r="AK2972" s="21"/>
      <c r="AM2972" s="26" t="s">
        <v>38</v>
      </c>
    </row>
    <row r="2973" spans="34:39" x14ac:dyDescent="0.35">
      <c r="AH2973" s="21"/>
      <c r="AI2973" s="21"/>
      <c r="AJ2973" s="21"/>
      <c r="AK2973" s="21"/>
      <c r="AM2973" s="26" t="s">
        <v>38</v>
      </c>
    </row>
    <row r="2974" spans="34:39" x14ac:dyDescent="0.35">
      <c r="AH2974" s="21"/>
      <c r="AI2974" s="21"/>
      <c r="AJ2974" s="21"/>
      <c r="AK2974" s="21"/>
      <c r="AM2974" s="26" t="s">
        <v>38</v>
      </c>
    </row>
    <row r="2975" spans="34:39" x14ac:dyDescent="0.35">
      <c r="AH2975" s="21"/>
      <c r="AI2975" s="21"/>
      <c r="AJ2975" s="21"/>
      <c r="AK2975" s="21"/>
      <c r="AM2975" s="26" t="s">
        <v>38</v>
      </c>
    </row>
    <row r="2976" spans="34:39" x14ac:dyDescent="0.35">
      <c r="AH2976" s="21"/>
      <c r="AI2976" s="21"/>
      <c r="AJ2976" s="21"/>
      <c r="AK2976" s="21"/>
      <c r="AM2976" s="26" t="s">
        <v>38</v>
      </c>
    </row>
    <row r="2977" spans="34:39" x14ac:dyDescent="0.35">
      <c r="AH2977" s="21"/>
      <c r="AI2977" s="21"/>
      <c r="AJ2977" s="21"/>
      <c r="AK2977" s="21"/>
      <c r="AM2977" s="26" t="s">
        <v>38</v>
      </c>
    </row>
    <row r="2978" spans="34:39" x14ac:dyDescent="0.35">
      <c r="AH2978" s="21"/>
      <c r="AI2978" s="21"/>
      <c r="AJ2978" s="21"/>
      <c r="AK2978" s="21"/>
      <c r="AM2978" s="26" t="s">
        <v>38</v>
      </c>
    </row>
    <row r="2979" spans="34:39" x14ac:dyDescent="0.35">
      <c r="AH2979" s="21"/>
      <c r="AI2979" s="21"/>
      <c r="AJ2979" s="21"/>
      <c r="AK2979" s="21"/>
      <c r="AM2979" s="26" t="s">
        <v>38</v>
      </c>
    </row>
    <row r="2980" spans="34:39" x14ac:dyDescent="0.35">
      <c r="AH2980" s="21"/>
      <c r="AI2980" s="21"/>
      <c r="AJ2980" s="21"/>
      <c r="AK2980" s="21"/>
      <c r="AM2980" s="26" t="s">
        <v>38</v>
      </c>
    </row>
    <row r="2981" spans="34:39" x14ac:dyDescent="0.35">
      <c r="AH2981" s="21"/>
      <c r="AI2981" s="21"/>
      <c r="AJ2981" s="21"/>
      <c r="AK2981" s="21"/>
      <c r="AM2981" s="26" t="s">
        <v>38</v>
      </c>
    </row>
    <row r="2982" spans="34:39" x14ac:dyDescent="0.35">
      <c r="AH2982" s="21"/>
      <c r="AI2982" s="21"/>
      <c r="AJ2982" s="21"/>
      <c r="AK2982" s="21"/>
      <c r="AM2982" s="26" t="s">
        <v>38</v>
      </c>
    </row>
    <row r="2983" spans="34:39" x14ac:dyDescent="0.35">
      <c r="AH2983" s="21"/>
      <c r="AI2983" s="21"/>
      <c r="AJ2983" s="21"/>
      <c r="AK2983" s="21"/>
      <c r="AM2983" s="26" t="s">
        <v>38</v>
      </c>
    </row>
    <row r="2984" spans="34:39" x14ac:dyDescent="0.35">
      <c r="AH2984" s="21"/>
      <c r="AI2984" s="21"/>
      <c r="AJ2984" s="21"/>
      <c r="AK2984" s="21"/>
      <c r="AM2984" s="26" t="s">
        <v>38</v>
      </c>
    </row>
    <row r="2985" spans="34:39" x14ac:dyDescent="0.35">
      <c r="AH2985" s="21"/>
      <c r="AI2985" s="21"/>
      <c r="AJ2985" s="21"/>
      <c r="AK2985" s="21"/>
      <c r="AM2985" s="26" t="s">
        <v>38</v>
      </c>
    </row>
    <row r="2986" spans="34:39" x14ac:dyDescent="0.35">
      <c r="AH2986" s="21"/>
      <c r="AI2986" s="21"/>
      <c r="AJ2986" s="21"/>
      <c r="AK2986" s="21"/>
      <c r="AM2986" s="26" t="s">
        <v>38</v>
      </c>
    </row>
    <row r="2987" spans="34:39" x14ac:dyDescent="0.35">
      <c r="AH2987" s="21"/>
      <c r="AI2987" s="21"/>
      <c r="AJ2987" s="21"/>
      <c r="AK2987" s="21"/>
      <c r="AM2987" s="26" t="s">
        <v>38</v>
      </c>
    </row>
    <row r="2988" spans="34:39" x14ac:dyDescent="0.35">
      <c r="AH2988" s="21"/>
      <c r="AI2988" s="21"/>
      <c r="AJ2988" s="21"/>
      <c r="AK2988" s="21"/>
      <c r="AM2988" s="26" t="s">
        <v>38</v>
      </c>
    </row>
    <row r="2989" spans="34:39" x14ac:dyDescent="0.35">
      <c r="AH2989" s="21"/>
      <c r="AI2989" s="21"/>
      <c r="AJ2989" s="21"/>
      <c r="AK2989" s="21"/>
      <c r="AM2989" s="26" t="s">
        <v>38</v>
      </c>
    </row>
    <row r="2990" spans="34:39" x14ac:dyDescent="0.35">
      <c r="AH2990" s="21"/>
      <c r="AI2990" s="21"/>
      <c r="AJ2990" s="21"/>
      <c r="AK2990" s="21"/>
      <c r="AM2990" s="26" t="s">
        <v>38</v>
      </c>
    </row>
    <row r="2991" spans="34:39" x14ac:dyDescent="0.35">
      <c r="AH2991" s="21"/>
      <c r="AI2991" s="21"/>
      <c r="AJ2991" s="21"/>
      <c r="AK2991" s="21"/>
      <c r="AM2991" s="26" t="s">
        <v>38</v>
      </c>
    </row>
    <row r="2992" spans="34:39" x14ac:dyDescent="0.35">
      <c r="AH2992" s="21"/>
      <c r="AI2992" s="21"/>
      <c r="AJ2992" s="21"/>
      <c r="AK2992" s="21"/>
      <c r="AM2992" s="26" t="s">
        <v>38</v>
      </c>
    </row>
    <row r="2993" spans="34:39" x14ac:dyDescent="0.35">
      <c r="AH2993" s="21"/>
      <c r="AI2993" s="21"/>
      <c r="AJ2993" s="21"/>
      <c r="AK2993" s="21"/>
      <c r="AM2993" s="26" t="s">
        <v>38</v>
      </c>
    </row>
    <row r="2994" spans="34:39" x14ac:dyDescent="0.35">
      <c r="AH2994" s="21"/>
      <c r="AI2994" s="21"/>
      <c r="AJ2994" s="21"/>
      <c r="AK2994" s="21"/>
      <c r="AM2994" s="26" t="s">
        <v>38</v>
      </c>
    </row>
    <row r="2995" spans="34:39" x14ac:dyDescent="0.35">
      <c r="AH2995" s="21"/>
      <c r="AI2995" s="21"/>
      <c r="AJ2995" s="21"/>
      <c r="AK2995" s="21"/>
      <c r="AM2995" s="26" t="s">
        <v>38</v>
      </c>
    </row>
    <row r="2996" spans="34:39" x14ac:dyDescent="0.35">
      <c r="AH2996" s="21"/>
      <c r="AI2996" s="21"/>
      <c r="AJ2996" s="21"/>
      <c r="AK2996" s="21"/>
      <c r="AM2996" s="26" t="s">
        <v>38</v>
      </c>
    </row>
    <row r="2997" spans="34:39" x14ac:dyDescent="0.35">
      <c r="AH2997" s="21"/>
      <c r="AI2997" s="21"/>
      <c r="AJ2997" s="21"/>
      <c r="AK2997" s="21"/>
      <c r="AM2997" s="26" t="s">
        <v>38</v>
      </c>
    </row>
    <row r="2998" spans="34:39" x14ac:dyDescent="0.35">
      <c r="AH2998" s="21"/>
      <c r="AI2998" s="21"/>
      <c r="AJ2998" s="21"/>
      <c r="AK2998" s="21"/>
      <c r="AM2998" s="26" t="s">
        <v>38</v>
      </c>
    </row>
    <row r="2999" spans="34:39" x14ac:dyDescent="0.35">
      <c r="AH2999" s="21"/>
      <c r="AI2999" s="21"/>
      <c r="AJ2999" s="21"/>
      <c r="AK2999" s="21"/>
      <c r="AM2999" s="26" t="s">
        <v>38</v>
      </c>
    </row>
    <row r="3000" spans="34:39" x14ac:dyDescent="0.35">
      <c r="AH3000" s="21"/>
      <c r="AI3000" s="21"/>
      <c r="AJ3000" s="21"/>
      <c r="AK3000" s="21"/>
      <c r="AM3000" s="26" t="s">
        <v>38</v>
      </c>
    </row>
    <row r="3001" spans="34:39" x14ac:dyDescent="0.35">
      <c r="AH3001" s="21"/>
      <c r="AI3001" s="21"/>
      <c r="AJ3001" s="21"/>
      <c r="AK3001" s="21"/>
      <c r="AM3001" s="26" t="s">
        <v>38</v>
      </c>
    </row>
    <row r="3002" spans="34:39" x14ac:dyDescent="0.35">
      <c r="AH3002" s="21"/>
      <c r="AI3002" s="21"/>
      <c r="AJ3002" s="21"/>
      <c r="AK3002" s="21"/>
      <c r="AM3002" s="26" t="s">
        <v>38</v>
      </c>
    </row>
    <row r="3003" spans="34:39" x14ac:dyDescent="0.35">
      <c r="AH3003" s="21"/>
      <c r="AI3003" s="21"/>
      <c r="AJ3003" s="21"/>
      <c r="AK3003" s="21"/>
      <c r="AM3003" s="26" t="s">
        <v>38</v>
      </c>
    </row>
    <row r="3004" spans="34:39" x14ac:dyDescent="0.35">
      <c r="AH3004" s="21"/>
      <c r="AI3004" s="21"/>
      <c r="AJ3004" s="21"/>
      <c r="AK3004" s="21"/>
      <c r="AM3004" s="26" t="s">
        <v>38</v>
      </c>
    </row>
    <row r="3005" spans="34:39" x14ac:dyDescent="0.35">
      <c r="AH3005" s="21"/>
      <c r="AI3005" s="21"/>
      <c r="AJ3005" s="21"/>
      <c r="AK3005" s="21"/>
      <c r="AM3005" s="26" t="s">
        <v>38</v>
      </c>
    </row>
    <row r="3006" spans="34:39" x14ac:dyDescent="0.35">
      <c r="AH3006" s="21"/>
      <c r="AI3006" s="21"/>
      <c r="AJ3006" s="21"/>
      <c r="AK3006" s="21"/>
      <c r="AM3006" s="26" t="s">
        <v>38</v>
      </c>
    </row>
    <row r="3007" spans="34:39" x14ac:dyDescent="0.35">
      <c r="AH3007" s="21"/>
      <c r="AI3007" s="21"/>
      <c r="AJ3007" s="21"/>
      <c r="AK3007" s="21"/>
      <c r="AM3007" s="26" t="s">
        <v>38</v>
      </c>
    </row>
    <row r="3008" spans="34:39" x14ac:dyDescent="0.35">
      <c r="AH3008" s="21"/>
      <c r="AI3008" s="21"/>
      <c r="AJ3008" s="21"/>
      <c r="AK3008" s="21"/>
      <c r="AM3008" s="26" t="s">
        <v>38</v>
      </c>
    </row>
    <row r="3009" spans="34:39" x14ac:dyDescent="0.35">
      <c r="AH3009" s="21"/>
      <c r="AI3009" s="21"/>
      <c r="AJ3009" s="21"/>
      <c r="AK3009" s="21"/>
      <c r="AM3009" s="26" t="s">
        <v>38</v>
      </c>
    </row>
    <row r="3010" spans="34:39" x14ac:dyDescent="0.35">
      <c r="AH3010" s="21"/>
      <c r="AI3010" s="21"/>
      <c r="AJ3010" s="21"/>
      <c r="AK3010" s="21"/>
      <c r="AM3010" s="26" t="s">
        <v>38</v>
      </c>
    </row>
    <row r="3011" spans="34:39" x14ac:dyDescent="0.35">
      <c r="AH3011" s="21"/>
      <c r="AI3011" s="21"/>
      <c r="AJ3011" s="21"/>
      <c r="AK3011" s="21"/>
      <c r="AM3011" s="26" t="s">
        <v>38</v>
      </c>
    </row>
    <row r="3012" spans="34:39" x14ac:dyDescent="0.35">
      <c r="AH3012" s="21"/>
      <c r="AI3012" s="21"/>
      <c r="AJ3012" s="21"/>
      <c r="AK3012" s="21"/>
      <c r="AM3012" s="26" t="s">
        <v>38</v>
      </c>
    </row>
    <row r="3013" spans="34:39" x14ac:dyDescent="0.35">
      <c r="AH3013" s="21"/>
      <c r="AI3013" s="21"/>
      <c r="AJ3013" s="21"/>
      <c r="AK3013" s="21"/>
      <c r="AM3013" s="26" t="s">
        <v>38</v>
      </c>
    </row>
    <row r="3014" spans="34:39" x14ac:dyDescent="0.35">
      <c r="AH3014" s="21"/>
      <c r="AI3014" s="21"/>
      <c r="AJ3014" s="21"/>
      <c r="AK3014" s="21"/>
      <c r="AM3014" s="26" t="s">
        <v>38</v>
      </c>
    </row>
    <row r="3015" spans="34:39" x14ac:dyDescent="0.35">
      <c r="AH3015" s="21"/>
      <c r="AI3015" s="21"/>
      <c r="AJ3015" s="21"/>
      <c r="AK3015" s="21"/>
      <c r="AM3015" s="26" t="s">
        <v>38</v>
      </c>
    </row>
    <row r="3016" spans="34:39" x14ac:dyDescent="0.35">
      <c r="AH3016" s="21"/>
      <c r="AI3016" s="21"/>
      <c r="AJ3016" s="21"/>
      <c r="AK3016" s="21"/>
      <c r="AM3016" s="26" t="s">
        <v>38</v>
      </c>
    </row>
    <row r="3017" spans="34:39" x14ac:dyDescent="0.35">
      <c r="AH3017" s="21"/>
      <c r="AI3017" s="21"/>
      <c r="AJ3017" s="21"/>
      <c r="AK3017" s="21"/>
      <c r="AM3017" s="26" t="s">
        <v>38</v>
      </c>
    </row>
    <row r="3018" spans="34:39" x14ac:dyDescent="0.35">
      <c r="AH3018" s="21"/>
      <c r="AI3018" s="21"/>
      <c r="AJ3018" s="21"/>
      <c r="AK3018" s="21"/>
      <c r="AM3018" s="26" t="s">
        <v>38</v>
      </c>
    </row>
    <row r="3019" spans="34:39" x14ac:dyDescent="0.35">
      <c r="AH3019" s="21"/>
      <c r="AI3019" s="21"/>
      <c r="AJ3019" s="21"/>
      <c r="AK3019" s="21"/>
      <c r="AM3019" s="26" t="s">
        <v>38</v>
      </c>
    </row>
    <row r="3020" spans="34:39" x14ac:dyDescent="0.35">
      <c r="AH3020" s="21"/>
      <c r="AI3020" s="21"/>
      <c r="AJ3020" s="21"/>
      <c r="AK3020" s="21"/>
      <c r="AM3020" s="26" t="s">
        <v>38</v>
      </c>
    </row>
    <row r="3021" spans="34:39" x14ac:dyDescent="0.35">
      <c r="AH3021" s="21"/>
      <c r="AI3021" s="21"/>
      <c r="AJ3021" s="21"/>
      <c r="AK3021" s="21"/>
      <c r="AM3021" s="26" t="s">
        <v>38</v>
      </c>
    </row>
    <row r="3022" spans="34:39" x14ac:dyDescent="0.35">
      <c r="AH3022" s="21"/>
      <c r="AI3022" s="21"/>
      <c r="AJ3022" s="21"/>
      <c r="AK3022" s="21"/>
      <c r="AM3022" s="26" t="s">
        <v>38</v>
      </c>
    </row>
    <row r="3023" spans="34:39" x14ac:dyDescent="0.35">
      <c r="AH3023" s="21"/>
      <c r="AI3023" s="21"/>
      <c r="AJ3023" s="21"/>
      <c r="AK3023" s="21"/>
      <c r="AM3023" s="26" t="s">
        <v>38</v>
      </c>
    </row>
    <row r="3024" spans="34:39" x14ac:dyDescent="0.35">
      <c r="AH3024" s="21"/>
      <c r="AI3024" s="21"/>
      <c r="AJ3024" s="21"/>
      <c r="AK3024" s="21"/>
      <c r="AM3024" s="26" t="s">
        <v>38</v>
      </c>
    </row>
    <row r="3025" spans="34:39" x14ac:dyDescent="0.35">
      <c r="AH3025" s="21"/>
      <c r="AI3025" s="21"/>
      <c r="AJ3025" s="21"/>
      <c r="AK3025" s="21"/>
      <c r="AM3025" s="26" t="s">
        <v>38</v>
      </c>
    </row>
    <row r="3026" spans="34:39" x14ac:dyDescent="0.35">
      <c r="AH3026" s="21"/>
      <c r="AI3026" s="21"/>
      <c r="AJ3026" s="21"/>
      <c r="AK3026" s="21"/>
      <c r="AM3026" s="26" t="s">
        <v>38</v>
      </c>
    </row>
    <row r="3027" spans="34:39" x14ac:dyDescent="0.35">
      <c r="AH3027" s="21"/>
      <c r="AI3027" s="21"/>
      <c r="AJ3027" s="21"/>
      <c r="AK3027" s="21"/>
      <c r="AM3027" s="26" t="s">
        <v>38</v>
      </c>
    </row>
    <row r="3028" spans="34:39" x14ac:dyDescent="0.35">
      <c r="AH3028" s="21"/>
      <c r="AI3028" s="21"/>
      <c r="AJ3028" s="21"/>
      <c r="AK3028" s="21"/>
      <c r="AM3028" s="26" t="s">
        <v>38</v>
      </c>
    </row>
    <row r="3029" spans="34:39" x14ac:dyDescent="0.35">
      <c r="AH3029" s="21"/>
      <c r="AI3029" s="21"/>
      <c r="AJ3029" s="21"/>
      <c r="AK3029" s="21"/>
      <c r="AM3029" s="26" t="s">
        <v>38</v>
      </c>
    </row>
    <row r="3030" spans="34:39" x14ac:dyDescent="0.35">
      <c r="AH3030" s="21"/>
      <c r="AI3030" s="21"/>
      <c r="AJ3030" s="21"/>
      <c r="AK3030" s="21"/>
      <c r="AM3030" s="26" t="s">
        <v>38</v>
      </c>
    </row>
    <row r="3031" spans="34:39" x14ac:dyDescent="0.35">
      <c r="AH3031" s="21"/>
      <c r="AI3031" s="21"/>
      <c r="AJ3031" s="21"/>
      <c r="AK3031" s="21"/>
      <c r="AM3031" s="26" t="s">
        <v>38</v>
      </c>
    </row>
    <row r="3032" spans="34:39" x14ac:dyDescent="0.35">
      <c r="AH3032" s="21"/>
      <c r="AI3032" s="21"/>
      <c r="AJ3032" s="21"/>
      <c r="AK3032" s="21"/>
      <c r="AM3032" s="26" t="s">
        <v>38</v>
      </c>
    </row>
    <row r="3033" spans="34:39" x14ac:dyDescent="0.35">
      <c r="AH3033" s="21"/>
      <c r="AI3033" s="21"/>
      <c r="AJ3033" s="21"/>
      <c r="AK3033" s="21"/>
      <c r="AM3033" s="26" t="s">
        <v>38</v>
      </c>
    </row>
    <row r="3034" spans="34:39" x14ac:dyDescent="0.35">
      <c r="AH3034" s="21"/>
      <c r="AI3034" s="21"/>
      <c r="AJ3034" s="21"/>
      <c r="AK3034" s="21"/>
      <c r="AM3034" s="26" t="s">
        <v>38</v>
      </c>
    </row>
    <row r="3035" spans="34:39" x14ac:dyDescent="0.35">
      <c r="AH3035" s="21"/>
      <c r="AI3035" s="21"/>
      <c r="AJ3035" s="21"/>
      <c r="AK3035" s="21"/>
      <c r="AM3035" s="26" t="s">
        <v>38</v>
      </c>
    </row>
    <row r="3036" spans="34:39" x14ac:dyDescent="0.35">
      <c r="AH3036" s="21"/>
      <c r="AI3036" s="21"/>
      <c r="AJ3036" s="21"/>
      <c r="AK3036" s="21"/>
      <c r="AM3036" s="26" t="s">
        <v>38</v>
      </c>
    </row>
    <row r="3037" spans="34:39" x14ac:dyDescent="0.35">
      <c r="AH3037" s="21"/>
      <c r="AI3037" s="21"/>
      <c r="AJ3037" s="21"/>
      <c r="AK3037" s="21"/>
      <c r="AM3037" s="26" t="s">
        <v>38</v>
      </c>
    </row>
    <row r="3038" spans="34:39" x14ac:dyDescent="0.35">
      <c r="AH3038" s="21"/>
      <c r="AI3038" s="21"/>
      <c r="AJ3038" s="21"/>
      <c r="AK3038" s="21"/>
      <c r="AM3038" s="26" t="s">
        <v>38</v>
      </c>
    </row>
    <row r="3039" spans="34:39" x14ac:dyDescent="0.35">
      <c r="AH3039" s="21"/>
      <c r="AI3039" s="21"/>
      <c r="AJ3039" s="21"/>
      <c r="AK3039" s="21"/>
      <c r="AM3039" s="26" t="s">
        <v>38</v>
      </c>
    </row>
    <row r="3040" spans="34:39" x14ac:dyDescent="0.35">
      <c r="AH3040" s="21"/>
      <c r="AI3040" s="21"/>
      <c r="AJ3040" s="21"/>
      <c r="AK3040" s="21"/>
      <c r="AM3040" s="26" t="s">
        <v>38</v>
      </c>
    </row>
    <row r="3041" spans="34:39" x14ac:dyDescent="0.35">
      <c r="AH3041" s="21"/>
      <c r="AI3041" s="21"/>
      <c r="AJ3041" s="21"/>
      <c r="AK3041" s="21"/>
      <c r="AM3041" s="26" t="s">
        <v>38</v>
      </c>
    </row>
    <row r="3042" spans="34:39" x14ac:dyDescent="0.35">
      <c r="AH3042" s="21"/>
      <c r="AI3042" s="21"/>
      <c r="AJ3042" s="21"/>
      <c r="AK3042" s="21"/>
      <c r="AM3042" s="26" t="s">
        <v>38</v>
      </c>
    </row>
    <row r="3043" spans="34:39" x14ac:dyDescent="0.35">
      <c r="AH3043" s="21"/>
      <c r="AI3043" s="21"/>
      <c r="AJ3043" s="21"/>
      <c r="AK3043" s="21"/>
      <c r="AM3043" s="26" t="s">
        <v>38</v>
      </c>
    </row>
    <row r="3044" spans="34:39" x14ac:dyDescent="0.35">
      <c r="AH3044" s="21"/>
      <c r="AI3044" s="21"/>
      <c r="AJ3044" s="21"/>
      <c r="AK3044" s="21"/>
      <c r="AM3044" s="26" t="s">
        <v>38</v>
      </c>
    </row>
    <row r="3045" spans="34:39" x14ac:dyDescent="0.35">
      <c r="AH3045" s="21"/>
      <c r="AI3045" s="21"/>
      <c r="AJ3045" s="21"/>
      <c r="AK3045" s="21"/>
      <c r="AM3045" s="26" t="s">
        <v>38</v>
      </c>
    </row>
    <row r="3046" spans="34:39" x14ac:dyDescent="0.35">
      <c r="AH3046" s="21"/>
      <c r="AI3046" s="21"/>
      <c r="AJ3046" s="21"/>
      <c r="AK3046" s="21"/>
      <c r="AM3046" s="26" t="s">
        <v>38</v>
      </c>
    </row>
    <row r="3047" spans="34:39" x14ac:dyDescent="0.35">
      <c r="AH3047" s="21"/>
      <c r="AI3047" s="21"/>
      <c r="AJ3047" s="21"/>
      <c r="AK3047" s="21"/>
      <c r="AM3047" s="26" t="s">
        <v>38</v>
      </c>
    </row>
    <row r="3048" spans="34:39" x14ac:dyDescent="0.35">
      <c r="AH3048" s="21"/>
      <c r="AI3048" s="21"/>
      <c r="AJ3048" s="21"/>
      <c r="AK3048" s="21"/>
      <c r="AM3048" s="26" t="s">
        <v>38</v>
      </c>
    </row>
    <row r="3049" spans="34:39" x14ac:dyDescent="0.35">
      <c r="AH3049" s="21"/>
      <c r="AI3049" s="21"/>
      <c r="AJ3049" s="21"/>
      <c r="AK3049" s="21"/>
      <c r="AM3049" s="26" t="s">
        <v>38</v>
      </c>
    </row>
    <row r="3050" spans="34:39" x14ac:dyDescent="0.35">
      <c r="AH3050" s="21"/>
      <c r="AI3050" s="21"/>
      <c r="AJ3050" s="21"/>
      <c r="AK3050" s="21"/>
      <c r="AM3050" s="26" t="s">
        <v>38</v>
      </c>
    </row>
    <row r="3051" spans="34:39" x14ac:dyDescent="0.35">
      <c r="AH3051" s="21"/>
      <c r="AI3051" s="21"/>
      <c r="AJ3051" s="21"/>
      <c r="AK3051" s="21"/>
      <c r="AM3051" s="26" t="s">
        <v>38</v>
      </c>
    </row>
    <row r="3052" spans="34:39" x14ac:dyDescent="0.35">
      <c r="AH3052" s="21"/>
      <c r="AI3052" s="21"/>
      <c r="AJ3052" s="21"/>
      <c r="AK3052" s="21"/>
      <c r="AM3052" s="26" t="s">
        <v>38</v>
      </c>
    </row>
    <row r="3053" spans="34:39" x14ac:dyDescent="0.35">
      <c r="AH3053" s="21"/>
      <c r="AI3053" s="21"/>
      <c r="AJ3053" s="21"/>
      <c r="AK3053" s="21"/>
      <c r="AM3053" s="26" t="s">
        <v>38</v>
      </c>
    </row>
    <row r="3054" spans="34:39" x14ac:dyDescent="0.35">
      <c r="AH3054" s="21"/>
      <c r="AI3054" s="21"/>
      <c r="AJ3054" s="21"/>
      <c r="AK3054" s="21"/>
      <c r="AM3054" s="26" t="s">
        <v>38</v>
      </c>
    </row>
    <row r="3055" spans="34:39" x14ac:dyDescent="0.35">
      <c r="AH3055" s="21"/>
      <c r="AI3055" s="21"/>
      <c r="AJ3055" s="21"/>
      <c r="AK3055" s="21"/>
      <c r="AM3055" s="26" t="s">
        <v>38</v>
      </c>
    </row>
    <row r="3056" spans="34:39" x14ac:dyDescent="0.35">
      <c r="AH3056" s="21"/>
      <c r="AI3056" s="21"/>
      <c r="AJ3056" s="21"/>
      <c r="AK3056" s="21"/>
      <c r="AM3056" s="26" t="s">
        <v>38</v>
      </c>
    </row>
    <row r="3057" spans="1:40" x14ac:dyDescent="0.35">
      <c r="AH3057" s="21"/>
      <c r="AI3057" s="21"/>
      <c r="AJ3057" s="21"/>
      <c r="AK3057" s="21"/>
      <c r="AM3057" s="26" t="s">
        <v>38</v>
      </c>
    </row>
    <row r="3058" spans="1:40" x14ac:dyDescent="0.35">
      <c r="AH3058" s="21"/>
      <c r="AI3058" s="21"/>
      <c r="AJ3058" s="21"/>
      <c r="AK3058" s="21"/>
      <c r="AM3058" s="26" t="s">
        <v>38</v>
      </c>
    </row>
    <row r="3059" spans="1:40" x14ac:dyDescent="0.35">
      <c r="AH3059" s="21"/>
      <c r="AI3059" s="21"/>
      <c r="AJ3059" s="21"/>
      <c r="AK3059" s="21"/>
      <c r="AM3059" s="26" t="s">
        <v>38</v>
      </c>
    </row>
    <row r="3060" spans="1:40" x14ac:dyDescent="0.35">
      <c r="AH3060" s="21"/>
      <c r="AI3060" s="21"/>
      <c r="AJ3060" s="21"/>
      <c r="AK3060" s="21"/>
      <c r="AM3060" s="26" t="s">
        <v>38</v>
      </c>
    </row>
    <row r="3061" spans="1:40" x14ac:dyDescent="0.35">
      <c r="AH3061" s="21"/>
      <c r="AI3061" s="21"/>
      <c r="AJ3061" s="21"/>
      <c r="AK3061" s="21"/>
      <c r="AM3061" s="26" t="s">
        <v>38</v>
      </c>
    </row>
    <row r="3062" spans="1:40" x14ac:dyDescent="0.35">
      <c r="AH3062" s="21"/>
      <c r="AI3062" s="21"/>
      <c r="AJ3062" s="21"/>
      <c r="AK3062" s="21"/>
      <c r="AM3062" s="26" t="s">
        <v>38</v>
      </c>
    </row>
    <row r="3063" spans="1:40" x14ac:dyDescent="0.35">
      <c r="AH3063" s="21"/>
      <c r="AI3063" s="21"/>
      <c r="AJ3063" s="21"/>
      <c r="AK3063" s="21"/>
      <c r="AM3063" s="26" t="s">
        <v>38</v>
      </c>
    </row>
    <row r="3064" spans="1:40" x14ac:dyDescent="0.35">
      <c r="AH3064" s="21"/>
      <c r="AI3064" s="21"/>
      <c r="AJ3064" s="21"/>
      <c r="AK3064" s="21"/>
      <c r="AM3064" s="26" t="s">
        <v>38</v>
      </c>
    </row>
    <row r="3065" spans="1:40" x14ac:dyDescent="0.35">
      <c r="AH3065" s="21"/>
      <c r="AI3065" s="21"/>
      <c r="AJ3065" s="21"/>
      <c r="AK3065" s="21"/>
      <c r="AM3065" s="26" t="s">
        <v>38</v>
      </c>
    </row>
    <row r="3066" spans="1:40" x14ac:dyDescent="0.35">
      <c r="AH3066" s="21"/>
      <c r="AI3066" s="21"/>
      <c r="AJ3066" s="21"/>
      <c r="AK3066" s="21"/>
      <c r="AM3066" s="26" t="s">
        <v>38</v>
      </c>
    </row>
    <row r="3067" spans="1:40" x14ac:dyDescent="0.35">
      <c r="AH3067" s="21"/>
      <c r="AI3067" s="21"/>
      <c r="AJ3067" s="21"/>
      <c r="AK3067" s="21"/>
      <c r="AM3067" s="26" t="s">
        <v>38</v>
      </c>
    </row>
    <row r="3068" spans="1:40" x14ac:dyDescent="0.35">
      <c r="AH3068" s="21"/>
      <c r="AI3068" s="21"/>
      <c r="AJ3068" s="21"/>
      <c r="AK3068" s="21"/>
      <c r="AM3068" s="26" t="s">
        <v>38</v>
      </c>
    </row>
    <row r="3069" spans="1:40" s="85" customFormat="1" x14ac:dyDescent="0.35">
      <c r="A3069"/>
      <c r="B3069"/>
      <c r="C3069"/>
      <c r="D3069"/>
      <c r="E3069"/>
      <c r="F3069"/>
      <c r="G3069"/>
      <c r="H3069"/>
      <c r="I3069"/>
      <c r="J3069"/>
      <c r="K3069"/>
      <c r="L3069"/>
      <c r="M3069"/>
      <c r="N3069"/>
      <c r="O3069"/>
      <c r="P3069"/>
      <c r="Q3069"/>
      <c r="R3069"/>
      <c r="S3069"/>
      <c r="T3069"/>
      <c r="U3069"/>
      <c r="V3069"/>
      <c r="W3069"/>
      <c r="X3069"/>
      <c r="Y3069"/>
      <c r="Z3069"/>
      <c r="AA3069"/>
      <c r="AB3069"/>
      <c r="AC3069"/>
      <c r="AD3069"/>
      <c r="AE3069"/>
      <c r="AF3069"/>
      <c r="AG3069"/>
      <c r="AH3069" s="21"/>
      <c r="AI3069" s="21"/>
      <c r="AJ3069" s="21"/>
      <c r="AK3069" s="21"/>
      <c r="AL3069"/>
      <c r="AM3069" s="26" t="s">
        <v>38</v>
      </c>
      <c r="AN3069"/>
    </row>
    <row r="3070" spans="1:40" s="85" customFormat="1" x14ac:dyDescent="0.35">
      <c r="A3070"/>
      <c r="B3070"/>
      <c r="C3070"/>
      <c r="D3070"/>
      <c r="E3070"/>
      <c r="F3070"/>
      <c r="G3070"/>
      <c r="H3070"/>
      <c r="I3070"/>
      <c r="J3070"/>
      <c r="K3070"/>
      <c r="L3070"/>
      <c r="M3070"/>
      <c r="N3070"/>
      <c r="O3070"/>
      <c r="P3070"/>
      <c r="Q3070"/>
      <c r="R3070"/>
      <c r="S3070"/>
      <c r="T3070"/>
      <c r="U3070"/>
      <c r="V3070"/>
      <c r="W3070"/>
      <c r="X3070"/>
      <c r="Y3070"/>
      <c r="Z3070"/>
      <c r="AA3070"/>
      <c r="AB3070"/>
      <c r="AC3070"/>
      <c r="AD3070"/>
      <c r="AE3070"/>
      <c r="AF3070"/>
      <c r="AG3070"/>
      <c r="AH3070" s="21"/>
      <c r="AI3070" s="21"/>
      <c r="AJ3070" s="21"/>
      <c r="AK3070" s="21"/>
      <c r="AL3070"/>
      <c r="AM3070" s="26" t="s">
        <v>38</v>
      </c>
      <c r="AN3070"/>
    </row>
    <row r="3071" spans="1:40" s="48" customFormat="1" x14ac:dyDescent="0.35">
      <c r="A3071"/>
      <c r="B3071"/>
      <c r="C3071"/>
      <c r="D3071"/>
      <c r="E3071"/>
      <c r="F3071"/>
      <c r="G3071"/>
      <c r="H3071"/>
      <c r="I3071"/>
      <c r="J3071"/>
      <c r="K3071"/>
      <c r="L3071"/>
      <c r="M3071"/>
      <c r="N3071"/>
      <c r="O3071"/>
      <c r="P3071"/>
      <c r="Q3071"/>
      <c r="R3071"/>
      <c r="S3071"/>
      <c r="T3071"/>
      <c r="U3071"/>
      <c r="V3071"/>
      <c r="W3071"/>
      <c r="X3071"/>
      <c r="Y3071"/>
      <c r="Z3071"/>
      <c r="AA3071"/>
      <c r="AB3071"/>
      <c r="AC3071"/>
      <c r="AD3071"/>
      <c r="AE3071"/>
      <c r="AF3071"/>
      <c r="AG3071"/>
      <c r="AH3071" s="21"/>
      <c r="AI3071" s="21"/>
      <c r="AJ3071" s="21"/>
      <c r="AK3071" s="21"/>
      <c r="AL3071"/>
      <c r="AM3071" s="26" t="s">
        <v>38</v>
      </c>
      <c r="AN3071"/>
    </row>
    <row r="3072" spans="1:40" s="143" customFormat="1" x14ac:dyDescent="0.35">
      <c r="A3072"/>
      <c r="B3072"/>
      <c r="C3072"/>
      <c r="D3072"/>
      <c r="E3072"/>
      <c r="F3072"/>
      <c r="G3072"/>
      <c r="H3072"/>
      <c r="I3072"/>
      <c r="J3072"/>
      <c r="K3072"/>
      <c r="L3072"/>
      <c r="M3072"/>
      <c r="N3072"/>
      <c r="O3072"/>
      <c r="P3072"/>
      <c r="Q3072"/>
      <c r="R3072"/>
      <c r="S3072"/>
      <c r="T3072"/>
      <c r="U3072"/>
      <c r="V3072"/>
      <c r="W3072"/>
      <c r="X3072"/>
      <c r="Y3072"/>
      <c r="Z3072"/>
      <c r="AA3072"/>
      <c r="AB3072"/>
      <c r="AC3072"/>
      <c r="AD3072"/>
      <c r="AE3072"/>
      <c r="AF3072"/>
      <c r="AG3072"/>
      <c r="AH3072" s="21"/>
      <c r="AI3072" s="21"/>
      <c r="AJ3072" s="21"/>
      <c r="AK3072" s="21"/>
      <c r="AL3072"/>
      <c r="AM3072" s="26" t="s">
        <v>38</v>
      </c>
      <c r="AN3072"/>
    </row>
    <row r="3073" spans="1:40" s="143" customFormat="1" x14ac:dyDescent="0.35">
      <c r="A3073"/>
      <c r="B3073"/>
      <c r="C3073"/>
      <c r="D3073"/>
      <c r="E3073"/>
      <c r="F3073"/>
      <c r="G3073"/>
      <c r="H3073"/>
      <c r="I3073"/>
      <c r="J3073"/>
      <c r="K3073"/>
      <c r="L3073"/>
      <c r="M3073"/>
      <c r="N3073"/>
      <c r="O3073"/>
      <c r="P3073"/>
      <c r="Q3073"/>
      <c r="R3073"/>
      <c r="S3073"/>
      <c r="T3073"/>
      <c r="U3073"/>
      <c r="V3073"/>
      <c r="W3073"/>
      <c r="X3073"/>
      <c r="Y3073"/>
      <c r="Z3073"/>
      <c r="AA3073"/>
      <c r="AB3073"/>
      <c r="AC3073"/>
      <c r="AD3073"/>
      <c r="AE3073"/>
      <c r="AF3073"/>
      <c r="AG3073"/>
      <c r="AH3073" s="21"/>
      <c r="AI3073" s="21"/>
      <c r="AJ3073" s="21"/>
      <c r="AK3073" s="21"/>
      <c r="AL3073"/>
      <c r="AM3073" s="26" t="s">
        <v>38</v>
      </c>
      <c r="AN3073"/>
    </row>
    <row r="3074" spans="1:40" x14ac:dyDescent="0.35">
      <c r="AH3074" s="21"/>
      <c r="AI3074" s="21"/>
      <c r="AJ3074" s="21"/>
      <c r="AK3074" s="21"/>
      <c r="AM3074" s="26" t="s">
        <v>38</v>
      </c>
    </row>
    <row r="3075" spans="1:40" x14ac:dyDescent="0.35">
      <c r="AH3075" s="21"/>
      <c r="AI3075" s="21"/>
      <c r="AJ3075" s="21"/>
      <c r="AK3075" s="21"/>
      <c r="AM3075" s="26" t="s">
        <v>38</v>
      </c>
    </row>
    <row r="3076" spans="1:40" x14ac:dyDescent="0.35">
      <c r="AH3076" s="21"/>
      <c r="AI3076" s="21"/>
      <c r="AJ3076" s="21"/>
      <c r="AK3076" s="21"/>
      <c r="AM3076" s="26" t="s">
        <v>38</v>
      </c>
    </row>
    <row r="3077" spans="1:40" s="143" customFormat="1" x14ac:dyDescent="0.35">
      <c r="A3077"/>
      <c r="B3077"/>
      <c r="C3077"/>
      <c r="D3077"/>
      <c r="E3077"/>
      <c r="F3077"/>
      <c r="G3077"/>
      <c r="H3077"/>
      <c r="I3077"/>
      <c r="J3077"/>
      <c r="K3077"/>
      <c r="L3077"/>
      <c r="M3077"/>
      <c r="N3077"/>
      <c r="O3077"/>
      <c r="P3077"/>
      <c r="Q3077"/>
      <c r="R3077"/>
      <c r="S3077"/>
      <c r="T3077"/>
      <c r="U3077"/>
      <c r="V3077"/>
      <c r="W3077"/>
      <c r="X3077"/>
      <c r="Y3077"/>
      <c r="Z3077"/>
      <c r="AA3077"/>
      <c r="AB3077"/>
      <c r="AC3077"/>
      <c r="AD3077"/>
      <c r="AE3077"/>
      <c r="AF3077"/>
      <c r="AG3077"/>
      <c r="AH3077" s="21"/>
      <c r="AI3077" s="21"/>
      <c r="AJ3077" s="21"/>
      <c r="AK3077" s="21"/>
      <c r="AL3077"/>
      <c r="AM3077" s="26" t="s">
        <v>38</v>
      </c>
      <c r="AN3077"/>
    </row>
    <row r="3078" spans="1:40" s="143" customFormat="1" x14ac:dyDescent="0.35">
      <c r="A3078"/>
      <c r="B3078"/>
      <c r="C3078"/>
      <c r="D3078"/>
      <c r="E3078"/>
      <c r="F3078"/>
      <c r="G3078"/>
      <c r="H3078"/>
      <c r="I3078"/>
      <c r="J3078"/>
      <c r="K3078"/>
      <c r="L3078"/>
      <c r="M3078"/>
      <c r="N3078"/>
      <c r="O3078"/>
      <c r="P3078"/>
      <c r="Q3078"/>
      <c r="R3078"/>
      <c r="S3078"/>
      <c r="T3078"/>
      <c r="U3078"/>
      <c r="V3078"/>
      <c r="W3078"/>
      <c r="X3078"/>
      <c r="Y3078"/>
      <c r="Z3078"/>
      <c r="AA3078"/>
      <c r="AB3078"/>
      <c r="AC3078"/>
      <c r="AD3078"/>
      <c r="AE3078"/>
      <c r="AF3078"/>
      <c r="AG3078"/>
      <c r="AH3078" s="21"/>
      <c r="AI3078" s="21"/>
      <c r="AJ3078" s="21"/>
      <c r="AK3078" s="21"/>
      <c r="AL3078"/>
      <c r="AM3078" s="26" t="s">
        <v>38</v>
      </c>
      <c r="AN3078"/>
    </row>
    <row r="3079" spans="1:40" x14ac:dyDescent="0.35">
      <c r="AH3079" s="21"/>
      <c r="AI3079" s="21"/>
      <c r="AJ3079" s="21"/>
      <c r="AK3079" s="21"/>
      <c r="AM3079" s="26" t="s">
        <v>38</v>
      </c>
    </row>
    <row r="3080" spans="1:40" s="143" customFormat="1" x14ac:dyDescent="0.35">
      <c r="A3080"/>
      <c r="B3080"/>
      <c r="C3080"/>
      <c r="D3080"/>
      <c r="E3080"/>
      <c r="F3080"/>
      <c r="G3080"/>
      <c r="H3080"/>
      <c r="I3080"/>
      <c r="J3080"/>
      <c r="K3080"/>
      <c r="L3080"/>
      <c r="M3080"/>
      <c r="N3080"/>
      <c r="O3080"/>
      <c r="P3080"/>
      <c r="Q3080"/>
      <c r="R3080"/>
      <c r="S3080"/>
      <c r="T3080"/>
      <c r="U3080"/>
      <c r="V3080"/>
      <c r="W3080"/>
      <c r="X3080"/>
      <c r="Y3080"/>
      <c r="Z3080"/>
      <c r="AA3080"/>
      <c r="AB3080"/>
      <c r="AC3080"/>
      <c r="AD3080"/>
      <c r="AE3080"/>
      <c r="AF3080"/>
      <c r="AG3080"/>
      <c r="AH3080" s="21"/>
      <c r="AI3080" s="21"/>
      <c r="AJ3080" s="21"/>
      <c r="AK3080" s="21"/>
      <c r="AL3080"/>
      <c r="AM3080" s="26" t="s">
        <v>38</v>
      </c>
      <c r="AN3080"/>
    </row>
    <row r="3081" spans="1:40" s="85" customFormat="1" x14ac:dyDescent="0.35">
      <c r="A3081"/>
      <c r="B3081"/>
      <c r="C3081"/>
      <c r="D3081"/>
      <c r="E3081"/>
      <c r="F3081"/>
      <c r="G3081"/>
      <c r="H3081"/>
      <c r="I3081"/>
      <c r="J3081"/>
      <c r="K3081"/>
      <c r="L3081"/>
      <c r="M3081"/>
      <c r="N3081"/>
      <c r="O3081"/>
      <c r="P3081"/>
      <c r="Q3081"/>
      <c r="R3081"/>
      <c r="S3081"/>
      <c r="T3081"/>
      <c r="U3081"/>
      <c r="V3081"/>
      <c r="W3081"/>
      <c r="X3081"/>
      <c r="Y3081"/>
      <c r="Z3081"/>
      <c r="AA3081"/>
      <c r="AB3081"/>
      <c r="AC3081"/>
      <c r="AD3081"/>
      <c r="AE3081"/>
      <c r="AF3081"/>
      <c r="AG3081"/>
      <c r="AH3081" s="21"/>
      <c r="AI3081" s="21"/>
      <c r="AJ3081" s="21"/>
      <c r="AK3081" s="21"/>
      <c r="AL3081"/>
      <c r="AM3081" s="26" t="s">
        <v>38</v>
      </c>
      <c r="AN3081"/>
    </row>
    <row r="3082" spans="1:40" x14ac:dyDescent="0.35">
      <c r="AH3082" s="21"/>
      <c r="AI3082" s="21"/>
      <c r="AJ3082" s="21"/>
      <c r="AK3082" s="21"/>
      <c r="AM3082" s="26" t="s">
        <v>38</v>
      </c>
    </row>
    <row r="3083" spans="1:40" x14ac:dyDescent="0.35">
      <c r="AH3083" s="21"/>
      <c r="AI3083" s="21"/>
      <c r="AJ3083" s="21"/>
      <c r="AK3083" s="21"/>
      <c r="AM3083" s="26" t="s">
        <v>38</v>
      </c>
    </row>
    <row r="3084" spans="1:40" x14ac:dyDescent="0.35">
      <c r="AH3084" s="21"/>
      <c r="AI3084" s="21"/>
      <c r="AJ3084" s="21"/>
      <c r="AK3084" s="21"/>
      <c r="AM3084" s="26" t="s">
        <v>38</v>
      </c>
    </row>
    <row r="3085" spans="1:40" x14ac:dyDescent="0.35">
      <c r="AH3085" s="21"/>
      <c r="AI3085" s="21"/>
      <c r="AJ3085" s="21"/>
      <c r="AK3085" s="21"/>
      <c r="AM3085" s="26" t="s">
        <v>38</v>
      </c>
    </row>
    <row r="3086" spans="1:40" x14ac:dyDescent="0.35">
      <c r="AH3086" s="21"/>
      <c r="AI3086" s="21"/>
      <c r="AJ3086" s="21"/>
      <c r="AK3086" s="21"/>
      <c r="AM3086" s="26" t="s">
        <v>38</v>
      </c>
    </row>
    <row r="3087" spans="1:40" x14ac:dyDescent="0.35">
      <c r="AH3087" s="21"/>
      <c r="AI3087" s="21"/>
      <c r="AJ3087" s="21"/>
      <c r="AK3087" s="21"/>
      <c r="AM3087" s="26" t="s">
        <v>38</v>
      </c>
    </row>
    <row r="3088" spans="1:40" x14ac:dyDescent="0.35">
      <c r="AH3088" s="21"/>
      <c r="AI3088" s="21"/>
      <c r="AJ3088" s="21"/>
      <c r="AK3088" s="21"/>
      <c r="AM3088" s="26" t="s">
        <v>38</v>
      </c>
    </row>
    <row r="3089" spans="34:39" x14ac:dyDescent="0.35">
      <c r="AH3089" s="21"/>
      <c r="AI3089" s="21"/>
      <c r="AJ3089" s="21"/>
      <c r="AK3089" s="21"/>
      <c r="AM3089" s="26" t="s">
        <v>38</v>
      </c>
    </row>
    <row r="3090" spans="34:39" x14ac:dyDescent="0.35">
      <c r="AH3090" s="21"/>
      <c r="AI3090" s="21"/>
      <c r="AJ3090" s="21"/>
      <c r="AK3090" s="21"/>
      <c r="AM3090" s="26" t="s">
        <v>38</v>
      </c>
    </row>
    <row r="3091" spans="34:39" x14ac:dyDescent="0.35">
      <c r="AH3091" s="21"/>
      <c r="AI3091" s="21"/>
      <c r="AJ3091" s="21"/>
      <c r="AK3091" s="21"/>
      <c r="AM3091" s="26" t="s">
        <v>38</v>
      </c>
    </row>
    <row r="3092" spans="34:39" x14ac:dyDescent="0.35">
      <c r="AH3092" s="21"/>
      <c r="AI3092" s="21"/>
      <c r="AJ3092" s="21"/>
      <c r="AK3092" s="21"/>
      <c r="AM3092" s="26" t="s">
        <v>38</v>
      </c>
    </row>
    <row r="3093" spans="34:39" x14ac:dyDescent="0.35">
      <c r="AH3093" s="21"/>
      <c r="AI3093" s="21"/>
      <c r="AJ3093" s="21"/>
      <c r="AK3093" s="21"/>
      <c r="AM3093" s="26" t="s">
        <v>38</v>
      </c>
    </row>
    <row r="3094" spans="34:39" x14ac:dyDescent="0.35">
      <c r="AH3094" s="21"/>
      <c r="AI3094" s="21"/>
      <c r="AJ3094" s="21"/>
      <c r="AK3094" s="21"/>
      <c r="AM3094" s="26" t="s">
        <v>38</v>
      </c>
    </row>
    <row r="3095" spans="34:39" x14ac:dyDescent="0.35">
      <c r="AH3095" s="21"/>
      <c r="AI3095" s="21"/>
      <c r="AJ3095" s="21"/>
      <c r="AK3095" s="21"/>
      <c r="AM3095" s="26" t="s">
        <v>38</v>
      </c>
    </row>
    <row r="3096" spans="34:39" x14ac:dyDescent="0.35">
      <c r="AH3096" s="21"/>
      <c r="AI3096" s="21"/>
      <c r="AJ3096" s="21"/>
      <c r="AK3096" s="21"/>
      <c r="AM3096" s="26" t="s">
        <v>38</v>
      </c>
    </row>
    <row r="3097" spans="34:39" x14ac:dyDescent="0.35">
      <c r="AH3097" s="21"/>
      <c r="AI3097" s="21"/>
      <c r="AJ3097" s="21"/>
      <c r="AK3097" s="21"/>
      <c r="AM3097" s="26" t="s">
        <v>38</v>
      </c>
    </row>
    <row r="3098" spans="34:39" x14ac:dyDescent="0.35">
      <c r="AH3098" s="21"/>
      <c r="AI3098" s="21"/>
      <c r="AJ3098" s="21"/>
      <c r="AK3098" s="21"/>
      <c r="AM3098" s="26" t="s">
        <v>38</v>
      </c>
    </row>
    <row r="3099" spans="34:39" x14ac:dyDescent="0.35">
      <c r="AH3099" s="21"/>
      <c r="AI3099" s="21"/>
      <c r="AJ3099" s="21"/>
      <c r="AK3099" s="21"/>
      <c r="AM3099" s="26" t="s">
        <v>38</v>
      </c>
    </row>
    <row r="3100" spans="34:39" x14ac:dyDescent="0.35">
      <c r="AH3100" s="21"/>
      <c r="AI3100" s="21"/>
      <c r="AJ3100" s="21"/>
      <c r="AK3100" s="21"/>
      <c r="AM3100" s="26" t="s">
        <v>38</v>
      </c>
    </row>
    <row r="3101" spans="34:39" x14ac:dyDescent="0.35">
      <c r="AH3101" s="21"/>
      <c r="AI3101" s="21"/>
      <c r="AJ3101" s="21"/>
      <c r="AK3101" s="21"/>
      <c r="AM3101" s="26" t="s">
        <v>38</v>
      </c>
    </row>
    <row r="3102" spans="34:39" x14ac:dyDescent="0.35">
      <c r="AH3102" s="21"/>
      <c r="AI3102" s="21"/>
      <c r="AJ3102" s="21"/>
      <c r="AK3102" s="21"/>
      <c r="AM3102" s="26" t="s">
        <v>38</v>
      </c>
    </row>
    <row r="3103" spans="34:39" x14ac:dyDescent="0.35">
      <c r="AH3103" s="21"/>
      <c r="AI3103" s="21"/>
      <c r="AJ3103" s="21"/>
      <c r="AK3103" s="21"/>
      <c r="AM3103" s="26" t="s">
        <v>38</v>
      </c>
    </row>
    <row r="3104" spans="34:39" x14ac:dyDescent="0.35">
      <c r="AH3104" s="21"/>
      <c r="AI3104" s="21"/>
      <c r="AJ3104" s="21"/>
      <c r="AK3104" s="21"/>
      <c r="AM3104" s="26" t="s">
        <v>38</v>
      </c>
    </row>
    <row r="3105" spans="34:39" x14ac:dyDescent="0.35">
      <c r="AH3105" s="21"/>
      <c r="AI3105" s="21"/>
      <c r="AJ3105" s="21"/>
      <c r="AK3105" s="21"/>
      <c r="AM3105" s="26" t="s">
        <v>38</v>
      </c>
    </row>
    <row r="3106" spans="34:39" x14ac:dyDescent="0.35">
      <c r="AH3106" s="21"/>
      <c r="AI3106" s="21"/>
      <c r="AJ3106" s="21"/>
      <c r="AK3106" s="21"/>
      <c r="AM3106" s="26" t="s">
        <v>38</v>
      </c>
    </row>
    <row r="3107" spans="34:39" x14ac:dyDescent="0.35">
      <c r="AH3107" s="21"/>
      <c r="AI3107" s="21"/>
      <c r="AJ3107" s="21"/>
      <c r="AK3107" s="21"/>
      <c r="AM3107" s="26" t="s">
        <v>38</v>
      </c>
    </row>
    <row r="3108" spans="34:39" x14ac:dyDescent="0.35">
      <c r="AH3108" s="21"/>
      <c r="AI3108" s="21"/>
      <c r="AJ3108" s="21"/>
      <c r="AK3108" s="21"/>
      <c r="AM3108" s="26" t="s">
        <v>38</v>
      </c>
    </row>
    <row r="3109" spans="34:39" x14ac:dyDescent="0.35">
      <c r="AH3109" s="21"/>
      <c r="AI3109" s="21"/>
      <c r="AJ3109" s="21"/>
      <c r="AK3109" s="21"/>
      <c r="AM3109" s="26" t="s">
        <v>38</v>
      </c>
    </row>
    <row r="3110" spans="34:39" x14ac:dyDescent="0.35">
      <c r="AH3110" s="21"/>
      <c r="AI3110" s="21"/>
      <c r="AJ3110" s="21"/>
      <c r="AK3110" s="21"/>
      <c r="AM3110" s="26" t="s">
        <v>38</v>
      </c>
    </row>
    <row r="3111" spans="34:39" x14ac:dyDescent="0.35">
      <c r="AH3111" s="21"/>
      <c r="AI3111" s="21"/>
      <c r="AJ3111" s="21"/>
      <c r="AK3111" s="21"/>
      <c r="AM3111" s="26" t="s">
        <v>38</v>
      </c>
    </row>
    <row r="3112" spans="34:39" x14ac:dyDescent="0.35">
      <c r="AH3112" s="21"/>
      <c r="AI3112" s="21"/>
      <c r="AJ3112" s="21"/>
      <c r="AK3112" s="21"/>
      <c r="AM3112" s="26" t="s">
        <v>38</v>
      </c>
    </row>
    <row r="3113" spans="34:39" x14ac:dyDescent="0.35">
      <c r="AH3113" s="21"/>
      <c r="AI3113" s="21"/>
      <c r="AJ3113" s="21"/>
      <c r="AK3113" s="21"/>
      <c r="AM3113" s="26" t="s">
        <v>38</v>
      </c>
    </row>
    <row r="3114" spans="34:39" x14ac:dyDescent="0.35">
      <c r="AH3114" s="21"/>
      <c r="AI3114" s="21"/>
      <c r="AJ3114" s="21"/>
      <c r="AK3114" s="21"/>
      <c r="AM3114" s="26" t="s">
        <v>38</v>
      </c>
    </row>
    <row r="3115" spans="34:39" x14ac:dyDescent="0.35">
      <c r="AH3115" s="21"/>
      <c r="AI3115" s="21"/>
      <c r="AJ3115" s="21"/>
      <c r="AK3115" s="21"/>
      <c r="AM3115" s="26" t="s">
        <v>38</v>
      </c>
    </row>
    <row r="3116" spans="34:39" x14ac:dyDescent="0.35">
      <c r="AH3116" s="21"/>
      <c r="AI3116" s="21"/>
      <c r="AJ3116" s="21"/>
      <c r="AK3116" s="21"/>
      <c r="AM3116" s="26" t="s">
        <v>38</v>
      </c>
    </row>
    <row r="3117" spans="34:39" x14ac:dyDescent="0.35">
      <c r="AH3117" s="21"/>
      <c r="AI3117" s="21"/>
      <c r="AJ3117" s="21"/>
      <c r="AK3117" s="21"/>
      <c r="AM3117" s="26" t="s">
        <v>38</v>
      </c>
    </row>
    <row r="3118" spans="34:39" x14ac:dyDescent="0.35">
      <c r="AH3118" s="21"/>
      <c r="AI3118" s="21"/>
      <c r="AJ3118" s="21"/>
      <c r="AK3118" s="21"/>
      <c r="AM3118" s="26" t="s">
        <v>38</v>
      </c>
    </row>
    <row r="3119" spans="34:39" x14ac:dyDescent="0.35">
      <c r="AH3119" s="21"/>
      <c r="AI3119" s="21"/>
      <c r="AJ3119" s="21"/>
      <c r="AK3119" s="21"/>
      <c r="AM3119" s="26" t="s">
        <v>38</v>
      </c>
    </row>
    <row r="3120" spans="34:39" x14ac:dyDescent="0.35">
      <c r="AH3120" s="21"/>
      <c r="AI3120" s="21"/>
      <c r="AJ3120" s="21"/>
      <c r="AK3120" s="21"/>
      <c r="AM3120" s="26" t="s">
        <v>38</v>
      </c>
    </row>
    <row r="3121" spans="34:39" x14ac:dyDescent="0.35">
      <c r="AH3121" s="21"/>
      <c r="AI3121" s="21"/>
      <c r="AJ3121" s="21"/>
      <c r="AK3121" s="21"/>
      <c r="AM3121" s="26" t="s">
        <v>38</v>
      </c>
    </row>
    <row r="3122" spans="34:39" x14ac:dyDescent="0.35">
      <c r="AH3122" s="21"/>
      <c r="AI3122" s="21"/>
      <c r="AJ3122" s="21"/>
      <c r="AK3122" s="21"/>
      <c r="AM3122" s="26" t="s">
        <v>38</v>
      </c>
    </row>
    <row r="3123" spans="34:39" x14ac:dyDescent="0.35">
      <c r="AH3123" s="21"/>
      <c r="AI3123" s="21"/>
      <c r="AJ3123" s="21"/>
      <c r="AK3123" s="21"/>
      <c r="AM3123" s="26" t="s">
        <v>38</v>
      </c>
    </row>
    <row r="3124" spans="34:39" x14ac:dyDescent="0.35">
      <c r="AH3124" s="21"/>
      <c r="AI3124" s="21"/>
      <c r="AJ3124" s="21"/>
      <c r="AK3124" s="21"/>
      <c r="AM3124" s="26" t="s">
        <v>38</v>
      </c>
    </row>
    <row r="3125" spans="34:39" x14ac:dyDescent="0.35">
      <c r="AH3125" s="21"/>
      <c r="AI3125" s="21"/>
      <c r="AJ3125" s="21"/>
      <c r="AK3125" s="21"/>
      <c r="AM3125" s="26" t="s">
        <v>38</v>
      </c>
    </row>
    <row r="3126" spans="34:39" x14ac:dyDescent="0.35">
      <c r="AH3126" s="21"/>
      <c r="AI3126" s="21"/>
      <c r="AJ3126" s="21"/>
      <c r="AK3126" s="21"/>
      <c r="AM3126" s="26" t="s">
        <v>38</v>
      </c>
    </row>
    <row r="3127" spans="34:39" x14ac:dyDescent="0.35">
      <c r="AH3127" s="21"/>
      <c r="AI3127" s="21"/>
      <c r="AJ3127" s="21"/>
      <c r="AK3127" s="21"/>
      <c r="AM3127" s="26" t="s">
        <v>38</v>
      </c>
    </row>
    <row r="3128" spans="34:39" x14ac:dyDescent="0.35">
      <c r="AH3128" s="21"/>
      <c r="AI3128" s="21"/>
      <c r="AJ3128" s="21"/>
      <c r="AK3128" s="21"/>
      <c r="AM3128" s="26" t="s">
        <v>38</v>
      </c>
    </row>
    <row r="3129" spans="34:39" x14ac:dyDescent="0.35">
      <c r="AH3129" s="21"/>
      <c r="AI3129" s="21"/>
      <c r="AJ3129" s="21"/>
      <c r="AK3129" s="21"/>
      <c r="AM3129" s="26" t="s">
        <v>38</v>
      </c>
    </row>
    <row r="3130" spans="34:39" x14ac:dyDescent="0.35">
      <c r="AH3130" s="21"/>
      <c r="AI3130" s="21"/>
      <c r="AJ3130" s="21"/>
      <c r="AK3130" s="21"/>
      <c r="AM3130" s="26" t="s">
        <v>38</v>
      </c>
    </row>
    <row r="3131" spans="34:39" x14ac:dyDescent="0.35">
      <c r="AH3131" s="21"/>
      <c r="AI3131" s="21"/>
      <c r="AJ3131" s="21"/>
      <c r="AK3131" s="21"/>
      <c r="AM3131" s="26" t="s">
        <v>38</v>
      </c>
    </row>
    <row r="3132" spans="34:39" x14ac:dyDescent="0.35">
      <c r="AH3132" s="21"/>
      <c r="AI3132" s="21"/>
      <c r="AJ3132" s="21"/>
      <c r="AK3132" s="21"/>
      <c r="AM3132" s="26" t="s">
        <v>38</v>
      </c>
    </row>
    <row r="3133" spans="34:39" x14ac:dyDescent="0.35">
      <c r="AH3133" s="21"/>
      <c r="AI3133" s="21"/>
      <c r="AJ3133" s="21"/>
      <c r="AK3133" s="21"/>
      <c r="AM3133" s="26" t="s">
        <v>38</v>
      </c>
    </row>
    <row r="3134" spans="34:39" x14ac:dyDescent="0.35">
      <c r="AH3134" s="21"/>
      <c r="AI3134" s="21"/>
      <c r="AJ3134" s="21"/>
      <c r="AK3134" s="21"/>
      <c r="AM3134" s="26" t="s">
        <v>38</v>
      </c>
    </row>
    <row r="3135" spans="34:39" x14ac:dyDescent="0.35">
      <c r="AH3135" s="21"/>
      <c r="AI3135" s="21"/>
      <c r="AJ3135" s="21"/>
      <c r="AK3135" s="21"/>
      <c r="AM3135" s="26" t="s">
        <v>38</v>
      </c>
    </row>
    <row r="3136" spans="34:39" x14ac:dyDescent="0.35">
      <c r="AH3136" s="21"/>
      <c r="AI3136" s="21"/>
      <c r="AJ3136" s="21"/>
      <c r="AK3136" s="21"/>
      <c r="AM3136" s="26" t="s">
        <v>38</v>
      </c>
    </row>
    <row r="3137" spans="34:39" x14ac:dyDescent="0.35">
      <c r="AH3137" s="21"/>
      <c r="AI3137" s="21"/>
      <c r="AJ3137" s="21"/>
      <c r="AK3137" s="21"/>
      <c r="AM3137" s="26" t="s">
        <v>38</v>
      </c>
    </row>
    <row r="3138" spans="34:39" x14ac:dyDescent="0.35">
      <c r="AH3138" s="21"/>
      <c r="AI3138" s="21"/>
      <c r="AJ3138" s="21"/>
      <c r="AK3138" s="21"/>
      <c r="AM3138" s="26" t="s">
        <v>38</v>
      </c>
    </row>
    <row r="3139" spans="34:39" x14ac:dyDescent="0.35">
      <c r="AH3139" s="21"/>
      <c r="AI3139" s="21"/>
      <c r="AJ3139" s="21"/>
      <c r="AK3139" s="21"/>
      <c r="AM3139" s="26" t="s">
        <v>38</v>
      </c>
    </row>
    <row r="3140" spans="34:39" x14ac:dyDescent="0.35">
      <c r="AH3140" s="21"/>
      <c r="AI3140" s="21"/>
      <c r="AJ3140" s="21"/>
      <c r="AK3140" s="21"/>
      <c r="AM3140" s="26" t="s">
        <v>38</v>
      </c>
    </row>
    <row r="3141" spans="34:39" x14ac:dyDescent="0.35">
      <c r="AH3141" s="21"/>
      <c r="AI3141" s="21"/>
      <c r="AJ3141" s="21"/>
      <c r="AK3141" s="21"/>
      <c r="AM3141" s="26" t="s">
        <v>38</v>
      </c>
    </row>
    <row r="3142" spans="34:39" x14ac:dyDescent="0.35">
      <c r="AH3142" s="21"/>
      <c r="AI3142" s="21"/>
      <c r="AJ3142" s="21"/>
      <c r="AK3142" s="21"/>
      <c r="AM3142" s="26" t="s">
        <v>38</v>
      </c>
    </row>
    <row r="3143" spans="34:39" x14ac:dyDescent="0.35">
      <c r="AH3143" s="21"/>
      <c r="AI3143" s="21"/>
      <c r="AJ3143" s="21"/>
      <c r="AK3143" s="21"/>
      <c r="AM3143" s="26" t="s">
        <v>38</v>
      </c>
    </row>
    <row r="3144" spans="34:39" x14ac:dyDescent="0.35">
      <c r="AH3144" s="21"/>
      <c r="AI3144" s="21"/>
      <c r="AJ3144" s="21"/>
      <c r="AK3144" s="21"/>
      <c r="AM3144" s="26" t="s">
        <v>38</v>
      </c>
    </row>
    <row r="3145" spans="34:39" x14ac:dyDescent="0.35">
      <c r="AH3145" s="21"/>
      <c r="AI3145" s="21"/>
      <c r="AJ3145" s="21"/>
      <c r="AK3145" s="21"/>
      <c r="AM3145" s="26" t="s">
        <v>38</v>
      </c>
    </row>
    <row r="3146" spans="34:39" x14ac:dyDescent="0.35">
      <c r="AH3146" s="21"/>
      <c r="AI3146" s="21"/>
      <c r="AJ3146" s="21"/>
      <c r="AK3146" s="21"/>
      <c r="AM3146" s="26" t="s">
        <v>38</v>
      </c>
    </row>
    <row r="3147" spans="34:39" x14ac:dyDescent="0.35">
      <c r="AH3147" s="21"/>
      <c r="AI3147" s="21"/>
      <c r="AJ3147" s="21"/>
      <c r="AK3147" s="21"/>
      <c r="AM3147" s="26" t="s">
        <v>38</v>
      </c>
    </row>
    <row r="3148" spans="34:39" x14ac:dyDescent="0.35">
      <c r="AH3148" s="21"/>
      <c r="AI3148" s="21"/>
      <c r="AJ3148" s="21"/>
      <c r="AK3148" s="21"/>
      <c r="AM3148" s="26" t="s">
        <v>38</v>
      </c>
    </row>
    <row r="3149" spans="34:39" x14ac:dyDescent="0.35">
      <c r="AH3149" s="21"/>
      <c r="AI3149" s="21"/>
      <c r="AJ3149" s="21"/>
      <c r="AK3149" s="21"/>
      <c r="AM3149" s="26" t="s">
        <v>38</v>
      </c>
    </row>
    <row r="3150" spans="34:39" x14ac:dyDescent="0.35">
      <c r="AH3150" s="21"/>
      <c r="AI3150" s="21"/>
      <c r="AJ3150" s="21"/>
      <c r="AK3150" s="21"/>
      <c r="AM3150" s="26" t="s">
        <v>38</v>
      </c>
    </row>
    <row r="3151" spans="34:39" x14ac:dyDescent="0.35">
      <c r="AH3151" s="21"/>
      <c r="AI3151" s="21"/>
      <c r="AJ3151" s="21"/>
      <c r="AK3151" s="21"/>
      <c r="AM3151" s="26" t="s">
        <v>38</v>
      </c>
    </row>
    <row r="3152" spans="34:39" x14ac:dyDescent="0.35">
      <c r="AH3152" s="21"/>
      <c r="AI3152" s="21"/>
      <c r="AJ3152" s="21"/>
      <c r="AK3152" s="21"/>
      <c r="AM3152" s="26" t="s">
        <v>38</v>
      </c>
    </row>
    <row r="3153" spans="34:39" x14ac:dyDescent="0.35">
      <c r="AH3153" s="21"/>
      <c r="AI3153" s="21"/>
      <c r="AJ3153" s="21"/>
      <c r="AK3153" s="21"/>
      <c r="AM3153" s="26" t="s">
        <v>38</v>
      </c>
    </row>
    <row r="3154" spans="34:39" x14ac:dyDescent="0.35">
      <c r="AH3154" s="21"/>
      <c r="AI3154" s="21"/>
      <c r="AJ3154" s="21"/>
      <c r="AK3154" s="21"/>
      <c r="AM3154" s="26" t="s">
        <v>38</v>
      </c>
    </row>
    <row r="3155" spans="34:39" x14ac:dyDescent="0.35">
      <c r="AH3155" s="21"/>
      <c r="AI3155" s="21"/>
      <c r="AJ3155" s="21"/>
      <c r="AK3155" s="21"/>
      <c r="AM3155" s="26" t="s">
        <v>38</v>
      </c>
    </row>
    <row r="3156" spans="34:39" x14ac:dyDescent="0.35">
      <c r="AH3156" s="21"/>
      <c r="AI3156" s="21"/>
      <c r="AJ3156" s="21"/>
      <c r="AK3156" s="21"/>
      <c r="AM3156" s="26" t="s">
        <v>38</v>
      </c>
    </row>
    <row r="3157" spans="34:39" x14ac:dyDescent="0.35">
      <c r="AH3157" s="21"/>
      <c r="AI3157" s="21"/>
      <c r="AJ3157" s="21"/>
      <c r="AK3157" s="21"/>
      <c r="AM3157" s="26" t="s">
        <v>38</v>
      </c>
    </row>
    <row r="3158" spans="34:39" x14ac:dyDescent="0.35">
      <c r="AH3158" s="21"/>
      <c r="AI3158" s="21"/>
      <c r="AJ3158" s="21"/>
      <c r="AK3158" s="21"/>
      <c r="AM3158" s="26" t="s">
        <v>38</v>
      </c>
    </row>
    <row r="3159" spans="34:39" x14ac:dyDescent="0.35">
      <c r="AH3159" s="21"/>
      <c r="AI3159" s="21"/>
      <c r="AJ3159" s="21"/>
      <c r="AK3159" s="21"/>
      <c r="AM3159" s="26" t="s">
        <v>38</v>
      </c>
    </row>
    <row r="3160" spans="34:39" x14ac:dyDescent="0.35">
      <c r="AH3160" s="21"/>
      <c r="AI3160" s="21"/>
      <c r="AJ3160" s="21"/>
      <c r="AK3160" s="21"/>
      <c r="AM3160" s="26" t="s">
        <v>38</v>
      </c>
    </row>
    <row r="3161" spans="34:39" x14ac:dyDescent="0.35">
      <c r="AH3161" s="21"/>
      <c r="AI3161" s="21"/>
      <c r="AJ3161" s="21"/>
      <c r="AK3161" s="21"/>
      <c r="AM3161" s="26" t="s">
        <v>38</v>
      </c>
    </row>
    <row r="3162" spans="34:39" x14ac:dyDescent="0.35">
      <c r="AH3162" s="21"/>
      <c r="AI3162" s="21"/>
      <c r="AJ3162" s="21"/>
      <c r="AK3162" s="21"/>
      <c r="AM3162" s="26" t="s">
        <v>38</v>
      </c>
    </row>
    <row r="3163" spans="34:39" x14ac:dyDescent="0.35">
      <c r="AH3163" s="21"/>
      <c r="AI3163" s="21"/>
      <c r="AJ3163" s="21"/>
      <c r="AK3163" s="21"/>
      <c r="AM3163" s="26" t="s">
        <v>38</v>
      </c>
    </row>
    <row r="3164" spans="34:39" x14ac:dyDescent="0.35">
      <c r="AH3164" s="21"/>
      <c r="AI3164" s="21"/>
      <c r="AJ3164" s="21"/>
      <c r="AK3164" s="21"/>
      <c r="AM3164" s="26" t="s">
        <v>38</v>
      </c>
    </row>
    <row r="3165" spans="34:39" x14ac:dyDescent="0.35">
      <c r="AH3165" s="21"/>
      <c r="AI3165" s="21"/>
      <c r="AJ3165" s="21"/>
      <c r="AK3165" s="21"/>
      <c r="AM3165" s="26" t="s">
        <v>38</v>
      </c>
    </row>
    <row r="3166" spans="34:39" x14ac:dyDescent="0.35">
      <c r="AH3166" s="21"/>
      <c r="AI3166" s="21"/>
      <c r="AJ3166" s="21"/>
      <c r="AK3166" s="21"/>
      <c r="AM3166" s="26" t="s">
        <v>38</v>
      </c>
    </row>
    <row r="3167" spans="34:39" x14ac:dyDescent="0.35">
      <c r="AH3167" s="21"/>
      <c r="AI3167" s="21"/>
      <c r="AJ3167" s="21"/>
      <c r="AK3167" s="21"/>
      <c r="AM3167" s="26" t="s">
        <v>38</v>
      </c>
    </row>
    <row r="3168" spans="34:39" x14ac:dyDescent="0.35">
      <c r="AH3168" s="21"/>
      <c r="AI3168" s="21"/>
      <c r="AJ3168" s="21"/>
      <c r="AK3168" s="21"/>
      <c r="AM3168" s="26" t="s">
        <v>38</v>
      </c>
    </row>
    <row r="3169" spans="1:40" x14ac:dyDescent="0.35">
      <c r="AH3169" s="21"/>
      <c r="AI3169" s="21"/>
      <c r="AJ3169" s="21"/>
      <c r="AK3169" s="21"/>
      <c r="AM3169" s="26" t="s">
        <v>38</v>
      </c>
    </row>
    <row r="3170" spans="1:40" x14ac:dyDescent="0.35">
      <c r="AH3170" s="21"/>
      <c r="AI3170" s="21"/>
      <c r="AJ3170" s="21"/>
      <c r="AK3170" s="21"/>
      <c r="AM3170" s="26" t="s">
        <v>38</v>
      </c>
    </row>
    <row r="3171" spans="1:40" x14ac:dyDescent="0.35">
      <c r="AH3171" s="21"/>
      <c r="AI3171" s="21"/>
      <c r="AJ3171" s="21"/>
      <c r="AK3171" s="21"/>
      <c r="AM3171" s="26" t="s">
        <v>38</v>
      </c>
    </row>
    <row r="3172" spans="1:40" x14ac:dyDescent="0.35">
      <c r="AH3172" s="21"/>
      <c r="AI3172" s="21"/>
      <c r="AJ3172" s="21"/>
      <c r="AK3172" s="21"/>
      <c r="AM3172" s="26" t="s">
        <v>38</v>
      </c>
    </row>
    <row r="3173" spans="1:40" x14ac:dyDescent="0.35">
      <c r="AH3173" s="21"/>
      <c r="AI3173" s="21"/>
      <c r="AJ3173" s="21"/>
      <c r="AK3173" s="21"/>
      <c r="AM3173" s="26" t="s">
        <v>38</v>
      </c>
    </row>
    <row r="3174" spans="1:40" x14ac:dyDescent="0.35">
      <c r="AH3174" s="21"/>
      <c r="AI3174" s="21"/>
      <c r="AJ3174" s="21"/>
      <c r="AK3174" s="21"/>
      <c r="AM3174" s="26" t="s">
        <v>38</v>
      </c>
    </row>
    <row r="3175" spans="1:40" x14ac:dyDescent="0.35">
      <c r="AH3175" s="21"/>
      <c r="AI3175" s="21"/>
      <c r="AJ3175" s="21"/>
      <c r="AK3175" s="21"/>
      <c r="AM3175" s="26" t="s">
        <v>38</v>
      </c>
    </row>
    <row r="3176" spans="1:40" x14ac:dyDescent="0.35">
      <c r="AH3176" s="21"/>
      <c r="AI3176" s="21"/>
      <c r="AJ3176" s="21"/>
      <c r="AK3176" s="21"/>
      <c r="AM3176" s="26" t="s">
        <v>38</v>
      </c>
    </row>
    <row r="3177" spans="1:40" x14ac:dyDescent="0.35">
      <c r="AH3177" s="21"/>
      <c r="AI3177" s="21"/>
      <c r="AJ3177" s="21"/>
      <c r="AK3177" s="21"/>
      <c r="AM3177" s="26" t="s">
        <v>38</v>
      </c>
    </row>
    <row r="3178" spans="1:40" x14ac:dyDescent="0.35">
      <c r="AH3178" s="21"/>
      <c r="AI3178" s="21"/>
      <c r="AJ3178" s="21"/>
      <c r="AK3178" s="21"/>
      <c r="AM3178" s="26" t="s">
        <v>38</v>
      </c>
    </row>
    <row r="3179" spans="1:40" x14ac:dyDescent="0.35">
      <c r="AH3179" s="21"/>
      <c r="AI3179" s="21"/>
      <c r="AJ3179" s="21"/>
      <c r="AK3179" s="21"/>
      <c r="AM3179" s="26" t="s">
        <v>38</v>
      </c>
    </row>
    <row r="3180" spans="1:40" x14ac:dyDescent="0.35">
      <c r="AH3180" s="21"/>
      <c r="AI3180" s="21"/>
      <c r="AJ3180" s="21"/>
      <c r="AK3180" s="21"/>
      <c r="AM3180" s="26" t="s">
        <v>38</v>
      </c>
    </row>
    <row r="3181" spans="1:40" x14ac:dyDescent="0.35">
      <c r="AH3181" s="21"/>
      <c r="AI3181" s="21"/>
      <c r="AJ3181" s="21"/>
      <c r="AK3181" s="21"/>
      <c r="AM3181" s="26" t="s">
        <v>38</v>
      </c>
    </row>
    <row r="3182" spans="1:40" s="85" customFormat="1" x14ac:dyDescent="0.35">
      <c r="A3182"/>
      <c r="B3182"/>
      <c r="C3182"/>
      <c r="D3182"/>
      <c r="E3182"/>
      <c r="F3182"/>
      <c r="G3182"/>
      <c r="H3182"/>
      <c r="I3182"/>
      <c r="J3182"/>
      <c r="K3182"/>
      <c r="L3182"/>
      <c r="M3182"/>
      <c r="N3182"/>
      <c r="O3182"/>
      <c r="P3182"/>
      <c r="Q3182"/>
      <c r="R3182"/>
      <c r="S3182"/>
      <c r="T3182"/>
      <c r="U3182"/>
      <c r="V3182"/>
      <c r="W3182"/>
      <c r="X3182"/>
      <c r="Y3182"/>
      <c r="Z3182"/>
      <c r="AA3182"/>
      <c r="AB3182"/>
      <c r="AC3182"/>
      <c r="AD3182"/>
      <c r="AE3182"/>
      <c r="AF3182"/>
      <c r="AG3182"/>
      <c r="AH3182" s="21"/>
      <c r="AI3182" s="21"/>
      <c r="AJ3182" s="21"/>
      <c r="AK3182" s="21"/>
      <c r="AL3182"/>
      <c r="AM3182" s="26" t="s">
        <v>38</v>
      </c>
      <c r="AN3182"/>
    </row>
    <row r="3183" spans="1:40" x14ac:dyDescent="0.35">
      <c r="AH3183" s="21"/>
      <c r="AI3183" s="21"/>
      <c r="AJ3183" s="21"/>
      <c r="AK3183" s="21"/>
      <c r="AM3183" s="26" t="s">
        <v>38</v>
      </c>
    </row>
    <row r="3184" spans="1:40" x14ac:dyDescent="0.35">
      <c r="AH3184" s="21"/>
      <c r="AI3184" s="21"/>
      <c r="AJ3184" s="21"/>
      <c r="AK3184" s="21"/>
      <c r="AM3184" s="26" t="s">
        <v>38</v>
      </c>
    </row>
    <row r="3185" spans="34:39" x14ac:dyDescent="0.35">
      <c r="AH3185" s="21"/>
      <c r="AI3185" s="21"/>
      <c r="AJ3185" s="21"/>
      <c r="AK3185" s="21"/>
      <c r="AM3185" s="26" t="s">
        <v>38</v>
      </c>
    </row>
    <row r="3186" spans="34:39" x14ac:dyDescent="0.35">
      <c r="AH3186" s="21"/>
      <c r="AI3186" s="21"/>
      <c r="AJ3186" s="21"/>
      <c r="AK3186" s="21"/>
      <c r="AM3186" s="26" t="s">
        <v>38</v>
      </c>
    </row>
    <row r="3187" spans="34:39" x14ac:dyDescent="0.35">
      <c r="AH3187" s="21"/>
      <c r="AI3187" s="21"/>
      <c r="AJ3187" s="21"/>
      <c r="AK3187" s="21"/>
      <c r="AM3187" s="26" t="s">
        <v>38</v>
      </c>
    </row>
    <row r="3188" spans="34:39" x14ac:dyDescent="0.35">
      <c r="AH3188" s="21"/>
      <c r="AI3188" s="21"/>
      <c r="AJ3188" s="21"/>
      <c r="AK3188" s="21"/>
      <c r="AM3188" s="26" t="s">
        <v>38</v>
      </c>
    </row>
    <row r="3189" spans="34:39" x14ac:dyDescent="0.35">
      <c r="AH3189" s="21"/>
      <c r="AI3189" s="21"/>
      <c r="AJ3189" s="21"/>
      <c r="AK3189" s="21"/>
      <c r="AM3189" s="26" t="s">
        <v>38</v>
      </c>
    </row>
    <row r="3190" spans="34:39" x14ac:dyDescent="0.35">
      <c r="AH3190" s="21"/>
      <c r="AI3190" s="21"/>
      <c r="AJ3190" s="21"/>
      <c r="AK3190" s="21"/>
      <c r="AM3190" s="26" t="s">
        <v>38</v>
      </c>
    </row>
    <row r="3191" spans="34:39" x14ac:dyDescent="0.35">
      <c r="AH3191" s="21"/>
      <c r="AI3191" s="21"/>
      <c r="AJ3191" s="21"/>
      <c r="AK3191" s="21"/>
      <c r="AM3191" s="26" t="s">
        <v>38</v>
      </c>
    </row>
    <row r="3192" spans="34:39" x14ac:dyDescent="0.35">
      <c r="AH3192" s="21"/>
      <c r="AI3192" s="21"/>
      <c r="AJ3192" s="21"/>
      <c r="AK3192" s="21"/>
      <c r="AM3192" s="26" t="s">
        <v>38</v>
      </c>
    </row>
    <row r="3193" spans="34:39" x14ac:dyDescent="0.35">
      <c r="AH3193" s="21"/>
      <c r="AI3193" s="21"/>
      <c r="AJ3193" s="21"/>
      <c r="AK3193" s="21"/>
      <c r="AM3193" s="26" t="s">
        <v>38</v>
      </c>
    </row>
    <row r="3194" spans="34:39" x14ac:dyDescent="0.35">
      <c r="AH3194" s="21"/>
      <c r="AI3194" s="21"/>
      <c r="AJ3194" s="21"/>
      <c r="AK3194" s="21"/>
      <c r="AM3194" s="26" t="s">
        <v>38</v>
      </c>
    </row>
    <row r="3195" spans="34:39" x14ac:dyDescent="0.35">
      <c r="AH3195" s="21"/>
      <c r="AI3195" s="21"/>
      <c r="AJ3195" s="21"/>
      <c r="AK3195" s="21"/>
      <c r="AM3195" s="26" t="s">
        <v>38</v>
      </c>
    </row>
    <row r="3196" spans="34:39" x14ac:dyDescent="0.35">
      <c r="AH3196" s="21"/>
      <c r="AI3196" s="21"/>
      <c r="AJ3196" s="21"/>
      <c r="AK3196" s="21"/>
      <c r="AM3196" s="26" t="s">
        <v>38</v>
      </c>
    </row>
    <row r="3197" spans="34:39" x14ac:dyDescent="0.35">
      <c r="AH3197" s="21"/>
      <c r="AI3197" s="21"/>
      <c r="AJ3197" s="21"/>
      <c r="AK3197" s="21"/>
      <c r="AM3197" s="26" t="s">
        <v>38</v>
      </c>
    </row>
    <row r="3198" spans="34:39" x14ac:dyDescent="0.35">
      <c r="AH3198" s="21"/>
      <c r="AI3198" s="21"/>
      <c r="AJ3198" s="21"/>
      <c r="AK3198" s="21"/>
      <c r="AM3198" s="26" t="s">
        <v>38</v>
      </c>
    </row>
    <row r="3199" spans="34:39" x14ac:dyDescent="0.35">
      <c r="AH3199" s="21"/>
      <c r="AI3199" s="21"/>
      <c r="AJ3199" s="21"/>
      <c r="AK3199" s="21"/>
      <c r="AM3199" s="26" t="s">
        <v>38</v>
      </c>
    </row>
    <row r="3200" spans="34:39" x14ac:dyDescent="0.35">
      <c r="AH3200" s="21"/>
      <c r="AI3200" s="21"/>
      <c r="AJ3200" s="21"/>
      <c r="AK3200" s="21"/>
      <c r="AM3200" s="26" t="s">
        <v>38</v>
      </c>
    </row>
    <row r="3201" spans="34:39" x14ac:dyDescent="0.35">
      <c r="AH3201" s="21"/>
      <c r="AI3201" s="21"/>
      <c r="AJ3201" s="21"/>
      <c r="AK3201" s="21"/>
      <c r="AM3201" s="26" t="s">
        <v>38</v>
      </c>
    </row>
    <row r="3202" spans="34:39" x14ac:dyDescent="0.35">
      <c r="AH3202" s="21"/>
      <c r="AI3202" s="21"/>
      <c r="AJ3202" s="21"/>
      <c r="AK3202" s="21"/>
      <c r="AM3202" s="26" t="s">
        <v>38</v>
      </c>
    </row>
    <row r="3203" spans="34:39" x14ac:dyDescent="0.35">
      <c r="AH3203" s="21"/>
      <c r="AI3203" s="21"/>
      <c r="AJ3203" s="21"/>
      <c r="AK3203" s="21"/>
      <c r="AM3203" s="26" t="s">
        <v>38</v>
      </c>
    </row>
    <row r="3204" spans="34:39" x14ac:dyDescent="0.35">
      <c r="AH3204" s="21"/>
      <c r="AI3204" s="21"/>
      <c r="AJ3204" s="21"/>
      <c r="AK3204" s="21"/>
      <c r="AM3204" s="26" t="s">
        <v>38</v>
      </c>
    </row>
    <row r="3205" spans="34:39" x14ac:dyDescent="0.35">
      <c r="AH3205" s="21"/>
      <c r="AI3205" s="21"/>
      <c r="AJ3205" s="21"/>
      <c r="AK3205" s="21"/>
      <c r="AM3205" s="26" t="s">
        <v>38</v>
      </c>
    </row>
    <row r="3206" spans="34:39" x14ac:dyDescent="0.35">
      <c r="AH3206" s="21"/>
      <c r="AI3206" s="21"/>
      <c r="AJ3206" s="21"/>
      <c r="AK3206" s="21"/>
      <c r="AM3206" s="26" t="s">
        <v>38</v>
      </c>
    </row>
    <row r="3207" spans="34:39" x14ac:dyDescent="0.35">
      <c r="AH3207" s="21"/>
      <c r="AI3207" s="21"/>
      <c r="AJ3207" s="21"/>
      <c r="AK3207" s="21"/>
      <c r="AM3207" s="26" t="s">
        <v>38</v>
      </c>
    </row>
    <row r="3208" spans="34:39" x14ac:dyDescent="0.35">
      <c r="AH3208" s="21"/>
      <c r="AI3208" s="21"/>
      <c r="AJ3208" s="21"/>
      <c r="AK3208" s="21"/>
      <c r="AM3208" s="26" t="s">
        <v>38</v>
      </c>
    </row>
    <row r="3209" spans="34:39" x14ac:dyDescent="0.35">
      <c r="AH3209" s="21"/>
      <c r="AI3209" s="21"/>
      <c r="AJ3209" s="21"/>
      <c r="AK3209" s="21"/>
      <c r="AM3209" s="26" t="s">
        <v>38</v>
      </c>
    </row>
    <row r="3210" spans="34:39" x14ac:dyDescent="0.35">
      <c r="AH3210" s="21"/>
      <c r="AI3210" s="21"/>
      <c r="AJ3210" s="21"/>
      <c r="AK3210" s="21"/>
      <c r="AM3210" s="26" t="s">
        <v>38</v>
      </c>
    </row>
    <row r="3211" spans="34:39" x14ac:dyDescent="0.35">
      <c r="AH3211" s="21"/>
      <c r="AI3211" s="21"/>
      <c r="AJ3211" s="21"/>
      <c r="AK3211" s="21"/>
      <c r="AM3211" s="26" t="s">
        <v>38</v>
      </c>
    </row>
    <row r="3212" spans="34:39" x14ac:dyDescent="0.35">
      <c r="AH3212" s="21"/>
      <c r="AI3212" s="21"/>
      <c r="AJ3212" s="21"/>
      <c r="AK3212" s="21"/>
      <c r="AM3212" s="26" t="s">
        <v>38</v>
      </c>
    </row>
    <row r="3213" spans="34:39" x14ac:dyDescent="0.35">
      <c r="AH3213" s="21"/>
      <c r="AI3213" s="21"/>
      <c r="AJ3213" s="21"/>
      <c r="AK3213" s="21"/>
      <c r="AM3213" s="26" t="s">
        <v>38</v>
      </c>
    </row>
    <row r="3214" spans="34:39" x14ac:dyDescent="0.35">
      <c r="AH3214" s="21"/>
      <c r="AI3214" s="21"/>
      <c r="AJ3214" s="21"/>
      <c r="AK3214" s="21"/>
      <c r="AM3214" s="26" t="s">
        <v>38</v>
      </c>
    </row>
    <row r="3215" spans="34:39" x14ac:dyDescent="0.35">
      <c r="AH3215" s="21"/>
      <c r="AI3215" s="21"/>
      <c r="AJ3215" s="21"/>
      <c r="AK3215" s="21"/>
      <c r="AM3215" s="26" t="s">
        <v>38</v>
      </c>
    </row>
    <row r="3216" spans="34:39" x14ac:dyDescent="0.35">
      <c r="AH3216" s="21"/>
      <c r="AI3216" s="21"/>
      <c r="AJ3216" s="21"/>
      <c r="AK3216" s="21"/>
      <c r="AM3216" s="26" t="s">
        <v>38</v>
      </c>
    </row>
    <row r="3217" spans="34:39" x14ac:dyDescent="0.35">
      <c r="AH3217" s="21"/>
      <c r="AI3217" s="21"/>
      <c r="AJ3217" s="21"/>
      <c r="AK3217" s="21"/>
      <c r="AM3217" s="26" t="s">
        <v>38</v>
      </c>
    </row>
    <row r="3218" spans="34:39" x14ac:dyDescent="0.35">
      <c r="AH3218" s="21"/>
      <c r="AI3218" s="21"/>
      <c r="AJ3218" s="21"/>
      <c r="AK3218" s="21"/>
      <c r="AM3218" s="26" t="s">
        <v>38</v>
      </c>
    </row>
    <row r="3219" spans="34:39" x14ac:dyDescent="0.35">
      <c r="AH3219" s="21"/>
      <c r="AI3219" s="21"/>
      <c r="AJ3219" s="21"/>
      <c r="AK3219" s="21"/>
      <c r="AM3219" s="26" t="s">
        <v>38</v>
      </c>
    </row>
    <row r="3220" spans="34:39" x14ac:dyDescent="0.35">
      <c r="AH3220" s="21"/>
      <c r="AI3220" s="21"/>
      <c r="AJ3220" s="21"/>
      <c r="AK3220" s="21"/>
      <c r="AM3220" s="26" t="s">
        <v>38</v>
      </c>
    </row>
    <row r="3221" spans="34:39" x14ac:dyDescent="0.35">
      <c r="AH3221" s="21"/>
      <c r="AI3221" s="21"/>
      <c r="AJ3221" s="21"/>
      <c r="AK3221" s="21"/>
      <c r="AM3221" s="26" t="s">
        <v>38</v>
      </c>
    </row>
    <row r="3222" spans="34:39" x14ac:dyDescent="0.35">
      <c r="AH3222" s="21"/>
      <c r="AI3222" s="21"/>
      <c r="AJ3222" s="21"/>
      <c r="AK3222" s="21"/>
      <c r="AM3222" s="26" t="s">
        <v>38</v>
      </c>
    </row>
    <row r="3223" spans="34:39" x14ac:dyDescent="0.35">
      <c r="AH3223" s="21"/>
      <c r="AI3223" s="21"/>
      <c r="AJ3223" s="21"/>
      <c r="AK3223" s="21"/>
      <c r="AM3223" s="26" t="s">
        <v>38</v>
      </c>
    </row>
    <row r="3224" spans="34:39" x14ac:dyDescent="0.35">
      <c r="AH3224" s="21"/>
      <c r="AI3224" s="21"/>
      <c r="AJ3224" s="21"/>
      <c r="AK3224" s="21"/>
      <c r="AM3224" s="26" t="s">
        <v>38</v>
      </c>
    </row>
    <row r="3225" spans="34:39" x14ac:dyDescent="0.35">
      <c r="AH3225" s="21"/>
      <c r="AI3225" s="21"/>
      <c r="AJ3225" s="21"/>
      <c r="AK3225" s="21"/>
      <c r="AM3225" s="26" t="s">
        <v>38</v>
      </c>
    </row>
    <row r="3226" spans="34:39" x14ac:dyDescent="0.35">
      <c r="AH3226" s="21"/>
      <c r="AI3226" s="21"/>
      <c r="AJ3226" s="21"/>
      <c r="AK3226" s="21"/>
      <c r="AM3226" s="26" t="s">
        <v>38</v>
      </c>
    </row>
    <row r="3227" spans="34:39" x14ac:dyDescent="0.35">
      <c r="AH3227" s="21"/>
      <c r="AI3227" s="21"/>
      <c r="AJ3227" s="21"/>
      <c r="AK3227" s="21"/>
      <c r="AM3227" s="26" t="s">
        <v>38</v>
      </c>
    </row>
    <row r="3228" spans="34:39" x14ac:dyDescent="0.35">
      <c r="AH3228" s="21"/>
      <c r="AI3228" s="21"/>
      <c r="AJ3228" s="21"/>
      <c r="AK3228" s="21"/>
      <c r="AM3228" s="26" t="s">
        <v>38</v>
      </c>
    </row>
    <row r="3229" spans="34:39" x14ac:dyDescent="0.35">
      <c r="AH3229" s="21"/>
      <c r="AI3229" s="21"/>
      <c r="AJ3229" s="21"/>
      <c r="AK3229" s="21"/>
      <c r="AM3229" s="26" t="s">
        <v>38</v>
      </c>
    </row>
    <row r="3230" spans="34:39" x14ac:dyDescent="0.35">
      <c r="AH3230" s="21"/>
      <c r="AI3230" s="21"/>
      <c r="AJ3230" s="21"/>
      <c r="AK3230" s="21"/>
      <c r="AM3230" s="26" t="s">
        <v>38</v>
      </c>
    </row>
    <row r="3231" spans="34:39" x14ac:dyDescent="0.35">
      <c r="AH3231" s="21"/>
      <c r="AI3231" s="21"/>
      <c r="AJ3231" s="21"/>
      <c r="AK3231" s="21"/>
      <c r="AM3231" s="26" t="s">
        <v>38</v>
      </c>
    </row>
    <row r="3232" spans="34:39" x14ac:dyDescent="0.35">
      <c r="AH3232" s="21"/>
      <c r="AI3232" s="21"/>
      <c r="AJ3232" s="21"/>
      <c r="AK3232" s="21"/>
      <c r="AM3232" s="26" t="s">
        <v>38</v>
      </c>
    </row>
    <row r="3233" spans="34:39" x14ac:dyDescent="0.35">
      <c r="AH3233" s="21"/>
      <c r="AI3233" s="21"/>
      <c r="AJ3233" s="21"/>
      <c r="AK3233" s="21"/>
      <c r="AM3233" s="26" t="s">
        <v>38</v>
      </c>
    </row>
    <row r="3234" spans="34:39" x14ac:dyDescent="0.35">
      <c r="AH3234" s="21"/>
      <c r="AI3234" s="21"/>
      <c r="AJ3234" s="21"/>
      <c r="AK3234" s="21"/>
      <c r="AM3234" s="26" t="s">
        <v>38</v>
      </c>
    </row>
    <row r="3235" spans="34:39" x14ac:dyDescent="0.35">
      <c r="AH3235" s="21"/>
      <c r="AI3235" s="21"/>
      <c r="AJ3235" s="21"/>
      <c r="AK3235" s="21"/>
      <c r="AM3235" s="26" t="s">
        <v>38</v>
      </c>
    </row>
    <row r="3236" spans="34:39" x14ac:dyDescent="0.35">
      <c r="AH3236" s="21"/>
      <c r="AI3236" s="21"/>
      <c r="AJ3236" s="21"/>
      <c r="AK3236" s="21"/>
      <c r="AM3236" s="26" t="s">
        <v>38</v>
      </c>
    </row>
    <row r="3237" spans="34:39" x14ac:dyDescent="0.35">
      <c r="AH3237" s="21"/>
      <c r="AI3237" s="21"/>
      <c r="AJ3237" s="21"/>
      <c r="AK3237" s="21"/>
      <c r="AM3237" s="26" t="s">
        <v>38</v>
      </c>
    </row>
    <row r="3238" spans="34:39" x14ac:dyDescent="0.35">
      <c r="AH3238" s="21"/>
      <c r="AI3238" s="21"/>
      <c r="AJ3238" s="21"/>
      <c r="AK3238" s="21"/>
      <c r="AM3238" s="26" t="s">
        <v>38</v>
      </c>
    </row>
    <row r="3239" spans="34:39" x14ac:dyDescent="0.35">
      <c r="AH3239" s="21"/>
      <c r="AI3239" s="21"/>
      <c r="AJ3239" s="21"/>
      <c r="AK3239" s="21"/>
      <c r="AM3239" s="26" t="s">
        <v>38</v>
      </c>
    </row>
    <row r="3240" spans="34:39" x14ac:dyDescent="0.35">
      <c r="AH3240" s="21"/>
      <c r="AI3240" s="21"/>
      <c r="AJ3240" s="21"/>
      <c r="AK3240" s="21"/>
      <c r="AM3240" s="26" t="s">
        <v>38</v>
      </c>
    </row>
    <row r="3241" spans="34:39" x14ac:dyDescent="0.35">
      <c r="AH3241" s="21"/>
      <c r="AI3241" s="21"/>
      <c r="AJ3241" s="21"/>
      <c r="AK3241" s="21"/>
      <c r="AM3241" s="26" t="s">
        <v>38</v>
      </c>
    </row>
    <row r="3242" spans="34:39" x14ac:dyDescent="0.35">
      <c r="AH3242" s="21"/>
      <c r="AI3242" s="21"/>
      <c r="AJ3242" s="21"/>
      <c r="AK3242" s="21"/>
      <c r="AM3242" s="26" t="s">
        <v>38</v>
      </c>
    </row>
    <row r="3243" spans="34:39" x14ac:dyDescent="0.35">
      <c r="AH3243" s="21"/>
      <c r="AI3243" s="21"/>
      <c r="AJ3243" s="21"/>
      <c r="AK3243" s="21"/>
      <c r="AM3243" s="26" t="s">
        <v>38</v>
      </c>
    </row>
    <row r="3244" spans="34:39" x14ac:dyDescent="0.35">
      <c r="AH3244" s="21"/>
      <c r="AI3244" s="21"/>
      <c r="AJ3244" s="21"/>
      <c r="AK3244" s="21"/>
      <c r="AM3244" s="26" t="s">
        <v>38</v>
      </c>
    </row>
    <row r="3245" spans="34:39" x14ac:dyDescent="0.35">
      <c r="AH3245" s="21"/>
      <c r="AI3245" s="21"/>
      <c r="AJ3245" s="21"/>
      <c r="AK3245" s="21"/>
      <c r="AM3245" s="26" t="s">
        <v>38</v>
      </c>
    </row>
    <row r="3246" spans="34:39" x14ac:dyDescent="0.35">
      <c r="AH3246" s="21"/>
      <c r="AI3246" s="21"/>
      <c r="AJ3246" s="21"/>
      <c r="AK3246" s="21"/>
      <c r="AM3246" s="26" t="s">
        <v>38</v>
      </c>
    </row>
    <row r="3247" spans="34:39" x14ac:dyDescent="0.35">
      <c r="AH3247" s="21"/>
      <c r="AI3247" s="21"/>
      <c r="AJ3247" s="21"/>
      <c r="AK3247" s="21"/>
      <c r="AM3247" s="26" t="s">
        <v>38</v>
      </c>
    </row>
    <row r="3248" spans="34:39" x14ac:dyDescent="0.35">
      <c r="AH3248" s="21"/>
      <c r="AI3248" s="21"/>
      <c r="AJ3248" s="21"/>
      <c r="AK3248" s="21"/>
      <c r="AM3248" s="26" t="s">
        <v>38</v>
      </c>
    </row>
    <row r="3249" spans="34:39" x14ac:dyDescent="0.35">
      <c r="AH3249" s="21"/>
      <c r="AI3249" s="21"/>
      <c r="AJ3249" s="21"/>
      <c r="AK3249" s="21"/>
      <c r="AM3249" s="26" t="s">
        <v>38</v>
      </c>
    </row>
    <row r="3250" spans="34:39" x14ac:dyDescent="0.35">
      <c r="AH3250" s="21"/>
      <c r="AI3250" s="21"/>
      <c r="AJ3250" s="21"/>
      <c r="AK3250" s="21"/>
      <c r="AM3250" s="26" t="s">
        <v>38</v>
      </c>
    </row>
    <row r="3251" spans="34:39" x14ac:dyDescent="0.35">
      <c r="AH3251" s="21"/>
      <c r="AI3251" s="21"/>
      <c r="AJ3251" s="21"/>
      <c r="AK3251" s="21"/>
      <c r="AM3251" s="26" t="s">
        <v>38</v>
      </c>
    </row>
    <row r="3252" spans="34:39" x14ac:dyDescent="0.35">
      <c r="AH3252" s="21"/>
      <c r="AI3252" s="21"/>
      <c r="AJ3252" s="21"/>
      <c r="AK3252" s="21"/>
      <c r="AM3252" s="26" t="s">
        <v>38</v>
      </c>
    </row>
    <row r="3253" spans="34:39" x14ac:dyDescent="0.35">
      <c r="AH3253" s="21"/>
      <c r="AI3253" s="21"/>
      <c r="AJ3253" s="21"/>
      <c r="AK3253" s="21"/>
      <c r="AM3253" s="26" t="s">
        <v>38</v>
      </c>
    </row>
    <row r="3254" spans="34:39" x14ac:dyDescent="0.35">
      <c r="AH3254" s="21"/>
      <c r="AI3254" s="21"/>
      <c r="AJ3254" s="21"/>
      <c r="AK3254" s="21"/>
      <c r="AM3254" s="26" t="s">
        <v>38</v>
      </c>
    </row>
    <row r="3255" spans="34:39" x14ac:dyDescent="0.35">
      <c r="AH3255" s="21"/>
      <c r="AI3255" s="21"/>
      <c r="AJ3255" s="21"/>
      <c r="AK3255" s="21"/>
      <c r="AM3255" s="26" t="s">
        <v>38</v>
      </c>
    </row>
    <row r="3256" spans="34:39" x14ac:dyDescent="0.35">
      <c r="AH3256" s="21"/>
      <c r="AI3256" s="21"/>
      <c r="AJ3256" s="21"/>
      <c r="AK3256" s="21"/>
      <c r="AM3256" s="26" t="s">
        <v>38</v>
      </c>
    </row>
    <row r="3257" spans="34:39" x14ac:dyDescent="0.35">
      <c r="AH3257" s="21"/>
      <c r="AI3257" s="21"/>
      <c r="AJ3257" s="21"/>
      <c r="AK3257" s="21"/>
      <c r="AM3257" s="26" t="s">
        <v>38</v>
      </c>
    </row>
    <row r="3258" spans="34:39" x14ac:dyDescent="0.35">
      <c r="AH3258" s="21"/>
      <c r="AI3258" s="21"/>
      <c r="AJ3258" s="21"/>
      <c r="AK3258" s="21"/>
      <c r="AM3258" s="26" t="s">
        <v>38</v>
      </c>
    </row>
    <row r="3259" spans="34:39" x14ac:dyDescent="0.35">
      <c r="AH3259" s="21"/>
      <c r="AI3259" s="21"/>
      <c r="AJ3259" s="21"/>
      <c r="AK3259" s="21"/>
      <c r="AM3259" s="26" t="s">
        <v>38</v>
      </c>
    </row>
    <row r="3260" spans="34:39" x14ac:dyDescent="0.35">
      <c r="AH3260" s="21"/>
      <c r="AI3260" s="21"/>
      <c r="AJ3260" s="21"/>
      <c r="AK3260" s="21"/>
      <c r="AM3260" s="26" t="s">
        <v>38</v>
      </c>
    </row>
    <row r="3261" spans="34:39" x14ac:dyDescent="0.35">
      <c r="AH3261" s="21"/>
      <c r="AI3261" s="21"/>
      <c r="AJ3261" s="21"/>
      <c r="AK3261" s="21"/>
      <c r="AM3261" s="26" t="s">
        <v>38</v>
      </c>
    </row>
    <row r="3262" spans="34:39" x14ac:dyDescent="0.35">
      <c r="AH3262" s="21"/>
      <c r="AI3262" s="21"/>
      <c r="AJ3262" s="21"/>
      <c r="AK3262" s="21"/>
      <c r="AM3262" s="26" t="s">
        <v>38</v>
      </c>
    </row>
    <row r="3263" spans="34:39" x14ac:dyDescent="0.35">
      <c r="AH3263" s="21"/>
      <c r="AI3263" s="21"/>
      <c r="AJ3263" s="21"/>
      <c r="AK3263" s="21"/>
      <c r="AM3263" s="26" t="s">
        <v>38</v>
      </c>
    </row>
    <row r="3264" spans="34:39" x14ac:dyDescent="0.35">
      <c r="AH3264" s="21"/>
      <c r="AI3264" s="21"/>
      <c r="AJ3264" s="21"/>
      <c r="AK3264" s="21"/>
      <c r="AM3264" s="26" t="s">
        <v>38</v>
      </c>
    </row>
    <row r="3265" spans="34:39" x14ac:dyDescent="0.35">
      <c r="AH3265" s="21"/>
      <c r="AI3265" s="21"/>
      <c r="AJ3265" s="21"/>
      <c r="AK3265" s="21"/>
      <c r="AM3265" s="26" t="s">
        <v>38</v>
      </c>
    </row>
    <row r="3266" spans="34:39" x14ac:dyDescent="0.35">
      <c r="AH3266" s="21"/>
      <c r="AI3266" s="21"/>
      <c r="AJ3266" s="21"/>
      <c r="AK3266" s="21"/>
      <c r="AM3266" s="26" t="s">
        <v>38</v>
      </c>
    </row>
    <row r="3267" spans="34:39" x14ac:dyDescent="0.35">
      <c r="AH3267" s="21"/>
      <c r="AI3267" s="21"/>
      <c r="AJ3267" s="21"/>
      <c r="AK3267" s="21"/>
      <c r="AM3267" s="26" t="s">
        <v>38</v>
      </c>
    </row>
    <row r="3268" spans="34:39" x14ac:dyDescent="0.35">
      <c r="AH3268" s="21"/>
      <c r="AI3268" s="21"/>
      <c r="AJ3268" s="21"/>
      <c r="AK3268" s="21"/>
      <c r="AM3268" s="26" t="s">
        <v>38</v>
      </c>
    </row>
    <row r="3269" spans="34:39" x14ac:dyDescent="0.35">
      <c r="AH3269" s="21"/>
      <c r="AI3269" s="21"/>
      <c r="AJ3269" s="21"/>
      <c r="AK3269" s="21"/>
      <c r="AM3269" s="26" t="s">
        <v>38</v>
      </c>
    </row>
    <row r="3270" spans="34:39" x14ac:dyDescent="0.35">
      <c r="AH3270" s="21"/>
      <c r="AI3270" s="21"/>
      <c r="AJ3270" s="21"/>
      <c r="AK3270" s="21"/>
      <c r="AM3270" s="26" t="s">
        <v>38</v>
      </c>
    </row>
    <row r="3271" spans="34:39" x14ac:dyDescent="0.35">
      <c r="AH3271" s="21"/>
      <c r="AI3271" s="21"/>
      <c r="AJ3271" s="21"/>
      <c r="AK3271" s="21"/>
      <c r="AM3271" s="26" t="s">
        <v>38</v>
      </c>
    </row>
    <row r="3272" spans="34:39" x14ac:dyDescent="0.35">
      <c r="AH3272" s="21"/>
      <c r="AI3272" s="21"/>
      <c r="AJ3272" s="21"/>
      <c r="AK3272" s="21"/>
      <c r="AM3272" s="26" t="s">
        <v>38</v>
      </c>
    </row>
    <row r="3273" spans="34:39" x14ac:dyDescent="0.35">
      <c r="AH3273" s="21"/>
      <c r="AI3273" s="21"/>
      <c r="AJ3273" s="21"/>
      <c r="AK3273" s="21"/>
      <c r="AM3273" s="26" t="s">
        <v>38</v>
      </c>
    </row>
    <row r="3274" spans="34:39" x14ac:dyDescent="0.35">
      <c r="AH3274" s="21"/>
      <c r="AI3274" s="21"/>
      <c r="AJ3274" s="21"/>
      <c r="AK3274" s="21"/>
      <c r="AM3274" s="26" t="s">
        <v>38</v>
      </c>
    </row>
    <row r="3275" spans="34:39" x14ac:dyDescent="0.35">
      <c r="AH3275" s="21"/>
      <c r="AI3275" s="21"/>
      <c r="AJ3275" s="21"/>
      <c r="AK3275" s="21"/>
      <c r="AM3275" s="26" t="s">
        <v>38</v>
      </c>
    </row>
    <row r="3276" spans="34:39" x14ac:dyDescent="0.35">
      <c r="AH3276" s="21"/>
      <c r="AI3276" s="21"/>
      <c r="AJ3276" s="21"/>
      <c r="AK3276" s="21"/>
      <c r="AM3276" s="26" t="s">
        <v>38</v>
      </c>
    </row>
    <row r="3277" spans="34:39" x14ac:dyDescent="0.35">
      <c r="AH3277" s="21"/>
      <c r="AI3277" s="21"/>
      <c r="AJ3277" s="21"/>
      <c r="AK3277" s="21"/>
      <c r="AM3277" s="26" t="s">
        <v>38</v>
      </c>
    </row>
    <row r="3278" spans="34:39" x14ac:dyDescent="0.35">
      <c r="AH3278" s="21"/>
      <c r="AI3278" s="21"/>
      <c r="AJ3278" s="21"/>
      <c r="AK3278" s="21"/>
      <c r="AM3278" s="26" t="s">
        <v>38</v>
      </c>
    </row>
    <row r="3279" spans="34:39" x14ac:dyDescent="0.35">
      <c r="AH3279" s="21"/>
      <c r="AI3279" s="21"/>
      <c r="AJ3279" s="21"/>
      <c r="AK3279" s="21"/>
      <c r="AM3279" s="26" t="s">
        <v>38</v>
      </c>
    </row>
    <row r="3280" spans="34:39" x14ac:dyDescent="0.35">
      <c r="AH3280" s="21"/>
      <c r="AI3280" s="21"/>
      <c r="AJ3280" s="21"/>
      <c r="AK3280" s="21"/>
      <c r="AM3280" s="26" t="s">
        <v>38</v>
      </c>
    </row>
    <row r="3281" spans="34:39" x14ac:dyDescent="0.35">
      <c r="AH3281" s="21"/>
      <c r="AI3281" s="21"/>
      <c r="AJ3281" s="21"/>
      <c r="AK3281" s="21"/>
      <c r="AM3281" s="26" t="s">
        <v>38</v>
      </c>
    </row>
    <row r="3282" spans="34:39" x14ac:dyDescent="0.35">
      <c r="AH3282" s="21"/>
      <c r="AI3282" s="21"/>
      <c r="AJ3282" s="21"/>
      <c r="AK3282" s="21"/>
      <c r="AM3282" s="26" t="s">
        <v>38</v>
      </c>
    </row>
    <row r="3283" spans="34:39" x14ac:dyDescent="0.35">
      <c r="AH3283" s="21"/>
      <c r="AI3283" s="21"/>
      <c r="AJ3283" s="21"/>
      <c r="AK3283" s="21"/>
      <c r="AM3283" s="26" t="s">
        <v>38</v>
      </c>
    </row>
    <row r="3284" spans="34:39" x14ac:dyDescent="0.35">
      <c r="AH3284" s="21"/>
      <c r="AI3284" s="21"/>
      <c r="AJ3284" s="21"/>
      <c r="AK3284" s="21"/>
      <c r="AM3284" s="26" t="s">
        <v>38</v>
      </c>
    </row>
    <row r="3285" spans="34:39" x14ac:dyDescent="0.35">
      <c r="AH3285" s="21"/>
      <c r="AI3285" s="21"/>
      <c r="AJ3285" s="21"/>
      <c r="AK3285" s="21"/>
      <c r="AM3285" s="26" t="s">
        <v>38</v>
      </c>
    </row>
    <row r="3286" spans="34:39" x14ac:dyDescent="0.35">
      <c r="AH3286" s="21"/>
      <c r="AI3286" s="21"/>
      <c r="AJ3286" s="21"/>
      <c r="AK3286" s="21"/>
      <c r="AM3286" s="26" t="s">
        <v>38</v>
      </c>
    </row>
    <row r="3287" spans="34:39" x14ac:dyDescent="0.35">
      <c r="AH3287" s="21"/>
      <c r="AI3287" s="21"/>
      <c r="AJ3287" s="21"/>
      <c r="AK3287" s="21"/>
      <c r="AM3287" s="26" t="s">
        <v>38</v>
      </c>
    </row>
    <row r="3288" spans="34:39" x14ac:dyDescent="0.35">
      <c r="AH3288" s="21"/>
      <c r="AI3288" s="21"/>
      <c r="AJ3288" s="21"/>
      <c r="AK3288" s="21"/>
      <c r="AM3288" s="26" t="s">
        <v>38</v>
      </c>
    </row>
    <row r="3289" spans="34:39" x14ac:dyDescent="0.35">
      <c r="AH3289" s="21"/>
      <c r="AI3289" s="21"/>
      <c r="AJ3289" s="21"/>
      <c r="AK3289" s="21"/>
      <c r="AM3289" s="26" t="s">
        <v>38</v>
      </c>
    </row>
    <row r="3290" spans="34:39" x14ac:dyDescent="0.35">
      <c r="AH3290" s="21"/>
      <c r="AI3290" s="21"/>
      <c r="AJ3290" s="21"/>
      <c r="AK3290" s="21"/>
      <c r="AM3290" s="26" t="s">
        <v>38</v>
      </c>
    </row>
    <row r="3291" spans="34:39" x14ac:dyDescent="0.35">
      <c r="AH3291" s="21"/>
      <c r="AI3291" s="21"/>
      <c r="AJ3291" s="21"/>
      <c r="AK3291" s="21"/>
      <c r="AM3291" s="26" t="s">
        <v>38</v>
      </c>
    </row>
    <row r="3292" spans="34:39" x14ac:dyDescent="0.35">
      <c r="AH3292" s="21"/>
      <c r="AI3292" s="21"/>
      <c r="AJ3292" s="21"/>
      <c r="AK3292" s="21"/>
      <c r="AM3292" s="26" t="s">
        <v>38</v>
      </c>
    </row>
    <row r="3293" spans="34:39" x14ac:dyDescent="0.35">
      <c r="AH3293" s="21"/>
      <c r="AI3293" s="21"/>
      <c r="AJ3293" s="21"/>
      <c r="AK3293" s="21"/>
      <c r="AM3293" s="26" t="s">
        <v>38</v>
      </c>
    </row>
    <row r="3294" spans="34:39" x14ac:dyDescent="0.35">
      <c r="AH3294" s="21"/>
      <c r="AI3294" s="21"/>
      <c r="AJ3294" s="21"/>
      <c r="AK3294" s="21"/>
      <c r="AM3294" s="26" t="s">
        <v>38</v>
      </c>
    </row>
    <row r="3295" spans="34:39" x14ac:dyDescent="0.35">
      <c r="AH3295" s="21"/>
      <c r="AI3295" s="21"/>
      <c r="AJ3295" s="21"/>
      <c r="AK3295" s="21"/>
      <c r="AM3295" s="26" t="s">
        <v>38</v>
      </c>
    </row>
    <row r="3296" spans="34:39" x14ac:dyDescent="0.35">
      <c r="AH3296" s="21"/>
      <c r="AI3296" s="21"/>
      <c r="AJ3296" s="21"/>
      <c r="AK3296" s="21"/>
      <c r="AM3296" s="26" t="s">
        <v>38</v>
      </c>
    </row>
    <row r="3297" spans="34:39" x14ac:dyDescent="0.35">
      <c r="AH3297" s="21"/>
      <c r="AI3297" s="21"/>
      <c r="AJ3297" s="21"/>
      <c r="AK3297" s="21"/>
      <c r="AM3297" s="26" t="s">
        <v>38</v>
      </c>
    </row>
    <row r="3298" spans="34:39" x14ac:dyDescent="0.35">
      <c r="AH3298" s="21"/>
      <c r="AI3298" s="21"/>
      <c r="AJ3298" s="21"/>
      <c r="AK3298" s="21"/>
      <c r="AM3298" s="26" t="s">
        <v>38</v>
      </c>
    </row>
    <row r="3299" spans="34:39" x14ac:dyDescent="0.35">
      <c r="AH3299" s="21"/>
      <c r="AI3299" s="21"/>
      <c r="AJ3299" s="21"/>
      <c r="AK3299" s="21"/>
      <c r="AM3299" s="26" t="s">
        <v>38</v>
      </c>
    </row>
    <row r="3300" spans="34:39" x14ac:dyDescent="0.35">
      <c r="AH3300" s="21"/>
      <c r="AI3300" s="21"/>
      <c r="AJ3300" s="21"/>
      <c r="AK3300" s="21"/>
      <c r="AM3300" s="26" t="s">
        <v>38</v>
      </c>
    </row>
    <row r="3301" spans="34:39" x14ac:dyDescent="0.35">
      <c r="AH3301" s="21"/>
      <c r="AI3301" s="21"/>
      <c r="AJ3301" s="21"/>
      <c r="AK3301" s="21"/>
      <c r="AM3301" s="26" t="s">
        <v>38</v>
      </c>
    </row>
    <row r="3302" spans="34:39" x14ac:dyDescent="0.35">
      <c r="AH3302" s="21"/>
      <c r="AI3302" s="21"/>
      <c r="AJ3302" s="21"/>
      <c r="AK3302" s="21"/>
      <c r="AM3302" s="26" t="s">
        <v>38</v>
      </c>
    </row>
    <row r="3303" spans="34:39" x14ac:dyDescent="0.35">
      <c r="AH3303" s="21"/>
      <c r="AI3303" s="21"/>
      <c r="AJ3303" s="21"/>
      <c r="AK3303" s="21"/>
      <c r="AM3303" s="26" t="s">
        <v>38</v>
      </c>
    </row>
    <row r="3304" spans="34:39" x14ac:dyDescent="0.35">
      <c r="AH3304" s="21"/>
      <c r="AI3304" s="21"/>
      <c r="AJ3304" s="21"/>
      <c r="AK3304" s="21"/>
      <c r="AM3304" s="26" t="s">
        <v>38</v>
      </c>
    </row>
    <row r="3305" spans="34:39" x14ac:dyDescent="0.35">
      <c r="AH3305" s="21"/>
      <c r="AI3305" s="21"/>
      <c r="AJ3305" s="21"/>
      <c r="AK3305" s="21"/>
      <c r="AM3305" s="26" t="s">
        <v>38</v>
      </c>
    </row>
    <row r="3306" spans="34:39" x14ac:dyDescent="0.35">
      <c r="AH3306" s="21"/>
      <c r="AI3306" s="21"/>
      <c r="AJ3306" s="21"/>
      <c r="AK3306" s="21"/>
      <c r="AM3306" s="26" t="s">
        <v>38</v>
      </c>
    </row>
    <row r="3307" spans="34:39" x14ac:dyDescent="0.35">
      <c r="AH3307" s="21"/>
      <c r="AI3307" s="21"/>
      <c r="AJ3307" s="21"/>
      <c r="AK3307" s="21"/>
      <c r="AM3307" s="26" t="s">
        <v>38</v>
      </c>
    </row>
    <row r="3308" spans="34:39" x14ac:dyDescent="0.35">
      <c r="AH3308" s="21"/>
      <c r="AI3308" s="21"/>
      <c r="AJ3308" s="21"/>
      <c r="AK3308" s="21"/>
      <c r="AM3308" s="26" t="s">
        <v>38</v>
      </c>
    </row>
    <row r="3309" spans="34:39" x14ac:dyDescent="0.35">
      <c r="AH3309" s="21"/>
      <c r="AI3309" s="21"/>
      <c r="AJ3309" s="21"/>
      <c r="AK3309" s="21"/>
      <c r="AM3309" s="26" t="s">
        <v>38</v>
      </c>
    </row>
    <row r="3310" spans="34:39" x14ac:dyDescent="0.35">
      <c r="AH3310" s="21"/>
      <c r="AI3310" s="21"/>
      <c r="AJ3310" s="21"/>
      <c r="AK3310" s="21"/>
      <c r="AM3310" s="26" t="s">
        <v>38</v>
      </c>
    </row>
    <row r="3311" spans="34:39" x14ac:dyDescent="0.35">
      <c r="AH3311" s="21"/>
      <c r="AI3311" s="21"/>
      <c r="AJ3311" s="21"/>
      <c r="AK3311" s="21"/>
      <c r="AM3311" s="26" t="s">
        <v>38</v>
      </c>
    </row>
    <row r="3312" spans="34:39" x14ac:dyDescent="0.35">
      <c r="AH3312" s="21"/>
      <c r="AI3312" s="21"/>
      <c r="AJ3312" s="21"/>
      <c r="AK3312" s="21"/>
      <c r="AM3312" s="26" t="s">
        <v>38</v>
      </c>
    </row>
    <row r="3313" spans="34:39" x14ac:dyDescent="0.35">
      <c r="AH3313" s="21"/>
      <c r="AI3313" s="21"/>
      <c r="AJ3313" s="21"/>
      <c r="AK3313" s="21"/>
      <c r="AM3313" s="26" t="s">
        <v>38</v>
      </c>
    </row>
    <row r="3314" spans="34:39" x14ac:dyDescent="0.35">
      <c r="AH3314" s="21"/>
      <c r="AI3314" s="21"/>
      <c r="AJ3314" s="21"/>
      <c r="AK3314" s="21"/>
      <c r="AM3314" s="26" t="s">
        <v>38</v>
      </c>
    </row>
    <row r="3315" spans="34:39" x14ac:dyDescent="0.35">
      <c r="AH3315" s="21"/>
      <c r="AI3315" s="21"/>
      <c r="AJ3315" s="21"/>
      <c r="AK3315" s="21"/>
      <c r="AM3315" s="26" t="s">
        <v>38</v>
      </c>
    </row>
    <row r="3316" spans="34:39" x14ac:dyDescent="0.35">
      <c r="AH3316" s="21"/>
      <c r="AI3316" s="21"/>
      <c r="AJ3316" s="21"/>
      <c r="AK3316" s="21"/>
      <c r="AM3316" s="26" t="s">
        <v>38</v>
      </c>
    </row>
    <row r="3317" spans="34:39" x14ac:dyDescent="0.35">
      <c r="AH3317" s="21"/>
      <c r="AI3317" s="21"/>
      <c r="AJ3317" s="21"/>
      <c r="AK3317" s="21"/>
      <c r="AM3317" s="26" t="s">
        <v>38</v>
      </c>
    </row>
    <row r="3318" spans="34:39" x14ac:dyDescent="0.35">
      <c r="AH3318" s="21"/>
      <c r="AI3318" s="21"/>
      <c r="AJ3318" s="21"/>
      <c r="AK3318" s="21"/>
      <c r="AM3318" s="26" t="s">
        <v>38</v>
      </c>
    </row>
    <row r="3319" spans="34:39" x14ac:dyDescent="0.35">
      <c r="AH3319" s="21"/>
      <c r="AI3319" s="21"/>
      <c r="AJ3319" s="21"/>
      <c r="AK3319" s="21"/>
      <c r="AM3319" s="26" t="s">
        <v>38</v>
      </c>
    </row>
    <row r="3320" spans="34:39" x14ac:dyDescent="0.35">
      <c r="AH3320" s="21"/>
      <c r="AI3320" s="21"/>
      <c r="AJ3320" s="21"/>
      <c r="AK3320" s="21"/>
      <c r="AM3320" s="26" t="s">
        <v>38</v>
      </c>
    </row>
    <row r="3321" spans="34:39" x14ac:dyDescent="0.35">
      <c r="AH3321" s="21"/>
      <c r="AI3321" s="21"/>
      <c r="AJ3321" s="21"/>
      <c r="AK3321" s="21"/>
      <c r="AM3321" s="26" t="s">
        <v>38</v>
      </c>
    </row>
    <row r="3322" spans="34:39" x14ac:dyDescent="0.35">
      <c r="AH3322" s="21"/>
      <c r="AI3322" s="21"/>
      <c r="AJ3322" s="21"/>
      <c r="AK3322" s="21"/>
      <c r="AM3322" s="26" t="s">
        <v>38</v>
      </c>
    </row>
    <row r="3323" spans="34:39" x14ac:dyDescent="0.35">
      <c r="AH3323" s="21"/>
      <c r="AI3323" s="21"/>
      <c r="AJ3323" s="21"/>
      <c r="AK3323" s="21"/>
      <c r="AM3323" s="26" t="s">
        <v>38</v>
      </c>
    </row>
    <row r="3324" spans="34:39" x14ac:dyDescent="0.35">
      <c r="AH3324" s="21"/>
      <c r="AI3324" s="21"/>
      <c r="AJ3324" s="21"/>
      <c r="AK3324" s="21"/>
      <c r="AM3324" s="26" t="s">
        <v>38</v>
      </c>
    </row>
    <row r="3325" spans="34:39" x14ac:dyDescent="0.35">
      <c r="AH3325" s="21"/>
      <c r="AI3325" s="21"/>
      <c r="AJ3325" s="21"/>
      <c r="AK3325" s="21"/>
      <c r="AM3325" s="26" t="s">
        <v>38</v>
      </c>
    </row>
    <row r="3326" spans="34:39" x14ac:dyDescent="0.35">
      <c r="AH3326" s="21"/>
      <c r="AI3326" s="21"/>
      <c r="AJ3326" s="21"/>
      <c r="AK3326" s="21"/>
      <c r="AM3326" s="26" t="s">
        <v>38</v>
      </c>
    </row>
    <row r="3327" spans="34:39" x14ac:dyDescent="0.35">
      <c r="AH3327" s="21"/>
      <c r="AI3327" s="21"/>
      <c r="AJ3327" s="21"/>
      <c r="AK3327" s="21"/>
      <c r="AM3327" s="26" t="s">
        <v>38</v>
      </c>
    </row>
    <row r="3328" spans="34:39" x14ac:dyDescent="0.35">
      <c r="AH3328" s="21"/>
      <c r="AI3328" s="21"/>
      <c r="AJ3328" s="21"/>
      <c r="AK3328" s="21"/>
      <c r="AM3328" s="26" t="s">
        <v>38</v>
      </c>
    </row>
    <row r="3329" spans="1:40" x14ac:dyDescent="0.35">
      <c r="AH3329" s="21"/>
      <c r="AI3329" s="21"/>
      <c r="AJ3329" s="21"/>
      <c r="AK3329" s="21"/>
      <c r="AM3329" s="26" t="s">
        <v>38</v>
      </c>
    </row>
    <row r="3330" spans="1:40" x14ac:dyDescent="0.35">
      <c r="AH3330" s="21"/>
      <c r="AI3330" s="21"/>
      <c r="AJ3330" s="21"/>
      <c r="AK3330" s="21"/>
      <c r="AM3330" s="26" t="s">
        <v>38</v>
      </c>
    </row>
    <row r="3331" spans="1:40" x14ac:dyDescent="0.35">
      <c r="AH3331" s="21"/>
      <c r="AI3331" s="21"/>
      <c r="AJ3331" s="21"/>
      <c r="AK3331" s="21"/>
      <c r="AM3331" s="26" t="s">
        <v>38</v>
      </c>
    </row>
    <row r="3332" spans="1:40" x14ac:dyDescent="0.35">
      <c r="AH3332" s="21"/>
      <c r="AI3332" s="21"/>
      <c r="AJ3332" s="21"/>
      <c r="AK3332" s="21"/>
      <c r="AM3332" s="26" t="s">
        <v>38</v>
      </c>
    </row>
    <row r="3333" spans="1:40" x14ac:dyDescent="0.35">
      <c r="AH3333" s="21"/>
      <c r="AI3333" s="21"/>
      <c r="AJ3333" s="21"/>
      <c r="AK3333" s="21"/>
      <c r="AM3333" s="26" t="s">
        <v>38</v>
      </c>
    </row>
    <row r="3334" spans="1:40" x14ac:dyDescent="0.35">
      <c r="AH3334" s="21"/>
      <c r="AI3334" s="21"/>
      <c r="AJ3334" s="21"/>
      <c r="AK3334" s="21"/>
      <c r="AM3334" s="26" t="s">
        <v>38</v>
      </c>
    </row>
    <row r="3335" spans="1:40" x14ac:dyDescent="0.35">
      <c r="AH3335" s="21"/>
      <c r="AI3335" s="21"/>
      <c r="AJ3335" s="21"/>
      <c r="AK3335" s="21"/>
      <c r="AM3335" s="26" t="s">
        <v>38</v>
      </c>
    </row>
    <row r="3336" spans="1:40" x14ac:dyDescent="0.35">
      <c r="AH3336" s="21"/>
      <c r="AI3336" s="21"/>
      <c r="AJ3336" s="21"/>
      <c r="AK3336" s="21"/>
      <c r="AM3336" s="26" t="s">
        <v>38</v>
      </c>
    </row>
    <row r="3337" spans="1:40" s="85" customFormat="1" x14ac:dyDescent="0.35">
      <c r="A3337"/>
      <c r="B3337"/>
      <c r="C3337"/>
      <c r="D3337"/>
      <c r="E3337"/>
      <c r="F3337"/>
      <c r="G3337"/>
      <c r="H3337"/>
      <c r="I3337"/>
      <c r="J3337"/>
      <c r="K3337"/>
      <c r="L3337"/>
      <c r="M3337"/>
      <c r="N3337"/>
      <c r="O3337"/>
      <c r="P3337"/>
      <c r="Q3337"/>
      <c r="R3337"/>
      <c r="S3337"/>
      <c r="T3337"/>
      <c r="U3337"/>
      <c r="V3337"/>
      <c r="W3337"/>
      <c r="X3337"/>
      <c r="Y3337"/>
      <c r="Z3337"/>
      <c r="AA3337"/>
      <c r="AB3337"/>
      <c r="AC3337"/>
      <c r="AD3337"/>
      <c r="AE3337"/>
      <c r="AF3337"/>
      <c r="AG3337"/>
      <c r="AH3337" s="21"/>
      <c r="AI3337" s="21"/>
      <c r="AJ3337" s="21"/>
      <c r="AK3337" s="21"/>
      <c r="AL3337"/>
      <c r="AM3337" s="26" t="s">
        <v>38</v>
      </c>
      <c r="AN3337"/>
    </row>
    <row r="3338" spans="1:40" s="85" customFormat="1" x14ac:dyDescent="0.35">
      <c r="A3338"/>
      <c r="B3338"/>
      <c r="C3338"/>
      <c r="D3338"/>
      <c r="E3338"/>
      <c r="F3338"/>
      <c r="G3338"/>
      <c r="H3338"/>
      <c r="I3338"/>
      <c r="J3338"/>
      <c r="K3338"/>
      <c r="L3338"/>
      <c r="M3338"/>
      <c r="N3338"/>
      <c r="O3338"/>
      <c r="P3338"/>
      <c r="Q3338"/>
      <c r="R3338"/>
      <c r="S3338"/>
      <c r="T3338"/>
      <c r="U3338"/>
      <c r="V3338"/>
      <c r="W3338"/>
      <c r="X3338"/>
      <c r="Y3338"/>
      <c r="Z3338"/>
      <c r="AA3338"/>
      <c r="AB3338"/>
      <c r="AC3338"/>
      <c r="AD3338"/>
      <c r="AE3338"/>
      <c r="AF3338"/>
      <c r="AG3338"/>
      <c r="AH3338" s="21"/>
      <c r="AI3338" s="21"/>
      <c r="AJ3338" s="21"/>
      <c r="AK3338" s="21"/>
      <c r="AL3338"/>
      <c r="AM3338" s="26" t="s">
        <v>38</v>
      </c>
      <c r="AN3338"/>
    </row>
    <row r="3339" spans="1:40" s="85" customFormat="1" x14ac:dyDescent="0.35">
      <c r="A3339"/>
      <c r="B3339"/>
      <c r="C3339"/>
      <c r="D3339"/>
      <c r="E3339"/>
      <c r="F3339"/>
      <c r="G3339"/>
      <c r="H3339"/>
      <c r="I3339"/>
      <c r="J3339"/>
      <c r="K3339"/>
      <c r="L3339"/>
      <c r="M3339"/>
      <c r="N3339"/>
      <c r="O3339"/>
      <c r="P3339"/>
      <c r="Q3339"/>
      <c r="R3339"/>
      <c r="S3339"/>
      <c r="T3339"/>
      <c r="U3339"/>
      <c r="V3339"/>
      <c r="W3339"/>
      <c r="X3339"/>
      <c r="Y3339"/>
      <c r="Z3339"/>
      <c r="AA3339"/>
      <c r="AB3339"/>
      <c r="AC3339"/>
      <c r="AD3339"/>
      <c r="AE3339"/>
      <c r="AF3339"/>
      <c r="AG3339"/>
      <c r="AH3339" s="21"/>
      <c r="AI3339" s="21"/>
      <c r="AJ3339" s="21"/>
      <c r="AK3339" s="21"/>
      <c r="AL3339"/>
      <c r="AM3339" s="26" t="s">
        <v>38</v>
      </c>
      <c r="AN3339"/>
    </row>
    <row r="3340" spans="1:40" x14ac:dyDescent="0.35">
      <c r="AH3340" s="21"/>
      <c r="AI3340" s="21"/>
      <c r="AJ3340" s="21"/>
      <c r="AK3340" s="21"/>
      <c r="AM3340" s="26" t="s">
        <v>38</v>
      </c>
    </row>
    <row r="3341" spans="1:40" x14ac:dyDescent="0.35">
      <c r="AH3341" s="21"/>
      <c r="AI3341" s="21"/>
      <c r="AJ3341" s="21"/>
      <c r="AK3341" s="21"/>
      <c r="AM3341" s="26" t="s">
        <v>38</v>
      </c>
    </row>
    <row r="3342" spans="1:40" x14ac:dyDescent="0.35">
      <c r="AH3342" s="21"/>
      <c r="AI3342" s="21"/>
      <c r="AJ3342" s="21"/>
      <c r="AK3342" s="21"/>
      <c r="AM3342" s="26" t="s">
        <v>38</v>
      </c>
    </row>
    <row r="3343" spans="1:40" x14ac:dyDescent="0.35">
      <c r="AH3343" s="21"/>
      <c r="AI3343" s="21"/>
      <c r="AJ3343" s="21"/>
      <c r="AK3343" s="21"/>
      <c r="AM3343" s="26" t="s">
        <v>38</v>
      </c>
    </row>
    <row r="3344" spans="1:40" x14ac:dyDescent="0.35">
      <c r="AH3344" s="21"/>
      <c r="AI3344" s="21"/>
      <c r="AJ3344" s="21"/>
      <c r="AK3344" s="21"/>
      <c r="AM3344" s="26" t="s">
        <v>38</v>
      </c>
    </row>
    <row r="3345" spans="34:39" x14ac:dyDescent="0.35">
      <c r="AH3345" s="21"/>
      <c r="AI3345" s="21"/>
      <c r="AJ3345" s="21"/>
      <c r="AK3345" s="21"/>
      <c r="AM3345" s="26" t="s">
        <v>38</v>
      </c>
    </row>
    <row r="3346" spans="34:39" x14ac:dyDescent="0.35">
      <c r="AH3346" s="21"/>
      <c r="AI3346" s="21"/>
      <c r="AJ3346" s="21"/>
      <c r="AK3346" s="21"/>
      <c r="AM3346" s="26" t="s">
        <v>38</v>
      </c>
    </row>
    <row r="3347" spans="34:39" x14ac:dyDescent="0.35">
      <c r="AH3347" s="21"/>
      <c r="AI3347" s="21"/>
      <c r="AJ3347" s="21"/>
      <c r="AK3347" s="21"/>
      <c r="AM3347" s="26" t="s">
        <v>38</v>
      </c>
    </row>
    <row r="3348" spans="34:39" x14ac:dyDescent="0.35">
      <c r="AH3348" s="21"/>
      <c r="AI3348" s="21"/>
      <c r="AJ3348" s="21"/>
      <c r="AK3348" s="21"/>
      <c r="AM3348" s="26" t="s">
        <v>38</v>
      </c>
    </row>
    <row r="3349" spans="34:39" x14ac:dyDescent="0.35">
      <c r="AH3349" s="21"/>
      <c r="AI3349" s="21"/>
      <c r="AJ3349" s="21"/>
      <c r="AK3349" s="21"/>
      <c r="AM3349" s="26" t="s">
        <v>38</v>
      </c>
    </row>
    <row r="3350" spans="34:39" x14ac:dyDescent="0.35">
      <c r="AH3350" s="21"/>
      <c r="AI3350" s="21"/>
      <c r="AJ3350" s="21"/>
      <c r="AK3350" s="21"/>
      <c r="AM3350" s="26" t="s">
        <v>38</v>
      </c>
    </row>
    <row r="3351" spans="34:39" x14ac:dyDescent="0.35">
      <c r="AH3351" s="21"/>
      <c r="AI3351" s="21"/>
      <c r="AJ3351" s="21"/>
      <c r="AK3351" s="21"/>
      <c r="AM3351" s="26" t="s">
        <v>38</v>
      </c>
    </row>
    <row r="3352" spans="34:39" x14ac:dyDescent="0.35">
      <c r="AH3352" s="21"/>
      <c r="AI3352" s="21"/>
      <c r="AJ3352" s="21"/>
      <c r="AK3352" s="21"/>
      <c r="AM3352" s="26" t="s">
        <v>38</v>
      </c>
    </row>
    <row r="3353" spans="34:39" x14ac:dyDescent="0.35">
      <c r="AH3353" s="21"/>
      <c r="AI3353" s="21"/>
      <c r="AJ3353" s="21"/>
      <c r="AK3353" s="21"/>
      <c r="AM3353" s="26" t="s">
        <v>38</v>
      </c>
    </row>
    <row r="3354" spans="34:39" x14ac:dyDescent="0.35">
      <c r="AH3354" s="21"/>
      <c r="AI3354" s="21"/>
      <c r="AJ3354" s="21"/>
      <c r="AK3354" s="21"/>
      <c r="AM3354" s="26" t="s">
        <v>38</v>
      </c>
    </row>
    <row r="3355" spans="34:39" x14ac:dyDescent="0.35">
      <c r="AH3355" s="21"/>
      <c r="AI3355" s="21"/>
      <c r="AJ3355" s="21"/>
      <c r="AK3355" s="21"/>
      <c r="AM3355" s="26" t="s">
        <v>38</v>
      </c>
    </row>
    <row r="3356" spans="34:39" x14ac:dyDescent="0.35">
      <c r="AH3356" s="21"/>
      <c r="AI3356" s="21"/>
      <c r="AJ3356" s="21"/>
      <c r="AK3356" s="21"/>
      <c r="AM3356" s="26" t="s">
        <v>38</v>
      </c>
    </row>
    <row r="3357" spans="34:39" x14ac:dyDescent="0.35">
      <c r="AH3357" s="21"/>
      <c r="AI3357" s="21"/>
      <c r="AJ3357" s="21"/>
      <c r="AK3357" s="21"/>
      <c r="AM3357" s="26" t="s">
        <v>38</v>
      </c>
    </row>
    <row r="3358" spans="34:39" x14ac:dyDescent="0.35">
      <c r="AH3358" s="21"/>
      <c r="AI3358" s="21"/>
      <c r="AJ3358" s="21"/>
      <c r="AK3358" s="21"/>
      <c r="AM3358" s="26" t="s">
        <v>38</v>
      </c>
    </row>
    <row r="3359" spans="34:39" x14ac:dyDescent="0.35">
      <c r="AH3359" s="21"/>
      <c r="AI3359" s="21"/>
      <c r="AJ3359" s="21"/>
      <c r="AK3359" s="21"/>
      <c r="AM3359" s="26" t="s">
        <v>38</v>
      </c>
    </row>
    <row r="3360" spans="34:39" x14ac:dyDescent="0.35">
      <c r="AH3360" s="21"/>
      <c r="AI3360" s="21"/>
      <c r="AJ3360" s="21"/>
      <c r="AK3360" s="21"/>
      <c r="AM3360" s="26" t="s">
        <v>38</v>
      </c>
    </row>
    <row r="3361" spans="34:39" x14ac:dyDescent="0.35">
      <c r="AH3361" s="21"/>
      <c r="AI3361" s="21"/>
      <c r="AJ3361" s="21"/>
      <c r="AK3361" s="21"/>
      <c r="AM3361" s="26" t="s">
        <v>38</v>
      </c>
    </row>
    <row r="3362" spans="34:39" x14ac:dyDescent="0.35">
      <c r="AH3362" s="21"/>
      <c r="AI3362" s="21"/>
      <c r="AJ3362" s="21"/>
      <c r="AK3362" s="21"/>
      <c r="AM3362" s="26" t="s">
        <v>38</v>
      </c>
    </row>
    <row r="3363" spans="34:39" x14ac:dyDescent="0.35">
      <c r="AH3363" s="21"/>
      <c r="AI3363" s="21"/>
      <c r="AJ3363" s="21"/>
      <c r="AK3363" s="21"/>
      <c r="AM3363" s="26" t="s">
        <v>38</v>
      </c>
    </row>
    <row r="3364" spans="34:39" x14ac:dyDescent="0.35">
      <c r="AH3364" s="21"/>
      <c r="AI3364" s="21"/>
      <c r="AJ3364" s="21"/>
      <c r="AK3364" s="21"/>
      <c r="AM3364" s="26" t="s">
        <v>38</v>
      </c>
    </row>
    <row r="3365" spans="34:39" x14ac:dyDescent="0.35">
      <c r="AH3365" s="21"/>
      <c r="AI3365" s="21"/>
      <c r="AJ3365" s="21"/>
      <c r="AK3365" s="21"/>
      <c r="AM3365" s="26" t="s">
        <v>38</v>
      </c>
    </row>
    <row r="3366" spans="34:39" x14ac:dyDescent="0.35">
      <c r="AH3366" s="21"/>
      <c r="AI3366" s="21"/>
      <c r="AJ3366" s="21"/>
      <c r="AK3366" s="21"/>
      <c r="AM3366" s="26" t="s">
        <v>38</v>
      </c>
    </row>
    <row r="3367" spans="34:39" x14ac:dyDescent="0.35">
      <c r="AH3367" s="21"/>
      <c r="AI3367" s="21"/>
      <c r="AJ3367" s="21"/>
      <c r="AK3367" s="21"/>
      <c r="AM3367" s="26" t="s">
        <v>38</v>
      </c>
    </row>
    <row r="3368" spans="34:39" x14ac:dyDescent="0.35">
      <c r="AH3368" s="21"/>
      <c r="AI3368" s="21"/>
      <c r="AJ3368" s="21"/>
      <c r="AK3368" s="21"/>
      <c r="AM3368" s="26" t="s">
        <v>38</v>
      </c>
    </row>
    <row r="3369" spans="34:39" x14ac:dyDescent="0.35">
      <c r="AH3369" s="21"/>
      <c r="AI3369" s="21"/>
      <c r="AJ3369" s="21"/>
      <c r="AK3369" s="21"/>
      <c r="AM3369" s="26" t="s">
        <v>38</v>
      </c>
    </row>
    <row r="3370" spans="34:39" x14ac:dyDescent="0.35">
      <c r="AH3370" s="21"/>
      <c r="AI3370" s="21"/>
      <c r="AJ3370" s="21"/>
      <c r="AK3370" s="21"/>
      <c r="AM3370" s="26" t="s">
        <v>38</v>
      </c>
    </row>
    <row r="3371" spans="34:39" x14ac:dyDescent="0.35">
      <c r="AH3371" s="21"/>
      <c r="AI3371" s="21"/>
      <c r="AJ3371" s="21"/>
      <c r="AK3371" s="21"/>
      <c r="AM3371" s="26" t="s">
        <v>38</v>
      </c>
    </row>
    <row r="3372" spans="34:39" x14ac:dyDescent="0.35">
      <c r="AH3372" s="21"/>
      <c r="AI3372" s="21"/>
      <c r="AJ3372" s="21"/>
      <c r="AK3372" s="21"/>
      <c r="AM3372" s="26" t="s">
        <v>38</v>
      </c>
    </row>
    <row r="3373" spans="34:39" x14ac:dyDescent="0.35">
      <c r="AH3373" s="21"/>
      <c r="AI3373" s="21"/>
      <c r="AJ3373" s="21"/>
      <c r="AK3373" s="21"/>
      <c r="AM3373" s="26" t="s">
        <v>38</v>
      </c>
    </row>
    <row r="3374" spans="34:39" x14ac:dyDescent="0.35">
      <c r="AH3374" s="21"/>
      <c r="AI3374" s="21"/>
      <c r="AJ3374" s="21"/>
      <c r="AK3374" s="21"/>
      <c r="AM3374" s="26" t="s">
        <v>38</v>
      </c>
    </row>
    <row r="3375" spans="34:39" x14ac:dyDescent="0.35">
      <c r="AH3375" s="21"/>
      <c r="AI3375" s="21"/>
      <c r="AJ3375" s="21"/>
      <c r="AK3375" s="21"/>
      <c r="AM3375" s="26" t="s">
        <v>38</v>
      </c>
    </row>
    <row r="3376" spans="34:39" x14ac:dyDescent="0.35">
      <c r="AH3376" s="21"/>
      <c r="AI3376" s="21"/>
      <c r="AJ3376" s="21"/>
      <c r="AK3376" s="21"/>
      <c r="AM3376" s="26" t="s">
        <v>38</v>
      </c>
    </row>
    <row r="3377" spans="34:39" x14ac:dyDescent="0.35">
      <c r="AH3377" s="21"/>
      <c r="AI3377" s="21"/>
      <c r="AJ3377" s="21"/>
      <c r="AK3377" s="21"/>
      <c r="AM3377" s="26" t="s">
        <v>38</v>
      </c>
    </row>
    <row r="3378" spans="34:39" x14ac:dyDescent="0.35">
      <c r="AH3378" s="21"/>
      <c r="AI3378" s="21"/>
      <c r="AJ3378" s="21"/>
      <c r="AK3378" s="21"/>
      <c r="AM3378" s="26" t="s">
        <v>38</v>
      </c>
    </row>
    <row r="3379" spans="34:39" x14ac:dyDescent="0.35">
      <c r="AH3379" s="21"/>
      <c r="AI3379" s="21"/>
      <c r="AJ3379" s="21"/>
      <c r="AK3379" s="21"/>
      <c r="AM3379" s="26" t="s">
        <v>38</v>
      </c>
    </row>
    <row r="3380" spans="34:39" x14ac:dyDescent="0.35">
      <c r="AH3380" s="21"/>
      <c r="AI3380" s="21"/>
      <c r="AJ3380" s="21"/>
      <c r="AK3380" s="21"/>
      <c r="AM3380" s="26" t="s">
        <v>38</v>
      </c>
    </row>
    <row r="3381" spans="34:39" x14ac:dyDescent="0.35">
      <c r="AH3381" s="21"/>
      <c r="AI3381" s="21"/>
      <c r="AJ3381" s="21"/>
      <c r="AK3381" s="21"/>
      <c r="AM3381" s="26" t="s">
        <v>38</v>
      </c>
    </row>
    <row r="3382" spans="34:39" x14ac:dyDescent="0.35">
      <c r="AH3382" s="21"/>
      <c r="AI3382" s="21"/>
      <c r="AJ3382" s="21"/>
      <c r="AK3382" s="21"/>
      <c r="AM3382" s="26" t="s">
        <v>38</v>
      </c>
    </row>
    <row r="3383" spans="34:39" x14ac:dyDescent="0.35">
      <c r="AH3383" s="21"/>
      <c r="AI3383" s="21"/>
      <c r="AJ3383" s="21"/>
      <c r="AK3383" s="21"/>
      <c r="AM3383" s="26" t="s">
        <v>38</v>
      </c>
    </row>
    <row r="3384" spans="34:39" x14ac:dyDescent="0.35">
      <c r="AH3384" s="21"/>
      <c r="AI3384" s="21"/>
      <c r="AJ3384" s="21"/>
      <c r="AK3384" s="21"/>
      <c r="AM3384" s="26" t="s">
        <v>38</v>
      </c>
    </row>
    <row r="3385" spans="34:39" x14ac:dyDescent="0.35">
      <c r="AH3385" s="21"/>
      <c r="AI3385" s="21"/>
      <c r="AJ3385" s="21"/>
      <c r="AK3385" s="21"/>
      <c r="AM3385" s="26" t="s">
        <v>38</v>
      </c>
    </row>
    <row r="3386" spans="34:39" x14ac:dyDescent="0.35">
      <c r="AH3386" s="21"/>
      <c r="AI3386" s="21"/>
      <c r="AJ3386" s="21"/>
      <c r="AK3386" s="21"/>
      <c r="AM3386" s="26" t="s">
        <v>38</v>
      </c>
    </row>
    <row r="3387" spans="34:39" x14ac:dyDescent="0.35">
      <c r="AH3387" s="21"/>
      <c r="AI3387" s="21"/>
      <c r="AJ3387" s="21"/>
      <c r="AK3387" s="21"/>
      <c r="AM3387" s="26" t="s">
        <v>38</v>
      </c>
    </row>
    <row r="3388" spans="34:39" x14ac:dyDescent="0.35">
      <c r="AH3388" s="21"/>
      <c r="AI3388" s="21"/>
      <c r="AJ3388" s="21"/>
      <c r="AK3388" s="21"/>
      <c r="AM3388" s="26" t="s">
        <v>38</v>
      </c>
    </row>
    <row r="3389" spans="34:39" x14ac:dyDescent="0.35">
      <c r="AH3389" s="21"/>
      <c r="AI3389" s="21"/>
      <c r="AJ3389" s="21"/>
      <c r="AK3389" s="21"/>
      <c r="AM3389" s="26" t="s">
        <v>38</v>
      </c>
    </row>
    <row r="3390" spans="34:39" x14ac:dyDescent="0.35">
      <c r="AH3390" s="21"/>
      <c r="AI3390" s="21"/>
      <c r="AJ3390" s="21"/>
      <c r="AK3390" s="21"/>
      <c r="AM3390" s="26" t="s">
        <v>38</v>
      </c>
    </row>
    <row r="3391" spans="34:39" x14ac:dyDescent="0.35">
      <c r="AH3391" s="21"/>
      <c r="AI3391" s="21"/>
      <c r="AJ3391" s="21"/>
      <c r="AK3391" s="21"/>
      <c r="AM3391" s="26" t="s">
        <v>38</v>
      </c>
    </row>
    <row r="3392" spans="34:39" x14ac:dyDescent="0.35">
      <c r="AH3392" s="21"/>
      <c r="AI3392" s="21"/>
      <c r="AJ3392" s="21"/>
      <c r="AK3392" s="21"/>
      <c r="AM3392" s="26" t="s">
        <v>38</v>
      </c>
    </row>
    <row r="3393" spans="34:39" x14ac:dyDescent="0.35">
      <c r="AH3393" s="21"/>
      <c r="AI3393" s="21"/>
      <c r="AJ3393" s="21"/>
      <c r="AK3393" s="21"/>
      <c r="AM3393" s="26" t="s">
        <v>38</v>
      </c>
    </row>
    <row r="3394" spans="34:39" x14ac:dyDescent="0.35">
      <c r="AH3394" s="21"/>
      <c r="AI3394" s="21"/>
      <c r="AJ3394" s="21"/>
      <c r="AK3394" s="21"/>
      <c r="AM3394" s="26" t="s">
        <v>38</v>
      </c>
    </row>
    <row r="3395" spans="34:39" x14ac:dyDescent="0.35">
      <c r="AH3395" s="21"/>
      <c r="AI3395" s="21"/>
      <c r="AJ3395" s="21"/>
      <c r="AK3395" s="21"/>
      <c r="AM3395" s="26" t="s">
        <v>38</v>
      </c>
    </row>
    <row r="3396" spans="34:39" x14ac:dyDescent="0.35">
      <c r="AH3396" s="21"/>
      <c r="AI3396" s="21"/>
      <c r="AJ3396" s="21"/>
      <c r="AK3396" s="21"/>
      <c r="AM3396" s="26" t="s">
        <v>38</v>
      </c>
    </row>
    <row r="3397" spans="34:39" x14ac:dyDescent="0.35">
      <c r="AH3397" s="21"/>
      <c r="AI3397" s="21"/>
      <c r="AJ3397" s="21"/>
      <c r="AK3397" s="21"/>
      <c r="AM3397" s="26" t="s">
        <v>38</v>
      </c>
    </row>
    <row r="3398" spans="34:39" x14ac:dyDescent="0.35">
      <c r="AH3398" s="21"/>
      <c r="AI3398" s="21"/>
      <c r="AJ3398" s="21"/>
      <c r="AK3398" s="21"/>
      <c r="AM3398" s="26" t="s">
        <v>38</v>
      </c>
    </row>
    <row r="3399" spans="34:39" x14ac:dyDescent="0.35">
      <c r="AH3399" s="21"/>
      <c r="AI3399" s="21"/>
      <c r="AJ3399" s="21"/>
      <c r="AK3399" s="21"/>
      <c r="AM3399" s="26" t="s">
        <v>38</v>
      </c>
    </row>
    <row r="3400" spans="34:39" x14ac:dyDescent="0.35">
      <c r="AH3400" s="21"/>
      <c r="AI3400" s="21"/>
      <c r="AJ3400" s="21"/>
      <c r="AK3400" s="21"/>
      <c r="AM3400" s="26" t="s">
        <v>38</v>
      </c>
    </row>
    <row r="3401" spans="34:39" x14ac:dyDescent="0.35">
      <c r="AH3401" s="21"/>
      <c r="AI3401" s="21"/>
      <c r="AJ3401" s="21"/>
      <c r="AK3401" s="21"/>
      <c r="AM3401" s="26" t="s">
        <v>38</v>
      </c>
    </row>
    <row r="3402" spans="34:39" x14ac:dyDescent="0.35">
      <c r="AH3402" s="21"/>
      <c r="AI3402" s="21"/>
      <c r="AJ3402" s="21"/>
      <c r="AK3402" s="21"/>
      <c r="AM3402" s="26" t="s">
        <v>38</v>
      </c>
    </row>
    <row r="3403" spans="34:39" x14ac:dyDescent="0.35">
      <c r="AH3403" s="21"/>
      <c r="AI3403" s="21"/>
      <c r="AJ3403" s="21"/>
      <c r="AK3403" s="21"/>
      <c r="AM3403" s="26" t="s">
        <v>38</v>
      </c>
    </row>
    <row r="3404" spans="34:39" x14ac:dyDescent="0.35">
      <c r="AH3404" s="21"/>
      <c r="AI3404" s="21"/>
      <c r="AJ3404" s="21"/>
      <c r="AK3404" s="21"/>
      <c r="AM3404" s="26" t="s">
        <v>38</v>
      </c>
    </row>
    <row r="3405" spans="34:39" x14ac:dyDescent="0.35">
      <c r="AH3405" s="21"/>
      <c r="AI3405" s="21"/>
      <c r="AJ3405" s="21"/>
      <c r="AK3405" s="21"/>
      <c r="AM3405" s="26" t="s">
        <v>38</v>
      </c>
    </row>
    <row r="3406" spans="34:39" x14ac:dyDescent="0.35">
      <c r="AH3406" s="21"/>
      <c r="AI3406" s="21"/>
      <c r="AJ3406" s="21"/>
      <c r="AK3406" s="21"/>
      <c r="AM3406" s="26" t="s">
        <v>38</v>
      </c>
    </row>
    <row r="3407" spans="34:39" x14ac:dyDescent="0.35">
      <c r="AH3407" s="21"/>
      <c r="AI3407" s="21"/>
      <c r="AJ3407" s="21"/>
      <c r="AK3407" s="21"/>
      <c r="AM3407" s="26" t="s">
        <v>38</v>
      </c>
    </row>
    <row r="3408" spans="34:39" x14ac:dyDescent="0.35">
      <c r="AH3408" s="21"/>
      <c r="AI3408" s="21"/>
      <c r="AJ3408" s="21"/>
      <c r="AK3408" s="21"/>
      <c r="AM3408" s="26" t="s">
        <v>38</v>
      </c>
    </row>
    <row r="3409" spans="34:39" x14ac:dyDescent="0.35">
      <c r="AH3409" s="21"/>
      <c r="AI3409" s="21"/>
      <c r="AJ3409" s="21"/>
      <c r="AK3409" s="21"/>
      <c r="AM3409" s="26" t="s">
        <v>38</v>
      </c>
    </row>
    <row r="3410" spans="34:39" x14ac:dyDescent="0.35">
      <c r="AH3410" s="21"/>
      <c r="AI3410" s="21"/>
      <c r="AJ3410" s="21"/>
      <c r="AK3410" s="21"/>
      <c r="AM3410" s="26" t="s">
        <v>38</v>
      </c>
    </row>
    <row r="3411" spans="34:39" x14ac:dyDescent="0.35">
      <c r="AH3411" s="21"/>
      <c r="AI3411" s="21"/>
      <c r="AJ3411" s="21"/>
      <c r="AK3411" s="21"/>
      <c r="AM3411" s="26" t="s">
        <v>38</v>
      </c>
    </row>
    <row r="3412" spans="34:39" x14ac:dyDescent="0.35">
      <c r="AH3412" s="21"/>
      <c r="AI3412" s="21"/>
      <c r="AJ3412" s="21"/>
      <c r="AK3412" s="21"/>
      <c r="AM3412" s="26" t="s">
        <v>38</v>
      </c>
    </row>
    <row r="3413" spans="34:39" x14ac:dyDescent="0.35">
      <c r="AH3413" s="21"/>
      <c r="AI3413" s="21"/>
      <c r="AJ3413" s="21"/>
      <c r="AK3413" s="21"/>
      <c r="AM3413" s="26" t="s">
        <v>38</v>
      </c>
    </row>
    <row r="3414" spans="34:39" x14ac:dyDescent="0.35">
      <c r="AH3414" s="21"/>
      <c r="AI3414" s="21"/>
      <c r="AJ3414" s="21"/>
      <c r="AK3414" s="21"/>
      <c r="AM3414" s="26" t="s">
        <v>38</v>
      </c>
    </row>
    <row r="3415" spans="34:39" x14ac:dyDescent="0.35">
      <c r="AH3415" s="21"/>
      <c r="AI3415" s="21"/>
      <c r="AJ3415" s="21"/>
      <c r="AK3415" s="21"/>
      <c r="AM3415" s="26" t="s">
        <v>38</v>
      </c>
    </row>
    <row r="3416" spans="34:39" x14ac:dyDescent="0.35">
      <c r="AH3416" s="21"/>
      <c r="AI3416" s="21"/>
      <c r="AJ3416" s="21"/>
      <c r="AK3416" s="21"/>
      <c r="AM3416" s="26" t="s">
        <v>38</v>
      </c>
    </row>
    <row r="3417" spans="34:39" x14ac:dyDescent="0.35">
      <c r="AH3417" s="21"/>
      <c r="AI3417" s="21"/>
      <c r="AJ3417" s="21"/>
      <c r="AK3417" s="21"/>
      <c r="AM3417" s="26" t="s">
        <v>38</v>
      </c>
    </row>
    <row r="3418" spans="34:39" x14ac:dyDescent="0.35">
      <c r="AH3418" s="21"/>
      <c r="AI3418" s="21"/>
      <c r="AJ3418" s="21"/>
      <c r="AK3418" s="21"/>
      <c r="AM3418" s="26" t="s">
        <v>38</v>
      </c>
    </row>
    <row r="3419" spans="34:39" x14ac:dyDescent="0.35">
      <c r="AH3419" s="21"/>
      <c r="AI3419" s="21"/>
      <c r="AJ3419" s="21"/>
      <c r="AK3419" s="21"/>
      <c r="AM3419" s="26" t="s">
        <v>38</v>
      </c>
    </row>
    <row r="3420" spans="34:39" x14ac:dyDescent="0.35">
      <c r="AH3420" s="21"/>
      <c r="AI3420" s="21"/>
      <c r="AJ3420" s="21"/>
      <c r="AK3420" s="21"/>
      <c r="AM3420" s="26" t="s">
        <v>38</v>
      </c>
    </row>
    <row r="3421" spans="34:39" x14ac:dyDescent="0.35">
      <c r="AH3421" s="21"/>
      <c r="AI3421" s="21"/>
      <c r="AJ3421" s="21"/>
      <c r="AK3421" s="21"/>
      <c r="AM3421" s="26" t="s">
        <v>38</v>
      </c>
    </row>
    <row r="3422" spans="34:39" x14ac:dyDescent="0.35">
      <c r="AH3422" s="21"/>
      <c r="AI3422" s="21"/>
      <c r="AJ3422" s="21"/>
      <c r="AK3422" s="21"/>
      <c r="AM3422" s="26" t="s">
        <v>38</v>
      </c>
    </row>
    <row r="3423" spans="34:39" x14ac:dyDescent="0.35">
      <c r="AH3423" s="21"/>
      <c r="AI3423" s="21"/>
      <c r="AJ3423" s="21"/>
      <c r="AK3423" s="21"/>
      <c r="AM3423" s="26" t="s">
        <v>38</v>
      </c>
    </row>
    <row r="3424" spans="34:39" x14ac:dyDescent="0.35">
      <c r="AH3424" s="21"/>
      <c r="AI3424" s="21"/>
      <c r="AJ3424" s="21"/>
      <c r="AK3424" s="21"/>
      <c r="AM3424" s="26" t="s">
        <v>38</v>
      </c>
    </row>
    <row r="3425" spans="34:39" x14ac:dyDescent="0.35">
      <c r="AH3425" s="21"/>
      <c r="AI3425" s="21"/>
      <c r="AJ3425" s="21"/>
      <c r="AK3425" s="21"/>
      <c r="AM3425" s="26" t="s">
        <v>38</v>
      </c>
    </row>
    <row r="3426" spans="34:39" x14ac:dyDescent="0.35">
      <c r="AH3426" s="21"/>
      <c r="AI3426" s="21"/>
      <c r="AJ3426" s="21"/>
      <c r="AK3426" s="21"/>
      <c r="AM3426" s="26" t="s">
        <v>38</v>
      </c>
    </row>
    <row r="3427" spans="34:39" x14ac:dyDescent="0.35">
      <c r="AH3427" s="21"/>
      <c r="AI3427" s="21"/>
      <c r="AJ3427" s="21"/>
      <c r="AK3427" s="21"/>
      <c r="AM3427" s="26" t="s">
        <v>38</v>
      </c>
    </row>
    <row r="3428" spans="34:39" x14ac:dyDescent="0.35">
      <c r="AH3428" s="21"/>
      <c r="AI3428" s="21"/>
      <c r="AJ3428" s="21"/>
      <c r="AK3428" s="21"/>
      <c r="AM3428" s="26" t="s">
        <v>38</v>
      </c>
    </row>
    <row r="3429" spans="34:39" x14ac:dyDescent="0.35">
      <c r="AH3429" s="21"/>
      <c r="AI3429" s="21"/>
      <c r="AJ3429" s="21"/>
      <c r="AK3429" s="21"/>
      <c r="AM3429" s="26" t="s">
        <v>38</v>
      </c>
    </row>
    <row r="3430" spans="34:39" x14ac:dyDescent="0.35">
      <c r="AH3430" s="21"/>
      <c r="AI3430" s="21"/>
      <c r="AJ3430" s="21"/>
      <c r="AK3430" s="21"/>
      <c r="AM3430" s="26" t="s">
        <v>38</v>
      </c>
    </row>
    <row r="3431" spans="34:39" x14ac:dyDescent="0.35">
      <c r="AH3431" s="21"/>
      <c r="AI3431" s="21"/>
      <c r="AJ3431" s="21"/>
      <c r="AK3431" s="21"/>
      <c r="AM3431" s="26" t="s">
        <v>38</v>
      </c>
    </row>
    <row r="3432" spans="34:39" x14ac:dyDescent="0.35">
      <c r="AH3432" s="21"/>
      <c r="AI3432" s="21"/>
      <c r="AJ3432" s="21"/>
      <c r="AK3432" s="21"/>
      <c r="AM3432" s="26" t="s">
        <v>38</v>
      </c>
    </row>
    <row r="3433" spans="34:39" x14ac:dyDescent="0.35">
      <c r="AH3433" s="21"/>
      <c r="AI3433" s="21"/>
      <c r="AJ3433" s="21"/>
      <c r="AK3433" s="21"/>
      <c r="AM3433" s="26" t="s">
        <v>38</v>
      </c>
    </row>
    <row r="3434" spans="34:39" x14ac:dyDescent="0.35">
      <c r="AH3434" s="21"/>
      <c r="AI3434" s="21"/>
      <c r="AJ3434" s="21"/>
      <c r="AK3434" s="21"/>
      <c r="AM3434" s="26" t="s">
        <v>38</v>
      </c>
    </row>
    <row r="3435" spans="34:39" x14ac:dyDescent="0.35">
      <c r="AH3435" s="21"/>
      <c r="AI3435" s="21"/>
      <c r="AJ3435" s="21"/>
      <c r="AK3435" s="21"/>
      <c r="AM3435" s="26" t="s">
        <v>38</v>
      </c>
    </row>
    <row r="3436" spans="34:39" x14ac:dyDescent="0.35">
      <c r="AH3436" s="21"/>
      <c r="AI3436" s="21"/>
      <c r="AJ3436" s="21"/>
      <c r="AK3436" s="21"/>
      <c r="AM3436" s="26" t="s">
        <v>38</v>
      </c>
    </row>
    <row r="3437" spans="34:39" x14ac:dyDescent="0.35">
      <c r="AH3437" s="21"/>
      <c r="AI3437" s="21"/>
      <c r="AJ3437" s="21"/>
      <c r="AK3437" s="21"/>
      <c r="AM3437" s="26" t="s">
        <v>38</v>
      </c>
    </row>
    <row r="3438" spans="34:39" x14ac:dyDescent="0.35">
      <c r="AH3438" s="21"/>
      <c r="AI3438" s="21"/>
      <c r="AJ3438" s="21"/>
      <c r="AK3438" s="21"/>
      <c r="AM3438" s="26" t="s">
        <v>38</v>
      </c>
    </row>
    <row r="3439" spans="34:39" x14ac:dyDescent="0.35">
      <c r="AH3439" s="21"/>
      <c r="AI3439" s="21"/>
      <c r="AJ3439" s="21"/>
      <c r="AK3439" s="21"/>
      <c r="AM3439" s="26" t="s">
        <v>38</v>
      </c>
    </row>
    <row r="3440" spans="34:39" x14ac:dyDescent="0.35">
      <c r="AH3440" s="21"/>
      <c r="AI3440" s="21"/>
      <c r="AJ3440" s="21"/>
      <c r="AK3440" s="21"/>
      <c r="AM3440" s="26" t="s">
        <v>38</v>
      </c>
    </row>
    <row r="3441" spans="34:39" x14ac:dyDescent="0.35">
      <c r="AH3441" s="21"/>
      <c r="AI3441" s="21"/>
      <c r="AJ3441" s="21"/>
      <c r="AK3441" s="21"/>
      <c r="AM3441" s="26" t="s">
        <v>38</v>
      </c>
    </row>
    <row r="3442" spans="34:39" x14ac:dyDescent="0.35">
      <c r="AH3442" s="21"/>
      <c r="AI3442" s="21"/>
      <c r="AJ3442" s="21"/>
      <c r="AK3442" s="21"/>
      <c r="AM3442" s="26" t="s">
        <v>38</v>
      </c>
    </row>
    <row r="3443" spans="34:39" x14ac:dyDescent="0.35">
      <c r="AH3443" s="21"/>
      <c r="AI3443" s="21"/>
      <c r="AJ3443" s="21"/>
      <c r="AK3443" s="21"/>
      <c r="AM3443" s="26" t="s">
        <v>38</v>
      </c>
    </row>
    <row r="3444" spans="34:39" x14ac:dyDescent="0.35">
      <c r="AH3444" s="21"/>
      <c r="AI3444" s="21"/>
      <c r="AJ3444" s="21"/>
      <c r="AK3444" s="21"/>
      <c r="AM3444" s="26" t="s">
        <v>38</v>
      </c>
    </row>
    <row r="3445" spans="34:39" x14ac:dyDescent="0.35">
      <c r="AH3445" s="21"/>
      <c r="AI3445" s="21"/>
      <c r="AJ3445" s="21"/>
      <c r="AK3445" s="21"/>
      <c r="AM3445" s="26" t="s">
        <v>38</v>
      </c>
    </row>
    <row r="3446" spans="34:39" x14ac:dyDescent="0.35">
      <c r="AH3446" s="21"/>
      <c r="AI3446" s="21"/>
      <c r="AJ3446" s="21"/>
      <c r="AK3446" s="21"/>
      <c r="AM3446" s="26" t="s">
        <v>38</v>
      </c>
    </row>
    <row r="3447" spans="34:39" x14ac:dyDescent="0.35">
      <c r="AH3447" s="21"/>
      <c r="AI3447" s="21"/>
      <c r="AJ3447" s="21"/>
      <c r="AK3447" s="21"/>
      <c r="AM3447" s="26" t="s">
        <v>38</v>
      </c>
    </row>
    <row r="3448" spans="34:39" x14ac:dyDescent="0.35">
      <c r="AH3448" s="21"/>
      <c r="AI3448" s="21"/>
      <c r="AJ3448" s="21"/>
      <c r="AK3448" s="21"/>
      <c r="AM3448" s="26" t="s">
        <v>38</v>
      </c>
    </row>
    <row r="3449" spans="34:39" x14ac:dyDescent="0.35">
      <c r="AH3449" s="21"/>
      <c r="AI3449" s="21"/>
      <c r="AJ3449" s="21"/>
      <c r="AK3449" s="21"/>
      <c r="AM3449" s="26" t="s">
        <v>38</v>
      </c>
    </row>
    <row r="3450" spans="34:39" x14ac:dyDescent="0.35">
      <c r="AH3450" s="21"/>
      <c r="AI3450" s="21"/>
      <c r="AJ3450" s="21"/>
      <c r="AK3450" s="21"/>
      <c r="AM3450" s="26" t="s">
        <v>38</v>
      </c>
    </row>
    <row r="3451" spans="34:39" x14ac:dyDescent="0.35">
      <c r="AH3451" s="21"/>
      <c r="AI3451" s="21"/>
      <c r="AJ3451" s="21"/>
      <c r="AK3451" s="21"/>
      <c r="AM3451" s="26" t="s">
        <v>38</v>
      </c>
    </row>
    <row r="3452" spans="34:39" x14ac:dyDescent="0.35">
      <c r="AH3452" s="21"/>
      <c r="AI3452" s="21"/>
      <c r="AJ3452" s="21"/>
      <c r="AK3452" s="21"/>
      <c r="AM3452" s="26" t="s">
        <v>38</v>
      </c>
    </row>
    <row r="3453" spans="34:39" x14ac:dyDescent="0.35">
      <c r="AH3453" s="21"/>
      <c r="AI3453" s="21"/>
      <c r="AJ3453" s="21"/>
      <c r="AK3453" s="21"/>
      <c r="AM3453" s="26" t="s">
        <v>38</v>
      </c>
    </row>
    <row r="3454" spans="34:39" x14ac:dyDescent="0.35">
      <c r="AH3454" s="21"/>
      <c r="AI3454" s="21"/>
      <c r="AJ3454" s="21"/>
      <c r="AK3454" s="21"/>
      <c r="AM3454" s="26" t="s">
        <v>38</v>
      </c>
    </row>
    <row r="3455" spans="34:39" x14ac:dyDescent="0.35">
      <c r="AH3455" s="21"/>
      <c r="AI3455" s="21"/>
      <c r="AJ3455" s="21"/>
      <c r="AK3455" s="21"/>
      <c r="AM3455" s="26" t="s">
        <v>38</v>
      </c>
    </row>
    <row r="3456" spans="34:39" x14ac:dyDescent="0.35">
      <c r="AH3456" s="21"/>
      <c r="AI3456" s="21"/>
      <c r="AJ3456" s="21"/>
      <c r="AK3456" s="21"/>
      <c r="AM3456" s="26" t="s">
        <v>38</v>
      </c>
    </row>
    <row r="3457" spans="34:39" x14ac:dyDescent="0.35">
      <c r="AH3457" s="21"/>
      <c r="AI3457" s="21"/>
      <c r="AJ3457" s="21"/>
      <c r="AK3457" s="21"/>
      <c r="AM3457" s="26" t="s">
        <v>38</v>
      </c>
    </row>
    <row r="3458" spans="34:39" x14ac:dyDescent="0.35">
      <c r="AH3458" s="21"/>
      <c r="AI3458" s="21"/>
      <c r="AJ3458" s="21"/>
      <c r="AK3458" s="21"/>
      <c r="AM3458" s="26" t="s">
        <v>38</v>
      </c>
    </row>
    <row r="3459" spans="34:39" x14ac:dyDescent="0.35">
      <c r="AH3459" s="21"/>
      <c r="AI3459" s="21"/>
      <c r="AJ3459" s="21"/>
      <c r="AK3459" s="21"/>
      <c r="AM3459" s="26" t="s">
        <v>38</v>
      </c>
    </row>
    <row r="3460" spans="34:39" x14ac:dyDescent="0.35">
      <c r="AH3460" s="21"/>
      <c r="AI3460" s="21"/>
      <c r="AJ3460" s="21"/>
      <c r="AK3460" s="21"/>
      <c r="AM3460" s="26" t="s">
        <v>38</v>
      </c>
    </row>
    <row r="3461" spans="34:39" x14ac:dyDescent="0.35">
      <c r="AH3461" s="21"/>
      <c r="AI3461" s="21"/>
      <c r="AJ3461" s="21"/>
      <c r="AK3461" s="21"/>
      <c r="AM3461" s="26" t="s">
        <v>38</v>
      </c>
    </row>
    <row r="3462" spans="34:39" x14ac:dyDescent="0.35">
      <c r="AH3462" s="21"/>
      <c r="AI3462" s="21"/>
      <c r="AJ3462" s="21"/>
      <c r="AK3462" s="21"/>
      <c r="AM3462" s="26" t="s">
        <v>38</v>
      </c>
    </row>
    <row r="3463" spans="34:39" x14ac:dyDescent="0.35">
      <c r="AH3463" s="21"/>
      <c r="AI3463" s="21"/>
      <c r="AJ3463" s="21"/>
      <c r="AK3463" s="21"/>
      <c r="AM3463" s="26" t="s">
        <v>38</v>
      </c>
    </row>
    <row r="3464" spans="34:39" x14ac:dyDescent="0.35">
      <c r="AH3464" s="21"/>
      <c r="AI3464" s="21"/>
      <c r="AJ3464" s="21"/>
      <c r="AK3464" s="21"/>
      <c r="AM3464" s="26" t="s">
        <v>38</v>
      </c>
    </row>
    <row r="3465" spans="34:39" x14ac:dyDescent="0.35">
      <c r="AH3465" s="21"/>
      <c r="AI3465" s="21"/>
      <c r="AJ3465" s="21"/>
      <c r="AK3465" s="21"/>
      <c r="AM3465" s="26" t="s">
        <v>38</v>
      </c>
    </row>
    <row r="3466" spans="34:39" x14ac:dyDescent="0.35">
      <c r="AH3466" s="21"/>
      <c r="AI3466" s="21"/>
      <c r="AJ3466" s="21"/>
      <c r="AK3466" s="21"/>
      <c r="AM3466" s="26" t="s">
        <v>38</v>
      </c>
    </row>
    <row r="3467" spans="34:39" x14ac:dyDescent="0.35">
      <c r="AH3467" s="21"/>
      <c r="AI3467" s="21"/>
      <c r="AJ3467" s="21"/>
      <c r="AK3467" s="21"/>
      <c r="AM3467" s="26" t="s">
        <v>38</v>
      </c>
    </row>
    <row r="3468" spans="34:39" x14ac:dyDescent="0.35">
      <c r="AH3468" s="21"/>
      <c r="AI3468" s="21"/>
      <c r="AJ3468" s="21"/>
      <c r="AK3468" s="21"/>
      <c r="AM3468" s="26" t="s">
        <v>38</v>
      </c>
    </row>
    <row r="3469" spans="34:39" x14ac:dyDescent="0.35">
      <c r="AH3469" s="21"/>
      <c r="AI3469" s="21"/>
      <c r="AJ3469" s="21"/>
      <c r="AK3469" s="21"/>
      <c r="AM3469" s="26" t="s">
        <v>38</v>
      </c>
    </row>
    <row r="3470" spans="34:39" x14ac:dyDescent="0.35">
      <c r="AH3470" s="21"/>
      <c r="AI3470" s="21"/>
      <c r="AJ3470" s="21"/>
      <c r="AK3470" s="21"/>
      <c r="AM3470" s="26" t="s">
        <v>38</v>
      </c>
    </row>
    <row r="3471" spans="34:39" x14ac:dyDescent="0.35">
      <c r="AH3471" s="21"/>
      <c r="AI3471" s="21"/>
      <c r="AJ3471" s="21"/>
      <c r="AK3471" s="21"/>
      <c r="AM3471" s="26" t="s">
        <v>38</v>
      </c>
    </row>
    <row r="3472" spans="34:39" x14ac:dyDescent="0.35">
      <c r="AH3472" s="21"/>
      <c r="AI3472" s="21"/>
      <c r="AJ3472" s="21"/>
      <c r="AK3472" s="21"/>
      <c r="AM3472" s="26" t="s">
        <v>38</v>
      </c>
    </row>
    <row r="3473" spans="34:39" x14ac:dyDescent="0.35">
      <c r="AH3473" s="21"/>
      <c r="AI3473" s="21"/>
      <c r="AJ3473" s="21"/>
      <c r="AK3473" s="21"/>
      <c r="AM3473" s="26" t="s">
        <v>38</v>
      </c>
    </row>
    <row r="3474" spans="34:39" x14ac:dyDescent="0.35">
      <c r="AH3474" s="21"/>
      <c r="AI3474" s="21"/>
      <c r="AJ3474" s="21"/>
      <c r="AK3474" s="21"/>
      <c r="AM3474" s="26" t="s">
        <v>38</v>
      </c>
    </row>
    <row r="3475" spans="34:39" x14ac:dyDescent="0.35">
      <c r="AH3475" s="21"/>
      <c r="AI3475" s="21"/>
      <c r="AJ3475" s="21"/>
      <c r="AK3475" s="21"/>
      <c r="AM3475" s="26" t="s">
        <v>38</v>
      </c>
    </row>
    <row r="3476" spans="34:39" x14ac:dyDescent="0.35">
      <c r="AH3476" s="21"/>
      <c r="AI3476" s="21"/>
      <c r="AJ3476" s="21"/>
      <c r="AK3476" s="21"/>
      <c r="AM3476" s="26" t="s">
        <v>38</v>
      </c>
    </row>
    <row r="3477" spans="34:39" x14ac:dyDescent="0.35">
      <c r="AH3477" s="21"/>
      <c r="AI3477" s="21"/>
      <c r="AJ3477" s="21"/>
      <c r="AK3477" s="21"/>
      <c r="AM3477" s="26" t="s">
        <v>38</v>
      </c>
    </row>
    <row r="3478" spans="34:39" x14ac:dyDescent="0.35">
      <c r="AH3478" s="21"/>
      <c r="AI3478" s="21"/>
      <c r="AJ3478" s="21"/>
      <c r="AK3478" s="21"/>
      <c r="AM3478" s="26" t="s">
        <v>38</v>
      </c>
    </row>
    <row r="3479" spans="34:39" x14ac:dyDescent="0.35">
      <c r="AH3479" s="21"/>
      <c r="AI3479" s="21"/>
      <c r="AJ3479" s="21"/>
      <c r="AK3479" s="21"/>
      <c r="AM3479" s="26" t="s">
        <v>38</v>
      </c>
    </row>
    <row r="3480" spans="34:39" x14ac:dyDescent="0.35">
      <c r="AH3480" s="21"/>
      <c r="AI3480" s="21"/>
      <c r="AJ3480" s="21"/>
      <c r="AK3480" s="21"/>
      <c r="AM3480" s="26" t="s">
        <v>38</v>
      </c>
    </row>
    <row r="3481" spans="34:39" x14ac:dyDescent="0.35">
      <c r="AH3481" s="21"/>
      <c r="AI3481" s="21"/>
      <c r="AJ3481" s="21"/>
      <c r="AK3481" s="21"/>
      <c r="AM3481" s="26" t="s">
        <v>38</v>
      </c>
    </row>
    <row r="3482" spans="34:39" x14ac:dyDescent="0.35">
      <c r="AH3482" s="21"/>
      <c r="AI3482" s="21"/>
      <c r="AJ3482" s="21"/>
      <c r="AK3482" s="21"/>
      <c r="AM3482" s="26" t="s">
        <v>38</v>
      </c>
    </row>
    <row r="3483" spans="34:39" x14ac:dyDescent="0.35">
      <c r="AH3483" s="21"/>
      <c r="AI3483" s="21"/>
      <c r="AJ3483" s="21"/>
      <c r="AK3483" s="21"/>
      <c r="AM3483" s="26" t="s">
        <v>38</v>
      </c>
    </row>
    <row r="3484" spans="34:39" x14ac:dyDescent="0.35">
      <c r="AH3484" s="21"/>
      <c r="AI3484" s="21"/>
      <c r="AJ3484" s="21"/>
      <c r="AK3484" s="21"/>
      <c r="AM3484" s="26" t="s">
        <v>38</v>
      </c>
    </row>
    <row r="3485" spans="34:39" x14ac:dyDescent="0.35">
      <c r="AH3485" s="21"/>
      <c r="AI3485" s="21"/>
      <c r="AJ3485" s="21"/>
      <c r="AK3485" s="21"/>
      <c r="AM3485" s="26" t="s">
        <v>38</v>
      </c>
    </row>
    <row r="3486" spans="34:39" x14ac:dyDescent="0.35">
      <c r="AH3486" s="21"/>
      <c r="AI3486" s="21"/>
      <c r="AJ3486" s="21"/>
      <c r="AK3486" s="21"/>
      <c r="AM3486" s="26" t="s">
        <v>38</v>
      </c>
    </row>
    <row r="3487" spans="34:39" x14ac:dyDescent="0.35">
      <c r="AH3487" s="21"/>
      <c r="AI3487" s="21"/>
      <c r="AJ3487" s="21"/>
      <c r="AK3487" s="21"/>
      <c r="AM3487" s="26" t="s">
        <v>38</v>
      </c>
    </row>
    <row r="3488" spans="34:39" x14ac:dyDescent="0.35">
      <c r="AH3488" s="21"/>
      <c r="AI3488" s="21"/>
      <c r="AJ3488" s="21"/>
      <c r="AK3488" s="21"/>
      <c r="AM3488" s="26" t="s">
        <v>38</v>
      </c>
    </row>
    <row r="3489" spans="34:39" x14ac:dyDescent="0.35">
      <c r="AH3489" s="21"/>
      <c r="AI3489" s="21"/>
      <c r="AJ3489" s="21"/>
      <c r="AK3489" s="21"/>
      <c r="AM3489" s="26" t="s">
        <v>38</v>
      </c>
    </row>
    <row r="3490" spans="34:39" x14ac:dyDescent="0.35">
      <c r="AH3490" s="21"/>
      <c r="AI3490" s="21"/>
      <c r="AJ3490" s="21"/>
      <c r="AK3490" s="21"/>
      <c r="AM3490" s="26" t="s">
        <v>38</v>
      </c>
    </row>
    <row r="3491" spans="34:39" x14ac:dyDescent="0.35">
      <c r="AH3491" s="21"/>
      <c r="AI3491" s="21"/>
      <c r="AJ3491" s="21"/>
      <c r="AK3491" s="21"/>
      <c r="AM3491" s="26" t="s">
        <v>38</v>
      </c>
    </row>
    <row r="3492" spans="34:39" x14ac:dyDescent="0.35">
      <c r="AH3492" s="21"/>
      <c r="AI3492" s="21"/>
      <c r="AJ3492" s="21"/>
      <c r="AK3492" s="21"/>
      <c r="AM3492" s="26" t="s">
        <v>38</v>
      </c>
    </row>
    <row r="3493" spans="34:39" x14ac:dyDescent="0.35">
      <c r="AH3493" s="21"/>
      <c r="AI3493" s="21"/>
      <c r="AJ3493" s="21"/>
      <c r="AK3493" s="21"/>
      <c r="AM3493" s="26" t="s">
        <v>38</v>
      </c>
    </row>
    <row r="3494" spans="34:39" x14ac:dyDescent="0.35">
      <c r="AH3494" s="21"/>
      <c r="AI3494" s="21"/>
      <c r="AJ3494" s="21"/>
      <c r="AK3494" s="21"/>
      <c r="AM3494" s="26" t="s">
        <v>38</v>
      </c>
    </row>
    <row r="3495" spans="34:39" x14ac:dyDescent="0.35">
      <c r="AH3495" s="21"/>
      <c r="AI3495" s="21"/>
      <c r="AJ3495" s="21"/>
      <c r="AK3495" s="21"/>
      <c r="AM3495" s="26" t="s">
        <v>38</v>
      </c>
    </row>
    <row r="3496" spans="34:39" x14ac:dyDescent="0.35">
      <c r="AH3496" s="21"/>
      <c r="AI3496" s="21"/>
      <c r="AJ3496" s="21"/>
      <c r="AK3496" s="21"/>
      <c r="AM3496" s="26" t="s">
        <v>38</v>
      </c>
    </row>
    <row r="3497" spans="34:39" x14ac:dyDescent="0.35">
      <c r="AH3497" s="21"/>
      <c r="AI3497" s="21"/>
      <c r="AJ3497" s="21"/>
      <c r="AK3497" s="21"/>
      <c r="AM3497" s="26" t="s">
        <v>38</v>
      </c>
    </row>
    <row r="3498" spans="34:39" x14ac:dyDescent="0.35">
      <c r="AH3498" s="21"/>
      <c r="AI3498" s="21"/>
      <c r="AJ3498" s="21"/>
      <c r="AK3498" s="21"/>
      <c r="AM3498" s="26" t="s">
        <v>38</v>
      </c>
    </row>
    <row r="3499" spans="34:39" x14ac:dyDescent="0.35">
      <c r="AH3499" s="21"/>
      <c r="AI3499" s="21"/>
      <c r="AJ3499" s="21"/>
      <c r="AK3499" s="21"/>
      <c r="AM3499" s="26" t="s">
        <v>38</v>
      </c>
    </row>
    <row r="3500" spans="34:39" x14ac:dyDescent="0.35">
      <c r="AH3500" s="21"/>
      <c r="AI3500" s="21"/>
      <c r="AJ3500" s="21"/>
      <c r="AK3500" s="21"/>
      <c r="AM3500" s="26" t="s">
        <v>38</v>
      </c>
    </row>
    <row r="3501" spans="34:39" x14ac:dyDescent="0.35">
      <c r="AH3501" s="21"/>
      <c r="AI3501" s="21"/>
      <c r="AJ3501" s="21"/>
      <c r="AK3501" s="21"/>
      <c r="AM3501" s="26" t="s">
        <v>38</v>
      </c>
    </row>
    <row r="3502" spans="34:39" x14ac:dyDescent="0.35">
      <c r="AH3502" s="21"/>
      <c r="AI3502" s="21"/>
      <c r="AJ3502" s="21"/>
      <c r="AK3502" s="21"/>
      <c r="AM3502" s="26" t="s">
        <v>38</v>
      </c>
    </row>
    <row r="3503" spans="34:39" x14ac:dyDescent="0.35">
      <c r="AH3503" s="21"/>
      <c r="AI3503" s="21"/>
      <c r="AJ3503" s="21"/>
      <c r="AK3503" s="21"/>
      <c r="AM3503" s="26" t="s">
        <v>38</v>
      </c>
    </row>
    <row r="3504" spans="34:39" x14ac:dyDescent="0.35">
      <c r="AH3504" s="21"/>
      <c r="AI3504" s="21"/>
      <c r="AJ3504" s="21"/>
      <c r="AK3504" s="21"/>
      <c r="AM3504" s="26" t="s">
        <v>38</v>
      </c>
    </row>
    <row r="3505" spans="1:40" x14ac:dyDescent="0.35">
      <c r="AH3505" s="21"/>
      <c r="AI3505" s="21"/>
      <c r="AJ3505" s="21"/>
      <c r="AK3505" s="21"/>
      <c r="AM3505" s="26" t="s">
        <v>38</v>
      </c>
    </row>
    <row r="3506" spans="1:40" x14ac:dyDescent="0.35">
      <c r="AH3506" s="21"/>
      <c r="AI3506" s="21"/>
      <c r="AJ3506" s="21"/>
      <c r="AK3506" s="21"/>
      <c r="AM3506" s="26" t="s">
        <v>38</v>
      </c>
    </row>
    <row r="3507" spans="1:40" x14ac:dyDescent="0.35">
      <c r="AH3507" s="21"/>
      <c r="AI3507" s="21"/>
      <c r="AJ3507" s="21"/>
      <c r="AK3507" s="21"/>
      <c r="AM3507" s="26" t="s">
        <v>38</v>
      </c>
    </row>
    <row r="3508" spans="1:40" x14ac:dyDescent="0.35">
      <c r="AH3508" s="21"/>
      <c r="AI3508" s="21"/>
      <c r="AJ3508" s="21"/>
      <c r="AK3508" s="21"/>
      <c r="AM3508" s="26" t="s">
        <v>38</v>
      </c>
    </row>
    <row r="3509" spans="1:40" x14ac:dyDescent="0.35">
      <c r="AH3509" s="21"/>
      <c r="AI3509" s="21"/>
      <c r="AJ3509" s="21"/>
      <c r="AK3509" s="21"/>
      <c r="AM3509" s="26" t="s">
        <v>38</v>
      </c>
    </row>
    <row r="3510" spans="1:40" x14ac:dyDescent="0.35">
      <c r="AH3510" s="21"/>
      <c r="AI3510" s="21"/>
      <c r="AJ3510" s="21"/>
      <c r="AK3510" s="21"/>
      <c r="AM3510" s="26" t="s">
        <v>38</v>
      </c>
    </row>
    <row r="3511" spans="1:40" x14ac:dyDescent="0.35">
      <c r="AH3511" s="21"/>
      <c r="AI3511" s="21"/>
      <c r="AJ3511" s="21"/>
      <c r="AK3511" s="21"/>
      <c r="AM3511" s="26" t="s">
        <v>38</v>
      </c>
    </row>
    <row r="3512" spans="1:40" x14ac:dyDescent="0.35">
      <c r="AH3512" s="21"/>
      <c r="AI3512" s="21"/>
      <c r="AJ3512" s="21"/>
      <c r="AK3512" s="21"/>
      <c r="AM3512" s="26" t="s">
        <v>38</v>
      </c>
    </row>
    <row r="3513" spans="1:40" x14ac:dyDescent="0.35">
      <c r="AH3513" s="21"/>
      <c r="AI3513" s="21"/>
      <c r="AJ3513" s="21"/>
      <c r="AK3513" s="21"/>
      <c r="AM3513" s="26" t="s">
        <v>38</v>
      </c>
    </row>
    <row r="3514" spans="1:40" x14ac:dyDescent="0.35">
      <c r="AH3514" s="21"/>
      <c r="AI3514" s="21"/>
      <c r="AJ3514" s="21"/>
      <c r="AK3514" s="21"/>
      <c r="AM3514" s="26" t="s">
        <v>38</v>
      </c>
    </row>
    <row r="3515" spans="1:40" x14ac:dyDescent="0.35">
      <c r="AH3515" s="21"/>
      <c r="AI3515" s="21"/>
      <c r="AJ3515" s="21"/>
      <c r="AK3515" s="21"/>
      <c r="AM3515" s="26" t="s">
        <v>38</v>
      </c>
    </row>
    <row r="3516" spans="1:40" x14ac:dyDescent="0.35">
      <c r="AH3516" s="21"/>
      <c r="AI3516" s="21"/>
      <c r="AJ3516" s="21"/>
      <c r="AK3516" s="21"/>
      <c r="AM3516" s="26" t="s">
        <v>38</v>
      </c>
    </row>
    <row r="3517" spans="1:40" s="85" customFormat="1" x14ac:dyDescent="0.35">
      <c r="A3517"/>
      <c r="B3517"/>
      <c r="C3517"/>
      <c r="D3517"/>
      <c r="E3517"/>
      <c r="F3517"/>
      <c r="G3517"/>
      <c r="H3517"/>
      <c r="I3517"/>
      <c r="J3517"/>
      <c r="K3517"/>
      <c r="L3517"/>
      <c r="M3517"/>
      <c r="N3517"/>
      <c r="O3517"/>
      <c r="P3517"/>
      <c r="Q3517"/>
      <c r="R3517"/>
      <c r="S3517"/>
      <c r="T3517"/>
      <c r="U3517"/>
      <c r="V3517"/>
      <c r="W3517"/>
      <c r="X3517"/>
      <c r="Y3517"/>
      <c r="Z3517"/>
      <c r="AA3517"/>
      <c r="AB3517"/>
      <c r="AC3517"/>
      <c r="AD3517"/>
      <c r="AE3517"/>
      <c r="AF3517"/>
      <c r="AG3517"/>
      <c r="AH3517" s="21"/>
      <c r="AI3517" s="21"/>
      <c r="AJ3517" s="21"/>
      <c r="AK3517" s="21"/>
      <c r="AL3517"/>
      <c r="AM3517" s="26" t="s">
        <v>38</v>
      </c>
      <c r="AN3517"/>
    </row>
    <row r="3518" spans="1:40" x14ac:dyDescent="0.35">
      <c r="AH3518" s="21"/>
      <c r="AI3518" s="21"/>
      <c r="AJ3518" s="21"/>
      <c r="AK3518" s="21"/>
      <c r="AM3518" s="26" t="s">
        <v>38</v>
      </c>
    </row>
    <row r="3519" spans="1:40" x14ac:dyDescent="0.35">
      <c r="AH3519" s="21"/>
      <c r="AI3519" s="21"/>
      <c r="AJ3519" s="21"/>
      <c r="AK3519" s="21"/>
      <c r="AM3519" s="26" t="s">
        <v>38</v>
      </c>
    </row>
    <row r="3520" spans="1:40" x14ac:dyDescent="0.35">
      <c r="AH3520" s="21"/>
      <c r="AI3520" s="21"/>
      <c r="AJ3520" s="21"/>
      <c r="AK3520" s="21"/>
      <c r="AM3520" s="26" t="s">
        <v>38</v>
      </c>
    </row>
    <row r="3521" spans="34:39" x14ac:dyDescent="0.35">
      <c r="AH3521" s="21"/>
      <c r="AI3521" s="21"/>
      <c r="AJ3521" s="21"/>
      <c r="AK3521" s="21"/>
      <c r="AM3521" s="26" t="s">
        <v>38</v>
      </c>
    </row>
    <row r="3522" spans="34:39" x14ac:dyDescent="0.35">
      <c r="AH3522" s="21"/>
      <c r="AI3522" s="21"/>
      <c r="AJ3522" s="21"/>
      <c r="AK3522" s="21"/>
      <c r="AM3522" s="26" t="s">
        <v>38</v>
      </c>
    </row>
    <row r="3523" spans="34:39" x14ac:dyDescent="0.35">
      <c r="AH3523" s="21"/>
      <c r="AI3523" s="21"/>
      <c r="AJ3523" s="21"/>
      <c r="AK3523" s="21"/>
      <c r="AM3523" s="26" t="s">
        <v>38</v>
      </c>
    </row>
    <row r="3524" spans="34:39" x14ac:dyDescent="0.35">
      <c r="AH3524" s="21"/>
      <c r="AI3524" s="21"/>
      <c r="AJ3524" s="21"/>
      <c r="AK3524" s="21"/>
      <c r="AM3524" s="26" t="s">
        <v>38</v>
      </c>
    </row>
    <row r="3525" spans="34:39" x14ac:dyDescent="0.35">
      <c r="AH3525" s="21"/>
      <c r="AI3525" s="21"/>
      <c r="AJ3525" s="21"/>
      <c r="AK3525" s="21"/>
      <c r="AM3525" s="26" t="s">
        <v>38</v>
      </c>
    </row>
    <row r="3526" spans="34:39" x14ac:dyDescent="0.35">
      <c r="AH3526" s="21"/>
      <c r="AI3526" s="21"/>
      <c r="AJ3526" s="21"/>
      <c r="AK3526" s="21"/>
      <c r="AM3526" s="26" t="s">
        <v>38</v>
      </c>
    </row>
    <row r="3527" spans="34:39" x14ac:dyDescent="0.35">
      <c r="AH3527" s="21"/>
      <c r="AI3527" s="21"/>
      <c r="AJ3527" s="21"/>
      <c r="AK3527" s="21"/>
      <c r="AM3527" s="26" t="s">
        <v>38</v>
      </c>
    </row>
    <row r="3528" spans="34:39" x14ac:dyDescent="0.35">
      <c r="AH3528" s="21"/>
      <c r="AI3528" s="21"/>
      <c r="AJ3528" s="21"/>
      <c r="AK3528" s="21"/>
      <c r="AM3528" s="26" t="s">
        <v>38</v>
      </c>
    </row>
    <row r="3529" spans="34:39" x14ac:dyDescent="0.35">
      <c r="AH3529" s="21"/>
      <c r="AI3529" s="21"/>
      <c r="AJ3529" s="21"/>
      <c r="AK3529" s="21"/>
      <c r="AM3529" s="26" t="s">
        <v>38</v>
      </c>
    </row>
    <row r="3530" spans="34:39" x14ac:dyDescent="0.35">
      <c r="AH3530" s="21"/>
      <c r="AI3530" s="21"/>
      <c r="AJ3530" s="21"/>
      <c r="AK3530" s="21"/>
      <c r="AM3530" s="26" t="s">
        <v>38</v>
      </c>
    </row>
    <row r="3531" spans="34:39" x14ac:dyDescent="0.35">
      <c r="AH3531" s="21"/>
      <c r="AI3531" s="21"/>
      <c r="AJ3531" s="21"/>
      <c r="AK3531" s="21"/>
      <c r="AM3531" s="26" t="s">
        <v>38</v>
      </c>
    </row>
    <row r="3532" spans="34:39" x14ac:dyDescent="0.35">
      <c r="AH3532" s="21"/>
      <c r="AI3532" s="21"/>
      <c r="AJ3532" s="21"/>
      <c r="AK3532" s="21"/>
      <c r="AM3532" s="26" t="s">
        <v>38</v>
      </c>
    </row>
    <row r="3533" spans="34:39" x14ac:dyDescent="0.35">
      <c r="AH3533" s="21"/>
      <c r="AI3533" s="21"/>
      <c r="AJ3533" s="21"/>
      <c r="AK3533" s="21"/>
      <c r="AM3533" s="26" t="s">
        <v>38</v>
      </c>
    </row>
    <row r="3534" spans="34:39" x14ac:dyDescent="0.35">
      <c r="AH3534" s="21"/>
      <c r="AI3534" s="21"/>
      <c r="AJ3534" s="21"/>
      <c r="AK3534" s="21"/>
      <c r="AM3534" s="26" t="s">
        <v>38</v>
      </c>
    </row>
    <row r="3535" spans="34:39" x14ac:dyDescent="0.35">
      <c r="AH3535" s="21"/>
      <c r="AI3535" s="21"/>
      <c r="AJ3535" s="21"/>
      <c r="AK3535" s="21"/>
      <c r="AM3535" s="26" t="s">
        <v>38</v>
      </c>
    </row>
    <row r="3536" spans="34:39" x14ac:dyDescent="0.35">
      <c r="AH3536" s="21"/>
      <c r="AI3536" s="21"/>
      <c r="AJ3536" s="21"/>
      <c r="AK3536" s="21"/>
      <c r="AM3536" s="26" t="s">
        <v>38</v>
      </c>
    </row>
    <row r="3537" spans="34:39" x14ac:dyDescent="0.35">
      <c r="AH3537" s="21"/>
      <c r="AI3537" s="21"/>
      <c r="AJ3537" s="21"/>
      <c r="AK3537" s="21"/>
      <c r="AM3537" s="26" t="s">
        <v>38</v>
      </c>
    </row>
    <row r="3538" spans="34:39" x14ac:dyDescent="0.35">
      <c r="AH3538" s="21"/>
      <c r="AI3538" s="21"/>
      <c r="AJ3538" s="21"/>
      <c r="AK3538" s="21"/>
      <c r="AM3538" s="26" t="s">
        <v>38</v>
      </c>
    </row>
    <row r="3539" spans="34:39" x14ac:dyDescent="0.35">
      <c r="AH3539" s="21"/>
      <c r="AI3539" s="21"/>
      <c r="AJ3539" s="21"/>
      <c r="AK3539" s="21"/>
      <c r="AM3539" s="26" t="s">
        <v>38</v>
      </c>
    </row>
    <row r="3540" spans="34:39" x14ac:dyDescent="0.35">
      <c r="AH3540" s="21"/>
      <c r="AI3540" s="21"/>
      <c r="AJ3540" s="21"/>
      <c r="AK3540" s="21"/>
      <c r="AM3540" s="26" t="s">
        <v>38</v>
      </c>
    </row>
    <row r="3541" spans="34:39" x14ac:dyDescent="0.35">
      <c r="AH3541" s="21"/>
      <c r="AI3541" s="21"/>
      <c r="AJ3541" s="21"/>
      <c r="AK3541" s="21"/>
      <c r="AM3541" s="26" t="s">
        <v>38</v>
      </c>
    </row>
    <row r="3542" spans="34:39" x14ac:dyDescent="0.35">
      <c r="AH3542" s="21"/>
      <c r="AI3542" s="21"/>
      <c r="AJ3542" s="21"/>
      <c r="AK3542" s="21"/>
      <c r="AM3542" s="26" t="s">
        <v>38</v>
      </c>
    </row>
    <row r="3543" spans="34:39" x14ac:dyDescent="0.35">
      <c r="AH3543" s="21"/>
      <c r="AI3543" s="21"/>
      <c r="AJ3543" s="21"/>
      <c r="AK3543" s="21"/>
      <c r="AM3543" s="26" t="s">
        <v>38</v>
      </c>
    </row>
    <row r="3544" spans="34:39" x14ac:dyDescent="0.35">
      <c r="AH3544" s="21"/>
      <c r="AI3544" s="21"/>
      <c r="AJ3544" s="21"/>
      <c r="AK3544" s="21"/>
      <c r="AM3544" s="26" t="s">
        <v>38</v>
      </c>
    </row>
    <row r="3545" spans="34:39" x14ac:dyDescent="0.35">
      <c r="AH3545" s="21"/>
      <c r="AI3545" s="21"/>
      <c r="AJ3545" s="21"/>
      <c r="AK3545" s="21"/>
      <c r="AM3545" s="26" t="s">
        <v>38</v>
      </c>
    </row>
    <row r="3546" spans="34:39" x14ac:dyDescent="0.35">
      <c r="AH3546" s="21"/>
      <c r="AI3546" s="21"/>
      <c r="AJ3546" s="21"/>
      <c r="AK3546" s="21"/>
      <c r="AM3546" s="26" t="s">
        <v>38</v>
      </c>
    </row>
    <row r="3547" spans="34:39" x14ac:dyDescent="0.35">
      <c r="AH3547" s="21"/>
      <c r="AI3547" s="21"/>
      <c r="AJ3547" s="21"/>
      <c r="AK3547" s="21"/>
      <c r="AM3547" s="26" t="s">
        <v>38</v>
      </c>
    </row>
    <row r="3548" spans="34:39" x14ac:dyDescent="0.35">
      <c r="AH3548" s="21"/>
      <c r="AI3548" s="21"/>
      <c r="AJ3548" s="21"/>
      <c r="AK3548" s="21"/>
      <c r="AM3548" s="26" t="s">
        <v>38</v>
      </c>
    </row>
    <row r="3549" spans="34:39" x14ac:dyDescent="0.35">
      <c r="AH3549" s="21"/>
      <c r="AI3549" s="21"/>
      <c r="AJ3549" s="21"/>
      <c r="AK3549" s="21"/>
      <c r="AM3549" s="26" t="s">
        <v>38</v>
      </c>
    </row>
    <row r="3550" spans="34:39" x14ac:dyDescent="0.35">
      <c r="AH3550" s="21"/>
      <c r="AI3550" s="21"/>
      <c r="AJ3550" s="21"/>
      <c r="AK3550" s="21"/>
      <c r="AM3550" s="26" t="s">
        <v>38</v>
      </c>
    </row>
    <row r="3551" spans="34:39" x14ac:dyDescent="0.35">
      <c r="AH3551" s="21"/>
      <c r="AI3551" s="21"/>
      <c r="AJ3551" s="21"/>
      <c r="AK3551" s="21"/>
      <c r="AM3551" s="26" t="s">
        <v>38</v>
      </c>
    </row>
    <row r="3552" spans="34:39" x14ac:dyDescent="0.35">
      <c r="AH3552" s="21"/>
      <c r="AI3552" s="21"/>
      <c r="AJ3552" s="21"/>
      <c r="AK3552" s="21"/>
      <c r="AM3552" s="26" t="s">
        <v>38</v>
      </c>
    </row>
    <row r="3553" spans="34:39" x14ac:dyDescent="0.35">
      <c r="AH3553" s="21"/>
      <c r="AI3553" s="21"/>
      <c r="AJ3553" s="21"/>
      <c r="AK3553" s="21"/>
      <c r="AM3553" s="26" t="s">
        <v>38</v>
      </c>
    </row>
    <row r="3554" spans="34:39" x14ac:dyDescent="0.35">
      <c r="AH3554" s="21"/>
      <c r="AI3554" s="21"/>
      <c r="AJ3554" s="21"/>
      <c r="AK3554" s="21"/>
      <c r="AM3554" s="26" t="s">
        <v>38</v>
      </c>
    </row>
    <row r="3555" spans="34:39" x14ac:dyDescent="0.35">
      <c r="AH3555" s="21"/>
      <c r="AI3555" s="21"/>
      <c r="AJ3555" s="21"/>
      <c r="AK3555" s="21"/>
      <c r="AM3555" s="26" t="s">
        <v>38</v>
      </c>
    </row>
    <row r="3556" spans="34:39" x14ac:dyDescent="0.35">
      <c r="AH3556" s="21"/>
      <c r="AI3556" s="21"/>
      <c r="AJ3556" s="21"/>
      <c r="AK3556" s="21"/>
      <c r="AM3556" s="26" t="s">
        <v>38</v>
      </c>
    </row>
    <row r="3557" spans="34:39" x14ac:dyDescent="0.35">
      <c r="AH3557" s="21"/>
      <c r="AI3557" s="21"/>
      <c r="AJ3557" s="21"/>
      <c r="AK3557" s="21"/>
      <c r="AM3557" s="26" t="s">
        <v>38</v>
      </c>
    </row>
    <row r="3558" spans="34:39" x14ac:dyDescent="0.35">
      <c r="AH3558" s="21"/>
      <c r="AI3558" s="21"/>
      <c r="AJ3558" s="21"/>
      <c r="AK3558" s="21"/>
      <c r="AM3558" s="26" t="s">
        <v>38</v>
      </c>
    </row>
    <row r="3559" spans="34:39" x14ac:dyDescent="0.35">
      <c r="AH3559" s="21"/>
      <c r="AI3559" s="21"/>
      <c r="AJ3559" s="21"/>
      <c r="AK3559" s="21"/>
      <c r="AM3559" s="26" t="s">
        <v>38</v>
      </c>
    </row>
    <row r="3560" spans="34:39" x14ac:dyDescent="0.35">
      <c r="AH3560" s="21"/>
      <c r="AI3560" s="21"/>
      <c r="AJ3560" s="21"/>
      <c r="AK3560" s="21"/>
      <c r="AM3560" s="26" t="s">
        <v>38</v>
      </c>
    </row>
    <row r="3561" spans="34:39" x14ac:dyDescent="0.35">
      <c r="AH3561" s="21"/>
      <c r="AI3561" s="21"/>
      <c r="AJ3561" s="21"/>
      <c r="AK3561" s="21"/>
      <c r="AM3561" s="26" t="s">
        <v>38</v>
      </c>
    </row>
    <row r="3562" spans="34:39" x14ac:dyDescent="0.35">
      <c r="AH3562" s="21"/>
      <c r="AI3562" s="21"/>
      <c r="AJ3562" s="21"/>
      <c r="AK3562" s="21"/>
      <c r="AM3562" s="26" t="s">
        <v>38</v>
      </c>
    </row>
    <row r="3563" spans="34:39" x14ac:dyDescent="0.35">
      <c r="AH3563" s="21"/>
      <c r="AI3563" s="21"/>
      <c r="AJ3563" s="21"/>
      <c r="AK3563" s="21"/>
      <c r="AM3563" s="26" t="s">
        <v>38</v>
      </c>
    </row>
    <row r="3564" spans="34:39" x14ac:dyDescent="0.35">
      <c r="AH3564" s="21"/>
      <c r="AI3564" s="21"/>
      <c r="AJ3564" s="21"/>
      <c r="AK3564" s="21"/>
      <c r="AM3564" s="26" t="s">
        <v>38</v>
      </c>
    </row>
    <row r="3565" spans="34:39" x14ac:dyDescent="0.35">
      <c r="AH3565" s="21"/>
      <c r="AI3565" s="21"/>
      <c r="AJ3565" s="21"/>
      <c r="AK3565" s="21"/>
      <c r="AM3565" s="26" t="s">
        <v>38</v>
      </c>
    </row>
    <row r="3566" spans="34:39" x14ac:dyDescent="0.35">
      <c r="AH3566" s="21"/>
      <c r="AI3566" s="21"/>
      <c r="AJ3566" s="21"/>
      <c r="AK3566" s="21"/>
      <c r="AM3566" s="26" t="s">
        <v>38</v>
      </c>
    </row>
    <row r="3567" spans="34:39" x14ac:dyDescent="0.35">
      <c r="AH3567" s="21"/>
      <c r="AI3567" s="21"/>
      <c r="AJ3567" s="21"/>
      <c r="AK3567" s="21"/>
      <c r="AM3567" s="26" t="s">
        <v>38</v>
      </c>
    </row>
    <row r="3568" spans="34:39" x14ac:dyDescent="0.35">
      <c r="AH3568" s="21"/>
      <c r="AI3568" s="21"/>
      <c r="AJ3568" s="21"/>
      <c r="AK3568" s="21"/>
      <c r="AM3568" s="26" t="s">
        <v>38</v>
      </c>
    </row>
    <row r="3569" spans="34:39" x14ac:dyDescent="0.35">
      <c r="AH3569" s="21"/>
      <c r="AI3569" s="21"/>
      <c r="AJ3569" s="21"/>
      <c r="AK3569" s="21"/>
      <c r="AM3569" s="26" t="s">
        <v>38</v>
      </c>
    </row>
    <row r="3570" spans="34:39" x14ac:dyDescent="0.35">
      <c r="AH3570" s="21"/>
      <c r="AI3570" s="21"/>
      <c r="AJ3570" s="21"/>
      <c r="AK3570" s="21"/>
      <c r="AM3570" s="26" t="s">
        <v>38</v>
      </c>
    </row>
    <row r="3571" spans="34:39" x14ac:dyDescent="0.35">
      <c r="AH3571" s="21"/>
      <c r="AI3571" s="21"/>
      <c r="AJ3571" s="21"/>
      <c r="AK3571" s="21"/>
      <c r="AM3571" s="26" t="s">
        <v>38</v>
      </c>
    </row>
    <row r="3572" spans="34:39" x14ac:dyDescent="0.35">
      <c r="AH3572" s="21"/>
      <c r="AI3572" s="21"/>
      <c r="AJ3572" s="21"/>
      <c r="AK3572" s="21"/>
      <c r="AM3572" s="26" t="s">
        <v>38</v>
      </c>
    </row>
    <row r="3573" spans="34:39" x14ac:dyDescent="0.35">
      <c r="AH3573" s="21"/>
      <c r="AI3573" s="21"/>
      <c r="AJ3573" s="21"/>
      <c r="AK3573" s="21"/>
      <c r="AM3573" s="26" t="s">
        <v>38</v>
      </c>
    </row>
    <row r="3574" spans="34:39" x14ac:dyDescent="0.35">
      <c r="AH3574" s="21"/>
      <c r="AI3574" s="21"/>
      <c r="AJ3574" s="21"/>
      <c r="AK3574" s="21"/>
      <c r="AM3574" s="26" t="s">
        <v>38</v>
      </c>
    </row>
    <row r="3575" spans="34:39" x14ac:dyDescent="0.35">
      <c r="AH3575" s="21"/>
      <c r="AI3575" s="21"/>
      <c r="AJ3575" s="21"/>
      <c r="AK3575" s="21"/>
      <c r="AM3575" s="26" t="s">
        <v>38</v>
      </c>
    </row>
    <row r="3576" spans="34:39" x14ac:dyDescent="0.35">
      <c r="AH3576" s="21"/>
      <c r="AI3576" s="21"/>
      <c r="AJ3576" s="21"/>
      <c r="AK3576" s="21"/>
      <c r="AM3576" s="26" t="s">
        <v>38</v>
      </c>
    </row>
    <row r="3577" spans="34:39" x14ac:dyDescent="0.35">
      <c r="AH3577" s="21"/>
      <c r="AI3577" s="21"/>
      <c r="AJ3577" s="21"/>
      <c r="AK3577" s="21"/>
      <c r="AM3577" s="26" t="s">
        <v>38</v>
      </c>
    </row>
    <row r="3578" spans="34:39" x14ac:dyDescent="0.35">
      <c r="AH3578" s="21"/>
      <c r="AI3578" s="21"/>
      <c r="AJ3578" s="21"/>
      <c r="AK3578" s="21"/>
      <c r="AM3578" s="26" t="s">
        <v>38</v>
      </c>
    </row>
    <row r="3579" spans="34:39" x14ac:dyDescent="0.35">
      <c r="AH3579" s="21"/>
      <c r="AI3579" s="21"/>
      <c r="AJ3579" s="21"/>
      <c r="AK3579" s="21"/>
      <c r="AM3579" s="26" t="s">
        <v>38</v>
      </c>
    </row>
    <row r="3580" spans="34:39" x14ac:dyDescent="0.35">
      <c r="AH3580" s="21"/>
      <c r="AI3580" s="21"/>
      <c r="AJ3580" s="21"/>
      <c r="AK3580" s="21"/>
      <c r="AM3580" s="26" t="s">
        <v>38</v>
      </c>
    </row>
    <row r="3581" spans="34:39" x14ac:dyDescent="0.35">
      <c r="AH3581" s="21"/>
      <c r="AI3581" s="21"/>
      <c r="AJ3581" s="21"/>
      <c r="AK3581" s="21"/>
      <c r="AM3581" s="26" t="s">
        <v>38</v>
      </c>
    </row>
    <row r="3582" spans="34:39" x14ac:dyDescent="0.35">
      <c r="AH3582" s="21"/>
      <c r="AI3582" s="21"/>
      <c r="AJ3582" s="21"/>
      <c r="AK3582" s="21"/>
      <c r="AM3582" s="26" t="s">
        <v>38</v>
      </c>
    </row>
    <row r="3583" spans="34:39" x14ac:dyDescent="0.35">
      <c r="AH3583" s="21"/>
      <c r="AI3583" s="21"/>
      <c r="AJ3583" s="21"/>
      <c r="AK3583" s="21"/>
      <c r="AM3583" s="26" t="s">
        <v>38</v>
      </c>
    </row>
    <row r="3584" spans="34:39" x14ac:dyDescent="0.35">
      <c r="AH3584" s="21"/>
      <c r="AI3584" s="21"/>
      <c r="AJ3584" s="21"/>
      <c r="AK3584" s="21"/>
      <c r="AM3584" s="26" t="s">
        <v>38</v>
      </c>
    </row>
    <row r="3585" spans="34:39" x14ac:dyDescent="0.35">
      <c r="AH3585" s="21"/>
      <c r="AI3585" s="21"/>
      <c r="AJ3585" s="21"/>
      <c r="AK3585" s="21"/>
      <c r="AM3585" s="26" t="s">
        <v>38</v>
      </c>
    </row>
    <row r="3586" spans="34:39" x14ac:dyDescent="0.35">
      <c r="AH3586" s="21"/>
      <c r="AI3586" s="21"/>
      <c r="AJ3586" s="21"/>
      <c r="AK3586" s="21"/>
      <c r="AM3586" s="26" t="s">
        <v>38</v>
      </c>
    </row>
    <row r="3587" spans="34:39" x14ac:dyDescent="0.35">
      <c r="AH3587" s="21"/>
      <c r="AI3587" s="21"/>
      <c r="AJ3587" s="21"/>
      <c r="AK3587" s="21"/>
      <c r="AM3587" s="26" t="s">
        <v>38</v>
      </c>
    </row>
    <row r="3588" spans="34:39" x14ac:dyDescent="0.35">
      <c r="AH3588" s="21"/>
      <c r="AI3588" s="21"/>
      <c r="AJ3588" s="21"/>
      <c r="AK3588" s="21"/>
      <c r="AM3588" s="26" t="s">
        <v>38</v>
      </c>
    </row>
    <row r="3589" spans="34:39" x14ac:dyDescent="0.35">
      <c r="AH3589" s="21"/>
      <c r="AI3589" s="21"/>
      <c r="AJ3589" s="21"/>
      <c r="AK3589" s="21"/>
      <c r="AM3589" s="26" t="s">
        <v>38</v>
      </c>
    </row>
    <row r="3590" spans="34:39" x14ac:dyDescent="0.35">
      <c r="AH3590" s="21"/>
      <c r="AI3590" s="21"/>
      <c r="AJ3590" s="21"/>
      <c r="AK3590" s="21"/>
      <c r="AM3590" s="26" t="s">
        <v>38</v>
      </c>
    </row>
    <row r="3591" spans="34:39" x14ac:dyDescent="0.35">
      <c r="AH3591" s="21"/>
      <c r="AI3591" s="21"/>
      <c r="AJ3591" s="21"/>
      <c r="AK3591" s="21"/>
      <c r="AM3591" s="26" t="s">
        <v>38</v>
      </c>
    </row>
    <row r="3592" spans="34:39" x14ac:dyDescent="0.35">
      <c r="AH3592" s="21"/>
      <c r="AI3592" s="21"/>
      <c r="AJ3592" s="21"/>
      <c r="AK3592" s="21"/>
      <c r="AM3592" s="26" t="s">
        <v>38</v>
      </c>
    </row>
    <row r="3593" spans="34:39" x14ac:dyDescent="0.35">
      <c r="AH3593" s="21"/>
      <c r="AI3593" s="21"/>
      <c r="AJ3593" s="21"/>
      <c r="AK3593" s="21"/>
      <c r="AM3593" s="26" t="s">
        <v>38</v>
      </c>
    </row>
    <row r="3594" spans="34:39" x14ac:dyDescent="0.35">
      <c r="AH3594" s="21"/>
      <c r="AI3594" s="21"/>
      <c r="AJ3594" s="21"/>
      <c r="AK3594" s="21"/>
      <c r="AM3594" s="26" t="s">
        <v>38</v>
      </c>
    </row>
    <row r="3595" spans="34:39" x14ac:dyDescent="0.35">
      <c r="AH3595" s="21"/>
      <c r="AI3595" s="21"/>
      <c r="AJ3595" s="21"/>
      <c r="AK3595" s="21"/>
      <c r="AM3595" s="26" t="s">
        <v>38</v>
      </c>
    </row>
    <row r="3596" spans="34:39" x14ac:dyDescent="0.35">
      <c r="AH3596" s="21"/>
      <c r="AI3596" s="21"/>
      <c r="AJ3596" s="21"/>
      <c r="AK3596" s="21"/>
      <c r="AM3596" s="26" t="s">
        <v>38</v>
      </c>
    </row>
    <row r="3597" spans="34:39" x14ac:dyDescent="0.35">
      <c r="AH3597" s="21"/>
      <c r="AI3597" s="21"/>
      <c r="AJ3597" s="21"/>
      <c r="AK3597" s="21"/>
      <c r="AM3597" s="26" t="s">
        <v>38</v>
      </c>
    </row>
    <row r="3598" spans="34:39" x14ac:dyDescent="0.35">
      <c r="AH3598" s="21"/>
      <c r="AI3598" s="21"/>
      <c r="AJ3598" s="21"/>
      <c r="AK3598" s="21"/>
      <c r="AM3598" s="26" t="s">
        <v>38</v>
      </c>
    </row>
    <row r="3599" spans="34:39" x14ac:dyDescent="0.35">
      <c r="AH3599" s="21"/>
      <c r="AI3599" s="21"/>
      <c r="AJ3599" s="21"/>
      <c r="AK3599" s="21"/>
      <c r="AM3599" s="26" t="s">
        <v>38</v>
      </c>
    </row>
    <row r="3600" spans="34:39" x14ac:dyDescent="0.35">
      <c r="AH3600" s="21"/>
      <c r="AI3600" s="21"/>
      <c r="AJ3600" s="21"/>
      <c r="AK3600" s="21"/>
      <c r="AM3600" s="26" t="s">
        <v>38</v>
      </c>
    </row>
    <row r="3601" spans="1:40" x14ac:dyDescent="0.35">
      <c r="AH3601" s="21"/>
      <c r="AI3601" s="21"/>
      <c r="AJ3601" s="21"/>
      <c r="AK3601" s="21"/>
      <c r="AM3601" s="26" t="s">
        <v>38</v>
      </c>
    </row>
    <row r="3602" spans="1:40" x14ac:dyDescent="0.35">
      <c r="AH3602" s="21"/>
      <c r="AI3602" s="21"/>
      <c r="AJ3602" s="21"/>
      <c r="AK3602" s="21"/>
      <c r="AM3602" s="26" t="s">
        <v>38</v>
      </c>
    </row>
    <row r="3603" spans="1:40" s="85" customFormat="1" x14ac:dyDescent="0.35">
      <c r="A3603"/>
      <c r="B3603"/>
      <c r="C3603"/>
      <c r="D3603"/>
      <c r="E3603"/>
      <c r="F3603"/>
      <c r="G3603"/>
      <c r="H3603"/>
      <c r="I3603"/>
      <c r="J3603"/>
      <c r="K3603"/>
      <c r="L3603"/>
      <c r="M3603"/>
      <c r="N3603"/>
      <c r="O3603"/>
      <c r="P3603"/>
      <c r="Q3603"/>
      <c r="R3603"/>
      <c r="S3603"/>
      <c r="T3603"/>
      <c r="U3603"/>
      <c r="V3603"/>
      <c r="W3603"/>
      <c r="X3603"/>
      <c r="Y3603"/>
      <c r="Z3603"/>
      <c r="AA3603"/>
      <c r="AB3603"/>
      <c r="AC3603"/>
      <c r="AD3603"/>
      <c r="AE3603"/>
      <c r="AF3603"/>
      <c r="AG3603"/>
      <c r="AH3603" s="21"/>
      <c r="AI3603" s="21"/>
      <c r="AJ3603" s="21"/>
      <c r="AK3603" s="21"/>
      <c r="AL3603"/>
      <c r="AM3603" s="26" t="s">
        <v>38</v>
      </c>
      <c r="AN3603"/>
    </row>
    <row r="3604" spans="1:40" x14ac:dyDescent="0.35">
      <c r="AH3604" s="21"/>
      <c r="AI3604" s="21"/>
      <c r="AJ3604" s="21"/>
      <c r="AK3604" s="21"/>
      <c r="AM3604" s="26" t="s">
        <v>38</v>
      </c>
    </row>
    <row r="3605" spans="1:40" x14ac:dyDescent="0.35">
      <c r="AH3605" s="21"/>
      <c r="AI3605" s="21"/>
      <c r="AJ3605" s="21"/>
      <c r="AK3605" s="21"/>
      <c r="AM3605" s="26" t="s">
        <v>38</v>
      </c>
    </row>
    <row r="3606" spans="1:40" x14ac:dyDescent="0.35">
      <c r="AH3606" s="21"/>
      <c r="AI3606" s="21"/>
      <c r="AJ3606" s="21"/>
      <c r="AK3606" s="21"/>
      <c r="AM3606" s="26" t="s">
        <v>38</v>
      </c>
    </row>
    <row r="3607" spans="1:40" x14ac:dyDescent="0.35">
      <c r="AH3607" s="21"/>
      <c r="AI3607" s="21"/>
      <c r="AJ3607" s="21"/>
      <c r="AK3607" s="21"/>
      <c r="AM3607" s="26" t="s">
        <v>38</v>
      </c>
    </row>
    <row r="3608" spans="1:40" x14ac:dyDescent="0.35">
      <c r="AH3608" s="21"/>
      <c r="AI3608" s="21"/>
      <c r="AJ3608" s="21"/>
      <c r="AK3608" s="21"/>
      <c r="AM3608" s="26" t="s">
        <v>38</v>
      </c>
    </row>
    <row r="3609" spans="1:40" x14ac:dyDescent="0.35">
      <c r="AH3609" s="21"/>
      <c r="AI3609" s="21"/>
      <c r="AJ3609" s="21"/>
      <c r="AK3609" s="21"/>
      <c r="AM3609" s="26" t="s">
        <v>38</v>
      </c>
    </row>
    <row r="3610" spans="1:40" x14ac:dyDescent="0.35">
      <c r="AH3610" s="21"/>
      <c r="AI3610" s="21"/>
      <c r="AJ3610" s="21"/>
      <c r="AK3610" s="21"/>
      <c r="AM3610" s="26" t="s">
        <v>38</v>
      </c>
    </row>
    <row r="3611" spans="1:40" x14ac:dyDescent="0.35">
      <c r="AH3611" s="21"/>
      <c r="AI3611" s="21"/>
      <c r="AJ3611" s="21"/>
      <c r="AK3611" s="21"/>
      <c r="AM3611" s="26" t="s">
        <v>38</v>
      </c>
    </row>
    <row r="3612" spans="1:40" x14ac:dyDescent="0.35">
      <c r="AH3612" s="21"/>
      <c r="AI3612" s="21"/>
      <c r="AJ3612" s="21"/>
      <c r="AK3612" s="21"/>
      <c r="AM3612" s="26" t="s">
        <v>38</v>
      </c>
    </row>
    <row r="3613" spans="1:40" x14ac:dyDescent="0.35">
      <c r="AH3613" s="21"/>
      <c r="AI3613" s="21"/>
      <c r="AJ3613" s="21"/>
      <c r="AK3613" s="21"/>
      <c r="AM3613" s="26" t="s">
        <v>38</v>
      </c>
    </row>
    <row r="3614" spans="1:40" x14ac:dyDescent="0.35">
      <c r="AH3614" s="21"/>
      <c r="AI3614" s="21"/>
      <c r="AJ3614" s="21"/>
      <c r="AK3614" s="21"/>
      <c r="AM3614" s="26" t="s">
        <v>38</v>
      </c>
    </row>
    <row r="3615" spans="1:40" x14ac:dyDescent="0.35">
      <c r="AH3615" s="21"/>
      <c r="AI3615" s="21"/>
      <c r="AJ3615" s="21"/>
      <c r="AK3615" s="21"/>
      <c r="AM3615" s="26" t="s">
        <v>38</v>
      </c>
    </row>
    <row r="3616" spans="1:40" x14ac:dyDescent="0.35">
      <c r="AH3616" s="21"/>
      <c r="AI3616" s="21"/>
      <c r="AJ3616" s="21"/>
      <c r="AK3616" s="21"/>
      <c r="AM3616" s="26" t="s">
        <v>38</v>
      </c>
    </row>
    <row r="3617" spans="1:40" x14ac:dyDescent="0.35">
      <c r="AH3617" s="21"/>
      <c r="AI3617" s="21"/>
      <c r="AJ3617" s="21"/>
      <c r="AK3617" s="21"/>
      <c r="AM3617" s="26" t="s">
        <v>38</v>
      </c>
    </row>
    <row r="3618" spans="1:40" x14ac:dyDescent="0.35">
      <c r="AH3618" s="21"/>
      <c r="AI3618" s="21"/>
      <c r="AJ3618" s="21"/>
      <c r="AK3618" s="21"/>
      <c r="AM3618" s="26" t="s">
        <v>38</v>
      </c>
    </row>
    <row r="3619" spans="1:40" x14ac:dyDescent="0.35">
      <c r="AH3619" s="21"/>
      <c r="AI3619" s="21"/>
      <c r="AJ3619" s="21"/>
      <c r="AK3619" s="21"/>
      <c r="AM3619" s="26" t="s">
        <v>38</v>
      </c>
    </row>
    <row r="3620" spans="1:40" x14ac:dyDescent="0.35">
      <c r="AH3620" s="21"/>
      <c r="AI3620" s="21"/>
      <c r="AJ3620" s="21"/>
      <c r="AK3620" s="21"/>
      <c r="AM3620" s="26" t="s">
        <v>38</v>
      </c>
    </row>
    <row r="3621" spans="1:40" x14ac:dyDescent="0.35">
      <c r="AH3621" s="21"/>
      <c r="AI3621" s="21"/>
      <c r="AJ3621" s="21"/>
      <c r="AK3621" s="21"/>
      <c r="AM3621" s="26" t="s">
        <v>38</v>
      </c>
    </row>
    <row r="3622" spans="1:40" x14ac:dyDescent="0.35">
      <c r="AH3622" s="21"/>
      <c r="AI3622" s="21"/>
      <c r="AJ3622" s="21"/>
      <c r="AK3622" s="21"/>
      <c r="AM3622" s="26" t="s">
        <v>38</v>
      </c>
    </row>
    <row r="3623" spans="1:40" x14ac:dyDescent="0.35">
      <c r="AH3623" s="21"/>
      <c r="AI3623" s="21"/>
      <c r="AJ3623" s="21"/>
      <c r="AK3623" s="21"/>
      <c r="AM3623" s="26" t="s">
        <v>38</v>
      </c>
    </row>
    <row r="3624" spans="1:40" x14ac:dyDescent="0.35">
      <c r="AH3624" s="21"/>
      <c r="AI3624" s="21"/>
      <c r="AJ3624" s="21"/>
      <c r="AK3624" s="21"/>
      <c r="AM3624" s="26" t="s">
        <v>38</v>
      </c>
    </row>
    <row r="3625" spans="1:40" x14ac:dyDescent="0.35">
      <c r="AH3625" s="21"/>
      <c r="AI3625" s="21"/>
      <c r="AJ3625" s="21"/>
      <c r="AK3625" s="21"/>
      <c r="AM3625" s="26" t="s">
        <v>38</v>
      </c>
    </row>
    <row r="3626" spans="1:40" s="34" customFormat="1" x14ac:dyDescent="0.35">
      <c r="A3626"/>
      <c r="B3626"/>
      <c r="C3626"/>
      <c r="D3626"/>
      <c r="E3626"/>
      <c r="F3626"/>
      <c r="G3626"/>
      <c r="H3626"/>
      <c r="I3626"/>
      <c r="J3626"/>
      <c r="K3626"/>
      <c r="L3626"/>
      <c r="M3626"/>
      <c r="N3626"/>
      <c r="O3626"/>
      <c r="P3626"/>
      <c r="Q3626"/>
      <c r="R3626"/>
      <c r="S3626"/>
      <c r="T3626"/>
      <c r="U3626"/>
      <c r="V3626"/>
      <c r="W3626"/>
      <c r="X3626"/>
      <c r="Y3626"/>
      <c r="Z3626"/>
      <c r="AA3626"/>
      <c r="AB3626"/>
      <c r="AC3626"/>
      <c r="AD3626"/>
      <c r="AE3626"/>
      <c r="AF3626"/>
      <c r="AG3626"/>
      <c r="AH3626" s="21"/>
      <c r="AI3626" s="21"/>
      <c r="AJ3626" s="21"/>
      <c r="AK3626" s="21"/>
      <c r="AL3626"/>
      <c r="AM3626" s="26" t="s">
        <v>38</v>
      </c>
      <c r="AN3626"/>
    </row>
    <row r="3627" spans="1:40" x14ac:dyDescent="0.35">
      <c r="AH3627" s="21"/>
      <c r="AI3627" s="21"/>
      <c r="AJ3627" s="21"/>
      <c r="AK3627" s="21"/>
      <c r="AM3627" s="26" t="s">
        <v>38</v>
      </c>
    </row>
    <row r="3628" spans="1:40" x14ac:dyDescent="0.35">
      <c r="AH3628" s="21"/>
      <c r="AI3628" s="21"/>
      <c r="AJ3628" s="21"/>
      <c r="AK3628" s="21"/>
      <c r="AM3628" s="26" t="s">
        <v>38</v>
      </c>
    </row>
    <row r="3629" spans="1:40" x14ac:dyDescent="0.35">
      <c r="AH3629" s="21"/>
      <c r="AI3629" s="21"/>
      <c r="AJ3629" s="21"/>
      <c r="AK3629" s="21"/>
      <c r="AM3629" s="26" t="s">
        <v>38</v>
      </c>
    </row>
    <row r="3630" spans="1:40" x14ac:dyDescent="0.35">
      <c r="AH3630" s="21"/>
      <c r="AI3630" s="21"/>
      <c r="AJ3630" s="21"/>
      <c r="AK3630" s="21"/>
      <c r="AM3630" s="26" t="s">
        <v>38</v>
      </c>
    </row>
    <row r="3631" spans="1:40" x14ac:dyDescent="0.35">
      <c r="AH3631" s="21"/>
      <c r="AI3631" s="21"/>
      <c r="AJ3631" s="21"/>
      <c r="AK3631" s="21"/>
      <c r="AM3631" s="26" t="s">
        <v>38</v>
      </c>
    </row>
    <row r="3632" spans="1:40" x14ac:dyDescent="0.35">
      <c r="AH3632" s="21"/>
      <c r="AI3632" s="21"/>
      <c r="AJ3632" s="21"/>
      <c r="AK3632" s="21"/>
      <c r="AM3632" s="26" t="s">
        <v>38</v>
      </c>
    </row>
    <row r="3633" spans="34:39" x14ac:dyDescent="0.35">
      <c r="AH3633" s="21"/>
      <c r="AI3633" s="21"/>
      <c r="AJ3633" s="21"/>
      <c r="AK3633" s="21"/>
      <c r="AM3633" s="26" t="s">
        <v>38</v>
      </c>
    </row>
    <row r="3634" spans="34:39" x14ac:dyDescent="0.35">
      <c r="AH3634" s="21"/>
      <c r="AI3634" s="21"/>
      <c r="AJ3634" s="21"/>
      <c r="AK3634" s="21"/>
      <c r="AM3634" s="26" t="s">
        <v>38</v>
      </c>
    </row>
    <row r="3635" spans="34:39" x14ac:dyDescent="0.35">
      <c r="AH3635" s="21"/>
      <c r="AI3635" s="21"/>
      <c r="AJ3635" s="21"/>
      <c r="AK3635" s="21"/>
      <c r="AM3635" s="26" t="s">
        <v>38</v>
      </c>
    </row>
    <row r="3636" spans="34:39" x14ac:dyDescent="0.35">
      <c r="AH3636" s="21"/>
      <c r="AI3636" s="21"/>
      <c r="AJ3636" s="21"/>
      <c r="AK3636" s="21"/>
      <c r="AM3636" s="26" t="s">
        <v>38</v>
      </c>
    </row>
    <row r="3637" spans="34:39" x14ac:dyDescent="0.35">
      <c r="AH3637" s="21"/>
      <c r="AI3637" s="21"/>
      <c r="AJ3637" s="21"/>
      <c r="AK3637" s="21"/>
      <c r="AM3637" s="26" t="s">
        <v>38</v>
      </c>
    </row>
    <row r="3638" spans="34:39" x14ac:dyDescent="0.35">
      <c r="AH3638" s="21"/>
      <c r="AI3638" s="21"/>
      <c r="AJ3638" s="21"/>
      <c r="AK3638" s="21"/>
      <c r="AM3638" s="26" t="s">
        <v>38</v>
      </c>
    </row>
    <row r="3639" spans="34:39" x14ac:dyDescent="0.35">
      <c r="AH3639" s="21"/>
      <c r="AI3639" s="21"/>
      <c r="AJ3639" s="21"/>
      <c r="AK3639" s="21"/>
      <c r="AM3639" s="26" t="s">
        <v>38</v>
      </c>
    </row>
    <row r="3640" spans="34:39" x14ac:dyDescent="0.35">
      <c r="AH3640" s="21"/>
      <c r="AI3640" s="21"/>
      <c r="AJ3640" s="21"/>
      <c r="AK3640" s="21"/>
      <c r="AM3640" s="26" t="s">
        <v>38</v>
      </c>
    </row>
    <row r="3641" spans="34:39" x14ac:dyDescent="0.35">
      <c r="AH3641" s="21"/>
      <c r="AI3641" s="21"/>
      <c r="AJ3641" s="21"/>
      <c r="AK3641" s="21"/>
      <c r="AM3641" s="26" t="s">
        <v>38</v>
      </c>
    </row>
    <row r="3642" spans="34:39" x14ac:dyDescent="0.35">
      <c r="AH3642" s="21"/>
      <c r="AI3642" s="21"/>
      <c r="AJ3642" s="21"/>
      <c r="AK3642" s="21"/>
      <c r="AM3642" s="26" t="s">
        <v>38</v>
      </c>
    </row>
    <row r="3643" spans="34:39" x14ac:dyDescent="0.35">
      <c r="AH3643" s="21"/>
      <c r="AI3643" s="21"/>
      <c r="AJ3643" s="21"/>
      <c r="AK3643" s="21"/>
      <c r="AM3643" s="26" t="s">
        <v>38</v>
      </c>
    </row>
    <row r="3644" spans="34:39" x14ac:dyDescent="0.35">
      <c r="AH3644" s="21"/>
      <c r="AI3644" s="21"/>
      <c r="AJ3644" s="21"/>
      <c r="AK3644" s="21"/>
      <c r="AM3644" s="26" t="s">
        <v>38</v>
      </c>
    </row>
    <row r="3645" spans="34:39" x14ac:dyDescent="0.35">
      <c r="AH3645" s="21"/>
      <c r="AI3645" s="21"/>
      <c r="AJ3645" s="21"/>
      <c r="AK3645" s="21"/>
      <c r="AM3645" s="26" t="s">
        <v>38</v>
      </c>
    </row>
    <row r="3646" spans="34:39" x14ac:dyDescent="0.35">
      <c r="AH3646" s="21"/>
      <c r="AI3646" s="21"/>
      <c r="AJ3646" s="21"/>
      <c r="AK3646" s="21"/>
      <c r="AM3646" s="26" t="s">
        <v>38</v>
      </c>
    </row>
    <row r="3647" spans="34:39" x14ac:dyDescent="0.35">
      <c r="AH3647" s="21"/>
      <c r="AI3647" s="21"/>
      <c r="AJ3647" s="21"/>
      <c r="AK3647" s="21"/>
      <c r="AM3647" s="26" t="s">
        <v>38</v>
      </c>
    </row>
    <row r="3648" spans="34:39" x14ac:dyDescent="0.35">
      <c r="AH3648" s="21"/>
      <c r="AI3648" s="21"/>
      <c r="AJ3648" s="21"/>
      <c r="AK3648" s="21"/>
      <c r="AM3648" s="26" t="s">
        <v>38</v>
      </c>
    </row>
    <row r="3649" spans="34:39" x14ac:dyDescent="0.35">
      <c r="AH3649" s="21"/>
      <c r="AI3649" s="21"/>
      <c r="AJ3649" s="21"/>
      <c r="AK3649" s="21"/>
      <c r="AM3649" s="26" t="s">
        <v>38</v>
      </c>
    </row>
    <row r="3650" spans="34:39" x14ac:dyDescent="0.35">
      <c r="AH3650" s="21"/>
      <c r="AI3650" s="21"/>
      <c r="AJ3650" s="21"/>
      <c r="AK3650" s="21"/>
      <c r="AM3650" s="26" t="s">
        <v>38</v>
      </c>
    </row>
    <row r="3651" spans="34:39" x14ac:dyDescent="0.35">
      <c r="AH3651" s="21"/>
      <c r="AI3651" s="21"/>
      <c r="AJ3651" s="21"/>
      <c r="AK3651" s="21"/>
      <c r="AM3651" s="26" t="s">
        <v>38</v>
      </c>
    </row>
    <row r="3652" spans="34:39" x14ac:dyDescent="0.35">
      <c r="AH3652" s="21"/>
      <c r="AI3652" s="21"/>
      <c r="AJ3652" s="21"/>
      <c r="AK3652" s="21"/>
      <c r="AM3652" s="26" t="s">
        <v>38</v>
      </c>
    </row>
    <row r="3653" spans="34:39" x14ac:dyDescent="0.35">
      <c r="AH3653" s="21"/>
      <c r="AI3653" s="21"/>
      <c r="AJ3653" s="21"/>
      <c r="AK3653" s="21"/>
      <c r="AM3653" s="26" t="s">
        <v>38</v>
      </c>
    </row>
    <row r="3654" spans="34:39" x14ac:dyDescent="0.35">
      <c r="AH3654" s="21"/>
      <c r="AI3654" s="21"/>
      <c r="AJ3654" s="21"/>
      <c r="AK3654" s="21"/>
      <c r="AM3654" s="26" t="s">
        <v>38</v>
      </c>
    </row>
    <row r="3655" spans="34:39" x14ac:dyDescent="0.35">
      <c r="AH3655" s="21"/>
      <c r="AI3655" s="21"/>
      <c r="AJ3655" s="21"/>
      <c r="AK3655" s="21"/>
      <c r="AM3655" s="26" t="s">
        <v>38</v>
      </c>
    </row>
    <row r="3656" spans="34:39" x14ac:dyDescent="0.35">
      <c r="AH3656" s="21"/>
      <c r="AI3656" s="21"/>
      <c r="AJ3656" s="21"/>
      <c r="AK3656" s="21"/>
      <c r="AM3656" s="26" t="s">
        <v>38</v>
      </c>
    </row>
    <row r="3657" spans="34:39" x14ac:dyDescent="0.35">
      <c r="AH3657" s="21"/>
      <c r="AI3657" s="21"/>
      <c r="AJ3657" s="21"/>
      <c r="AK3657" s="21"/>
      <c r="AM3657" s="26" t="s">
        <v>38</v>
      </c>
    </row>
    <row r="3658" spans="34:39" x14ac:dyDescent="0.35">
      <c r="AH3658" s="21"/>
      <c r="AI3658" s="21"/>
      <c r="AJ3658" s="21"/>
      <c r="AK3658" s="21"/>
      <c r="AM3658" s="26" t="s">
        <v>38</v>
      </c>
    </row>
    <row r="3659" spans="34:39" x14ac:dyDescent="0.35">
      <c r="AH3659" s="21"/>
      <c r="AI3659" s="21"/>
      <c r="AJ3659" s="21"/>
      <c r="AK3659" s="21"/>
      <c r="AM3659" s="26" t="s">
        <v>38</v>
      </c>
    </row>
    <row r="3660" spans="34:39" x14ac:dyDescent="0.35">
      <c r="AH3660" s="21"/>
      <c r="AI3660" s="21"/>
      <c r="AJ3660" s="21"/>
      <c r="AK3660" s="21"/>
      <c r="AM3660" s="26" t="s">
        <v>38</v>
      </c>
    </row>
    <row r="3661" spans="34:39" x14ac:dyDescent="0.35">
      <c r="AH3661" s="21"/>
      <c r="AI3661" s="21"/>
      <c r="AJ3661" s="21"/>
      <c r="AK3661" s="21"/>
      <c r="AM3661" s="26" t="s">
        <v>38</v>
      </c>
    </row>
    <row r="3662" spans="34:39" x14ac:dyDescent="0.35">
      <c r="AH3662" s="21"/>
      <c r="AI3662" s="21"/>
      <c r="AJ3662" s="21"/>
      <c r="AK3662" s="21"/>
      <c r="AM3662" s="26" t="s">
        <v>38</v>
      </c>
    </row>
    <row r="3663" spans="34:39" x14ac:dyDescent="0.35">
      <c r="AH3663" s="21"/>
      <c r="AI3663" s="21"/>
      <c r="AJ3663" s="21"/>
      <c r="AK3663" s="21"/>
      <c r="AM3663" s="26" t="s">
        <v>38</v>
      </c>
    </row>
    <row r="3664" spans="34:39" x14ac:dyDescent="0.35">
      <c r="AH3664" s="21"/>
      <c r="AI3664" s="21"/>
      <c r="AJ3664" s="21"/>
      <c r="AK3664" s="21"/>
      <c r="AM3664" s="26" t="s">
        <v>38</v>
      </c>
    </row>
    <row r="3665" spans="1:40" x14ac:dyDescent="0.35">
      <c r="AH3665" s="21"/>
      <c r="AI3665" s="21"/>
      <c r="AJ3665" s="21"/>
      <c r="AK3665" s="21"/>
      <c r="AM3665" s="26" t="s">
        <v>38</v>
      </c>
    </row>
    <row r="3666" spans="1:40" x14ac:dyDescent="0.35">
      <c r="AH3666" s="21"/>
      <c r="AI3666" s="21"/>
      <c r="AJ3666" s="21"/>
      <c r="AK3666" s="21"/>
      <c r="AM3666" s="26" t="s">
        <v>38</v>
      </c>
    </row>
    <row r="3667" spans="1:40" x14ac:dyDescent="0.35">
      <c r="AH3667" s="21"/>
      <c r="AI3667" s="21"/>
      <c r="AJ3667" s="21"/>
      <c r="AK3667" s="21"/>
      <c r="AM3667" s="26" t="s">
        <v>38</v>
      </c>
    </row>
    <row r="3668" spans="1:40" x14ac:dyDescent="0.35">
      <c r="AH3668" s="21"/>
      <c r="AI3668" s="21"/>
      <c r="AJ3668" s="21"/>
      <c r="AK3668" s="21"/>
      <c r="AM3668" s="26" t="s">
        <v>38</v>
      </c>
    </row>
    <row r="3669" spans="1:40" s="34" customFormat="1" x14ac:dyDescent="0.35">
      <c r="A3669"/>
      <c r="B3669"/>
      <c r="C3669"/>
      <c r="D3669"/>
      <c r="E3669"/>
      <c r="F3669"/>
      <c r="G3669"/>
      <c r="H3669"/>
      <c r="I3669"/>
      <c r="J3669"/>
      <c r="K3669"/>
      <c r="L3669"/>
      <c r="M3669"/>
      <c r="N3669"/>
      <c r="O3669"/>
      <c r="P3669"/>
      <c r="Q3669"/>
      <c r="R3669"/>
      <c r="S3669"/>
      <c r="T3669"/>
      <c r="U3669"/>
      <c r="V3669"/>
      <c r="W3669"/>
      <c r="X3669"/>
      <c r="Y3669"/>
      <c r="Z3669"/>
      <c r="AA3669"/>
      <c r="AB3669"/>
      <c r="AC3669"/>
      <c r="AD3669"/>
      <c r="AE3669"/>
      <c r="AF3669"/>
      <c r="AG3669"/>
      <c r="AH3669" s="21"/>
      <c r="AI3669" s="21"/>
      <c r="AJ3669" s="21"/>
      <c r="AK3669" s="21"/>
      <c r="AL3669"/>
      <c r="AM3669" s="26" t="s">
        <v>38</v>
      </c>
      <c r="AN3669"/>
    </row>
    <row r="3670" spans="1:40" x14ac:dyDescent="0.35">
      <c r="AH3670" s="21"/>
      <c r="AI3670" s="21"/>
      <c r="AJ3670" s="21"/>
      <c r="AK3670" s="21"/>
      <c r="AM3670" s="26" t="s">
        <v>38</v>
      </c>
    </row>
    <row r="3671" spans="1:40" x14ac:dyDescent="0.35">
      <c r="AH3671" s="21"/>
      <c r="AI3671" s="21"/>
      <c r="AJ3671" s="21"/>
      <c r="AK3671" s="21"/>
      <c r="AM3671" s="26" t="s">
        <v>38</v>
      </c>
    </row>
    <row r="3672" spans="1:40" x14ac:dyDescent="0.35">
      <c r="AH3672" s="21"/>
      <c r="AI3672" s="21"/>
      <c r="AJ3672" s="21"/>
      <c r="AK3672" s="21"/>
      <c r="AM3672" s="26" t="s">
        <v>38</v>
      </c>
    </row>
    <row r="3673" spans="1:40" x14ac:dyDescent="0.35">
      <c r="AH3673" s="21"/>
      <c r="AI3673" s="21"/>
      <c r="AJ3673" s="21"/>
      <c r="AK3673" s="21"/>
      <c r="AM3673" s="26" t="s">
        <v>38</v>
      </c>
    </row>
    <row r="3674" spans="1:40" x14ac:dyDescent="0.35">
      <c r="AH3674" s="21"/>
      <c r="AI3674" s="21"/>
      <c r="AJ3674" s="21"/>
      <c r="AK3674" s="21"/>
      <c r="AM3674" s="26" t="s">
        <v>38</v>
      </c>
    </row>
    <row r="3675" spans="1:40" x14ac:dyDescent="0.35">
      <c r="AH3675" s="21"/>
      <c r="AI3675" s="21"/>
      <c r="AJ3675" s="21"/>
      <c r="AK3675" s="21"/>
      <c r="AM3675" s="26" t="s">
        <v>38</v>
      </c>
    </row>
    <row r="3676" spans="1:40" x14ac:dyDescent="0.35">
      <c r="AH3676" s="21"/>
      <c r="AI3676" s="21"/>
      <c r="AJ3676" s="21"/>
      <c r="AK3676" s="21"/>
      <c r="AM3676" s="26" t="s">
        <v>38</v>
      </c>
    </row>
    <row r="3677" spans="1:40" x14ac:dyDescent="0.35">
      <c r="AH3677" s="21"/>
      <c r="AI3677" s="21"/>
      <c r="AJ3677" s="21"/>
      <c r="AK3677" s="21"/>
      <c r="AM3677" s="26" t="s">
        <v>38</v>
      </c>
    </row>
    <row r="3678" spans="1:40" x14ac:dyDescent="0.35">
      <c r="AH3678" s="21"/>
      <c r="AI3678" s="21"/>
      <c r="AJ3678" s="21"/>
      <c r="AK3678" s="21"/>
      <c r="AM3678" s="26" t="s">
        <v>38</v>
      </c>
    </row>
    <row r="3679" spans="1:40" x14ac:dyDescent="0.35">
      <c r="AH3679" s="21"/>
      <c r="AI3679" s="21"/>
      <c r="AJ3679" s="21"/>
      <c r="AK3679" s="21"/>
      <c r="AM3679" s="26" t="s">
        <v>38</v>
      </c>
    </row>
    <row r="3680" spans="1:40" x14ac:dyDescent="0.35">
      <c r="AH3680" s="21"/>
      <c r="AI3680" s="21"/>
      <c r="AJ3680" s="21"/>
      <c r="AK3680" s="21"/>
      <c r="AM3680" s="26" t="s">
        <v>38</v>
      </c>
    </row>
    <row r="3681" spans="34:39" x14ac:dyDescent="0.35">
      <c r="AH3681" s="21"/>
      <c r="AI3681" s="21"/>
      <c r="AJ3681" s="21"/>
      <c r="AK3681" s="21"/>
      <c r="AM3681" s="26" t="s">
        <v>38</v>
      </c>
    </row>
    <row r="3682" spans="34:39" x14ac:dyDescent="0.35">
      <c r="AH3682" s="21"/>
      <c r="AI3682" s="21"/>
      <c r="AJ3682" s="21"/>
      <c r="AK3682" s="21"/>
      <c r="AM3682" s="26" t="s">
        <v>38</v>
      </c>
    </row>
    <row r="3683" spans="34:39" x14ac:dyDescent="0.35">
      <c r="AH3683" s="21"/>
      <c r="AI3683" s="21"/>
      <c r="AJ3683" s="21"/>
      <c r="AK3683" s="21"/>
      <c r="AM3683" s="26" t="s">
        <v>38</v>
      </c>
    </row>
    <row r="3684" spans="34:39" x14ac:dyDescent="0.35">
      <c r="AH3684" s="21"/>
      <c r="AI3684" s="21"/>
      <c r="AJ3684" s="21"/>
      <c r="AK3684" s="21"/>
      <c r="AM3684" s="26" t="s">
        <v>38</v>
      </c>
    </row>
    <row r="3685" spans="34:39" x14ac:dyDescent="0.35">
      <c r="AH3685" s="21"/>
      <c r="AI3685" s="21"/>
      <c r="AJ3685" s="21"/>
      <c r="AK3685" s="21"/>
      <c r="AM3685" s="26" t="s">
        <v>38</v>
      </c>
    </row>
    <row r="3686" spans="34:39" x14ac:dyDescent="0.35">
      <c r="AH3686" s="21"/>
      <c r="AI3686" s="21"/>
      <c r="AJ3686" s="21"/>
      <c r="AK3686" s="21"/>
      <c r="AM3686" s="26" t="s">
        <v>38</v>
      </c>
    </row>
    <row r="3687" spans="34:39" x14ac:dyDescent="0.35">
      <c r="AH3687" s="21"/>
      <c r="AI3687" s="21"/>
      <c r="AJ3687" s="21"/>
      <c r="AK3687" s="21"/>
      <c r="AM3687" s="26" t="s">
        <v>38</v>
      </c>
    </row>
    <row r="3688" spans="34:39" x14ac:dyDescent="0.35">
      <c r="AH3688" s="21"/>
      <c r="AI3688" s="21"/>
      <c r="AJ3688" s="21"/>
      <c r="AK3688" s="21"/>
      <c r="AM3688" s="26" t="s">
        <v>38</v>
      </c>
    </row>
    <row r="3689" spans="34:39" x14ac:dyDescent="0.35">
      <c r="AH3689" s="21"/>
      <c r="AI3689" s="21"/>
      <c r="AJ3689" s="21"/>
      <c r="AK3689" s="21"/>
      <c r="AM3689" s="26" t="s">
        <v>38</v>
      </c>
    </row>
    <row r="3690" spans="34:39" x14ac:dyDescent="0.35">
      <c r="AH3690" s="21"/>
      <c r="AI3690" s="21"/>
      <c r="AJ3690" s="21"/>
      <c r="AK3690" s="21"/>
      <c r="AM3690" s="26" t="s">
        <v>38</v>
      </c>
    </row>
    <row r="3691" spans="34:39" x14ac:dyDescent="0.35">
      <c r="AH3691" s="21"/>
      <c r="AI3691" s="21"/>
      <c r="AJ3691" s="21"/>
      <c r="AK3691" s="21"/>
      <c r="AM3691" s="26" t="s">
        <v>38</v>
      </c>
    </row>
    <row r="3692" spans="34:39" x14ac:dyDescent="0.35">
      <c r="AH3692" s="21"/>
      <c r="AI3692" s="21"/>
      <c r="AJ3692" s="21"/>
      <c r="AK3692" s="21"/>
      <c r="AM3692" s="26" t="s">
        <v>38</v>
      </c>
    </row>
    <row r="3693" spans="34:39" x14ac:dyDescent="0.35">
      <c r="AH3693" s="21"/>
      <c r="AI3693" s="21"/>
      <c r="AJ3693" s="21"/>
      <c r="AK3693" s="21"/>
      <c r="AM3693" s="26" t="s">
        <v>38</v>
      </c>
    </row>
    <row r="3694" spans="34:39" x14ac:dyDescent="0.35">
      <c r="AH3694" s="21"/>
      <c r="AI3694" s="21"/>
      <c r="AJ3694" s="21"/>
      <c r="AK3694" s="21"/>
      <c r="AM3694" s="26" t="s">
        <v>38</v>
      </c>
    </row>
    <row r="3695" spans="34:39" x14ac:dyDescent="0.35">
      <c r="AH3695" s="21"/>
      <c r="AI3695" s="21"/>
      <c r="AJ3695" s="21"/>
      <c r="AK3695" s="21"/>
      <c r="AM3695" s="26" t="s">
        <v>38</v>
      </c>
    </row>
    <row r="3696" spans="34:39" x14ac:dyDescent="0.35">
      <c r="AH3696" s="21"/>
      <c r="AI3696" s="21"/>
      <c r="AJ3696" s="21"/>
      <c r="AK3696" s="21"/>
      <c r="AM3696" s="26" t="s">
        <v>38</v>
      </c>
    </row>
    <row r="3697" spans="34:39" x14ac:dyDescent="0.35">
      <c r="AH3697" s="21"/>
      <c r="AI3697" s="21"/>
      <c r="AJ3697" s="21"/>
      <c r="AK3697" s="21"/>
      <c r="AM3697" s="26" t="s">
        <v>38</v>
      </c>
    </row>
    <row r="3698" spans="34:39" x14ac:dyDescent="0.35">
      <c r="AH3698" s="21"/>
      <c r="AI3698" s="21"/>
      <c r="AJ3698" s="21"/>
      <c r="AK3698" s="21"/>
      <c r="AM3698" s="26" t="s">
        <v>38</v>
      </c>
    </row>
    <row r="3699" spans="34:39" x14ac:dyDescent="0.35">
      <c r="AH3699" s="21"/>
      <c r="AI3699" s="21"/>
      <c r="AJ3699" s="21"/>
      <c r="AK3699" s="21"/>
      <c r="AM3699" s="26" t="s">
        <v>38</v>
      </c>
    </row>
    <row r="3700" spans="34:39" x14ac:dyDescent="0.35">
      <c r="AH3700" s="21"/>
      <c r="AI3700" s="21"/>
      <c r="AJ3700" s="21"/>
      <c r="AK3700" s="21"/>
      <c r="AM3700" s="26" t="s">
        <v>38</v>
      </c>
    </row>
    <row r="3701" spans="34:39" x14ac:dyDescent="0.35">
      <c r="AH3701" s="21"/>
      <c r="AI3701" s="21"/>
      <c r="AJ3701" s="21"/>
      <c r="AK3701" s="21"/>
      <c r="AM3701" s="26" t="s">
        <v>38</v>
      </c>
    </row>
    <row r="3702" spans="34:39" x14ac:dyDescent="0.35">
      <c r="AH3702" s="21"/>
      <c r="AI3702" s="21"/>
      <c r="AJ3702" s="21"/>
      <c r="AK3702" s="21"/>
      <c r="AM3702" s="26" t="s">
        <v>38</v>
      </c>
    </row>
    <row r="3703" spans="34:39" x14ac:dyDescent="0.35">
      <c r="AH3703" s="21"/>
      <c r="AI3703" s="21"/>
      <c r="AJ3703" s="21"/>
      <c r="AK3703" s="21"/>
      <c r="AM3703" s="26" t="s">
        <v>38</v>
      </c>
    </row>
    <row r="3704" spans="34:39" x14ac:dyDescent="0.35">
      <c r="AH3704" s="21"/>
      <c r="AI3704" s="21"/>
      <c r="AJ3704" s="21"/>
      <c r="AK3704" s="21"/>
      <c r="AM3704" s="26" t="s">
        <v>38</v>
      </c>
    </row>
    <row r="3705" spans="34:39" x14ac:dyDescent="0.35">
      <c r="AH3705" s="21"/>
      <c r="AI3705" s="21"/>
      <c r="AJ3705" s="21"/>
      <c r="AK3705" s="21"/>
      <c r="AM3705" s="26" t="s">
        <v>38</v>
      </c>
    </row>
    <row r="3706" spans="34:39" x14ac:dyDescent="0.35">
      <c r="AH3706" s="21"/>
      <c r="AI3706" s="21"/>
      <c r="AJ3706" s="21"/>
      <c r="AK3706" s="21"/>
      <c r="AM3706" s="26" t="s">
        <v>38</v>
      </c>
    </row>
    <row r="3707" spans="34:39" x14ac:dyDescent="0.35">
      <c r="AH3707" s="21"/>
      <c r="AI3707" s="21"/>
      <c r="AJ3707" s="21"/>
      <c r="AK3707" s="21"/>
      <c r="AM3707" s="26" t="s">
        <v>38</v>
      </c>
    </row>
    <row r="3708" spans="34:39" x14ac:dyDescent="0.35">
      <c r="AH3708" s="21"/>
      <c r="AI3708" s="21"/>
      <c r="AJ3708" s="21"/>
      <c r="AK3708" s="21"/>
      <c r="AM3708" s="26" t="s">
        <v>38</v>
      </c>
    </row>
    <row r="3709" spans="34:39" x14ac:dyDescent="0.35">
      <c r="AH3709" s="21"/>
      <c r="AI3709" s="21"/>
      <c r="AJ3709" s="21"/>
      <c r="AK3709" s="21"/>
      <c r="AM3709" s="26" t="s">
        <v>38</v>
      </c>
    </row>
    <row r="3710" spans="34:39" x14ac:dyDescent="0.35">
      <c r="AH3710" s="21"/>
      <c r="AI3710" s="21"/>
      <c r="AJ3710" s="21"/>
      <c r="AK3710" s="21"/>
      <c r="AM3710" s="26" t="s">
        <v>38</v>
      </c>
    </row>
    <row r="3711" spans="34:39" x14ac:dyDescent="0.35">
      <c r="AH3711" s="21"/>
      <c r="AI3711" s="21"/>
      <c r="AJ3711" s="21"/>
      <c r="AK3711" s="21"/>
      <c r="AM3711" s="26" t="s">
        <v>38</v>
      </c>
    </row>
    <row r="3712" spans="34:39" x14ac:dyDescent="0.35">
      <c r="AH3712" s="21"/>
      <c r="AI3712" s="21"/>
      <c r="AJ3712" s="21"/>
      <c r="AK3712" s="21"/>
      <c r="AM3712" s="26" t="s">
        <v>38</v>
      </c>
    </row>
    <row r="3713" spans="34:39" x14ac:dyDescent="0.35">
      <c r="AH3713" s="21"/>
      <c r="AI3713" s="21"/>
      <c r="AJ3713" s="21"/>
      <c r="AK3713" s="21"/>
      <c r="AM3713" s="26" t="s">
        <v>38</v>
      </c>
    </row>
    <row r="3714" spans="34:39" x14ac:dyDescent="0.35">
      <c r="AH3714" s="21"/>
      <c r="AI3714" s="21"/>
      <c r="AJ3714" s="21"/>
      <c r="AK3714" s="21"/>
      <c r="AM3714" s="26" t="s">
        <v>38</v>
      </c>
    </row>
    <row r="3715" spans="34:39" x14ac:dyDescent="0.35">
      <c r="AH3715" s="21"/>
      <c r="AI3715" s="21"/>
      <c r="AJ3715" s="21"/>
      <c r="AK3715" s="21"/>
      <c r="AM3715" s="26" t="s">
        <v>38</v>
      </c>
    </row>
    <row r="3716" spans="34:39" x14ac:dyDescent="0.35">
      <c r="AH3716" s="21"/>
      <c r="AI3716" s="21"/>
      <c r="AJ3716" s="21"/>
      <c r="AK3716" s="21"/>
      <c r="AM3716" s="26" t="s">
        <v>38</v>
      </c>
    </row>
    <row r="3717" spans="34:39" x14ac:dyDescent="0.35">
      <c r="AH3717" s="21"/>
      <c r="AI3717" s="21"/>
      <c r="AJ3717" s="21"/>
      <c r="AK3717" s="21"/>
      <c r="AM3717" s="26" t="s">
        <v>38</v>
      </c>
    </row>
    <row r="3718" spans="34:39" x14ac:dyDescent="0.35">
      <c r="AH3718" s="21"/>
      <c r="AI3718" s="21"/>
      <c r="AJ3718" s="21"/>
      <c r="AK3718" s="21"/>
      <c r="AM3718" s="26" t="s">
        <v>38</v>
      </c>
    </row>
    <row r="3719" spans="34:39" x14ac:dyDescent="0.35">
      <c r="AH3719" s="21"/>
      <c r="AI3719" s="21"/>
      <c r="AJ3719" s="21"/>
      <c r="AK3719" s="21"/>
      <c r="AM3719" s="26" t="s">
        <v>38</v>
      </c>
    </row>
    <row r="3720" spans="34:39" x14ac:dyDescent="0.35">
      <c r="AH3720" s="21"/>
      <c r="AI3720" s="21"/>
      <c r="AJ3720" s="21"/>
      <c r="AK3720" s="21"/>
      <c r="AM3720" s="26" t="s">
        <v>38</v>
      </c>
    </row>
    <row r="3721" spans="34:39" x14ac:dyDescent="0.35">
      <c r="AH3721" s="21"/>
      <c r="AI3721" s="21"/>
      <c r="AJ3721" s="21"/>
      <c r="AK3721" s="21"/>
      <c r="AM3721" s="26" t="s">
        <v>38</v>
      </c>
    </row>
    <row r="3722" spans="34:39" x14ac:dyDescent="0.35">
      <c r="AH3722" s="21"/>
      <c r="AI3722" s="21"/>
      <c r="AJ3722" s="21"/>
      <c r="AK3722" s="21"/>
      <c r="AM3722" s="26" t="s">
        <v>38</v>
      </c>
    </row>
    <row r="3723" spans="34:39" x14ac:dyDescent="0.35">
      <c r="AH3723" s="21"/>
      <c r="AI3723" s="21"/>
      <c r="AJ3723" s="21"/>
      <c r="AK3723" s="21"/>
      <c r="AM3723" s="26" t="s">
        <v>38</v>
      </c>
    </row>
    <row r="3724" spans="34:39" x14ac:dyDescent="0.35">
      <c r="AH3724" s="21"/>
      <c r="AI3724" s="21"/>
      <c r="AJ3724" s="21"/>
      <c r="AK3724" s="21"/>
      <c r="AM3724" s="26" t="s">
        <v>38</v>
      </c>
    </row>
    <row r="3725" spans="34:39" x14ac:dyDescent="0.35">
      <c r="AH3725" s="21"/>
      <c r="AI3725" s="21"/>
      <c r="AJ3725" s="21"/>
      <c r="AK3725" s="21"/>
      <c r="AM3725" s="26" t="s">
        <v>38</v>
      </c>
    </row>
    <row r="3726" spans="34:39" x14ac:dyDescent="0.35">
      <c r="AH3726" s="21"/>
      <c r="AI3726" s="21"/>
      <c r="AJ3726" s="21"/>
      <c r="AK3726" s="21"/>
      <c r="AM3726" s="26" t="s">
        <v>38</v>
      </c>
    </row>
    <row r="3727" spans="34:39" x14ac:dyDescent="0.35">
      <c r="AH3727" s="21"/>
      <c r="AI3727" s="21"/>
      <c r="AJ3727" s="21"/>
      <c r="AK3727" s="21"/>
      <c r="AM3727" s="26" t="s">
        <v>38</v>
      </c>
    </row>
    <row r="3728" spans="34:39" x14ac:dyDescent="0.35">
      <c r="AH3728" s="21"/>
      <c r="AI3728" s="21"/>
      <c r="AJ3728" s="21"/>
      <c r="AK3728" s="21"/>
      <c r="AM3728" s="26" t="s">
        <v>38</v>
      </c>
    </row>
    <row r="3729" spans="34:39" x14ac:dyDescent="0.35">
      <c r="AH3729" s="21"/>
      <c r="AI3729" s="21"/>
      <c r="AJ3729" s="21"/>
      <c r="AK3729" s="21"/>
      <c r="AM3729" s="26" t="s">
        <v>38</v>
      </c>
    </row>
    <row r="3730" spans="34:39" x14ac:dyDescent="0.35">
      <c r="AH3730" s="21"/>
      <c r="AI3730" s="21"/>
      <c r="AJ3730" s="21"/>
      <c r="AK3730" s="21"/>
      <c r="AM3730" s="26" t="s">
        <v>38</v>
      </c>
    </row>
    <row r="3731" spans="34:39" x14ac:dyDescent="0.35">
      <c r="AH3731" s="21"/>
      <c r="AI3731" s="21"/>
      <c r="AJ3731" s="21"/>
      <c r="AK3731" s="21"/>
      <c r="AM3731" s="26" t="s">
        <v>38</v>
      </c>
    </row>
    <row r="3732" spans="34:39" x14ac:dyDescent="0.35">
      <c r="AH3732" s="21"/>
      <c r="AI3732" s="21"/>
      <c r="AJ3732" s="21"/>
      <c r="AK3732" s="21"/>
      <c r="AM3732" s="26" t="s">
        <v>38</v>
      </c>
    </row>
    <row r="3733" spans="34:39" x14ac:dyDescent="0.35">
      <c r="AH3733" s="21"/>
      <c r="AI3733" s="21"/>
      <c r="AJ3733" s="21"/>
      <c r="AK3733" s="21"/>
      <c r="AM3733" s="26" t="s">
        <v>38</v>
      </c>
    </row>
    <row r="3734" spans="34:39" x14ac:dyDescent="0.35">
      <c r="AH3734" s="21"/>
      <c r="AI3734" s="21"/>
      <c r="AJ3734" s="21"/>
      <c r="AK3734" s="21"/>
      <c r="AM3734" s="26" t="s">
        <v>38</v>
      </c>
    </row>
    <row r="3735" spans="34:39" x14ac:dyDescent="0.35">
      <c r="AH3735" s="21"/>
      <c r="AI3735" s="21"/>
      <c r="AJ3735" s="21"/>
      <c r="AK3735" s="21"/>
      <c r="AM3735" s="26" t="s">
        <v>38</v>
      </c>
    </row>
    <row r="3736" spans="34:39" x14ac:dyDescent="0.35">
      <c r="AH3736" s="21"/>
      <c r="AI3736" s="21"/>
      <c r="AJ3736" s="21"/>
      <c r="AK3736" s="21"/>
      <c r="AM3736" s="26" t="s">
        <v>38</v>
      </c>
    </row>
    <row r="3737" spans="34:39" x14ac:dyDescent="0.35">
      <c r="AH3737" s="21"/>
      <c r="AI3737" s="21"/>
      <c r="AJ3737" s="21"/>
      <c r="AK3737" s="21"/>
      <c r="AM3737" s="26" t="s">
        <v>38</v>
      </c>
    </row>
    <row r="3738" spans="34:39" x14ac:dyDescent="0.35">
      <c r="AH3738" s="21"/>
      <c r="AI3738" s="21"/>
      <c r="AJ3738" s="21"/>
      <c r="AK3738" s="21"/>
      <c r="AM3738" s="26" t="s">
        <v>38</v>
      </c>
    </row>
    <row r="3739" spans="34:39" x14ac:dyDescent="0.35">
      <c r="AH3739" s="21"/>
      <c r="AI3739" s="21"/>
      <c r="AJ3739" s="21"/>
      <c r="AK3739" s="21"/>
      <c r="AM3739" s="26" t="s">
        <v>38</v>
      </c>
    </row>
    <row r="3740" spans="34:39" x14ac:dyDescent="0.35">
      <c r="AH3740" s="21"/>
      <c r="AI3740" s="21"/>
      <c r="AJ3740" s="21"/>
      <c r="AK3740" s="21"/>
      <c r="AM3740" s="26" t="s">
        <v>38</v>
      </c>
    </row>
    <row r="3741" spans="34:39" x14ac:dyDescent="0.35">
      <c r="AH3741" s="21"/>
      <c r="AI3741" s="21"/>
      <c r="AJ3741" s="21"/>
      <c r="AK3741" s="21"/>
      <c r="AM3741" s="26" t="s">
        <v>38</v>
      </c>
    </row>
    <row r="3742" spans="34:39" x14ac:dyDescent="0.35">
      <c r="AH3742" s="21"/>
      <c r="AI3742" s="21"/>
      <c r="AJ3742" s="21"/>
      <c r="AK3742" s="21"/>
      <c r="AM3742" s="26" t="s">
        <v>38</v>
      </c>
    </row>
    <row r="3743" spans="34:39" x14ac:dyDescent="0.35">
      <c r="AH3743" s="21"/>
      <c r="AI3743" s="21"/>
      <c r="AJ3743" s="21"/>
      <c r="AK3743" s="21"/>
      <c r="AM3743" s="26" t="s">
        <v>38</v>
      </c>
    </row>
    <row r="3744" spans="34:39" x14ac:dyDescent="0.35">
      <c r="AH3744" s="21"/>
      <c r="AI3744" s="21"/>
      <c r="AJ3744" s="21"/>
      <c r="AK3744" s="21"/>
      <c r="AM3744" s="26" t="s">
        <v>38</v>
      </c>
    </row>
    <row r="3745" spans="34:39" x14ac:dyDescent="0.35">
      <c r="AH3745" s="21"/>
      <c r="AI3745" s="21"/>
      <c r="AJ3745" s="21"/>
      <c r="AK3745" s="21"/>
      <c r="AM3745" s="26" t="s">
        <v>38</v>
      </c>
    </row>
    <row r="3746" spans="34:39" x14ac:dyDescent="0.35">
      <c r="AH3746" s="21"/>
      <c r="AI3746" s="21"/>
      <c r="AJ3746" s="21"/>
      <c r="AK3746" s="21"/>
      <c r="AM3746" s="26" t="s">
        <v>38</v>
      </c>
    </row>
    <row r="3747" spans="34:39" x14ac:dyDescent="0.35">
      <c r="AH3747" s="21"/>
      <c r="AI3747" s="21"/>
      <c r="AJ3747" s="21"/>
      <c r="AK3747" s="21"/>
      <c r="AM3747" s="26" t="s">
        <v>38</v>
      </c>
    </row>
    <row r="3748" spans="34:39" x14ac:dyDescent="0.35">
      <c r="AH3748" s="21"/>
      <c r="AI3748" s="21"/>
      <c r="AJ3748" s="21"/>
      <c r="AK3748" s="21"/>
      <c r="AM3748" s="26" t="s">
        <v>38</v>
      </c>
    </row>
    <row r="3749" spans="34:39" x14ac:dyDescent="0.35">
      <c r="AH3749" s="21"/>
      <c r="AI3749" s="21"/>
      <c r="AJ3749" s="21"/>
      <c r="AK3749" s="21"/>
      <c r="AM3749" s="26" t="s">
        <v>38</v>
      </c>
    </row>
    <row r="3750" spans="34:39" x14ac:dyDescent="0.35">
      <c r="AH3750" s="21"/>
      <c r="AI3750" s="21"/>
      <c r="AJ3750" s="21"/>
      <c r="AK3750" s="21"/>
      <c r="AM3750" s="26" t="s">
        <v>38</v>
      </c>
    </row>
    <row r="3751" spans="34:39" x14ac:dyDescent="0.35">
      <c r="AH3751" s="21"/>
      <c r="AI3751" s="21"/>
      <c r="AJ3751" s="21"/>
      <c r="AK3751" s="21"/>
      <c r="AM3751" s="26" t="s">
        <v>38</v>
      </c>
    </row>
    <row r="3752" spans="34:39" x14ac:dyDescent="0.35">
      <c r="AH3752" s="21"/>
      <c r="AI3752" s="21"/>
      <c r="AJ3752" s="21"/>
      <c r="AK3752" s="21"/>
      <c r="AM3752" s="26" t="s">
        <v>38</v>
      </c>
    </row>
    <row r="3753" spans="34:39" x14ac:dyDescent="0.35">
      <c r="AH3753" s="21"/>
      <c r="AI3753" s="21"/>
      <c r="AJ3753" s="21"/>
      <c r="AK3753" s="21"/>
      <c r="AM3753" s="26" t="s">
        <v>38</v>
      </c>
    </row>
    <row r="3754" spans="34:39" x14ac:dyDescent="0.35">
      <c r="AH3754" s="21"/>
      <c r="AI3754" s="21"/>
      <c r="AJ3754" s="21"/>
      <c r="AK3754" s="21"/>
      <c r="AM3754" s="26" t="s">
        <v>38</v>
      </c>
    </row>
    <row r="3755" spans="34:39" x14ac:dyDescent="0.35">
      <c r="AH3755" s="21"/>
      <c r="AI3755" s="21"/>
      <c r="AJ3755" s="21"/>
      <c r="AK3755" s="21"/>
      <c r="AM3755" s="26" t="s">
        <v>38</v>
      </c>
    </row>
    <row r="3756" spans="34:39" x14ac:dyDescent="0.35">
      <c r="AH3756" s="21"/>
      <c r="AI3756" s="21"/>
      <c r="AJ3756" s="21"/>
      <c r="AK3756" s="21"/>
      <c r="AM3756" s="26" t="s">
        <v>38</v>
      </c>
    </row>
    <row r="3757" spans="34:39" x14ac:dyDescent="0.35">
      <c r="AH3757" s="21"/>
      <c r="AI3757" s="21"/>
      <c r="AJ3757" s="21"/>
      <c r="AK3757" s="21"/>
      <c r="AM3757" s="26" t="s">
        <v>38</v>
      </c>
    </row>
    <row r="3758" spans="34:39" x14ac:dyDescent="0.35">
      <c r="AH3758" s="21"/>
      <c r="AI3758" s="21"/>
      <c r="AJ3758" s="21"/>
      <c r="AK3758" s="21"/>
      <c r="AM3758" s="26" t="s">
        <v>38</v>
      </c>
    </row>
    <row r="3759" spans="34:39" x14ac:dyDescent="0.35">
      <c r="AH3759" s="21"/>
      <c r="AI3759" s="21"/>
      <c r="AJ3759" s="21"/>
      <c r="AK3759" s="21"/>
      <c r="AM3759" s="26" t="s">
        <v>38</v>
      </c>
    </row>
    <row r="3760" spans="34:39" x14ac:dyDescent="0.35">
      <c r="AH3760" s="21"/>
      <c r="AI3760" s="21"/>
      <c r="AJ3760" s="21"/>
      <c r="AK3760" s="21"/>
      <c r="AM3760" s="26" t="s">
        <v>38</v>
      </c>
    </row>
    <row r="3761" spans="34:39" x14ac:dyDescent="0.35">
      <c r="AH3761" s="21"/>
      <c r="AI3761" s="21"/>
      <c r="AJ3761" s="21"/>
      <c r="AK3761" s="21"/>
      <c r="AM3761" s="26" t="s">
        <v>38</v>
      </c>
    </row>
    <row r="3762" spans="34:39" x14ac:dyDescent="0.35">
      <c r="AH3762" s="21"/>
      <c r="AI3762" s="21"/>
      <c r="AJ3762" s="21"/>
      <c r="AK3762" s="21"/>
      <c r="AM3762" s="26" t="s">
        <v>38</v>
      </c>
    </row>
    <row r="3763" spans="34:39" x14ac:dyDescent="0.35">
      <c r="AH3763" s="21"/>
      <c r="AI3763" s="21"/>
      <c r="AJ3763" s="21"/>
      <c r="AK3763" s="21"/>
      <c r="AM3763" s="26" t="s">
        <v>38</v>
      </c>
    </row>
    <row r="3764" spans="34:39" x14ac:dyDescent="0.35">
      <c r="AH3764" s="21"/>
      <c r="AI3764" s="21"/>
      <c r="AJ3764" s="21"/>
      <c r="AK3764" s="21"/>
      <c r="AM3764" s="26" t="s">
        <v>38</v>
      </c>
    </row>
    <row r="3765" spans="34:39" x14ac:dyDescent="0.35">
      <c r="AH3765" s="21"/>
      <c r="AI3765" s="21"/>
      <c r="AJ3765" s="21"/>
      <c r="AK3765" s="21"/>
      <c r="AM3765" s="26" t="s">
        <v>38</v>
      </c>
    </row>
    <row r="3766" spans="34:39" x14ac:dyDescent="0.35">
      <c r="AH3766" s="21"/>
      <c r="AI3766" s="21"/>
      <c r="AJ3766" s="21"/>
      <c r="AK3766" s="21"/>
      <c r="AM3766" s="26" t="s">
        <v>38</v>
      </c>
    </row>
    <row r="3767" spans="34:39" x14ac:dyDescent="0.35">
      <c r="AH3767" s="21"/>
      <c r="AI3767" s="21"/>
      <c r="AJ3767" s="21"/>
      <c r="AK3767" s="21"/>
      <c r="AM3767" s="26" t="s">
        <v>38</v>
      </c>
    </row>
    <row r="3768" spans="34:39" x14ac:dyDescent="0.35">
      <c r="AH3768" s="21"/>
      <c r="AI3768" s="21"/>
      <c r="AJ3768" s="21"/>
      <c r="AK3768" s="21"/>
      <c r="AM3768" s="26" t="s">
        <v>38</v>
      </c>
    </row>
    <row r="3769" spans="34:39" x14ac:dyDescent="0.35">
      <c r="AH3769" s="21"/>
      <c r="AI3769" s="21"/>
      <c r="AJ3769" s="21"/>
      <c r="AK3769" s="21"/>
      <c r="AM3769" s="26" t="s">
        <v>38</v>
      </c>
    </row>
    <row r="3770" spans="34:39" x14ac:dyDescent="0.35">
      <c r="AH3770" s="21"/>
      <c r="AI3770" s="21"/>
      <c r="AJ3770" s="21"/>
      <c r="AK3770" s="21"/>
      <c r="AM3770" s="26" t="s">
        <v>38</v>
      </c>
    </row>
    <row r="3771" spans="34:39" x14ac:dyDescent="0.35">
      <c r="AH3771" s="21"/>
      <c r="AI3771" s="21"/>
      <c r="AJ3771" s="21"/>
      <c r="AK3771" s="21"/>
      <c r="AM3771" s="26" t="s">
        <v>38</v>
      </c>
    </row>
    <row r="3772" spans="34:39" x14ac:dyDescent="0.35">
      <c r="AH3772" s="21"/>
      <c r="AI3772" s="21"/>
      <c r="AJ3772" s="21"/>
      <c r="AK3772" s="21"/>
      <c r="AM3772" s="26" t="s">
        <v>38</v>
      </c>
    </row>
    <row r="3773" spans="34:39" x14ac:dyDescent="0.35">
      <c r="AH3773" s="21"/>
      <c r="AI3773" s="21"/>
      <c r="AJ3773" s="21"/>
      <c r="AK3773" s="21"/>
      <c r="AM3773" s="26" t="s">
        <v>38</v>
      </c>
    </row>
    <row r="3774" spans="34:39" x14ac:dyDescent="0.35">
      <c r="AH3774" s="21"/>
      <c r="AI3774" s="21"/>
      <c r="AJ3774" s="21"/>
      <c r="AK3774" s="21"/>
      <c r="AM3774" s="26" t="s">
        <v>38</v>
      </c>
    </row>
    <row r="3775" spans="34:39" x14ac:dyDescent="0.35">
      <c r="AH3775" s="21"/>
      <c r="AI3775" s="21"/>
      <c r="AJ3775" s="21"/>
      <c r="AK3775" s="21"/>
      <c r="AM3775" s="26" t="s">
        <v>38</v>
      </c>
    </row>
    <row r="3776" spans="34:39" x14ac:dyDescent="0.35">
      <c r="AH3776" s="21"/>
      <c r="AI3776" s="21"/>
      <c r="AJ3776" s="21"/>
      <c r="AK3776" s="21"/>
      <c r="AM3776" s="26" t="s">
        <v>38</v>
      </c>
    </row>
    <row r="3777" spans="34:39" x14ac:dyDescent="0.35">
      <c r="AH3777" s="21"/>
      <c r="AI3777" s="21"/>
      <c r="AJ3777" s="21"/>
      <c r="AK3777" s="21"/>
      <c r="AM3777" s="26" t="s">
        <v>38</v>
      </c>
    </row>
    <row r="3778" spans="34:39" x14ac:dyDescent="0.35">
      <c r="AH3778" s="21"/>
      <c r="AI3778" s="21"/>
      <c r="AJ3778" s="21"/>
      <c r="AK3778" s="21"/>
      <c r="AM3778" s="26" t="s">
        <v>38</v>
      </c>
    </row>
    <row r="3779" spans="34:39" x14ac:dyDescent="0.35">
      <c r="AH3779" s="21"/>
      <c r="AI3779" s="21"/>
      <c r="AJ3779" s="21"/>
      <c r="AK3779" s="21"/>
      <c r="AM3779" s="26" t="s">
        <v>38</v>
      </c>
    </row>
    <row r="3780" spans="34:39" x14ac:dyDescent="0.35">
      <c r="AH3780" s="21"/>
      <c r="AI3780" s="21"/>
      <c r="AJ3780" s="21"/>
      <c r="AK3780" s="21"/>
      <c r="AM3780" s="26" t="s">
        <v>38</v>
      </c>
    </row>
    <row r="3781" spans="34:39" x14ac:dyDescent="0.35">
      <c r="AH3781" s="21"/>
      <c r="AI3781" s="21"/>
      <c r="AJ3781" s="21"/>
      <c r="AK3781" s="21"/>
      <c r="AM3781" s="26" t="s">
        <v>38</v>
      </c>
    </row>
    <row r="3782" spans="34:39" x14ac:dyDescent="0.35">
      <c r="AH3782" s="21"/>
      <c r="AI3782" s="21"/>
      <c r="AJ3782" s="21"/>
      <c r="AK3782" s="21"/>
      <c r="AM3782" s="26" t="s">
        <v>38</v>
      </c>
    </row>
    <row r="3783" spans="34:39" x14ac:dyDescent="0.35">
      <c r="AH3783" s="21"/>
      <c r="AI3783" s="21"/>
      <c r="AJ3783" s="21"/>
      <c r="AK3783" s="21"/>
      <c r="AM3783" s="26" t="s">
        <v>38</v>
      </c>
    </row>
    <row r="3784" spans="34:39" x14ac:dyDescent="0.35">
      <c r="AH3784" s="21"/>
      <c r="AI3784" s="21"/>
      <c r="AJ3784" s="21"/>
      <c r="AK3784" s="21"/>
      <c r="AM3784" s="26" t="s">
        <v>38</v>
      </c>
    </row>
    <row r="3785" spans="34:39" x14ac:dyDescent="0.35">
      <c r="AH3785" s="21"/>
      <c r="AI3785" s="21"/>
      <c r="AJ3785" s="21"/>
      <c r="AK3785" s="21"/>
      <c r="AM3785" s="26" t="s">
        <v>38</v>
      </c>
    </row>
    <row r="3786" spans="34:39" x14ac:dyDescent="0.35">
      <c r="AH3786" s="21"/>
      <c r="AI3786" s="21"/>
      <c r="AJ3786" s="21"/>
      <c r="AK3786" s="21"/>
      <c r="AM3786" s="26" t="s">
        <v>38</v>
      </c>
    </row>
    <row r="3787" spans="34:39" x14ac:dyDescent="0.35">
      <c r="AH3787" s="21"/>
      <c r="AI3787" s="21"/>
      <c r="AJ3787" s="21"/>
      <c r="AK3787" s="21"/>
      <c r="AM3787" s="26" t="s">
        <v>38</v>
      </c>
    </row>
    <row r="3788" spans="34:39" x14ac:dyDescent="0.35">
      <c r="AH3788" s="21"/>
      <c r="AI3788" s="21"/>
      <c r="AJ3788" s="21"/>
      <c r="AK3788" s="21"/>
      <c r="AM3788" s="26" t="s">
        <v>38</v>
      </c>
    </row>
    <row r="3789" spans="34:39" x14ac:dyDescent="0.35">
      <c r="AH3789" s="21"/>
      <c r="AI3789" s="21"/>
      <c r="AJ3789" s="21"/>
      <c r="AK3789" s="21"/>
      <c r="AM3789" s="26" t="s">
        <v>38</v>
      </c>
    </row>
    <row r="3790" spans="34:39" x14ac:dyDescent="0.35">
      <c r="AH3790" s="21"/>
      <c r="AI3790" s="21"/>
      <c r="AJ3790" s="21"/>
      <c r="AK3790" s="21"/>
      <c r="AM3790" s="26" t="s">
        <v>38</v>
      </c>
    </row>
    <row r="3791" spans="34:39" x14ac:dyDescent="0.35">
      <c r="AH3791" s="21"/>
      <c r="AI3791" s="21"/>
      <c r="AJ3791" s="21"/>
      <c r="AK3791" s="21"/>
      <c r="AM3791" s="26" t="s">
        <v>38</v>
      </c>
    </row>
    <row r="3792" spans="34:39" x14ac:dyDescent="0.35">
      <c r="AH3792" s="21"/>
      <c r="AI3792" s="21"/>
      <c r="AJ3792" s="21"/>
      <c r="AK3792" s="21"/>
      <c r="AM3792" s="26" t="s">
        <v>38</v>
      </c>
    </row>
    <row r="3793" spans="34:39" x14ac:dyDescent="0.35">
      <c r="AH3793" s="21"/>
      <c r="AI3793" s="21"/>
      <c r="AJ3793" s="21"/>
      <c r="AK3793" s="21"/>
      <c r="AM3793" s="26" t="s">
        <v>38</v>
      </c>
    </row>
    <row r="3794" spans="34:39" x14ac:dyDescent="0.35">
      <c r="AH3794" s="21"/>
      <c r="AI3794" s="21"/>
      <c r="AJ3794" s="21"/>
      <c r="AK3794" s="21"/>
      <c r="AM3794" s="26" t="s">
        <v>38</v>
      </c>
    </row>
    <row r="3795" spans="34:39" x14ac:dyDescent="0.35">
      <c r="AH3795" s="21"/>
      <c r="AI3795" s="21"/>
      <c r="AJ3795" s="21"/>
      <c r="AK3795" s="21"/>
      <c r="AM3795" s="26" t="s">
        <v>38</v>
      </c>
    </row>
    <row r="3796" spans="34:39" x14ac:dyDescent="0.35">
      <c r="AH3796" s="21"/>
      <c r="AI3796" s="21"/>
      <c r="AJ3796" s="21"/>
      <c r="AK3796" s="21"/>
      <c r="AM3796" s="26" t="s">
        <v>38</v>
      </c>
    </row>
    <row r="3797" spans="34:39" x14ac:dyDescent="0.35">
      <c r="AH3797" s="21"/>
      <c r="AI3797" s="21"/>
      <c r="AJ3797" s="21"/>
      <c r="AK3797" s="21"/>
      <c r="AM3797" s="26" t="s">
        <v>38</v>
      </c>
    </row>
    <row r="3798" spans="34:39" x14ac:dyDescent="0.35">
      <c r="AH3798" s="21"/>
      <c r="AI3798" s="21"/>
      <c r="AJ3798" s="21"/>
      <c r="AK3798" s="21"/>
      <c r="AM3798" s="26" t="s">
        <v>38</v>
      </c>
    </row>
    <row r="3799" spans="34:39" x14ac:dyDescent="0.35">
      <c r="AH3799" s="21"/>
      <c r="AI3799" s="21"/>
      <c r="AJ3799" s="21"/>
      <c r="AK3799" s="21"/>
      <c r="AM3799" s="26" t="s">
        <v>38</v>
      </c>
    </row>
    <row r="3800" spans="34:39" x14ac:dyDescent="0.35">
      <c r="AH3800" s="21"/>
      <c r="AI3800" s="21"/>
      <c r="AJ3800" s="21"/>
      <c r="AK3800" s="21"/>
      <c r="AM3800" s="26" t="s">
        <v>38</v>
      </c>
    </row>
    <row r="3801" spans="34:39" x14ac:dyDescent="0.35">
      <c r="AH3801" s="21"/>
      <c r="AI3801" s="21"/>
      <c r="AJ3801" s="21"/>
      <c r="AK3801" s="21"/>
      <c r="AM3801" s="26" t="s">
        <v>38</v>
      </c>
    </row>
    <row r="3802" spans="34:39" x14ac:dyDescent="0.35">
      <c r="AH3802" s="21"/>
      <c r="AI3802" s="21"/>
      <c r="AJ3802" s="21"/>
      <c r="AK3802" s="21"/>
      <c r="AM3802" s="26" t="s">
        <v>38</v>
      </c>
    </row>
    <row r="3803" spans="34:39" x14ac:dyDescent="0.35">
      <c r="AH3803" s="21"/>
      <c r="AI3803" s="21"/>
      <c r="AJ3803" s="21"/>
      <c r="AK3803" s="21"/>
      <c r="AM3803" s="26" t="s">
        <v>38</v>
      </c>
    </row>
    <row r="3804" spans="34:39" x14ac:dyDescent="0.35">
      <c r="AH3804" s="21"/>
      <c r="AI3804" s="21"/>
      <c r="AJ3804" s="21"/>
      <c r="AK3804" s="21"/>
      <c r="AM3804" s="26" t="s">
        <v>38</v>
      </c>
    </row>
    <row r="3805" spans="34:39" x14ac:dyDescent="0.35">
      <c r="AH3805" s="21"/>
      <c r="AI3805" s="21"/>
      <c r="AJ3805" s="21"/>
      <c r="AK3805" s="21"/>
      <c r="AM3805" s="26" t="s">
        <v>38</v>
      </c>
    </row>
    <row r="3806" spans="34:39" x14ac:dyDescent="0.35">
      <c r="AH3806" s="21"/>
      <c r="AI3806" s="21"/>
      <c r="AJ3806" s="21"/>
      <c r="AK3806" s="21"/>
      <c r="AM3806" s="26" t="s">
        <v>38</v>
      </c>
    </row>
    <row r="3807" spans="34:39" x14ac:dyDescent="0.35">
      <c r="AH3807" s="21"/>
      <c r="AI3807" s="21"/>
      <c r="AJ3807" s="21"/>
      <c r="AK3807" s="21"/>
      <c r="AM3807" s="26" t="s">
        <v>38</v>
      </c>
    </row>
    <row r="3808" spans="34:39" x14ac:dyDescent="0.35">
      <c r="AH3808" s="21"/>
      <c r="AI3808" s="21"/>
      <c r="AJ3808" s="21"/>
      <c r="AK3808" s="21"/>
      <c r="AM3808" s="26" t="s">
        <v>38</v>
      </c>
    </row>
    <row r="3809" spans="34:39" x14ac:dyDescent="0.35">
      <c r="AH3809" s="21"/>
      <c r="AI3809" s="21"/>
      <c r="AJ3809" s="21"/>
      <c r="AK3809" s="21"/>
      <c r="AM3809" s="26" t="s">
        <v>38</v>
      </c>
    </row>
    <row r="3810" spans="34:39" x14ac:dyDescent="0.35">
      <c r="AH3810" s="21"/>
      <c r="AI3810" s="21"/>
      <c r="AJ3810" s="21"/>
      <c r="AK3810" s="21"/>
      <c r="AM3810" s="26" t="s">
        <v>38</v>
      </c>
    </row>
    <row r="3811" spans="34:39" x14ac:dyDescent="0.35">
      <c r="AH3811" s="21"/>
      <c r="AI3811" s="21"/>
      <c r="AJ3811" s="21"/>
      <c r="AK3811" s="21"/>
      <c r="AM3811" s="26" t="s">
        <v>38</v>
      </c>
    </row>
    <row r="3812" spans="34:39" x14ac:dyDescent="0.35">
      <c r="AH3812" s="21"/>
      <c r="AI3812" s="21"/>
      <c r="AJ3812" s="21"/>
      <c r="AK3812" s="21"/>
      <c r="AM3812" s="26" t="s">
        <v>38</v>
      </c>
    </row>
    <row r="3813" spans="34:39" x14ac:dyDescent="0.35">
      <c r="AH3813" s="21"/>
      <c r="AI3813" s="21"/>
      <c r="AJ3813" s="21"/>
      <c r="AK3813" s="21"/>
      <c r="AM3813" s="26" t="s">
        <v>38</v>
      </c>
    </row>
    <row r="3814" spans="34:39" x14ac:dyDescent="0.35">
      <c r="AH3814" s="21"/>
      <c r="AI3814" s="21"/>
      <c r="AJ3814" s="21"/>
      <c r="AK3814" s="21"/>
      <c r="AM3814" s="26" t="s">
        <v>38</v>
      </c>
    </row>
    <row r="3815" spans="34:39" x14ac:dyDescent="0.35">
      <c r="AH3815" s="21"/>
      <c r="AI3815" s="21"/>
      <c r="AJ3815" s="21"/>
      <c r="AK3815" s="21"/>
      <c r="AM3815" s="26" t="s">
        <v>38</v>
      </c>
    </row>
    <row r="3816" spans="34:39" x14ac:dyDescent="0.35">
      <c r="AH3816" s="21"/>
      <c r="AI3816" s="21"/>
      <c r="AJ3816" s="21"/>
      <c r="AK3816" s="21"/>
      <c r="AM3816" s="26" t="s">
        <v>38</v>
      </c>
    </row>
    <row r="3817" spans="34:39" x14ac:dyDescent="0.35">
      <c r="AH3817" s="21"/>
      <c r="AI3817" s="21"/>
      <c r="AJ3817" s="21"/>
      <c r="AK3817" s="21"/>
      <c r="AM3817" s="26" t="s">
        <v>38</v>
      </c>
    </row>
    <row r="3818" spans="34:39" x14ac:dyDescent="0.35">
      <c r="AH3818" s="21"/>
      <c r="AI3818" s="21"/>
      <c r="AJ3818" s="21"/>
      <c r="AK3818" s="21"/>
      <c r="AM3818" s="26" t="s">
        <v>38</v>
      </c>
    </row>
    <row r="3819" spans="34:39" x14ac:dyDescent="0.35">
      <c r="AH3819" s="21"/>
      <c r="AI3819" s="21"/>
      <c r="AJ3819" s="21"/>
      <c r="AK3819" s="21"/>
      <c r="AM3819" s="26" t="s">
        <v>38</v>
      </c>
    </row>
    <row r="3820" spans="34:39" x14ac:dyDescent="0.35">
      <c r="AH3820" s="21"/>
      <c r="AI3820" s="21"/>
      <c r="AJ3820" s="21"/>
      <c r="AK3820" s="21"/>
      <c r="AM3820" s="26" t="s">
        <v>38</v>
      </c>
    </row>
    <row r="3821" spans="34:39" x14ac:dyDescent="0.35">
      <c r="AH3821" s="21"/>
      <c r="AI3821" s="21"/>
      <c r="AJ3821" s="21"/>
      <c r="AK3821" s="21"/>
      <c r="AM3821" s="26" t="s">
        <v>38</v>
      </c>
    </row>
    <row r="3822" spans="34:39" x14ac:dyDescent="0.35">
      <c r="AH3822" s="21"/>
      <c r="AI3822" s="21"/>
      <c r="AJ3822" s="21"/>
      <c r="AK3822" s="21"/>
      <c r="AM3822" s="26" t="s">
        <v>38</v>
      </c>
    </row>
    <row r="3823" spans="34:39" x14ac:dyDescent="0.35">
      <c r="AH3823" s="21"/>
      <c r="AI3823" s="21"/>
      <c r="AJ3823" s="21"/>
      <c r="AK3823" s="21"/>
      <c r="AM3823" s="26" t="s">
        <v>38</v>
      </c>
    </row>
    <row r="3824" spans="34:39" x14ac:dyDescent="0.35">
      <c r="AH3824" s="21"/>
      <c r="AI3824" s="21"/>
      <c r="AJ3824" s="21"/>
      <c r="AK3824" s="21"/>
      <c r="AM3824" s="26" t="s">
        <v>38</v>
      </c>
    </row>
    <row r="3825" spans="34:39" x14ac:dyDescent="0.35">
      <c r="AH3825" s="21"/>
      <c r="AI3825" s="21"/>
      <c r="AJ3825" s="21"/>
      <c r="AK3825" s="21"/>
      <c r="AM3825" s="26" t="s">
        <v>38</v>
      </c>
    </row>
    <row r="3826" spans="34:39" x14ac:dyDescent="0.35">
      <c r="AH3826" s="21"/>
      <c r="AI3826" s="21"/>
      <c r="AJ3826" s="21"/>
      <c r="AK3826" s="21"/>
      <c r="AM3826" s="26" t="s">
        <v>38</v>
      </c>
    </row>
    <row r="3827" spans="34:39" x14ac:dyDescent="0.35">
      <c r="AH3827" s="21"/>
      <c r="AI3827" s="21"/>
      <c r="AJ3827" s="21"/>
      <c r="AK3827" s="21"/>
      <c r="AM3827" s="26" t="s">
        <v>38</v>
      </c>
    </row>
    <row r="3828" spans="34:39" x14ac:dyDescent="0.35">
      <c r="AH3828" s="21"/>
      <c r="AI3828" s="21"/>
      <c r="AJ3828" s="21"/>
      <c r="AK3828" s="21"/>
      <c r="AM3828" s="26" t="s">
        <v>38</v>
      </c>
    </row>
    <row r="3829" spans="34:39" x14ac:dyDescent="0.35">
      <c r="AH3829" s="21"/>
      <c r="AI3829" s="21"/>
      <c r="AJ3829" s="21"/>
      <c r="AK3829" s="21"/>
      <c r="AM3829" s="26" t="s">
        <v>38</v>
      </c>
    </row>
    <row r="3830" spans="34:39" x14ac:dyDescent="0.35">
      <c r="AH3830" s="21"/>
      <c r="AI3830" s="21"/>
      <c r="AJ3830" s="21"/>
      <c r="AK3830" s="21"/>
      <c r="AM3830" s="26" t="s">
        <v>38</v>
      </c>
    </row>
    <row r="3831" spans="34:39" x14ac:dyDescent="0.35">
      <c r="AH3831" s="21"/>
      <c r="AI3831" s="21"/>
      <c r="AJ3831" s="21"/>
      <c r="AK3831" s="21"/>
      <c r="AM3831" s="26" t="s">
        <v>38</v>
      </c>
    </row>
    <row r="3832" spans="34:39" x14ac:dyDescent="0.35">
      <c r="AH3832" s="21"/>
      <c r="AI3832" s="21"/>
      <c r="AJ3832" s="21"/>
      <c r="AK3832" s="21"/>
      <c r="AM3832" s="26" t="s">
        <v>38</v>
      </c>
    </row>
    <row r="3833" spans="34:39" x14ac:dyDescent="0.35">
      <c r="AH3833" s="21"/>
      <c r="AI3833" s="21"/>
      <c r="AJ3833" s="21"/>
      <c r="AK3833" s="21"/>
      <c r="AM3833" s="26" t="s">
        <v>38</v>
      </c>
    </row>
    <row r="3834" spans="34:39" x14ac:dyDescent="0.35">
      <c r="AH3834" s="21"/>
      <c r="AI3834" s="21"/>
      <c r="AJ3834" s="21"/>
      <c r="AK3834" s="21"/>
      <c r="AM3834" s="26" t="s">
        <v>38</v>
      </c>
    </row>
    <row r="3835" spans="34:39" x14ac:dyDescent="0.35">
      <c r="AH3835" s="21"/>
      <c r="AI3835" s="21"/>
      <c r="AJ3835" s="21"/>
      <c r="AK3835" s="21"/>
      <c r="AM3835" s="26" t="s">
        <v>38</v>
      </c>
    </row>
    <row r="3836" spans="34:39" x14ac:dyDescent="0.35">
      <c r="AH3836" s="21"/>
      <c r="AI3836" s="21"/>
      <c r="AJ3836" s="21"/>
      <c r="AK3836" s="21"/>
      <c r="AM3836" s="26" t="s">
        <v>38</v>
      </c>
    </row>
    <row r="3837" spans="34:39" x14ac:dyDescent="0.35">
      <c r="AH3837" s="21"/>
      <c r="AI3837" s="21"/>
      <c r="AJ3837" s="21"/>
      <c r="AK3837" s="21"/>
      <c r="AM3837" s="26" t="s">
        <v>38</v>
      </c>
    </row>
    <row r="3838" spans="34:39" x14ac:dyDescent="0.35">
      <c r="AH3838" s="21"/>
      <c r="AI3838" s="21"/>
      <c r="AJ3838" s="21"/>
      <c r="AK3838" s="21"/>
      <c r="AM3838" s="26" t="s">
        <v>38</v>
      </c>
    </row>
    <row r="3839" spans="34:39" x14ac:dyDescent="0.35">
      <c r="AH3839" s="21"/>
      <c r="AI3839" s="21"/>
      <c r="AJ3839" s="21"/>
      <c r="AK3839" s="21"/>
      <c r="AM3839" s="26" t="s">
        <v>38</v>
      </c>
    </row>
    <row r="3840" spans="34:39" x14ac:dyDescent="0.35">
      <c r="AH3840" s="21"/>
      <c r="AI3840" s="21"/>
      <c r="AJ3840" s="21"/>
      <c r="AK3840" s="21"/>
      <c r="AM3840" s="26" t="s">
        <v>38</v>
      </c>
    </row>
    <row r="3841" spans="34:39" x14ac:dyDescent="0.35">
      <c r="AH3841" s="21"/>
      <c r="AI3841" s="21"/>
      <c r="AJ3841" s="21"/>
      <c r="AK3841" s="21"/>
      <c r="AM3841" s="26" t="s">
        <v>38</v>
      </c>
    </row>
    <row r="3842" spans="34:39" x14ac:dyDescent="0.35">
      <c r="AH3842" s="21"/>
      <c r="AI3842" s="21"/>
      <c r="AJ3842" s="21"/>
      <c r="AK3842" s="21"/>
      <c r="AM3842" s="26" t="s">
        <v>38</v>
      </c>
    </row>
    <row r="3843" spans="34:39" x14ac:dyDescent="0.35">
      <c r="AH3843" s="21"/>
      <c r="AI3843" s="21"/>
      <c r="AJ3843" s="21"/>
      <c r="AK3843" s="21"/>
      <c r="AM3843" s="26" t="s">
        <v>38</v>
      </c>
    </row>
    <row r="3844" spans="34:39" x14ac:dyDescent="0.35">
      <c r="AH3844" s="21"/>
      <c r="AI3844" s="21"/>
      <c r="AJ3844" s="21"/>
      <c r="AK3844" s="21"/>
      <c r="AM3844" s="26" t="s">
        <v>38</v>
      </c>
    </row>
    <row r="3845" spans="34:39" x14ac:dyDescent="0.35">
      <c r="AH3845" s="21"/>
      <c r="AI3845" s="21"/>
      <c r="AJ3845" s="21"/>
      <c r="AK3845" s="21"/>
      <c r="AM3845" s="26" t="s">
        <v>38</v>
      </c>
    </row>
    <row r="3846" spans="34:39" x14ac:dyDescent="0.35">
      <c r="AH3846" s="21"/>
      <c r="AI3846" s="21"/>
      <c r="AJ3846" s="21"/>
      <c r="AK3846" s="21"/>
      <c r="AM3846" s="26" t="s">
        <v>38</v>
      </c>
    </row>
    <row r="3847" spans="34:39" x14ac:dyDescent="0.35">
      <c r="AH3847" s="21"/>
      <c r="AI3847" s="21"/>
      <c r="AJ3847" s="21"/>
      <c r="AK3847" s="21"/>
      <c r="AM3847" s="26" t="s">
        <v>38</v>
      </c>
    </row>
    <row r="3848" spans="34:39" x14ac:dyDescent="0.35">
      <c r="AH3848" s="21"/>
      <c r="AI3848" s="21"/>
      <c r="AJ3848" s="21"/>
      <c r="AK3848" s="21"/>
      <c r="AM3848" s="26" t="s">
        <v>38</v>
      </c>
    </row>
    <row r="3849" spans="34:39" x14ac:dyDescent="0.35">
      <c r="AH3849" s="21"/>
      <c r="AI3849" s="21"/>
      <c r="AJ3849" s="21"/>
      <c r="AK3849" s="21"/>
      <c r="AM3849" s="26" t="s">
        <v>38</v>
      </c>
    </row>
    <row r="3850" spans="34:39" x14ac:dyDescent="0.35">
      <c r="AH3850" s="21"/>
      <c r="AI3850" s="21"/>
      <c r="AJ3850" s="21"/>
      <c r="AK3850" s="21"/>
      <c r="AM3850" s="26" t="s">
        <v>38</v>
      </c>
    </row>
    <row r="3851" spans="34:39" x14ac:dyDescent="0.35">
      <c r="AH3851" s="21"/>
      <c r="AI3851" s="21"/>
      <c r="AJ3851" s="21"/>
      <c r="AK3851" s="21"/>
      <c r="AM3851" s="26" t="s">
        <v>38</v>
      </c>
    </row>
    <row r="3852" spans="34:39" x14ac:dyDescent="0.35">
      <c r="AH3852" s="21"/>
      <c r="AI3852" s="21"/>
      <c r="AJ3852" s="21"/>
      <c r="AK3852" s="21"/>
      <c r="AM3852" s="26" t="s">
        <v>38</v>
      </c>
    </row>
    <row r="3853" spans="34:39" x14ac:dyDescent="0.35">
      <c r="AH3853" s="21"/>
      <c r="AI3853" s="21"/>
      <c r="AJ3853" s="21"/>
      <c r="AK3853" s="21"/>
      <c r="AM3853" s="26" t="s">
        <v>38</v>
      </c>
    </row>
    <row r="3854" spans="34:39" x14ac:dyDescent="0.35">
      <c r="AH3854" s="21"/>
      <c r="AI3854" s="21"/>
      <c r="AJ3854" s="21"/>
      <c r="AK3854" s="21"/>
      <c r="AM3854" s="26" t="s">
        <v>38</v>
      </c>
    </row>
    <row r="3855" spans="34:39" x14ac:dyDescent="0.35">
      <c r="AH3855" s="21"/>
      <c r="AI3855" s="21"/>
      <c r="AJ3855" s="21"/>
      <c r="AK3855" s="21"/>
      <c r="AM3855" s="26" t="s">
        <v>38</v>
      </c>
    </row>
    <row r="3856" spans="34:39" x14ac:dyDescent="0.35">
      <c r="AH3856" s="21"/>
      <c r="AI3856" s="21"/>
      <c r="AJ3856" s="21"/>
      <c r="AK3856" s="21"/>
      <c r="AM3856" s="26" t="s">
        <v>38</v>
      </c>
    </row>
    <row r="3857" spans="34:39" x14ac:dyDescent="0.35">
      <c r="AH3857" s="21"/>
      <c r="AI3857" s="21"/>
      <c r="AJ3857" s="21"/>
      <c r="AK3857" s="21"/>
      <c r="AM3857" s="26" t="s">
        <v>38</v>
      </c>
    </row>
    <row r="3858" spans="34:39" x14ac:dyDescent="0.35">
      <c r="AH3858" s="21"/>
      <c r="AI3858" s="21"/>
      <c r="AJ3858" s="21"/>
      <c r="AK3858" s="21"/>
      <c r="AM3858" s="26" t="s">
        <v>38</v>
      </c>
    </row>
    <row r="3859" spans="34:39" x14ac:dyDescent="0.35">
      <c r="AH3859" s="21"/>
      <c r="AI3859" s="21"/>
      <c r="AJ3859" s="21"/>
      <c r="AK3859" s="21"/>
      <c r="AM3859" s="26" t="s">
        <v>38</v>
      </c>
    </row>
    <row r="3860" spans="34:39" x14ac:dyDescent="0.35">
      <c r="AH3860" s="21"/>
      <c r="AI3860" s="21"/>
      <c r="AJ3860" s="21"/>
      <c r="AK3860" s="21"/>
      <c r="AM3860" s="26" t="s">
        <v>38</v>
      </c>
    </row>
    <row r="3861" spans="34:39" x14ac:dyDescent="0.35">
      <c r="AH3861" s="21"/>
      <c r="AI3861" s="21"/>
      <c r="AJ3861" s="21"/>
      <c r="AK3861" s="21"/>
      <c r="AM3861" s="26" t="s">
        <v>38</v>
      </c>
    </row>
    <row r="3862" spans="34:39" x14ac:dyDescent="0.35">
      <c r="AH3862" s="21"/>
      <c r="AI3862" s="21"/>
      <c r="AJ3862" s="21"/>
      <c r="AK3862" s="21"/>
      <c r="AM3862" s="26" t="s">
        <v>38</v>
      </c>
    </row>
    <row r="3863" spans="34:39" x14ac:dyDescent="0.35">
      <c r="AH3863" s="21"/>
      <c r="AI3863" s="21"/>
      <c r="AJ3863" s="21"/>
      <c r="AK3863" s="21"/>
      <c r="AM3863" s="26" t="s">
        <v>38</v>
      </c>
    </row>
    <row r="3864" spans="34:39" x14ac:dyDescent="0.35">
      <c r="AH3864" s="21"/>
      <c r="AI3864" s="21"/>
      <c r="AJ3864" s="21"/>
      <c r="AK3864" s="21"/>
      <c r="AM3864" s="26" t="s">
        <v>38</v>
      </c>
    </row>
    <row r="3865" spans="34:39" x14ac:dyDescent="0.35">
      <c r="AH3865" s="21"/>
      <c r="AI3865" s="21"/>
      <c r="AJ3865" s="21"/>
      <c r="AK3865" s="21"/>
      <c r="AM3865" s="26" t="s">
        <v>38</v>
      </c>
    </row>
    <row r="3866" spans="34:39" x14ac:dyDescent="0.35">
      <c r="AH3866" s="21"/>
      <c r="AI3866" s="21"/>
      <c r="AJ3866" s="21"/>
      <c r="AK3866" s="21"/>
      <c r="AM3866" s="26" t="s">
        <v>38</v>
      </c>
    </row>
    <row r="3867" spans="34:39" x14ac:dyDescent="0.35">
      <c r="AH3867" s="21"/>
      <c r="AI3867" s="21"/>
      <c r="AJ3867" s="21"/>
      <c r="AK3867" s="21"/>
      <c r="AM3867" s="26" t="s">
        <v>38</v>
      </c>
    </row>
    <row r="3868" spans="34:39" x14ac:dyDescent="0.35">
      <c r="AH3868" s="21"/>
      <c r="AI3868" s="21"/>
      <c r="AJ3868" s="21"/>
      <c r="AK3868" s="21"/>
      <c r="AM3868" s="26" t="s">
        <v>38</v>
      </c>
    </row>
    <row r="3869" spans="34:39" x14ac:dyDescent="0.35">
      <c r="AH3869" s="21"/>
      <c r="AI3869" s="21"/>
      <c r="AJ3869" s="21"/>
      <c r="AK3869" s="21"/>
      <c r="AM3869" s="26" t="s">
        <v>38</v>
      </c>
    </row>
    <row r="3870" spans="34:39" x14ac:dyDescent="0.35">
      <c r="AH3870" s="21"/>
      <c r="AI3870" s="21"/>
      <c r="AJ3870" s="21"/>
      <c r="AK3870" s="21"/>
      <c r="AM3870" s="26" t="s">
        <v>38</v>
      </c>
    </row>
    <row r="3871" spans="34:39" x14ac:dyDescent="0.35">
      <c r="AH3871" s="21"/>
      <c r="AI3871" s="21"/>
      <c r="AJ3871" s="21"/>
      <c r="AK3871" s="21"/>
      <c r="AM3871" s="26" t="s">
        <v>38</v>
      </c>
    </row>
    <row r="3872" spans="34:39" x14ac:dyDescent="0.35">
      <c r="AH3872" s="21"/>
      <c r="AI3872" s="21"/>
      <c r="AJ3872" s="21"/>
      <c r="AK3872" s="21"/>
      <c r="AM3872" s="26" t="s">
        <v>38</v>
      </c>
    </row>
    <row r="3873" spans="34:39" x14ac:dyDescent="0.35">
      <c r="AH3873" s="21"/>
      <c r="AI3873" s="21"/>
      <c r="AJ3873" s="21"/>
      <c r="AK3873" s="21"/>
      <c r="AM3873" s="26" t="s">
        <v>38</v>
      </c>
    </row>
    <row r="3874" spans="34:39" x14ac:dyDescent="0.35">
      <c r="AH3874" s="21"/>
      <c r="AI3874" s="21"/>
      <c r="AJ3874" s="21"/>
      <c r="AK3874" s="21"/>
      <c r="AM3874" s="26" t="s">
        <v>38</v>
      </c>
    </row>
    <row r="3875" spans="34:39" x14ac:dyDescent="0.35">
      <c r="AH3875" s="21"/>
      <c r="AI3875" s="21"/>
      <c r="AJ3875" s="21"/>
      <c r="AK3875" s="21"/>
      <c r="AM3875" s="26" t="s">
        <v>38</v>
      </c>
    </row>
    <row r="3876" spans="34:39" x14ac:dyDescent="0.35">
      <c r="AH3876" s="21"/>
      <c r="AI3876" s="21"/>
      <c r="AJ3876" s="21"/>
      <c r="AK3876" s="21"/>
      <c r="AM3876" s="26" t="s">
        <v>38</v>
      </c>
    </row>
    <row r="3877" spans="34:39" x14ac:dyDescent="0.35">
      <c r="AH3877" s="21"/>
      <c r="AI3877" s="21"/>
      <c r="AJ3877" s="21"/>
      <c r="AK3877" s="21"/>
      <c r="AM3877" s="26" t="s">
        <v>38</v>
      </c>
    </row>
    <row r="3878" spans="34:39" x14ac:dyDescent="0.35">
      <c r="AH3878" s="21"/>
      <c r="AI3878" s="21"/>
      <c r="AJ3878" s="21"/>
      <c r="AK3878" s="21"/>
      <c r="AM3878" s="26" t="s">
        <v>38</v>
      </c>
    </row>
    <row r="3879" spans="34:39" x14ac:dyDescent="0.35">
      <c r="AH3879" s="21"/>
      <c r="AI3879" s="21"/>
      <c r="AJ3879" s="21"/>
      <c r="AK3879" s="21"/>
      <c r="AM3879" s="26" t="s">
        <v>38</v>
      </c>
    </row>
    <row r="3880" spans="34:39" x14ac:dyDescent="0.35">
      <c r="AH3880" s="21"/>
      <c r="AI3880" s="21"/>
      <c r="AJ3880" s="21"/>
      <c r="AK3880" s="21"/>
      <c r="AM3880" s="26" t="s">
        <v>38</v>
      </c>
    </row>
    <row r="3881" spans="34:39" x14ac:dyDescent="0.35">
      <c r="AH3881" s="21"/>
      <c r="AI3881" s="21"/>
      <c r="AJ3881" s="21"/>
      <c r="AK3881" s="21"/>
      <c r="AM3881" s="26" t="s">
        <v>38</v>
      </c>
    </row>
    <row r="3882" spans="34:39" x14ac:dyDescent="0.35">
      <c r="AH3882" s="21"/>
      <c r="AI3882" s="21"/>
      <c r="AJ3882" s="21"/>
      <c r="AK3882" s="21"/>
      <c r="AM3882" s="26" t="s">
        <v>38</v>
      </c>
    </row>
    <row r="3883" spans="34:39" x14ac:dyDescent="0.35">
      <c r="AH3883" s="21"/>
      <c r="AI3883" s="21"/>
      <c r="AJ3883" s="21"/>
      <c r="AK3883" s="21"/>
      <c r="AM3883" s="26" t="s">
        <v>38</v>
      </c>
    </row>
    <row r="3884" spans="34:39" x14ac:dyDescent="0.35">
      <c r="AH3884" s="21"/>
      <c r="AI3884" s="21"/>
      <c r="AJ3884" s="21"/>
      <c r="AK3884" s="21"/>
      <c r="AM3884" s="26" t="s">
        <v>38</v>
      </c>
    </row>
    <row r="3885" spans="34:39" x14ac:dyDescent="0.35">
      <c r="AH3885" s="21"/>
      <c r="AI3885" s="21"/>
      <c r="AJ3885" s="21"/>
      <c r="AK3885" s="21"/>
      <c r="AM3885" s="26" t="s">
        <v>38</v>
      </c>
    </row>
    <row r="3886" spans="34:39" x14ac:dyDescent="0.35">
      <c r="AH3886" s="21"/>
      <c r="AI3886" s="21"/>
      <c r="AJ3886" s="21"/>
      <c r="AK3886" s="21"/>
      <c r="AM3886" s="26" t="s">
        <v>38</v>
      </c>
    </row>
    <row r="3887" spans="34:39" x14ac:dyDescent="0.35">
      <c r="AH3887" s="21"/>
      <c r="AI3887" s="21"/>
      <c r="AJ3887" s="21"/>
      <c r="AK3887" s="21"/>
      <c r="AM3887" s="26" t="s">
        <v>38</v>
      </c>
    </row>
    <row r="3888" spans="34:39" x14ac:dyDescent="0.35">
      <c r="AH3888" s="21"/>
      <c r="AI3888" s="21"/>
      <c r="AJ3888" s="21"/>
      <c r="AK3888" s="21"/>
      <c r="AM3888" s="26" t="s">
        <v>38</v>
      </c>
    </row>
    <row r="3889" spans="34:39" x14ac:dyDescent="0.35">
      <c r="AH3889" s="21"/>
      <c r="AI3889" s="21"/>
      <c r="AJ3889" s="21"/>
      <c r="AK3889" s="21"/>
      <c r="AM3889" s="26" t="s">
        <v>38</v>
      </c>
    </row>
    <row r="3890" spans="34:39" x14ac:dyDescent="0.35">
      <c r="AH3890" s="21"/>
      <c r="AI3890" s="21"/>
      <c r="AJ3890" s="21"/>
      <c r="AK3890" s="21"/>
      <c r="AM3890" s="26" t="s">
        <v>38</v>
      </c>
    </row>
    <row r="3891" spans="34:39" x14ac:dyDescent="0.35">
      <c r="AH3891" s="21"/>
      <c r="AI3891" s="21"/>
      <c r="AJ3891" s="21"/>
      <c r="AK3891" s="21"/>
      <c r="AM3891" s="26" t="s">
        <v>38</v>
      </c>
    </row>
    <row r="3892" spans="34:39" x14ac:dyDescent="0.35">
      <c r="AH3892" s="21"/>
      <c r="AI3892" s="21"/>
      <c r="AJ3892" s="21"/>
      <c r="AK3892" s="21"/>
      <c r="AM3892" s="26" t="s">
        <v>38</v>
      </c>
    </row>
    <row r="3893" spans="34:39" x14ac:dyDescent="0.35">
      <c r="AH3893" s="21"/>
      <c r="AI3893" s="21"/>
      <c r="AJ3893" s="21"/>
      <c r="AK3893" s="21"/>
      <c r="AM3893" s="26" t="s">
        <v>38</v>
      </c>
    </row>
    <row r="3894" spans="34:39" x14ac:dyDescent="0.35">
      <c r="AH3894" s="21"/>
      <c r="AI3894" s="21"/>
      <c r="AJ3894" s="21"/>
      <c r="AK3894" s="21"/>
      <c r="AM3894" s="26" t="s">
        <v>38</v>
      </c>
    </row>
    <row r="3895" spans="34:39" x14ac:dyDescent="0.35">
      <c r="AH3895" s="21"/>
      <c r="AI3895" s="21"/>
      <c r="AJ3895" s="21"/>
      <c r="AK3895" s="21"/>
      <c r="AM3895" s="26" t="s">
        <v>38</v>
      </c>
    </row>
    <row r="3896" spans="34:39" x14ac:dyDescent="0.35">
      <c r="AH3896" s="21"/>
      <c r="AI3896" s="21"/>
      <c r="AJ3896" s="21"/>
      <c r="AK3896" s="21"/>
      <c r="AM3896" s="26" t="s">
        <v>38</v>
      </c>
    </row>
    <row r="3897" spans="34:39" x14ac:dyDescent="0.35">
      <c r="AH3897" s="21"/>
      <c r="AI3897" s="21"/>
      <c r="AJ3897" s="21"/>
      <c r="AK3897" s="21"/>
      <c r="AM3897" s="26" t="s">
        <v>38</v>
      </c>
    </row>
    <row r="3898" spans="34:39" x14ac:dyDescent="0.35">
      <c r="AH3898" s="21"/>
      <c r="AI3898" s="21"/>
      <c r="AJ3898" s="21"/>
      <c r="AK3898" s="21"/>
      <c r="AM3898" s="26" t="s">
        <v>38</v>
      </c>
    </row>
    <row r="3899" spans="34:39" x14ac:dyDescent="0.35">
      <c r="AH3899" s="21"/>
      <c r="AI3899" s="21"/>
      <c r="AJ3899" s="21"/>
      <c r="AK3899" s="21"/>
      <c r="AM3899" s="26" t="s">
        <v>38</v>
      </c>
    </row>
    <row r="3900" spans="34:39" x14ac:dyDescent="0.35">
      <c r="AH3900" s="21"/>
      <c r="AI3900" s="21"/>
      <c r="AJ3900" s="21"/>
      <c r="AK3900" s="21"/>
      <c r="AM3900" s="26" t="s">
        <v>38</v>
      </c>
    </row>
    <row r="3901" spans="34:39" x14ac:dyDescent="0.35">
      <c r="AH3901" s="21"/>
      <c r="AI3901" s="21"/>
      <c r="AJ3901" s="21"/>
      <c r="AK3901" s="21"/>
      <c r="AM3901" s="26" t="s">
        <v>38</v>
      </c>
    </row>
    <row r="3902" spans="34:39" x14ac:dyDescent="0.35">
      <c r="AH3902" s="21"/>
      <c r="AI3902" s="21"/>
      <c r="AJ3902" s="21"/>
      <c r="AK3902" s="21"/>
      <c r="AM3902" s="26" t="s">
        <v>38</v>
      </c>
    </row>
    <row r="3903" spans="34:39" x14ac:dyDescent="0.35">
      <c r="AH3903" s="21"/>
      <c r="AI3903" s="21"/>
      <c r="AJ3903" s="21"/>
      <c r="AK3903" s="21"/>
      <c r="AM3903" s="26" t="s">
        <v>38</v>
      </c>
    </row>
    <row r="3904" spans="34:39" x14ac:dyDescent="0.35">
      <c r="AH3904" s="21"/>
      <c r="AI3904" s="21"/>
      <c r="AJ3904" s="21"/>
      <c r="AK3904" s="21"/>
      <c r="AM3904" s="26" t="s">
        <v>38</v>
      </c>
    </row>
    <row r="3905" spans="34:39" x14ac:dyDescent="0.35">
      <c r="AH3905" s="21"/>
      <c r="AI3905" s="21"/>
      <c r="AJ3905" s="21"/>
      <c r="AK3905" s="21"/>
      <c r="AM3905" s="26" t="s">
        <v>38</v>
      </c>
    </row>
    <row r="3906" spans="34:39" x14ac:dyDescent="0.35">
      <c r="AH3906" s="21"/>
      <c r="AI3906" s="21"/>
      <c r="AJ3906" s="21"/>
      <c r="AK3906" s="21"/>
      <c r="AM3906" s="26" t="s">
        <v>38</v>
      </c>
    </row>
    <row r="3907" spans="34:39" x14ac:dyDescent="0.35">
      <c r="AH3907" s="21"/>
      <c r="AI3907" s="21"/>
      <c r="AJ3907" s="21"/>
      <c r="AK3907" s="21"/>
      <c r="AM3907" s="26" t="s">
        <v>38</v>
      </c>
    </row>
    <row r="3908" spans="34:39" x14ac:dyDescent="0.35">
      <c r="AH3908" s="21"/>
      <c r="AI3908" s="21"/>
      <c r="AJ3908" s="21"/>
      <c r="AK3908" s="21"/>
      <c r="AM3908" s="26" t="s">
        <v>38</v>
      </c>
    </row>
    <row r="3909" spans="34:39" x14ac:dyDescent="0.35">
      <c r="AH3909" s="21"/>
      <c r="AI3909" s="21"/>
      <c r="AJ3909" s="21"/>
      <c r="AK3909" s="21"/>
      <c r="AM3909" s="26" t="s">
        <v>38</v>
      </c>
    </row>
    <row r="3910" spans="34:39" x14ac:dyDescent="0.35">
      <c r="AH3910" s="21"/>
      <c r="AI3910" s="21"/>
      <c r="AJ3910" s="21"/>
      <c r="AK3910" s="21"/>
      <c r="AM3910" s="26" t="s">
        <v>38</v>
      </c>
    </row>
    <row r="3911" spans="34:39" x14ac:dyDescent="0.35">
      <c r="AH3911" s="21"/>
      <c r="AI3911" s="21"/>
      <c r="AJ3911" s="21"/>
      <c r="AK3911" s="21"/>
      <c r="AM3911" s="26" t="s">
        <v>38</v>
      </c>
    </row>
    <row r="3912" spans="34:39" x14ac:dyDescent="0.35">
      <c r="AH3912" s="21"/>
      <c r="AI3912" s="21"/>
      <c r="AJ3912" s="21"/>
      <c r="AK3912" s="21"/>
      <c r="AM3912" s="26" t="s">
        <v>38</v>
      </c>
    </row>
    <row r="3913" spans="34:39" x14ac:dyDescent="0.35">
      <c r="AH3913" s="21"/>
      <c r="AI3913" s="21"/>
      <c r="AJ3913" s="21"/>
      <c r="AK3913" s="21"/>
      <c r="AM3913" s="26" t="s">
        <v>38</v>
      </c>
    </row>
    <row r="3914" spans="34:39" x14ac:dyDescent="0.35">
      <c r="AH3914" s="21"/>
      <c r="AI3914" s="21"/>
      <c r="AJ3914" s="21"/>
      <c r="AK3914" s="21"/>
      <c r="AM3914" s="26" t="s">
        <v>38</v>
      </c>
    </row>
    <row r="3915" spans="34:39" x14ac:dyDescent="0.35">
      <c r="AH3915" s="21"/>
      <c r="AI3915" s="21"/>
      <c r="AJ3915" s="21"/>
      <c r="AK3915" s="21"/>
      <c r="AM3915" s="26" t="s">
        <v>38</v>
      </c>
    </row>
    <row r="3916" spans="34:39" x14ac:dyDescent="0.35">
      <c r="AH3916" s="21"/>
      <c r="AI3916" s="21"/>
      <c r="AJ3916" s="21"/>
      <c r="AK3916" s="21"/>
      <c r="AM3916" s="26" t="s">
        <v>38</v>
      </c>
    </row>
    <row r="3917" spans="34:39" x14ac:dyDescent="0.35">
      <c r="AH3917" s="21"/>
      <c r="AI3917" s="21"/>
      <c r="AJ3917" s="21"/>
      <c r="AK3917" s="21"/>
      <c r="AM3917" s="26" t="s">
        <v>38</v>
      </c>
    </row>
    <row r="3918" spans="34:39" x14ac:dyDescent="0.35">
      <c r="AH3918" s="21"/>
      <c r="AI3918" s="21"/>
      <c r="AJ3918" s="21"/>
      <c r="AK3918" s="21"/>
      <c r="AM3918" s="26" t="s">
        <v>38</v>
      </c>
    </row>
    <row r="3919" spans="34:39" x14ac:dyDescent="0.35">
      <c r="AH3919" s="21"/>
      <c r="AI3919" s="21"/>
      <c r="AJ3919" s="21"/>
      <c r="AK3919" s="21"/>
      <c r="AM3919" s="26" t="s">
        <v>38</v>
      </c>
    </row>
    <row r="3920" spans="34:39" x14ac:dyDescent="0.35">
      <c r="AH3920" s="21"/>
      <c r="AI3920" s="21"/>
      <c r="AJ3920" s="21"/>
      <c r="AK3920" s="21"/>
      <c r="AM3920" s="26" t="s">
        <v>38</v>
      </c>
    </row>
    <row r="3921" spans="34:39" x14ac:dyDescent="0.35">
      <c r="AH3921" s="21"/>
      <c r="AI3921" s="21"/>
      <c r="AJ3921" s="21"/>
      <c r="AK3921" s="21"/>
      <c r="AM3921" s="26" t="s">
        <v>38</v>
      </c>
    </row>
    <row r="3922" spans="34:39" x14ac:dyDescent="0.35">
      <c r="AH3922" s="21"/>
      <c r="AI3922" s="21"/>
      <c r="AJ3922" s="21"/>
      <c r="AK3922" s="21"/>
      <c r="AM3922" s="26" t="s">
        <v>38</v>
      </c>
    </row>
    <row r="3923" spans="34:39" x14ac:dyDescent="0.35">
      <c r="AH3923" s="21"/>
      <c r="AI3923" s="21"/>
      <c r="AJ3923" s="21"/>
      <c r="AK3923" s="21"/>
      <c r="AM3923" s="26" t="s">
        <v>38</v>
      </c>
    </row>
    <row r="3924" spans="34:39" x14ac:dyDescent="0.35">
      <c r="AH3924" s="21"/>
      <c r="AI3924" s="21"/>
      <c r="AJ3924" s="21"/>
      <c r="AK3924" s="21"/>
      <c r="AM3924" s="26" t="s">
        <v>38</v>
      </c>
    </row>
    <row r="3925" spans="34:39" x14ac:dyDescent="0.35">
      <c r="AH3925" s="21"/>
      <c r="AI3925" s="21"/>
      <c r="AJ3925" s="21"/>
      <c r="AK3925" s="21"/>
      <c r="AM3925" s="26" t="s">
        <v>38</v>
      </c>
    </row>
    <row r="3926" spans="34:39" x14ac:dyDescent="0.35">
      <c r="AH3926" s="21"/>
      <c r="AI3926" s="21"/>
      <c r="AJ3926" s="21"/>
      <c r="AK3926" s="21"/>
      <c r="AM3926" s="26" t="s">
        <v>38</v>
      </c>
    </row>
    <row r="3927" spans="34:39" x14ac:dyDescent="0.35">
      <c r="AH3927" s="21"/>
      <c r="AI3927" s="21"/>
      <c r="AJ3927" s="21"/>
      <c r="AK3927" s="21"/>
      <c r="AM3927" s="26" t="s">
        <v>38</v>
      </c>
    </row>
    <row r="3928" spans="34:39" x14ac:dyDescent="0.35">
      <c r="AH3928" s="21"/>
      <c r="AI3928" s="21"/>
      <c r="AJ3928" s="21"/>
      <c r="AK3928" s="21"/>
      <c r="AM3928" s="26" t="s">
        <v>38</v>
      </c>
    </row>
    <row r="3929" spans="34:39" x14ac:dyDescent="0.35">
      <c r="AH3929" s="21"/>
      <c r="AI3929" s="21"/>
      <c r="AJ3929" s="21"/>
      <c r="AK3929" s="21"/>
      <c r="AM3929" s="26" t="s">
        <v>38</v>
      </c>
    </row>
    <row r="3930" spans="34:39" x14ac:dyDescent="0.35">
      <c r="AH3930" s="21"/>
      <c r="AI3930" s="21"/>
      <c r="AJ3930" s="21"/>
      <c r="AK3930" s="21"/>
      <c r="AM3930" s="26" t="s">
        <v>38</v>
      </c>
    </row>
    <row r="3931" spans="34:39" x14ac:dyDescent="0.35">
      <c r="AH3931" s="21"/>
      <c r="AI3931" s="21"/>
      <c r="AJ3931" s="21"/>
      <c r="AK3931" s="21"/>
      <c r="AM3931" s="26" t="s">
        <v>38</v>
      </c>
    </row>
    <row r="3932" spans="34:39" x14ac:dyDescent="0.35">
      <c r="AH3932" s="21"/>
      <c r="AI3932" s="21"/>
      <c r="AJ3932" s="21"/>
      <c r="AK3932" s="21"/>
      <c r="AM3932" s="26" t="s">
        <v>38</v>
      </c>
    </row>
    <row r="3933" spans="34:39" x14ac:dyDescent="0.35">
      <c r="AH3933" s="21"/>
      <c r="AI3933" s="21"/>
      <c r="AJ3933" s="21"/>
      <c r="AK3933" s="21"/>
      <c r="AM3933" s="26" t="s">
        <v>38</v>
      </c>
    </row>
    <row r="3934" spans="34:39" x14ac:dyDescent="0.35">
      <c r="AH3934" s="21"/>
      <c r="AI3934" s="21"/>
      <c r="AJ3934" s="21"/>
      <c r="AK3934" s="21"/>
      <c r="AM3934" s="26" t="s">
        <v>38</v>
      </c>
    </row>
    <row r="3935" spans="34:39" x14ac:dyDescent="0.35">
      <c r="AH3935" s="21"/>
      <c r="AI3935" s="21"/>
      <c r="AJ3935" s="21"/>
      <c r="AK3935" s="21"/>
      <c r="AM3935" s="26" t="s">
        <v>38</v>
      </c>
    </row>
    <row r="3936" spans="34:39" x14ac:dyDescent="0.35">
      <c r="AH3936" s="21"/>
      <c r="AI3936" s="21"/>
      <c r="AJ3936" s="21"/>
      <c r="AK3936" s="21"/>
      <c r="AM3936" s="26" t="s">
        <v>38</v>
      </c>
    </row>
    <row r="3937" spans="34:39" x14ac:dyDescent="0.35">
      <c r="AH3937" s="21"/>
      <c r="AI3937" s="21"/>
      <c r="AJ3937" s="21"/>
      <c r="AK3937" s="21"/>
      <c r="AM3937" s="26" t="s">
        <v>38</v>
      </c>
    </row>
    <row r="3938" spans="34:39" x14ac:dyDescent="0.35">
      <c r="AH3938" s="21"/>
      <c r="AI3938" s="21"/>
      <c r="AJ3938" s="21"/>
      <c r="AK3938" s="21"/>
      <c r="AM3938" s="26" t="s">
        <v>38</v>
      </c>
    </row>
    <row r="3939" spans="34:39" x14ac:dyDescent="0.35">
      <c r="AH3939" s="21"/>
      <c r="AI3939" s="21"/>
      <c r="AJ3939" s="21"/>
      <c r="AK3939" s="21"/>
      <c r="AM3939" s="26" t="s">
        <v>38</v>
      </c>
    </row>
    <row r="3940" spans="34:39" x14ac:dyDescent="0.35">
      <c r="AH3940" s="21"/>
      <c r="AI3940" s="21"/>
      <c r="AJ3940" s="21"/>
      <c r="AK3940" s="21"/>
      <c r="AM3940" s="26" t="s">
        <v>38</v>
      </c>
    </row>
    <row r="3941" spans="34:39" x14ac:dyDescent="0.35">
      <c r="AH3941" s="21"/>
      <c r="AI3941" s="21"/>
      <c r="AJ3941" s="21"/>
      <c r="AK3941" s="21"/>
      <c r="AM3941" s="26" t="s">
        <v>38</v>
      </c>
    </row>
    <row r="3942" spans="34:39" x14ac:dyDescent="0.35">
      <c r="AH3942" s="21"/>
      <c r="AI3942" s="21"/>
      <c r="AJ3942" s="21"/>
      <c r="AK3942" s="21"/>
      <c r="AM3942" s="26" t="s">
        <v>38</v>
      </c>
    </row>
    <row r="3943" spans="34:39" x14ac:dyDescent="0.35">
      <c r="AH3943" s="21"/>
      <c r="AI3943" s="21"/>
      <c r="AJ3943" s="21"/>
      <c r="AK3943" s="21"/>
      <c r="AM3943" s="26" t="s">
        <v>38</v>
      </c>
    </row>
    <row r="3944" spans="34:39" x14ac:dyDescent="0.35">
      <c r="AH3944" s="21"/>
      <c r="AI3944" s="21"/>
      <c r="AJ3944" s="21"/>
      <c r="AK3944" s="21"/>
      <c r="AM3944" s="26" t="s">
        <v>38</v>
      </c>
    </row>
    <row r="3945" spans="34:39" x14ac:dyDescent="0.35">
      <c r="AH3945" s="21"/>
      <c r="AI3945" s="21"/>
      <c r="AJ3945" s="21"/>
      <c r="AK3945" s="21"/>
      <c r="AM3945" s="26" t="s">
        <v>38</v>
      </c>
    </row>
    <row r="3946" spans="34:39" x14ac:dyDescent="0.35">
      <c r="AH3946" s="21"/>
      <c r="AI3946" s="21"/>
      <c r="AJ3946" s="21"/>
      <c r="AK3946" s="21"/>
      <c r="AM3946" s="26" t="s">
        <v>38</v>
      </c>
    </row>
    <row r="3947" spans="34:39" x14ac:dyDescent="0.35">
      <c r="AH3947" s="21"/>
      <c r="AI3947" s="21"/>
      <c r="AJ3947" s="21"/>
      <c r="AK3947" s="21"/>
      <c r="AM3947" s="26" t="s">
        <v>38</v>
      </c>
    </row>
    <row r="3948" spans="34:39" x14ac:dyDescent="0.35">
      <c r="AH3948" s="21"/>
      <c r="AI3948" s="21"/>
      <c r="AJ3948" s="21"/>
      <c r="AK3948" s="21"/>
      <c r="AM3948" s="26" t="s">
        <v>38</v>
      </c>
    </row>
    <row r="3949" spans="34:39" x14ac:dyDescent="0.35">
      <c r="AH3949" s="21"/>
      <c r="AI3949" s="21"/>
      <c r="AJ3949" s="21"/>
      <c r="AK3949" s="21"/>
      <c r="AM3949" s="26" t="s">
        <v>38</v>
      </c>
    </row>
    <row r="3950" spans="34:39" x14ac:dyDescent="0.35">
      <c r="AH3950" s="21"/>
      <c r="AI3950" s="21"/>
      <c r="AJ3950" s="21"/>
      <c r="AK3950" s="21"/>
      <c r="AM3950" s="26" t="s">
        <v>38</v>
      </c>
    </row>
    <row r="3951" spans="34:39" x14ac:dyDescent="0.35">
      <c r="AH3951" s="21"/>
      <c r="AI3951" s="21"/>
      <c r="AJ3951" s="21"/>
      <c r="AK3951" s="21"/>
      <c r="AM3951" s="26" t="s">
        <v>38</v>
      </c>
    </row>
    <row r="3952" spans="34:39" x14ac:dyDescent="0.35">
      <c r="AH3952" s="21"/>
      <c r="AI3952" s="21"/>
      <c r="AJ3952" s="21"/>
      <c r="AK3952" s="21"/>
      <c r="AM3952" s="26" t="s">
        <v>38</v>
      </c>
    </row>
    <row r="3953" spans="34:39" x14ac:dyDescent="0.35">
      <c r="AH3953" s="21"/>
      <c r="AI3953" s="21"/>
      <c r="AJ3953" s="21"/>
      <c r="AK3953" s="21"/>
      <c r="AM3953" s="26" t="s">
        <v>38</v>
      </c>
    </row>
    <row r="3954" spans="34:39" x14ac:dyDescent="0.35">
      <c r="AH3954" s="21"/>
      <c r="AI3954" s="21"/>
      <c r="AJ3954" s="21"/>
      <c r="AK3954" s="21"/>
      <c r="AM3954" s="26" t="s">
        <v>38</v>
      </c>
    </row>
    <row r="3955" spans="34:39" x14ac:dyDescent="0.35">
      <c r="AH3955" s="21"/>
      <c r="AI3955" s="21"/>
      <c r="AJ3955" s="21"/>
      <c r="AK3955" s="21"/>
      <c r="AM3955" s="26" t="s">
        <v>38</v>
      </c>
    </row>
    <row r="3956" spans="34:39" x14ac:dyDescent="0.35">
      <c r="AH3956" s="21"/>
      <c r="AI3956" s="21"/>
      <c r="AJ3956" s="21"/>
      <c r="AK3956" s="21"/>
      <c r="AM3956" s="26" t="s">
        <v>38</v>
      </c>
    </row>
    <row r="3957" spans="34:39" x14ac:dyDescent="0.35">
      <c r="AH3957" s="21"/>
      <c r="AI3957" s="21"/>
      <c r="AJ3957" s="21"/>
      <c r="AK3957" s="21"/>
      <c r="AM3957" s="26" t="s">
        <v>38</v>
      </c>
    </row>
    <row r="3958" spans="34:39" x14ac:dyDescent="0.35">
      <c r="AH3958" s="21"/>
      <c r="AI3958" s="21"/>
      <c r="AJ3958" s="21"/>
      <c r="AK3958" s="21"/>
      <c r="AM3958" s="26" t="s">
        <v>38</v>
      </c>
    </row>
    <row r="3959" spans="34:39" x14ac:dyDescent="0.35">
      <c r="AH3959" s="21"/>
      <c r="AI3959" s="21"/>
      <c r="AJ3959" s="21"/>
      <c r="AK3959" s="21"/>
      <c r="AM3959" s="26" t="s">
        <v>38</v>
      </c>
    </row>
    <row r="3960" spans="34:39" x14ac:dyDescent="0.35">
      <c r="AH3960" s="21"/>
      <c r="AI3960" s="21"/>
      <c r="AJ3960" s="21"/>
      <c r="AK3960" s="21"/>
      <c r="AM3960" s="26" t="s">
        <v>38</v>
      </c>
    </row>
    <row r="3961" spans="34:39" x14ac:dyDescent="0.35">
      <c r="AH3961" s="21"/>
      <c r="AI3961" s="21"/>
      <c r="AJ3961" s="21"/>
      <c r="AK3961" s="21"/>
      <c r="AM3961" s="26" t="s">
        <v>38</v>
      </c>
    </row>
    <row r="3962" spans="34:39" x14ac:dyDescent="0.35">
      <c r="AH3962" s="21"/>
      <c r="AI3962" s="21"/>
      <c r="AJ3962" s="21"/>
      <c r="AK3962" s="21"/>
      <c r="AM3962" s="26" t="s">
        <v>38</v>
      </c>
    </row>
    <row r="3963" spans="34:39" x14ac:dyDescent="0.35">
      <c r="AH3963" s="21"/>
      <c r="AI3963" s="21"/>
      <c r="AJ3963" s="21"/>
      <c r="AK3963" s="21"/>
      <c r="AM3963" s="26" t="s">
        <v>38</v>
      </c>
    </row>
    <row r="3964" spans="34:39" x14ac:dyDescent="0.35">
      <c r="AH3964" s="21"/>
      <c r="AI3964" s="21"/>
      <c r="AJ3964" s="21"/>
      <c r="AK3964" s="21"/>
      <c r="AM3964" s="26" t="s">
        <v>38</v>
      </c>
    </row>
    <row r="3965" spans="34:39" x14ac:dyDescent="0.35">
      <c r="AH3965" s="21"/>
      <c r="AI3965" s="21"/>
      <c r="AJ3965" s="21"/>
      <c r="AK3965" s="21"/>
      <c r="AM3965" s="26" t="s">
        <v>38</v>
      </c>
    </row>
    <row r="3966" spans="34:39" x14ac:dyDescent="0.35">
      <c r="AH3966" s="21"/>
      <c r="AI3966" s="21"/>
      <c r="AJ3966" s="21"/>
      <c r="AK3966" s="21"/>
      <c r="AM3966" s="26" t="s">
        <v>38</v>
      </c>
    </row>
    <row r="3967" spans="34:39" x14ac:dyDescent="0.35">
      <c r="AH3967" s="21"/>
      <c r="AI3967" s="21"/>
      <c r="AJ3967" s="21"/>
      <c r="AK3967" s="21"/>
      <c r="AM3967" s="26" t="s">
        <v>38</v>
      </c>
    </row>
    <row r="3968" spans="34:39" x14ac:dyDescent="0.35">
      <c r="AH3968" s="21"/>
      <c r="AI3968" s="21"/>
      <c r="AJ3968" s="21"/>
      <c r="AK3968" s="21"/>
      <c r="AM3968" s="26" t="s">
        <v>38</v>
      </c>
    </row>
    <row r="3969" spans="34:39" x14ac:dyDescent="0.35">
      <c r="AH3969" s="21"/>
      <c r="AI3969" s="21"/>
      <c r="AJ3969" s="21"/>
      <c r="AK3969" s="21"/>
      <c r="AM3969" s="26" t="s">
        <v>38</v>
      </c>
    </row>
    <row r="3970" spans="34:39" x14ac:dyDescent="0.35">
      <c r="AH3970" s="21"/>
      <c r="AI3970" s="21"/>
      <c r="AJ3970" s="21"/>
      <c r="AK3970" s="21"/>
      <c r="AM3970" s="26" t="s">
        <v>38</v>
      </c>
    </row>
    <row r="3971" spans="34:39" x14ac:dyDescent="0.35">
      <c r="AH3971" s="21"/>
      <c r="AI3971" s="21"/>
      <c r="AJ3971" s="21"/>
      <c r="AK3971" s="21"/>
      <c r="AM3971" s="26" t="s">
        <v>38</v>
      </c>
    </row>
    <row r="3972" spans="34:39" x14ac:dyDescent="0.35">
      <c r="AH3972" s="21"/>
      <c r="AI3972" s="21"/>
      <c r="AJ3972" s="21"/>
      <c r="AK3972" s="21"/>
      <c r="AM3972" s="26" t="s">
        <v>38</v>
      </c>
    </row>
    <row r="3973" spans="34:39" x14ac:dyDescent="0.35">
      <c r="AH3973" s="21"/>
      <c r="AI3973" s="21"/>
      <c r="AJ3973" s="21"/>
      <c r="AK3973" s="21"/>
      <c r="AM3973" s="26" t="s">
        <v>38</v>
      </c>
    </row>
    <row r="3974" spans="34:39" x14ac:dyDescent="0.35">
      <c r="AH3974" s="21"/>
      <c r="AI3974" s="21"/>
      <c r="AJ3974" s="21"/>
      <c r="AK3974" s="21"/>
      <c r="AM3974" s="26" t="s">
        <v>38</v>
      </c>
    </row>
    <row r="3975" spans="34:39" x14ac:dyDescent="0.35">
      <c r="AH3975" s="21"/>
      <c r="AI3975" s="21"/>
      <c r="AJ3975" s="21"/>
      <c r="AK3975" s="21"/>
      <c r="AM3975" s="26" t="s">
        <v>38</v>
      </c>
    </row>
    <row r="3976" spans="34:39" x14ac:dyDescent="0.35">
      <c r="AH3976" s="21"/>
      <c r="AI3976" s="21"/>
      <c r="AJ3976" s="21"/>
      <c r="AK3976" s="21"/>
      <c r="AM3976" s="26" t="s">
        <v>38</v>
      </c>
    </row>
    <row r="3977" spans="34:39" x14ac:dyDescent="0.35">
      <c r="AH3977" s="21"/>
      <c r="AI3977" s="21"/>
      <c r="AJ3977" s="21"/>
      <c r="AK3977" s="21"/>
      <c r="AM3977" s="26" t="s">
        <v>38</v>
      </c>
    </row>
    <row r="3978" spans="34:39" x14ac:dyDescent="0.35">
      <c r="AH3978" s="21"/>
      <c r="AI3978" s="21"/>
      <c r="AJ3978" s="21"/>
      <c r="AK3978" s="21"/>
      <c r="AM3978" s="26" t="s">
        <v>38</v>
      </c>
    </row>
    <row r="3979" spans="34:39" x14ac:dyDescent="0.35">
      <c r="AH3979" s="21"/>
      <c r="AI3979" s="21"/>
      <c r="AJ3979" s="21"/>
      <c r="AK3979" s="21"/>
      <c r="AM3979" s="26" t="s">
        <v>38</v>
      </c>
    </row>
    <row r="3980" spans="34:39" x14ac:dyDescent="0.35">
      <c r="AH3980" s="21"/>
      <c r="AI3980" s="21"/>
      <c r="AJ3980" s="21"/>
      <c r="AK3980" s="21"/>
      <c r="AM3980" s="26" t="s">
        <v>38</v>
      </c>
    </row>
    <row r="3981" spans="34:39" x14ac:dyDescent="0.35">
      <c r="AH3981" s="21"/>
      <c r="AI3981" s="21"/>
      <c r="AJ3981" s="21"/>
      <c r="AK3981" s="21"/>
      <c r="AM3981" s="26" t="s">
        <v>38</v>
      </c>
    </row>
    <row r="3982" spans="34:39" x14ac:dyDescent="0.35">
      <c r="AH3982" s="21"/>
      <c r="AI3982" s="21"/>
      <c r="AJ3982" s="21"/>
      <c r="AK3982" s="21"/>
      <c r="AM3982" s="26" t="s">
        <v>38</v>
      </c>
    </row>
    <row r="3983" spans="34:39" x14ac:dyDescent="0.35">
      <c r="AH3983" s="21"/>
      <c r="AI3983" s="21"/>
      <c r="AJ3983" s="21"/>
      <c r="AK3983" s="21"/>
      <c r="AM3983" s="26" t="s">
        <v>38</v>
      </c>
    </row>
    <row r="3984" spans="34:39" x14ac:dyDescent="0.35">
      <c r="AH3984" s="21"/>
      <c r="AI3984" s="21"/>
      <c r="AJ3984" s="21"/>
      <c r="AK3984" s="21"/>
      <c r="AM3984" s="26" t="s">
        <v>38</v>
      </c>
    </row>
    <row r="3985" spans="34:39" x14ac:dyDescent="0.35">
      <c r="AH3985" s="21"/>
      <c r="AI3985" s="21"/>
      <c r="AJ3985" s="21"/>
      <c r="AK3985" s="21"/>
      <c r="AM3985" s="26" t="s">
        <v>38</v>
      </c>
    </row>
    <row r="3986" spans="34:39" x14ac:dyDescent="0.35">
      <c r="AH3986" s="21"/>
      <c r="AI3986" s="21"/>
      <c r="AJ3986" s="21"/>
      <c r="AK3986" s="21"/>
      <c r="AM3986" s="26" t="s">
        <v>38</v>
      </c>
    </row>
    <row r="3987" spans="34:39" x14ac:dyDescent="0.35">
      <c r="AH3987" s="21"/>
      <c r="AI3987" s="21"/>
      <c r="AJ3987" s="21"/>
      <c r="AK3987" s="21"/>
      <c r="AM3987" s="26" t="s">
        <v>38</v>
      </c>
    </row>
    <row r="3988" spans="34:39" x14ac:dyDescent="0.35">
      <c r="AH3988" s="21"/>
      <c r="AI3988" s="21"/>
      <c r="AJ3988" s="21"/>
      <c r="AK3988" s="21"/>
      <c r="AM3988" s="26" t="s">
        <v>38</v>
      </c>
    </row>
    <row r="3989" spans="34:39" x14ac:dyDescent="0.35">
      <c r="AH3989" s="21"/>
      <c r="AI3989" s="21"/>
      <c r="AJ3989" s="21"/>
      <c r="AK3989" s="21"/>
      <c r="AM3989" s="26" t="s">
        <v>38</v>
      </c>
    </row>
    <row r="3990" spans="34:39" x14ac:dyDescent="0.35">
      <c r="AH3990" s="21"/>
      <c r="AI3990" s="21"/>
      <c r="AJ3990" s="21"/>
      <c r="AK3990" s="21"/>
      <c r="AM3990" s="26" t="s">
        <v>38</v>
      </c>
    </row>
    <row r="3991" spans="34:39" x14ac:dyDescent="0.35">
      <c r="AH3991" s="21"/>
      <c r="AI3991" s="21"/>
      <c r="AJ3991" s="21"/>
      <c r="AK3991" s="21"/>
      <c r="AM3991" s="26" t="s">
        <v>38</v>
      </c>
    </row>
    <row r="3992" spans="34:39" x14ac:dyDescent="0.35">
      <c r="AH3992" s="21"/>
      <c r="AI3992" s="21"/>
      <c r="AJ3992" s="21"/>
      <c r="AK3992" s="21"/>
      <c r="AM3992" s="26" t="s">
        <v>38</v>
      </c>
    </row>
    <row r="3993" spans="34:39" x14ac:dyDescent="0.35">
      <c r="AH3993" s="21"/>
      <c r="AI3993" s="21"/>
      <c r="AJ3993" s="21"/>
      <c r="AK3993" s="21"/>
      <c r="AM3993" s="26" t="s">
        <v>38</v>
      </c>
    </row>
    <row r="3994" spans="34:39" x14ac:dyDescent="0.35">
      <c r="AH3994" s="21"/>
      <c r="AI3994" s="21"/>
      <c r="AJ3994" s="21"/>
      <c r="AK3994" s="21"/>
      <c r="AM3994" s="26" t="s">
        <v>38</v>
      </c>
    </row>
    <row r="3995" spans="34:39" x14ac:dyDescent="0.35">
      <c r="AH3995" s="21"/>
      <c r="AI3995" s="21"/>
      <c r="AJ3995" s="21"/>
      <c r="AK3995" s="21"/>
      <c r="AM3995" s="26" t="s">
        <v>38</v>
      </c>
    </row>
    <row r="3996" spans="34:39" x14ac:dyDescent="0.35">
      <c r="AH3996" s="21"/>
      <c r="AI3996" s="21"/>
      <c r="AJ3996" s="21"/>
      <c r="AK3996" s="21"/>
      <c r="AM3996" s="26" t="s">
        <v>38</v>
      </c>
    </row>
    <row r="3997" spans="34:39" x14ac:dyDescent="0.35">
      <c r="AH3997" s="21"/>
      <c r="AI3997" s="21"/>
      <c r="AJ3997" s="21"/>
      <c r="AK3997" s="21"/>
      <c r="AM3997" s="26" t="s">
        <v>38</v>
      </c>
    </row>
    <row r="3998" spans="34:39" x14ac:dyDescent="0.35">
      <c r="AH3998" s="21"/>
      <c r="AI3998" s="21"/>
      <c r="AJ3998" s="21"/>
      <c r="AK3998" s="21"/>
      <c r="AM3998" s="26" t="s">
        <v>38</v>
      </c>
    </row>
    <row r="3999" spans="34:39" x14ac:dyDescent="0.35">
      <c r="AH3999" s="21"/>
      <c r="AI3999" s="21"/>
      <c r="AJ3999" s="21"/>
      <c r="AK3999" s="21"/>
      <c r="AM3999" s="26" t="s">
        <v>38</v>
      </c>
    </row>
    <row r="4000" spans="34:39" x14ac:dyDescent="0.35">
      <c r="AH4000" s="21"/>
      <c r="AI4000" s="21"/>
      <c r="AJ4000" s="21"/>
      <c r="AK4000" s="21"/>
      <c r="AM4000" s="26" t="s">
        <v>38</v>
      </c>
    </row>
    <row r="4001" spans="34:39" x14ac:dyDescent="0.35">
      <c r="AH4001" s="21"/>
      <c r="AI4001" s="21"/>
      <c r="AJ4001" s="21"/>
      <c r="AK4001" s="21"/>
      <c r="AM4001" s="26" t="s">
        <v>38</v>
      </c>
    </row>
    <row r="4002" spans="34:39" x14ac:dyDescent="0.35">
      <c r="AH4002" s="21"/>
      <c r="AI4002" s="21"/>
      <c r="AJ4002" s="21"/>
      <c r="AK4002" s="21"/>
      <c r="AM4002" s="26" t="s">
        <v>38</v>
      </c>
    </row>
    <row r="4003" spans="34:39" x14ac:dyDescent="0.35">
      <c r="AH4003" s="21"/>
      <c r="AI4003" s="21"/>
      <c r="AJ4003" s="21"/>
      <c r="AK4003" s="21"/>
      <c r="AM4003" s="26" t="s">
        <v>38</v>
      </c>
    </row>
    <row r="4004" spans="34:39" x14ac:dyDescent="0.35">
      <c r="AH4004" s="21"/>
      <c r="AI4004" s="21"/>
      <c r="AJ4004" s="21"/>
      <c r="AK4004" s="21"/>
      <c r="AM4004" s="26" t="s">
        <v>38</v>
      </c>
    </row>
    <row r="4005" spans="34:39" x14ac:dyDescent="0.35">
      <c r="AH4005" s="21"/>
      <c r="AI4005" s="21"/>
      <c r="AJ4005" s="21"/>
      <c r="AK4005" s="21"/>
      <c r="AM4005" s="26" t="s">
        <v>38</v>
      </c>
    </row>
    <row r="4006" spans="34:39" x14ac:dyDescent="0.35">
      <c r="AH4006" s="21"/>
      <c r="AI4006" s="21"/>
      <c r="AJ4006" s="21"/>
      <c r="AK4006" s="21"/>
      <c r="AM4006" s="26" t="s">
        <v>38</v>
      </c>
    </row>
    <row r="4007" spans="34:39" x14ac:dyDescent="0.35">
      <c r="AH4007" s="21"/>
      <c r="AI4007" s="21"/>
      <c r="AJ4007" s="21"/>
      <c r="AK4007" s="21"/>
      <c r="AM4007" s="26" t="s">
        <v>38</v>
      </c>
    </row>
    <row r="4008" spans="34:39" x14ac:dyDescent="0.35">
      <c r="AH4008" s="21"/>
      <c r="AI4008" s="21"/>
      <c r="AJ4008" s="21"/>
      <c r="AK4008" s="21"/>
      <c r="AM4008" s="26" t="s">
        <v>38</v>
      </c>
    </row>
    <row r="4009" spans="34:39" x14ac:dyDescent="0.35">
      <c r="AH4009" s="21"/>
      <c r="AI4009" s="21"/>
      <c r="AJ4009" s="21"/>
      <c r="AK4009" s="21"/>
      <c r="AM4009" s="26" t="s">
        <v>38</v>
      </c>
    </row>
    <row r="4010" spans="34:39" x14ac:dyDescent="0.35">
      <c r="AH4010" s="21"/>
      <c r="AI4010" s="21"/>
      <c r="AJ4010" s="21"/>
      <c r="AK4010" s="21"/>
      <c r="AM4010" s="26" t="s">
        <v>38</v>
      </c>
    </row>
    <row r="4011" spans="34:39" x14ac:dyDescent="0.35">
      <c r="AH4011" s="21"/>
      <c r="AI4011" s="21"/>
      <c r="AJ4011" s="21"/>
      <c r="AK4011" s="21"/>
      <c r="AM4011" s="26" t="s">
        <v>38</v>
      </c>
    </row>
    <row r="4012" spans="34:39" x14ac:dyDescent="0.35">
      <c r="AH4012" s="21"/>
      <c r="AI4012" s="21"/>
      <c r="AJ4012" s="21"/>
      <c r="AK4012" s="21"/>
      <c r="AM4012" s="26" t="s">
        <v>38</v>
      </c>
    </row>
    <row r="4013" spans="34:39" x14ac:dyDescent="0.35">
      <c r="AH4013" s="21"/>
      <c r="AI4013" s="21"/>
      <c r="AJ4013" s="21"/>
      <c r="AK4013" s="21"/>
      <c r="AM4013" s="26" t="s">
        <v>38</v>
      </c>
    </row>
    <row r="4014" spans="34:39" x14ac:dyDescent="0.35">
      <c r="AH4014" s="21"/>
      <c r="AI4014" s="21"/>
      <c r="AJ4014" s="21"/>
      <c r="AK4014" s="21"/>
      <c r="AM4014" s="26" t="s">
        <v>38</v>
      </c>
    </row>
    <row r="4015" spans="34:39" x14ac:dyDescent="0.35">
      <c r="AH4015" s="21"/>
      <c r="AI4015" s="21"/>
      <c r="AJ4015" s="21"/>
      <c r="AK4015" s="21"/>
      <c r="AM4015" s="26" t="s">
        <v>38</v>
      </c>
    </row>
    <row r="4016" spans="34:39" x14ac:dyDescent="0.35">
      <c r="AH4016" s="21"/>
      <c r="AI4016" s="21"/>
      <c r="AJ4016" s="21"/>
      <c r="AK4016" s="21"/>
      <c r="AM4016" s="26" t="s">
        <v>38</v>
      </c>
    </row>
    <row r="4017" spans="34:39" x14ac:dyDescent="0.35">
      <c r="AH4017" s="21"/>
      <c r="AI4017" s="21"/>
      <c r="AJ4017" s="21"/>
      <c r="AK4017" s="21"/>
      <c r="AM4017" s="26" t="s">
        <v>38</v>
      </c>
    </row>
    <row r="4018" spans="34:39" x14ac:dyDescent="0.35">
      <c r="AH4018" s="21"/>
      <c r="AI4018" s="21"/>
      <c r="AJ4018" s="21"/>
      <c r="AK4018" s="21"/>
      <c r="AM4018" s="26" t="s">
        <v>38</v>
      </c>
    </row>
    <row r="4019" spans="34:39" x14ac:dyDescent="0.35">
      <c r="AH4019" s="21"/>
      <c r="AI4019" s="21"/>
      <c r="AJ4019" s="21"/>
      <c r="AK4019" s="21"/>
      <c r="AM4019" s="26" t="s">
        <v>38</v>
      </c>
    </row>
    <row r="4020" spans="34:39" x14ac:dyDescent="0.35">
      <c r="AH4020" s="21"/>
      <c r="AI4020" s="21"/>
      <c r="AJ4020" s="21"/>
      <c r="AK4020" s="21"/>
      <c r="AM4020" s="26" t="s">
        <v>38</v>
      </c>
    </row>
    <row r="4021" spans="34:39" x14ac:dyDescent="0.35">
      <c r="AH4021" s="21"/>
      <c r="AI4021" s="21"/>
      <c r="AJ4021" s="21"/>
      <c r="AK4021" s="21"/>
      <c r="AM4021" s="26" t="s">
        <v>38</v>
      </c>
    </row>
    <row r="4022" spans="34:39" x14ac:dyDescent="0.35">
      <c r="AH4022" s="21"/>
      <c r="AI4022" s="21"/>
      <c r="AJ4022" s="21"/>
      <c r="AK4022" s="21"/>
      <c r="AM4022" s="26" t="s">
        <v>38</v>
      </c>
    </row>
    <row r="4023" spans="34:39" x14ac:dyDescent="0.35">
      <c r="AH4023" s="21"/>
      <c r="AI4023" s="21"/>
      <c r="AJ4023" s="21"/>
      <c r="AK4023" s="21"/>
      <c r="AM4023" s="26" t="s">
        <v>38</v>
      </c>
    </row>
    <row r="4024" spans="34:39" x14ac:dyDescent="0.35">
      <c r="AH4024" s="21"/>
      <c r="AI4024" s="21"/>
      <c r="AJ4024" s="21"/>
      <c r="AK4024" s="21"/>
      <c r="AM4024" s="26" t="s">
        <v>38</v>
      </c>
    </row>
    <row r="4025" spans="34:39" x14ac:dyDescent="0.35">
      <c r="AH4025" s="21"/>
      <c r="AI4025" s="21"/>
      <c r="AJ4025" s="21"/>
      <c r="AK4025" s="21"/>
      <c r="AM4025" s="26" t="s">
        <v>38</v>
      </c>
    </row>
    <row r="4026" spans="34:39" x14ac:dyDescent="0.35">
      <c r="AH4026" s="21"/>
      <c r="AI4026" s="21"/>
      <c r="AJ4026" s="21"/>
      <c r="AK4026" s="21"/>
      <c r="AM4026" s="26" t="s">
        <v>38</v>
      </c>
    </row>
    <row r="4027" spans="34:39" x14ac:dyDescent="0.35">
      <c r="AH4027" s="21"/>
      <c r="AI4027" s="21"/>
      <c r="AJ4027" s="21"/>
      <c r="AK4027" s="21"/>
      <c r="AM4027" s="26" t="s">
        <v>38</v>
      </c>
    </row>
    <row r="4028" spans="34:39" x14ac:dyDescent="0.35">
      <c r="AH4028" s="21"/>
      <c r="AI4028" s="21"/>
      <c r="AJ4028" s="21"/>
      <c r="AK4028" s="21"/>
      <c r="AM4028" s="26" t="s">
        <v>38</v>
      </c>
    </row>
    <row r="4029" spans="34:39" x14ac:dyDescent="0.35">
      <c r="AH4029" s="21"/>
      <c r="AI4029" s="21"/>
      <c r="AJ4029" s="21"/>
      <c r="AK4029" s="21"/>
      <c r="AM4029" s="26" t="s">
        <v>38</v>
      </c>
    </row>
    <row r="4030" spans="34:39" x14ac:dyDescent="0.35">
      <c r="AH4030" s="21"/>
      <c r="AI4030" s="21"/>
      <c r="AJ4030" s="21"/>
      <c r="AK4030" s="21"/>
      <c r="AM4030" s="26" t="s">
        <v>38</v>
      </c>
    </row>
    <row r="4031" spans="34:39" x14ac:dyDescent="0.35">
      <c r="AH4031" s="21"/>
      <c r="AI4031" s="21"/>
      <c r="AJ4031" s="21"/>
      <c r="AK4031" s="21"/>
      <c r="AM4031" s="26" t="s">
        <v>38</v>
      </c>
    </row>
    <row r="4032" spans="34:39" x14ac:dyDescent="0.35">
      <c r="AH4032" s="21"/>
      <c r="AI4032" s="21"/>
      <c r="AJ4032" s="21"/>
      <c r="AK4032" s="21"/>
      <c r="AM4032" s="26" t="s">
        <v>38</v>
      </c>
    </row>
    <row r="4033" spans="34:39" x14ac:dyDescent="0.35">
      <c r="AH4033" s="21"/>
      <c r="AI4033" s="21"/>
      <c r="AJ4033" s="21"/>
      <c r="AK4033" s="21"/>
      <c r="AM4033" s="26" t="s">
        <v>38</v>
      </c>
    </row>
    <row r="4034" spans="34:39" x14ac:dyDescent="0.35">
      <c r="AH4034" s="21"/>
      <c r="AI4034" s="21"/>
      <c r="AJ4034" s="21"/>
      <c r="AK4034" s="21"/>
      <c r="AM4034" s="26" t="s">
        <v>38</v>
      </c>
    </row>
    <row r="4035" spans="34:39" x14ac:dyDescent="0.35">
      <c r="AH4035" s="21"/>
      <c r="AI4035" s="21"/>
      <c r="AJ4035" s="21"/>
      <c r="AK4035" s="21"/>
      <c r="AM4035" s="26" t="s">
        <v>38</v>
      </c>
    </row>
    <row r="4036" spans="34:39" x14ac:dyDescent="0.35">
      <c r="AH4036" s="21"/>
      <c r="AI4036" s="21"/>
      <c r="AJ4036" s="21"/>
      <c r="AK4036" s="21"/>
      <c r="AM4036" s="26" t="s">
        <v>38</v>
      </c>
    </row>
    <row r="4037" spans="34:39" x14ac:dyDescent="0.35">
      <c r="AH4037" s="21"/>
      <c r="AI4037" s="21"/>
      <c r="AJ4037" s="21"/>
      <c r="AK4037" s="21"/>
      <c r="AM4037" s="26" t="s">
        <v>38</v>
      </c>
    </row>
    <row r="4038" spans="34:39" x14ac:dyDescent="0.35">
      <c r="AH4038" s="21"/>
      <c r="AI4038" s="21"/>
      <c r="AJ4038" s="21"/>
      <c r="AK4038" s="21"/>
      <c r="AM4038" s="26" t="s">
        <v>38</v>
      </c>
    </row>
    <row r="4039" spans="34:39" x14ac:dyDescent="0.35">
      <c r="AH4039" s="21"/>
      <c r="AI4039" s="21"/>
      <c r="AJ4039" s="21"/>
      <c r="AK4039" s="21"/>
      <c r="AM4039" s="26" t="s">
        <v>38</v>
      </c>
    </row>
    <row r="4040" spans="34:39" x14ac:dyDescent="0.35">
      <c r="AH4040" s="21"/>
      <c r="AI4040" s="21"/>
      <c r="AJ4040" s="21"/>
      <c r="AK4040" s="21"/>
      <c r="AM4040" s="26" t="s">
        <v>38</v>
      </c>
    </row>
    <row r="4041" spans="34:39" x14ac:dyDescent="0.35">
      <c r="AH4041" s="21"/>
      <c r="AI4041" s="21"/>
      <c r="AJ4041" s="21"/>
      <c r="AK4041" s="21"/>
      <c r="AM4041" s="26" t="s">
        <v>38</v>
      </c>
    </row>
    <row r="4042" spans="34:39" x14ac:dyDescent="0.35">
      <c r="AH4042" s="21"/>
      <c r="AI4042" s="21"/>
      <c r="AJ4042" s="21"/>
      <c r="AK4042" s="21"/>
      <c r="AM4042" s="26" t="s">
        <v>38</v>
      </c>
    </row>
    <row r="4043" spans="34:39" x14ac:dyDescent="0.35">
      <c r="AH4043" s="21"/>
      <c r="AI4043" s="21"/>
      <c r="AJ4043" s="21"/>
      <c r="AK4043" s="21"/>
      <c r="AM4043" s="26" t="s">
        <v>38</v>
      </c>
    </row>
    <row r="4044" spans="34:39" x14ac:dyDescent="0.35">
      <c r="AH4044" s="21"/>
      <c r="AI4044" s="21"/>
      <c r="AJ4044" s="21"/>
      <c r="AK4044" s="21"/>
      <c r="AM4044" s="26" t="s">
        <v>38</v>
      </c>
    </row>
    <row r="4045" spans="34:39" x14ac:dyDescent="0.35">
      <c r="AH4045" s="21"/>
      <c r="AI4045" s="21"/>
      <c r="AJ4045" s="21"/>
      <c r="AK4045" s="21"/>
      <c r="AM4045" s="26" t="s">
        <v>38</v>
      </c>
    </row>
    <row r="4046" spans="34:39" x14ac:dyDescent="0.35">
      <c r="AH4046" s="21"/>
      <c r="AI4046" s="21"/>
      <c r="AJ4046" s="21"/>
      <c r="AK4046" s="21"/>
      <c r="AM4046" s="26" t="s">
        <v>38</v>
      </c>
    </row>
    <row r="4047" spans="34:39" x14ac:dyDescent="0.35">
      <c r="AH4047" s="21"/>
      <c r="AI4047" s="21"/>
      <c r="AJ4047" s="21"/>
      <c r="AK4047" s="21"/>
      <c r="AM4047" s="26" t="s">
        <v>38</v>
      </c>
    </row>
    <row r="4048" spans="34:39" x14ac:dyDescent="0.35">
      <c r="AH4048" s="21"/>
      <c r="AI4048" s="21"/>
      <c r="AJ4048" s="21"/>
      <c r="AK4048" s="21"/>
      <c r="AM4048" s="26" t="s">
        <v>38</v>
      </c>
    </row>
    <row r="4049" spans="34:39" x14ac:dyDescent="0.35">
      <c r="AH4049" s="21"/>
      <c r="AI4049" s="21"/>
      <c r="AJ4049" s="21"/>
      <c r="AK4049" s="21"/>
      <c r="AM4049" s="26" t="s">
        <v>38</v>
      </c>
    </row>
    <row r="4050" spans="34:39" x14ac:dyDescent="0.35">
      <c r="AH4050" s="21"/>
      <c r="AI4050" s="21"/>
      <c r="AJ4050" s="21"/>
      <c r="AK4050" s="21"/>
      <c r="AM4050" s="26" t="s">
        <v>38</v>
      </c>
    </row>
    <row r="4051" spans="34:39" x14ac:dyDescent="0.35">
      <c r="AH4051" s="21"/>
      <c r="AI4051" s="21"/>
      <c r="AJ4051" s="21"/>
      <c r="AK4051" s="21"/>
      <c r="AM4051" s="26" t="s">
        <v>38</v>
      </c>
    </row>
    <row r="4052" spans="34:39" x14ac:dyDescent="0.35">
      <c r="AH4052" s="21"/>
      <c r="AI4052" s="21"/>
      <c r="AJ4052" s="21"/>
      <c r="AK4052" s="21"/>
      <c r="AM4052" s="26" t="s">
        <v>38</v>
      </c>
    </row>
    <row r="4053" spans="34:39" x14ac:dyDescent="0.35">
      <c r="AH4053" s="21"/>
      <c r="AI4053" s="21"/>
      <c r="AJ4053" s="21"/>
      <c r="AK4053" s="21"/>
      <c r="AM4053" s="26" t="s">
        <v>38</v>
      </c>
    </row>
    <row r="4054" spans="34:39" x14ac:dyDescent="0.35">
      <c r="AH4054" s="21"/>
      <c r="AI4054" s="21"/>
      <c r="AJ4054" s="21"/>
      <c r="AK4054" s="21"/>
      <c r="AM4054" s="26" t="s">
        <v>38</v>
      </c>
    </row>
    <row r="4055" spans="34:39" x14ac:dyDescent="0.35">
      <c r="AH4055" s="21"/>
      <c r="AI4055" s="21"/>
      <c r="AJ4055" s="21"/>
      <c r="AK4055" s="21"/>
      <c r="AM4055" s="26" t="s">
        <v>38</v>
      </c>
    </row>
    <row r="4056" spans="34:39" x14ac:dyDescent="0.35">
      <c r="AH4056" s="21"/>
      <c r="AI4056" s="21"/>
      <c r="AJ4056" s="21"/>
      <c r="AK4056" s="21"/>
      <c r="AM4056" s="26" t="s">
        <v>38</v>
      </c>
    </row>
    <row r="4057" spans="34:39" x14ac:dyDescent="0.35">
      <c r="AH4057" s="21"/>
      <c r="AI4057" s="21"/>
      <c r="AJ4057" s="21"/>
      <c r="AK4057" s="21"/>
      <c r="AM4057" s="26" t="s">
        <v>38</v>
      </c>
    </row>
    <row r="4058" spans="34:39" x14ac:dyDescent="0.35">
      <c r="AH4058" s="21"/>
      <c r="AI4058" s="21"/>
      <c r="AJ4058" s="21"/>
      <c r="AK4058" s="21"/>
      <c r="AM4058" s="26" t="s">
        <v>38</v>
      </c>
    </row>
    <row r="4059" spans="34:39" x14ac:dyDescent="0.35">
      <c r="AH4059" s="21"/>
      <c r="AI4059" s="21"/>
      <c r="AJ4059" s="21"/>
      <c r="AK4059" s="21"/>
      <c r="AM4059" s="26" t="s">
        <v>38</v>
      </c>
    </row>
    <row r="4060" spans="34:39" x14ac:dyDescent="0.35">
      <c r="AH4060" s="21"/>
      <c r="AI4060" s="21"/>
      <c r="AJ4060" s="21"/>
      <c r="AK4060" s="21"/>
      <c r="AM4060" s="26" t="s">
        <v>38</v>
      </c>
    </row>
    <row r="4061" spans="34:39" x14ac:dyDescent="0.35">
      <c r="AH4061" s="21"/>
      <c r="AI4061" s="21"/>
      <c r="AJ4061" s="21"/>
      <c r="AK4061" s="21"/>
      <c r="AM4061" s="26" t="s">
        <v>38</v>
      </c>
    </row>
    <row r="4062" spans="34:39" x14ac:dyDescent="0.35">
      <c r="AH4062" s="21"/>
      <c r="AI4062" s="21"/>
      <c r="AJ4062" s="21"/>
      <c r="AK4062" s="21"/>
      <c r="AM4062" s="26" t="s">
        <v>38</v>
      </c>
    </row>
    <row r="4063" spans="34:39" x14ac:dyDescent="0.35">
      <c r="AH4063" s="21"/>
      <c r="AI4063" s="21"/>
      <c r="AJ4063" s="21"/>
      <c r="AK4063" s="21"/>
      <c r="AM4063" s="26" t="s">
        <v>38</v>
      </c>
    </row>
    <row r="4064" spans="34:39" x14ac:dyDescent="0.35">
      <c r="AH4064" s="21"/>
      <c r="AI4064" s="21"/>
      <c r="AJ4064" s="21"/>
      <c r="AK4064" s="21"/>
      <c r="AM4064" s="26" t="s">
        <v>38</v>
      </c>
    </row>
    <row r="4065" spans="34:39" x14ac:dyDescent="0.35">
      <c r="AH4065" s="21"/>
      <c r="AI4065" s="21"/>
      <c r="AJ4065" s="21"/>
      <c r="AK4065" s="21"/>
      <c r="AM4065" s="26" t="s">
        <v>38</v>
      </c>
    </row>
    <row r="4066" spans="34:39" x14ac:dyDescent="0.35">
      <c r="AH4066" s="21"/>
      <c r="AI4066" s="21"/>
      <c r="AJ4066" s="21"/>
      <c r="AK4066" s="21"/>
      <c r="AM4066" s="26" t="s">
        <v>38</v>
      </c>
    </row>
    <row r="4067" spans="34:39" x14ac:dyDescent="0.35">
      <c r="AH4067" s="21"/>
      <c r="AI4067" s="21"/>
      <c r="AJ4067" s="21"/>
      <c r="AK4067" s="21"/>
      <c r="AM4067" s="26" t="s">
        <v>38</v>
      </c>
    </row>
    <row r="4068" spans="34:39" x14ac:dyDescent="0.35">
      <c r="AH4068" s="21"/>
      <c r="AI4068" s="21"/>
      <c r="AJ4068" s="21"/>
      <c r="AK4068" s="21"/>
      <c r="AM4068" s="26" t="s">
        <v>38</v>
      </c>
    </row>
    <row r="4069" spans="34:39" x14ac:dyDescent="0.35">
      <c r="AH4069" s="21"/>
      <c r="AI4069" s="21"/>
      <c r="AJ4069" s="21"/>
      <c r="AK4069" s="21"/>
      <c r="AM4069" s="26" t="s">
        <v>38</v>
      </c>
    </row>
    <row r="4070" spans="34:39" x14ac:dyDescent="0.35">
      <c r="AH4070" s="21"/>
      <c r="AI4070" s="21"/>
      <c r="AJ4070" s="21"/>
      <c r="AK4070" s="21"/>
      <c r="AM4070" s="26" t="s">
        <v>38</v>
      </c>
    </row>
    <row r="4071" spans="34:39" x14ac:dyDescent="0.35">
      <c r="AH4071" s="21"/>
      <c r="AI4071" s="21"/>
      <c r="AJ4071" s="21"/>
      <c r="AK4071" s="21"/>
      <c r="AM4071" s="26" t="s">
        <v>38</v>
      </c>
    </row>
    <row r="4072" spans="34:39" x14ac:dyDescent="0.35">
      <c r="AH4072" s="21"/>
      <c r="AI4072" s="21"/>
      <c r="AJ4072" s="21"/>
      <c r="AK4072" s="21"/>
      <c r="AM4072" s="26" t="s">
        <v>38</v>
      </c>
    </row>
    <row r="4073" spans="34:39" x14ac:dyDescent="0.35">
      <c r="AH4073" s="21"/>
      <c r="AI4073" s="21"/>
      <c r="AJ4073" s="21"/>
      <c r="AK4073" s="21"/>
      <c r="AM4073" s="26" t="s">
        <v>38</v>
      </c>
    </row>
    <row r="4074" spans="34:39" x14ac:dyDescent="0.35">
      <c r="AH4074" s="21"/>
      <c r="AI4074" s="21"/>
      <c r="AJ4074" s="21"/>
      <c r="AK4074" s="21"/>
      <c r="AM4074" s="26" t="s">
        <v>38</v>
      </c>
    </row>
    <row r="4075" spans="34:39" x14ac:dyDescent="0.35">
      <c r="AH4075" s="21"/>
      <c r="AI4075" s="21"/>
      <c r="AJ4075" s="21"/>
      <c r="AK4075" s="21"/>
      <c r="AM4075" s="26" t="s">
        <v>38</v>
      </c>
    </row>
    <row r="4076" spans="34:39" x14ac:dyDescent="0.35">
      <c r="AH4076" s="21"/>
      <c r="AI4076" s="21"/>
      <c r="AJ4076" s="21"/>
      <c r="AK4076" s="21"/>
      <c r="AM4076" s="26" t="s">
        <v>38</v>
      </c>
    </row>
    <row r="4077" spans="34:39" x14ac:dyDescent="0.35">
      <c r="AH4077" s="21"/>
      <c r="AI4077" s="21"/>
      <c r="AJ4077" s="21"/>
      <c r="AK4077" s="21"/>
      <c r="AM4077" s="26" t="s">
        <v>38</v>
      </c>
    </row>
    <row r="4078" spans="34:39" x14ac:dyDescent="0.35">
      <c r="AH4078" s="21"/>
      <c r="AI4078" s="21"/>
      <c r="AJ4078" s="21"/>
      <c r="AK4078" s="21"/>
      <c r="AM4078" s="26" t="s">
        <v>38</v>
      </c>
    </row>
    <row r="4079" spans="34:39" x14ac:dyDescent="0.35">
      <c r="AH4079" s="21"/>
      <c r="AI4079" s="21"/>
      <c r="AJ4079" s="21"/>
      <c r="AK4079" s="21"/>
      <c r="AM4079" s="26" t="s">
        <v>38</v>
      </c>
    </row>
    <row r="4080" spans="34:39" x14ac:dyDescent="0.35">
      <c r="AH4080" s="21"/>
      <c r="AI4080" s="21"/>
      <c r="AJ4080" s="21"/>
      <c r="AK4080" s="21"/>
      <c r="AM4080" s="26" t="s">
        <v>38</v>
      </c>
    </row>
    <row r="4081" spans="34:39" x14ac:dyDescent="0.35">
      <c r="AH4081" s="21"/>
      <c r="AI4081" s="21"/>
      <c r="AJ4081" s="21"/>
      <c r="AK4081" s="21"/>
      <c r="AM4081" s="26" t="s">
        <v>38</v>
      </c>
    </row>
    <row r="4082" spans="34:39" x14ac:dyDescent="0.35">
      <c r="AH4082" s="21"/>
      <c r="AI4082" s="21"/>
      <c r="AJ4082" s="21"/>
      <c r="AK4082" s="21"/>
      <c r="AM4082" s="26" t="s">
        <v>38</v>
      </c>
    </row>
    <row r="4083" spans="34:39" x14ac:dyDescent="0.35">
      <c r="AH4083" s="21"/>
      <c r="AI4083" s="21"/>
      <c r="AJ4083" s="21"/>
      <c r="AK4083" s="21"/>
      <c r="AM4083" s="26" t="s">
        <v>38</v>
      </c>
    </row>
    <row r="4084" spans="34:39" x14ac:dyDescent="0.35">
      <c r="AH4084" s="21"/>
      <c r="AI4084" s="21"/>
      <c r="AJ4084" s="21"/>
      <c r="AK4084" s="21"/>
      <c r="AM4084" s="26" t="s">
        <v>38</v>
      </c>
    </row>
    <row r="4085" spans="34:39" x14ac:dyDescent="0.35">
      <c r="AH4085" s="21"/>
      <c r="AI4085" s="21"/>
      <c r="AJ4085" s="21"/>
      <c r="AK4085" s="21"/>
      <c r="AM4085" s="26" t="s">
        <v>38</v>
      </c>
    </row>
    <row r="4086" spans="34:39" x14ac:dyDescent="0.35">
      <c r="AH4086" s="21"/>
      <c r="AI4086" s="21"/>
      <c r="AJ4086" s="21"/>
      <c r="AK4086" s="21"/>
      <c r="AM4086" s="26" t="s">
        <v>38</v>
      </c>
    </row>
    <row r="4087" spans="34:39" x14ac:dyDescent="0.35">
      <c r="AH4087" s="21"/>
      <c r="AI4087" s="21"/>
      <c r="AJ4087" s="21"/>
      <c r="AK4087" s="21"/>
      <c r="AM4087" s="26" t="s">
        <v>38</v>
      </c>
    </row>
    <row r="4088" spans="34:39" x14ac:dyDescent="0.35">
      <c r="AH4088" s="21"/>
      <c r="AI4088" s="21"/>
      <c r="AJ4088" s="21"/>
      <c r="AK4088" s="21"/>
      <c r="AM4088" s="26" t="s">
        <v>38</v>
      </c>
    </row>
    <row r="4089" spans="34:39" x14ac:dyDescent="0.35">
      <c r="AH4089" s="21"/>
      <c r="AI4089" s="21"/>
      <c r="AJ4089" s="21"/>
      <c r="AK4089" s="21"/>
      <c r="AM4089" s="26" t="s">
        <v>38</v>
      </c>
    </row>
    <row r="4090" spans="34:39" x14ac:dyDescent="0.35">
      <c r="AH4090" s="21"/>
      <c r="AI4090" s="21"/>
      <c r="AJ4090" s="21"/>
      <c r="AK4090" s="21"/>
      <c r="AM4090" s="26" t="s">
        <v>38</v>
      </c>
    </row>
    <row r="4091" spans="34:39" x14ac:dyDescent="0.35">
      <c r="AH4091" s="21"/>
      <c r="AI4091" s="21"/>
      <c r="AJ4091" s="21"/>
      <c r="AK4091" s="21"/>
      <c r="AM4091" s="26" t="s">
        <v>38</v>
      </c>
    </row>
    <row r="4092" spans="34:39" x14ac:dyDescent="0.35">
      <c r="AH4092" s="21"/>
      <c r="AI4092" s="21"/>
      <c r="AJ4092" s="21"/>
      <c r="AK4092" s="21"/>
      <c r="AM4092" s="26" t="s">
        <v>38</v>
      </c>
    </row>
    <row r="4093" spans="34:39" x14ac:dyDescent="0.35">
      <c r="AH4093" s="21"/>
      <c r="AI4093" s="21"/>
      <c r="AJ4093" s="21"/>
      <c r="AK4093" s="21"/>
      <c r="AM4093" s="26" t="s">
        <v>38</v>
      </c>
    </row>
    <row r="4094" spans="34:39" x14ac:dyDescent="0.35">
      <c r="AH4094" s="21"/>
      <c r="AI4094" s="21"/>
      <c r="AJ4094" s="21"/>
      <c r="AK4094" s="21"/>
      <c r="AM4094" s="26" t="s">
        <v>38</v>
      </c>
    </row>
    <row r="4095" spans="34:39" x14ac:dyDescent="0.35">
      <c r="AH4095" s="21"/>
      <c r="AI4095" s="21"/>
      <c r="AJ4095" s="21"/>
      <c r="AK4095" s="21"/>
      <c r="AM4095" s="26" t="s">
        <v>38</v>
      </c>
    </row>
    <row r="4096" spans="34:39" x14ac:dyDescent="0.35">
      <c r="AH4096" s="21"/>
      <c r="AI4096" s="21"/>
      <c r="AJ4096" s="21"/>
      <c r="AK4096" s="21"/>
      <c r="AM4096" s="26" t="s">
        <v>38</v>
      </c>
    </row>
    <row r="4097" spans="34:39" x14ac:dyDescent="0.35">
      <c r="AH4097" s="21"/>
      <c r="AI4097" s="21"/>
      <c r="AJ4097" s="21"/>
      <c r="AK4097" s="21"/>
      <c r="AM4097" s="26" t="s">
        <v>38</v>
      </c>
    </row>
    <row r="4098" spans="34:39" x14ac:dyDescent="0.35">
      <c r="AH4098" s="21"/>
      <c r="AI4098" s="21"/>
      <c r="AJ4098" s="21"/>
      <c r="AK4098" s="21"/>
      <c r="AM4098" s="26" t="s">
        <v>38</v>
      </c>
    </row>
    <row r="4099" spans="34:39" x14ac:dyDescent="0.35">
      <c r="AH4099" s="21"/>
      <c r="AI4099" s="21"/>
      <c r="AJ4099" s="21"/>
      <c r="AK4099" s="21"/>
      <c r="AM4099" s="26" t="s">
        <v>38</v>
      </c>
    </row>
    <row r="4100" spans="34:39" x14ac:dyDescent="0.35">
      <c r="AH4100" s="21"/>
      <c r="AI4100" s="21"/>
      <c r="AJ4100" s="21"/>
      <c r="AK4100" s="21"/>
      <c r="AM4100" s="26" t="s">
        <v>38</v>
      </c>
    </row>
    <row r="4101" spans="34:39" x14ac:dyDescent="0.35">
      <c r="AH4101" s="21"/>
      <c r="AI4101" s="21"/>
      <c r="AJ4101" s="21"/>
      <c r="AK4101" s="21"/>
      <c r="AM4101" s="26" t="s">
        <v>38</v>
      </c>
    </row>
    <row r="4102" spans="34:39" x14ac:dyDescent="0.35">
      <c r="AH4102" s="21"/>
      <c r="AI4102" s="21"/>
      <c r="AJ4102" s="21"/>
      <c r="AK4102" s="21"/>
      <c r="AM4102" s="26" t="s">
        <v>38</v>
      </c>
    </row>
    <row r="4103" spans="34:39" x14ac:dyDescent="0.35">
      <c r="AH4103" s="21"/>
      <c r="AI4103" s="21"/>
      <c r="AJ4103" s="21"/>
      <c r="AK4103" s="21"/>
      <c r="AM4103" s="26" t="s">
        <v>38</v>
      </c>
    </row>
    <row r="4104" spans="34:39" x14ac:dyDescent="0.35">
      <c r="AH4104" s="21"/>
      <c r="AI4104" s="21"/>
      <c r="AJ4104" s="21"/>
      <c r="AK4104" s="21"/>
      <c r="AM4104" s="26" t="s">
        <v>38</v>
      </c>
    </row>
    <row r="4105" spans="34:39" x14ac:dyDescent="0.35">
      <c r="AH4105" s="21"/>
      <c r="AI4105" s="21"/>
      <c r="AJ4105" s="21"/>
      <c r="AK4105" s="21"/>
      <c r="AM4105" s="26" t="s">
        <v>38</v>
      </c>
    </row>
    <row r="4106" spans="34:39" x14ac:dyDescent="0.35">
      <c r="AH4106" s="21"/>
      <c r="AI4106" s="21"/>
      <c r="AJ4106" s="21"/>
      <c r="AK4106" s="21"/>
      <c r="AM4106" s="26" t="s">
        <v>38</v>
      </c>
    </row>
    <row r="4107" spans="34:39" x14ac:dyDescent="0.35">
      <c r="AH4107" s="21"/>
      <c r="AI4107" s="21"/>
      <c r="AJ4107" s="21"/>
      <c r="AK4107" s="21"/>
      <c r="AM4107" s="26" t="s">
        <v>38</v>
      </c>
    </row>
    <row r="4108" spans="34:39" x14ac:dyDescent="0.35">
      <c r="AH4108" s="21"/>
      <c r="AI4108" s="21"/>
      <c r="AJ4108" s="21"/>
      <c r="AK4108" s="21"/>
      <c r="AM4108" s="26" t="s">
        <v>38</v>
      </c>
    </row>
    <row r="4109" spans="34:39" x14ac:dyDescent="0.35">
      <c r="AH4109" s="21"/>
      <c r="AI4109" s="21"/>
      <c r="AJ4109" s="21"/>
      <c r="AK4109" s="21"/>
      <c r="AM4109" s="26" t="s">
        <v>38</v>
      </c>
    </row>
    <row r="4110" spans="34:39" x14ac:dyDescent="0.35">
      <c r="AH4110" s="21"/>
      <c r="AI4110" s="21"/>
      <c r="AJ4110" s="21"/>
      <c r="AK4110" s="21"/>
      <c r="AM4110" s="26" t="s">
        <v>38</v>
      </c>
    </row>
    <row r="4111" spans="34:39" x14ac:dyDescent="0.35">
      <c r="AH4111" s="21"/>
      <c r="AI4111" s="21"/>
      <c r="AJ4111" s="21"/>
      <c r="AK4111" s="21"/>
      <c r="AM4111" s="26" t="s">
        <v>38</v>
      </c>
    </row>
    <row r="4112" spans="34:39" x14ac:dyDescent="0.35">
      <c r="AH4112" s="21"/>
      <c r="AI4112" s="21"/>
      <c r="AJ4112" s="21"/>
      <c r="AK4112" s="21"/>
      <c r="AM4112" s="26" t="s">
        <v>38</v>
      </c>
    </row>
    <row r="4113" spans="34:39" x14ac:dyDescent="0.35">
      <c r="AH4113" s="21"/>
      <c r="AI4113" s="21"/>
      <c r="AJ4113" s="21"/>
      <c r="AK4113" s="21"/>
      <c r="AM4113" s="26" t="s">
        <v>38</v>
      </c>
    </row>
    <row r="4114" spans="34:39" x14ac:dyDescent="0.35">
      <c r="AH4114" s="21"/>
      <c r="AI4114" s="21"/>
      <c r="AJ4114" s="21"/>
      <c r="AK4114" s="21"/>
      <c r="AM4114" s="26" t="s">
        <v>38</v>
      </c>
    </row>
    <row r="4115" spans="34:39" x14ac:dyDescent="0.35">
      <c r="AH4115" s="21"/>
      <c r="AI4115" s="21"/>
      <c r="AJ4115" s="21"/>
      <c r="AK4115" s="21"/>
      <c r="AM4115" s="26" t="s">
        <v>38</v>
      </c>
    </row>
    <row r="4116" spans="34:39" x14ac:dyDescent="0.35">
      <c r="AH4116" s="21"/>
      <c r="AI4116" s="21"/>
      <c r="AJ4116" s="21"/>
      <c r="AK4116" s="21"/>
      <c r="AM4116" s="26" t="s">
        <v>38</v>
      </c>
    </row>
    <row r="4117" spans="34:39" x14ac:dyDescent="0.35">
      <c r="AH4117" s="21"/>
      <c r="AI4117" s="21"/>
      <c r="AJ4117" s="21"/>
      <c r="AK4117" s="21"/>
      <c r="AM4117" s="26" t="s">
        <v>38</v>
      </c>
    </row>
    <row r="4118" spans="34:39" x14ac:dyDescent="0.35">
      <c r="AH4118" s="21"/>
      <c r="AI4118" s="21"/>
      <c r="AJ4118" s="21"/>
      <c r="AK4118" s="21"/>
      <c r="AM4118" s="26" t="s">
        <v>38</v>
      </c>
    </row>
    <row r="4119" spans="34:39" x14ac:dyDescent="0.35">
      <c r="AH4119" s="21"/>
      <c r="AI4119" s="21"/>
      <c r="AJ4119" s="21"/>
      <c r="AK4119" s="21"/>
      <c r="AM4119" s="26" t="s">
        <v>38</v>
      </c>
    </row>
    <row r="4120" spans="34:39" x14ac:dyDescent="0.35">
      <c r="AH4120" s="21"/>
      <c r="AI4120" s="21"/>
      <c r="AJ4120" s="21"/>
      <c r="AK4120" s="21"/>
      <c r="AM4120" s="26" t="s">
        <v>38</v>
      </c>
    </row>
    <row r="4121" spans="34:39" x14ac:dyDescent="0.35">
      <c r="AH4121" s="21"/>
      <c r="AI4121" s="21"/>
      <c r="AJ4121" s="21"/>
      <c r="AK4121" s="21"/>
      <c r="AM4121" s="26" t="s">
        <v>38</v>
      </c>
    </row>
    <row r="4122" spans="34:39" x14ac:dyDescent="0.35">
      <c r="AH4122" s="21"/>
      <c r="AI4122" s="21"/>
      <c r="AJ4122" s="21"/>
      <c r="AK4122" s="21"/>
      <c r="AM4122" s="26" t="s">
        <v>38</v>
      </c>
    </row>
    <row r="4123" spans="34:39" x14ac:dyDescent="0.35">
      <c r="AH4123" s="21"/>
      <c r="AI4123" s="21"/>
      <c r="AJ4123" s="21"/>
      <c r="AK4123" s="21"/>
      <c r="AM4123" s="26" t="s">
        <v>38</v>
      </c>
    </row>
    <row r="4124" spans="34:39" x14ac:dyDescent="0.35">
      <c r="AH4124" s="21"/>
      <c r="AI4124" s="21"/>
      <c r="AJ4124" s="21"/>
      <c r="AK4124" s="21"/>
      <c r="AM4124" s="26" t="s">
        <v>38</v>
      </c>
    </row>
    <row r="4125" spans="34:39" x14ac:dyDescent="0.35">
      <c r="AH4125" s="21"/>
      <c r="AI4125" s="21"/>
      <c r="AJ4125" s="21"/>
      <c r="AK4125" s="21"/>
      <c r="AM4125" s="26" t="s">
        <v>38</v>
      </c>
    </row>
    <row r="4126" spans="34:39" x14ac:dyDescent="0.35">
      <c r="AH4126" s="21"/>
      <c r="AI4126" s="21"/>
      <c r="AJ4126" s="21"/>
      <c r="AK4126" s="21"/>
      <c r="AM4126" s="26" t="s">
        <v>38</v>
      </c>
    </row>
    <row r="4127" spans="34:39" x14ac:dyDescent="0.35">
      <c r="AH4127" s="21"/>
      <c r="AI4127" s="21"/>
      <c r="AJ4127" s="21"/>
      <c r="AK4127" s="21"/>
      <c r="AM4127" s="26" t="s">
        <v>38</v>
      </c>
    </row>
    <row r="4128" spans="34:39" x14ac:dyDescent="0.35">
      <c r="AH4128" s="21"/>
      <c r="AI4128" s="21"/>
      <c r="AJ4128" s="21"/>
      <c r="AK4128" s="21"/>
      <c r="AM4128" s="26" t="s">
        <v>38</v>
      </c>
    </row>
    <row r="4129" spans="34:39" x14ac:dyDescent="0.35">
      <c r="AH4129" s="21"/>
      <c r="AI4129" s="21"/>
      <c r="AJ4129" s="21"/>
      <c r="AK4129" s="21"/>
      <c r="AM4129" s="26" t="s">
        <v>38</v>
      </c>
    </row>
    <row r="4130" spans="34:39" x14ac:dyDescent="0.35">
      <c r="AH4130" s="21"/>
      <c r="AI4130" s="21"/>
      <c r="AJ4130" s="21"/>
      <c r="AK4130" s="21"/>
      <c r="AM4130" s="26" t="s">
        <v>38</v>
      </c>
    </row>
    <row r="4131" spans="34:39" x14ac:dyDescent="0.35">
      <c r="AH4131" s="21"/>
      <c r="AI4131" s="21"/>
      <c r="AJ4131" s="21"/>
      <c r="AK4131" s="21"/>
      <c r="AM4131" s="26" t="s">
        <v>38</v>
      </c>
    </row>
    <row r="4132" spans="34:39" x14ac:dyDescent="0.35">
      <c r="AH4132" s="21"/>
      <c r="AI4132" s="21"/>
      <c r="AJ4132" s="21"/>
      <c r="AK4132" s="21"/>
      <c r="AM4132" s="26" t="s">
        <v>38</v>
      </c>
    </row>
    <row r="4133" spans="34:39" x14ac:dyDescent="0.35">
      <c r="AH4133" s="21"/>
      <c r="AI4133" s="21"/>
      <c r="AJ4133" s="21"/>
      <c r="AK4133" s="21"/>
      <c r="AM4133" s="26" t="s">
        <v>38</v>
      </c>
    </row>
    <row r="4134" spans="34:39" x14ac:dyDescent="0.35">
      <c r="AH4134" s="21"/>
      <c r="AI4134" s="21"/>
      <c r="AJ4134" s="21"/>
      <c r="AK4134" s="21"/>
      <c r="AM4134" s="26" t="s">
        <v>38</v>
      </c>
    </row>
    <row r="4135" spans="34:39" x14ac:dyDescent="0.35">
      <c r="AH4135" s="21"/>
      <c r="AI4135" s="21"/>
      <c r="AJ4135" s="21"/>
      <c r="AK4135" s="21"/>
      <c r="AM4135" s="26" t="s">
        <v>38</v>
      </c>
    </row>
    <row r="4136" spans="34:39" x14ac:dyDescent="0.35">
      <c r="AH4136" s="21"/>
      <c r="AI4136" s="21"/>
      <c r="AJ4136" s="21"/>
      <c r="AK4136" s="21"/>
      <c r="AM4136" s="26" t="s">
        <v>38</v>
      </c>
    </row>
    <row r="4137" spans="34:39" x14ac:dyDescent="0.35">
      <c r="AH4137" s="21"/>
      <c r="AI4137" s="21"/>
      <c r="AJ4137" s="21"/>
      <c r="AK4137" s="21"/>
      <c r="AM4137" s="26" t="s">
        <v>38</v>
      </c>
    </row>
    <row r="4138" spans="34:39" x14ac:dyDescent="0.35">
      <c r="AH4138" s="21"/>
      <c r="AI4138" s="21"/>
      <c r="AJ4138" s="21"/>
      <c r="AK4138" s="21"/>
      <c r="AM4138" s="26" t="s">
        <v>38</v>
      </c>
    </row>
    <row r="4139" spans="34:39" x14ac:dyDescent="0.35">
      <c r="AH4139" s="21"/>
      <c r="AI4139" s="21"/>
      <c r="AJ4139" s="21"/>
      <c r="AK4139" s="21"/>
      <c r="AM4139" s="26" t="s">
        <v>38</v>
      </c>
    </row>
    <row r="4140" spans="34:39" x14ac:dyDescent="0.35">
      <c r="AH4140" s="21"/>
      <c r="AI4140" s="21"/>
      <c r="AJ4140" s="21"/>
      <c r="AK4140" s="21"/>
      <c r="AM4140" s="26" t="s">
        <v>38</v>
      </c>
    </row>
    <row r="4141" spans="34:39" x14ac:dyDescent="0.35">
      <c r="AH4141" s="21"/>
      <c r="AI4141" s="21"/>
      <c r="AJ4141" s="21"/>
      <c r="AK4141" s="21"/>
      <c r="AM4141" s="26" t="s">
        <v>38</v>
      </c>
    </row>
    <row r="4142" spans="34:39" x14ac:dyDescent="0.35">
      <c r="AH4142" s="21"/>
      <c r="AI4142" s="21"/>
      <c r="AJ4142" s="21"/>
      <c r="AK4142" s="21"/>
      <c r="AM4142" s="26" t="s">
        <v>38</v>
      </c>
    </row>
    <row r="4143" spans="34:39" x14ac:dyDescent="0.35">
      <c r="AH4143" s="21"/>
      <c r="AI4143" s="21"/>
      <c r="AJ4143" s="21"/>
      <c r="AK4143" s="21"/>
      <c r="AM4143" s="26" t="s">
        <v>38</v>
      </c>
    </row>
    <row r="4144" spans="34:39" x14ac:dyDescent="0.35">
      <c r="AH4144" s="21"/>
      <c r="AI4144" s="21"/>
      <c r="AJ4144" s="21"/>
      <c r="AK4144" s="21"/>
      <c r="AM4144" s="26" t="s">
        <v>38</v>
      </c>
    </row>
    <row r="4145" spans="34:39" x14ac:dyDescent="0.35">
      <c r="AH4145" s="21"/>
      <c r="AI4145" s="21"/>
      <c r="AJ4145" s="21"/>
      <c r="AK4145" s="21"/>
      <c r="AM4145" s="26" t="s">
        <v>38</v>
      </c>
    </row>
    <row r="4146" spans="34:39" x14ac:dyDescent="0.35">
      <c r="AH4146" s="21"/>
      <c r="AI4146" s="21"/>
      <c r="AJ4146" s="21"/>
      <c r="AK4146" s="21"/>
      <c r="AM4146" s="26" t="s">
        <v>38</v>
      </c>
    </row>
    <row r="4147" spans="34:39" x14ac:dyDescent="0.35">
      <c r="AH4147" s="21"/>
      <c r="AI4147" s="21"/>
      <c r="AJ4147" s="21"/>
      <c r="AK4147" s="21"/>
      <c r="AM4147" s="26" t="s">
        <v>38</v>
      </c>
    </row>
    <row r="4148" spans="34:39" x14ac:dyDescent="0.35">
      <c r="AH4148" s="21"/>
      <c r="AI4148" s="21"/>
      <c r="AJ4148" s="21"/>
      <c r="AK4148" s="21"/>
      <c r="AM4148" s="26" t="s">
        <v>38</v>
      </c>
    </row>
    <row r="4149" spans="34:39" x14ac:dyDescent="0.35">
      <c r="AH4149" s="21"/>
      <c r="AI4149" s="21"/>
      <c r="AJ4149" s="21"/>
      <c r="AK4149" s="21"/>
      <c r="AM4149" s="26" t="s">
        <v>38</v>
      </c>
    </row>
    <row r="4150" spans="34:39" x14ac:dyDescent="0.35">
      <c r="AH4150" s="21"/>
      <c r="AI4150" s="21"/>
      <c r="AJ4150" s="21"/>
      <c r="AK4150" s="21"/>
      <c r="AM4150" s="26" t="s">
        <v>38</v>
      </c>
    </row>
    <row r="4151" spans="34:39" x14ac:dyDescent="0.35">
      <c r="AH4151" s="21"/>
      <c r="AI4151" s="21"/>
      <c r="AJ4151" s="21"/>
      <c r="AK4151" s="21"/>
      <c r="AM4151" s="26" t="s">
        <v>38</v>
      </c>
    </row>
    <row r="4152" spans="34:39" x14ac:dyDescent="0.35">
      <c r="AH4152" s="21"/>
      <c r="AI4152" s="21"/>
      <c r="AJ4152" s="21"/>
      <c r="AK4152" s="21"/>
      <c r="AM4152" s="26" t="s">
        <v>38</v>
      </c>
    </row>
    <row r="4153" spans="34:39" x14ac:dyDescent="0.35">
      <c r="AH4153" s="21"/>
      <c r="AI4153" s="21"/>
      <c r="AJ4153" s="21"/>
      <c r="AK4153" s="21"/>
      <c r="AM4153" s="26" t="s">
        <v>38</v>
      </c>
    </row>
    <row r="4154" spans="34:39" x14ac:dyDescent="0.35">
      <c r="AH4154" s="21"/>
      <c r="AI4154" s="21"/>
      <c r="AJ4154" s="21"/>
      <c r="AK4154" s="21"/>
      <c r="AM4154" s="26" t="s">
        <v>38</v>
      </c>
    </row>
    <row r="4155" spans="34:39" x14ac:dyDescent="0.35">
      <c r="AH4155" s="21"/>
      <c r="AI4155" s="21"/>
      <c r="AJ4155" s="21"/>
      <c r="AK4155" s="21"/>
      <c r="AM4155" s="26" t="s">
        <v>38</v>
      </c>
    </row>
    <row r="4156" spans="34:39" x14ac:dyDescent="0.35">
      <c r="AH4156" s="21"/>
      <c r="AI4156" s="21"/>
      <c r="AJ4156" s="21"/>
      <c r="AK4156" s="21"/>
      <c r="AM4156" s="26" t="s">
        <v>38</v>
      </c>
    </row>
    <row r="4157" spans="34:39" x14ac:dyDescent="0.35">
      <c r="AH4157" s="21"/>
      <c r="AI4157" s="21"/>
      <c r="AJ4157" s="21"/>
      <c r="AK4157" s="21"/>
      <c r="AM4157" s="26" t="s">
        <v>38</v>
      </c>
    </row>
    <row r="4158" spans="34:39" x14ac:dyDescent="0.35">
      <c r="AH4158" s="21"/>
      <c r="AI4158" s="21"/>
      <c r="AJ4158" s="21"/>
      <c r="AK4158" s="21"/>
      <c r="AM4158" s="26" t="s">
        <v>38</v>
      </c>
    </row>
    <row r="4159" spans="34:39" x14ac:dyDescent="0.35">
      <c r="AH4159" s="21"/>
      <c r="AI4159" s="21"/>
      <c r="AJ4159" s="21"/>
      <c r="AK4159" s="21"/>
      <c r="AM4159" s="26" t="s">
        <v>38</v>
      </c>
    </row>
    <row r="4160" spans="34:39" x14ac:dyDescent="0.35">
      <c r="AH4160" s="21"/>
      <c r="AI4160" s="21"/>
      <c r="AJ4160" s="21"/>
      <c r="AK4160" s="21"/>
      <c r="AM4160" s="26" t="s">
        <v>38</v>
      </c>
    </row>
    <row r="4161" spans="34:39" x14ac:dyDescent="0.35">
      <c r="AH4161" s="21"/>
      <c r="AI4161" s="21"/>
      <c r="AJ4161" s="21"/>
      <c r="AK4161" s="21"/>
      <c r="AM4161" s="26" t="s">
        <v>38</v>
      </c>
    </row>
    <row r="4162" spans="34:39" x14ac:dyDescent="0.35">
      <c r="AH4162" s="21"/>
      <c r="AI4162" s="21"/>
      <c r="AJ4162" s="21"/>
      <c r="AK4162" s="21"/>
      <c r="AM4162" s="26" t="s">
        <v>38</v>
      </c>
    </row>
    <row r="4163" spans="34:39" x14ac:dyDescent="0.35">
      <c r="AH4163" s="21"/>
      <c r="AI4163" s="21"/>
      <c r="AJ4163" s="21"/>
      <c r="AK4163" s="21"/>
      <c r="AM4163" s="26" t="s">
        <v>38</v>
      </c>
    </row>
    <row r="4164" spans="34:39" x14ac:dyDescent="0.35">
      <c r="AH4164" s="21"/>
      <c r="AI4164" s="21"/>
      <c r="AJ4164" s="21"/>
      <c r="AK4164" s="21"/>
      <c r="AM4164" s="26" t="s">
        <v>38</v>
      </c>
    </row>
    <row r="4165" spans="34:39" x14ac:dyDescent="0.35">
      <c r="AH4165" s="21"/>
      <c r="AI4165" s="21"/>
      <c r="AJ4165" s="21"/>
      <c r="AK4165" s="21"/>
      <c r="AM4165" s="26" t="s">
        <v>38</v>
      </c>
    </row>
    <row r="4166" spans="34:39" x14ac:dyDescent="0.35">
      <c r="AH4166" s="21"/>
      <c r="AI4166" s="21"/>
      <c r="AJ4166" s="21"/>
      <c r="AK4166" s="21"/>
      <c r="AM4166" s="26" t="s">
        <v>38</v>
      </c>
    </row>
    <row r="4167" spans="34:39" x14ac:dyDescent="0.35">
      <c r="AH4167" s="21"/>
      <c r="AI4167" s="21"/>
      <c r="AJ4167" s="21"/>
      <c r="AK4167" s="21"/>
      <c r="AM4167" s="26" t="s">
        <v>38</v>
      </c>
    </row>
    <row r="4168" spans="34:39" x14ac:dyDescent="0.35">
      <c r="AH4168" s="21"/>
      <c r="AI4168" s="21"/>
      <c r="AJ4168" s="21"/>
      <c r="AK4168" s="21"/>
      <c r="AM4168" s="26" t="s">
        <v>38</v>
      </c>
    </row>
    <row r="4169" spans="34:39" x14ac:dyDescent="0.35">
      <c r="AH4169" s="21"/>
      <c r="AI4169" s="21"/>
      <c r="AJ4169" s="21"/>
      <c r="AK4169" s="21"/>
      <c r="AM4169" s="26" t="s">
        <v>38</v>
      </c>
    </row>
    <row r="4170" spans="34:39" x14ac:dyDescent="0.35">
      <c r="AH4170" s="21"/>
      <c r="AI4170" s="21"/>
      <c r="AJ4170" s="21"/>
      <c r="AK4170" s="21"/>
      <c r="AM4170" s="26" t="s">
        <v>38</v>
      </c>
    </row>
    <row r="4171" spans="34:39" x14ac:dyDescent="0.35">
      <c r="AH4171" s="21"/>
      <c r="AI4171" s="21"/>
      <c r="AJ4171" s="21"/>
      <c r="AK4171" s="21"/>
      <c r="AM4171" s="26" t="s">
        <v>38</v>
      </c>
    </row>
    <row r="4172" spans="34:39" x14ac:dyDescent="0.35">
      <c r="AH4172" s="21"/>
      <c r="AI4172" s="21"/>
      <c r="AJ4172" s="21"/>
      <c r="AK4172" s="21"/>
      <c r="AM4172" s="26" t="s">
        <v>38</v>
      </c>
    </row>
    <row r="4173" spans="34:39" x14ac:dyDescent="0.35">
      <c r="AH4173" s="21"/>
      <c r="AI4173" s="21"/>
      <c r="AJ4173" s="21"/>
      <c r="AK4173" s="21"/>
      <c r="AM4173" s="26" t="s">
        <v>38</v>
      </c>
    </row>
    <row r="4174" spans="34:39" x14ac:dyDescent="0.35">
      <c r="AH4174" s="21"/>
      <c r="AI4174" s="21"/>
      <c r="AJ4174" s="21"/>
      <c r="AK4174" s="21"/>
      <c r="AM4174" s="26" t="s">
        <v>38</v>
      </c>
    </row>
    <row r="4175" spans="34:39" x14ac:dyDescent="0.35">
      <c r="AH4175" s="21"/>
      <c r="AI4175" s="21"/>
      <c r="AJ4175" s="21"/>
      <c r="AK4175" s="21"/>
      <c r="AM4175" s="26" t="s">
        <v>38</v>
      </c>
    </row>
    <row r="4176" spans="34:39" x14ac:dyDescent="0.35">
      <c r="AH4176" s="21"/>
      <c r="AI4176" s="21"/>
      <c r="AJ4176" s="21"/>
      <c r="AK4176" s="21"/>
      <c r="AM4176" s="26" t="s">
        <v>38</v>
      </c>
    </row>
    <row r="4177" spans="34:39" x14ac:dyDescent="0.35">
      <c r="AH4177" s="21"/>
      <c r="AI4177" s="21"/>
      <c r="AJ4177" s="21"/>
      <c r="AK4177" s="21"/>
      <c r="AM4177" s="26" t="s">
        <v>38</v>
      </c>
    </row>
    <row r="4178" spans="34:39" x14ac:dyDescent="0.35">
      <c r="AH4178" s="21"/>
      <c r="AI4178" s="21"/>
      <c r="AJ4178" s="21"/>
      <c r="AK4178" s="21"/>
      <c r="AM4178" s="26" t="s">
        <v>38</v>
      </c>
    </row>
    <row r="4179" spans="34:39" x14ac:dyDescent="0.35">
      <c r="AH4179" s="21"/>
      <c r="AI4179" s="21"/>
      <c r="AJ4179" s="21"/>
      <c r="AK4179" s="21"/>
      <c r="AM4179" s="26" t="s">
        <v>38</v>
      </c>
    </row>
    <row r="4180" spans="34:39" x14ac:dyDescent="0.35">
      <c r="AH4180" s="21"/>
      <c r="AI4180" s="21"/>
      <c r="AJ4180" s="21"/>
      <c r="AK4180" s="21"/>
      <c r="AM4180" s="26" t="s">
        <v>38</v>
      </c>
    </row>
    <row r="4181" spans="34:39" x14ac:dyDescent="0.35">
      <c r="AH4181" s="21"/>
      <c r="AI4181" s="21"/>
      <c r="AJ4181" s="21"/>
      <c r="AK4181" s="21"/>
      <c r="AM4181" s="26" t="s">
        <v>38</v>
      </c>
    </row>
    <row r="4182" spans="34:39" x14ac:dyDescent="0.35">
      <c r="AH4182" s="21"/>
      <c r="AI4182" s="21"/>
      <c r="AJ4182" s="21"/>
      <c r="AK4182" s="21"/>
      <c r="AM4182" s="26" t="s">
        <v>38</v>
      </c>
    </row>
    <row r="4183" spans="34:39" x14ac:dyDescent="0.35">
      <c r="AH4183" s="21"/>
      <c r="AI4183" s="21"/>
      <c r="AJ4183" s="21"/>
      <c r="AK4183" s="21"/>
      <c r="AM4183" s="26" t="s">
        <v>38</v>
      </c>
    </row>
    <row r="4184" spans="34:39" x14ac:dyDescent="0.35">
      <c r="AH4184" s="21"/>
      <c r="AI4184" s="21"/>
      <c r="AJ4184" s="21"/>
      <c r="AK4184" s="21"/>
      <c r="AM4184" s="26" t="s">
        <v>38</v>
      </c>
    </row>
    <row r="4185" spans="34:39" x14ac:dyDescent="0.35">
      <c r="AH4185" s="21"/>
      <c r="AI4185" s="21"/>
      <c r="AJ4185" s="21"/>
      <c r="AK4185" s="21"/>
      <c r="AM4185" s="26" t="s">
        <v>38</v>
      </c>
    </row>
    <row r="4186" spans="34:39" x14ac:dyDescent="0.35">
      <c r="AH4186" s="21"/>
      <c r="AI4186" s="21"/>
      <c r="AJ4186" s="21"/>
      <c r="AK4186" s="21"/>
      <c r="AM4186" s="26" t="s">
        <v>38</v>
      </c>
    </row>
    <row r="4187" spans="34:39" x14ac:dyDescent="0.35">
      <c r="AH4187" s="21"/>
      <c r="AI4187" s="21"/>
      <c r="AJ4187" s="21"/>
      <c r="AK4187" s="21"/>
      <c r="AM4187" s="26" t="s">
        <v>38</v>
      </c>
    </row>
    <row r="4188" spans="34:39" x14ac:dyDescent="0.35">
      <c r="AH4188" s="21"/>
      <c r="AI4188" s="21"/>
      <c r="AJ4188" s="21"/>
      <c r="AK4188" s="21"/>
      <c r="AM4188" s="26" t="s">
        <v>38</v>
      </c>
    </row>
    <row r="4189" spans="34:39" x14ac:dyDescent="0.35">
      <c r="AH4189" s="21"/>
      <c r="AI4189" s="21"/>
      <c r="AJ4189" s="21"/>
      <c r="AK4189" s="21"/>
      <c r="AM4189" s="26" t="s">
        <v>38</v>
      </c>
    </row>
    <row r="4190" spans="34:39" x14ac:dyDescent="0.35">
      <c r="AH4190" s="21"/>
      <c r="AI4190" s="21"/>
      <c r="AJ4190" s="21"/>
      <c r="AK4190" s="21"/>
      <c r="AM4190" s="26" t="s">
        <v>38</v>
      </c>
    </row>
    <row r="4191" spans="34:39" x14ac:dyDescent="0.35">
      <c r="AH4191" s="21"/>
      <c r="AI4191" s="21"/>
      <c r="AJ4191" s="21"/>
      <c r="AK4191" s="21"/>
      <c r="AM4191" s="26" t="s">
        <v>38</v>
      </c>
    </row>
    <row r="4192" spans="34:39" x14ac:dyDescent="0.35">
      <c r="AH4192" s="21"/>
      <c r="AI4192" s="21"/>
      <c r="AJ4192" s="21"/>
      <c r="AK4192" s="21"/>
      <c r="AM4192" s="26" t="s">
        <v>38</v>
      </c>
    </row>
    <row r="4193" spans="34:39" x14ac:dyDescent="0.35">
      <c r="AH4193" s="21"/>
      <c r="AI4193" s="21"/>
      <c r="AJ4193" s="21"/>
      <c r="AK4193" s="21"/>
      <c r="AM4193" s="26" t="s">
        <v>38</v>
      </c>
    </row>
    <row r="4194" spans="34:39" x14ac:dyDescent="0.35">
      <c r="AH4194" s="21"/>
      <c r="AI4194" s="21"/>
      <c r="AJ4194" s="21"/>
      <c r="AK4194" s="21"/>
      <c r="AM4194" s="26" t="s">
        <v>38</v>
      </c>
    </row>
    <row r="4195" spans="34:39" x14ac:dyDescent="0.35">
      <c r="AH4195" s="21"/>
      <c r="AI4195" s="21"/>
      <c r="AJ4195" s="21"/>
      <c r="AK4195" s="21"/>
      <c r="AM4195" s="26" t="s">
        <v>38</v>
      </c>
    </row>
    <row r="4196" spans="34:39" x14ac:dyDescent="0.35">
      <c r="AH4196" s="21"/>
      <c r="AI4196" s="21"/>
      <c r="AJ4196" s="21"/>
      <c r="AK4196" s="21"/>
      <c r="AM4196" s="26" t="s">
        <v>38</v>
      </c>
    </row>
    <row r="4197" spans="34:39" x14ac:dyDescent="0.35">
      <c r="AH4197" s="21"/>
      <c r="AI4197" s="21"/>
      <c r="AJ4197" s="21"/>
      <c r="AK4197" s="21"/>
      <c r="AM4197" s="26" t="s">
        <v>38</v>
      </c>
    </row>
    <row r="4198" spans="34:39" x14ac:dyDescent="0.35">
      <c r="AH4198" s="21"/>
      <c r="AI4198" s="21"/>
      <c r="AJ4198" s="21"/>
      <c r="AK4198" s="21"/>
      <c r="AM4198" s="26" t="s">
        <v>38</v>
      </c>
    </row>
    <row r="4199" spans="34:39" x14ac:dyDescent="0.35">
      <c r="AH4199" s="21"/>
      <c r="AI4199" s="21"/>
      <c r="AJ4199" s="21"/>
      <c r="AK4199" s="21"/>
      <c r="AM4199" s="26" t="s">
        <v>38</v>
      </c>
    </row>
    <row r="4200" spans="34:39" x14ac:dyDescent="0.35">
      <c r="AH4200" s="21"/>
      <c r="AI4200" s="21"/>
      <c r="AJ4200" s="21"/>
      <c r="AK4200" s="21"/>
      <c r="AM4200" s="26" t="s">
        <v>38</v>
      </c>
    </row>
    <row r="4201" spans="34:39" x14ac:dyDescent="0.35">
      <c r="AH4201" s="21"/>
      <c r="AI4201" s="21"/>
      <c r="AJ4201" s="21"/>
      <c r="AK4201" s="21"/>
      <c r="AM4201" s="26" t="s">
        <v>38</v>
      </c>
    </row>
    <row r="4202" spans="34:39" x14ac:dyDescent="0.35">
      <c r="AH4202" s="21"/>
      <c r="AI4202" s="21"/>
      <c r="AJ4202" s="21"/>
      <c r="AK4202" s="21"/>
      <c r="AM4202" s="26" t="s">
        <v>38</v>
      </c>
    </row>
    <row r="4203" spans="34:39" x14ac:dyDescent="0.35">
      <c r="AH4203" s="21"/>
      <c r="AI4203" s="21"/>
      <c r="AJ4203" s="21"/>
      <c r="AK4203" s="21"/>
      <c r="AM4203" s="26" t="s">
        <v>38</v>
      </c>
    </row>
    <row r="4204" spans="34:39" x14ac:dyDescent="0.35">
      <c r="AH4204" s="21"/>
      <c r="AI4204" s="21"/>
      <c r="AJ4204" s="21"/>
      <c r="AK4204" s="21"/>
      <c r="AM4204" s="26" t="s">
        <v>38</v>
      </c>
    </row>
    <row r="4205" spans="34:39" x14ac:dyDescent="0.35">
      <c r="AH4205" s="21"/>
      <c r="AI4205" s="21"/>
      <c r="AJ4205" s="21"/>
      <c r="AK4205" s="21"/>
      <c r="AM4205" s="26" t="s">
        <v>38</v>
      </c>
    </row>
    <row r="4206" spans="34:39" x14ac:dyDescent="0.35">
      <c r="AH4206" s="21"/>
      <c r="AI4206" s="21"/>
      <c r="AJ4206" s="21"/>
      <c r="AK4206" s="21"/>
      <c r="AM4206" s="26" t="s">
        <v>38</v>
      </c>
    </row>
    <row r="4207" spans="34:39" x14ac:dyDescent="0.35">
      <c r="AH4207" s="21"/>
      <c r="AI4207" s="21"/>
      <c r="AJ4207" s="21"/>
      <c r="AK4207" s="21"/>
      <c r="AM4207" s="26" t="s">
        <v>38</v>
      </c>
    </row>
    <row r="4208" spans="34:39" x14ac:dyDescent="0.35">
      <c r="AH4208" s="21"/>
      <c r="AI4208" s="21"/>
      <c r="AJ4208" s="21"/>
      <c r="AK4208" s="21"/>
      <c r="AM4208" s="26" t="s">
        <v>38</v>
      </c>
    </row>
    <row r="4209" spans="34:39" x14ac:dyDescent="0.35">
      <c r="AH4209" s="21"/>
      <c r="AI4209" s="21"/>
      <c r="AJ4209" s="21"/>
      <c r="AK4209" s="21"/>
      <c r="AM4209" s="26" t="s">
        <v>38</v>
      </c>
    </row>
    <row r="4210" spans="34:39" x14ac:dyDescent="0.35">
      <c r="AH4210" s="21"/>
      <c r="AI4210" s="21"/>
      <c r="AJ4210" s="21"/>
      <c r="AK4210" s="21"/>
      <c r="AM4210" s="26" t="s">
        <v>38</v>
      </c>
    </row>
    <row r="4211" spans="34:39" x14ac:dyDescent="0.35">
      <c r="AH4211" s="21"/>
      <c r="AI4211" s="21"/>
      <c r="AJ4211" s="21"/>
      <c r="AK4211" s="21"/>
      <c r="AM4211" s="26" t="s">
        <v>38</v>
      </c>
    </row>
    <row r="4212" spans="34:39" x14ac:dyDescent="0.35">
      <c r="AH4212" s="21"/>
      <c r="AI4212" s="21"/>
      <c r="AJ4212" s="21"/>
      <c r="AK4212" s="21"/>
      <c r="AM4212" s="26" t="s">
        <v>38</v>
      </c>
    </row>
    <row r="4213" spans="34:39" x14ac:dyDescent="0.35">
      <c r="AH4213" s="21"/>
      <c r="AI4213" s="21"/>
      <c r="AJ4213" s="21"/>
      <c r="AK4213" s="21"/>
      <c r="AM4213" s="26" t="s">
        <v>38</v>
      </c>
    </row>
    <row r="4214" spans="34:39" x14ac:dyDescent="0.35">
      <c r="AH4214" s="21"/>
      <c r="AI4214" s="21"/>
      <c r="AJ4214" s="21"/>
      <c r="AK4214" s="21"/>
      <c r="AM4214" s="26" t="s">
        <v>38</v>
      </c>
    </row>
    <row r="4215" spans="34:39" x14ac:dyDescent="0.35">
      <c r="AH4215" s="21"/>
      <c r="AI4215" s="21"/>
      <c r="AJ4215" s="21"/>
      <c r="AK4215" s="21"/>
      <c r="AM4215" s="26" t="s">
        <v>38</v>
      </c>
    </row>
    <row r="4216" spans="34:39" x14ac:dyDescent="0.35">
      <c r="AH4216" s="21"/>
      <c r="AI4216" s="21"/>
      <c r="AJ4216" s="21"/>
      <c r="AK4216" s="21"/>
      <c r="AM4216" s="26" t="s">
        <v>38</v>
      </c>
    </row>
    <row r="4217" spans="34:39" x14ac:dyDescent="0.35">
      <c r="AH4217" s="21"/>
      <c r="AI4217" s="21"/>
      <c r="AJ4217" s="21"/>
      <c r="AK4217" s="21"/>
      <c r="AM4217" s="26" t="s">
        <v>38</v>
      </c>
    </row>
    <row r="4218" spans="34:39" x14ac:dyDescent="0.35">
      <c r="AH4218" s="21"/>
      <c r="AI4218" s="21"/>
      <c r="AJ4218" s="21"/>
      <c r="AK4218" s="21"/>
      <c r="AM4218" s="26" t="s">
        <v>38</v>
      </c>
    </row>
    <row r="4219" spans="34:39" x14ac:dyDescent="0.35">
      <c r="AH4219" s="21"/>
      <c r="AI4219" s="21"/>
      <c r="AJ4219" s="21"/>
      <c r="AK4219" s="21"/>
      <c r="AM4219" s="26" t="s">
        <v>38</v>
      </c>
    </row>
    <row r="4220" spans="34:39" x14ac:dyDescent="0.35">
      <c r="AH4220" s="21"/>
      <c r="AI4220" s="21"/>
      <c r="AJ4220" s="21"/>
      <c r="AK4220" s="21"/>
      <c r="AM4220" s="26" t="s">
        <v>38</v>
      </c>
    </row>
    <row r="4221" spans="34:39" x14ac:dyDescent="0.35">
      <c r="AH4221" s="21"/>
      <c r="AI4221" s="21"/>
      <c r="AJ4221" s="21"/>
      <c r="AK4221" s="21"/>
      <c r="AM4221" s="26" t="s">
        <v>38</v>
      </c>
    </row>
    <row r="4222" spans="34:39" x14ac:dyDescent="0.35">
      <c r="AH4222" s="21"/>
      <c r="AI4222" s="21"/>
      <c r="AJ4222" s="21"/>
      <c r="AK4222" s="21"/>
      <c r="AM4222" s="26" t="s">
        <v>38</v>
      </c>
    </row>
    <row r="4223" spans="34:39" x14ac:dyDescent="0.35">
      <c r="AH4223" s="21"/>
      <c r="AI4223" s="21"/>
      <c r="AJ4223" s="21"/>
      <c r="AK4223" s="21"/>
      <c r="AM4223" s="26" t="s">
        <v>38</v>
      </c>
    </row>
    <row r="4224" spans="34:39" x14ac:dyDescent="0.35">
      <c r="AH4224" s="21"/>
      <c r="AI4224" s="21"/>
      <c r="AJ4224" s="21"/>
      <c r="AK4224" s="21"/>
      <c r="AM4224" s="26" t="s">
        <v>38</v>
      </c>
    </row>
    <row r="4225" spans="34:39" x14ac:dyDescent="0.35">
      <c r="AH4225" s="21"/>
      <c r="AI4225" s="21"/>
      <c r="AJ4225" s="21"/>
      <c r="AK4225" s="21"/>
      <c r="AM4225" s="26" t="s">
        <v>38</v>
      </c>
    </row>
    <row r="4226" spans="34:39" x14ac:dyDescent="0.35">
      <c r="AH4226" s="21"/>
      <c r="AI4226" s="21"/>
      <c r="AJ4226" s="21"/>
      <c r="AK4226" s="21"/>
      <c r="AM4226" s="26" t="s">
        <v>38</v>
      </c>
    </row>
    <row r="4227" spans="34:39" x14ac:dyDescent="0.35">
      <c r="AH4227" s="21"/>
      <c r="AI4227" s="21"/>
      <c r="AJ4227" s="21"/>
      <c r="AK4227" s="21"/>
      <c r="AM4227" s="26" t="s">
        <v>38</v>
      </c>
    </row>
    <row r="4228" spans="34:39" x14ac:dyDescent="0.35">
      <c r="AH4228" s="21"/>
      <c r="AI4228" s="21"/>
      <c r="AJ4228" s="21"/>
      <c r="AK4228" s="21"/>
      <c r="AM4228" s="26" t="s">
        <v>38</v>
      </c>
    </row>
    <row r="4229" spans="34:39" x14ac:dyDescent="0.35">
      <c r="AH4229" s="21"/>
      <c r="AI4229" s="21"/>
      <c r="AJ4229" s="21"/>
      <c r="AK4229" s="21"/>
      <c r="AM4229" s="26" t="s">
        <v>38</v>
      </c>
    </row>
    <row r="4230" spans="34:39" x14ac:dyDescent="0.35">
      <c r="AH4230" s="21"/>
      <c r="AI4230" s="21"/>
      <c r="AJ4230" s="21"/>
      <c r="AK4230" s="21"/>
      <c r="AM4230" s="26" t="s">
        <v>38</v>
      </c>
    </row>
    <row r="4231" spans="34:39" x14ac:dyDescent="0.35">
      <c r="AH4231" s="21"/>
      <c r="AI4231" s="21"/>
      <c r="AJ4231" s="21"/>
      <c r="AK4231" s="21"/>
      <c r="AM4231" s="26" t="s">
        <v>38</v>
      </c>
    </row>
    <row r="4232" spans="34:39" x14ac:dyDescent="0.35">
      <c r="AH4232" s="21"/>
      <c r="AI4232" s="21"/>
      <c r="AJ4232" s="21"/>
      <c r="AK4232" s="21"/>
      <c r="AM4232" s="26" t="s">
        <v>38</v>
      </c>
    </row>
    <row r="4233" spans="34:39" x14ac:dyDescent="0.35">
      <c r="AH4233" s="21"/>
      <c r="AI4233" s="21"/>
      <c r="AJ4233" s="21"/>
      <c r="AK4233" s="21"/>
      <c r="AM4233" s="26" t="s">
        <v>38</v>
      </c>
    </row>
    <row r="4234" spans="34:39" x14ac:dyDescent="0.35">
      <c r="AH4234" s="21"/>
      <c r="AI4234" s="21"/>
      <c r="AJ4234" s="21"/>
      <c r="AK4234" s="21"/>
      <c r="AM4234" s="26" t="s">
        <v>38</v>
      </c>
    </row>
    <row r="4235" spans="34:39" x14ac:dyDescent="0.35">
      <c r="AH4235" s="21"/>
      <c r="AI4235" s="21"/>
      <c r="AJ4235" s="21"/>
      <c r="AK4235" s="21"/>
      <c r="AM4235" s="26" t="s">
        <v>38</v>
      </c>
    </row>
    <row r="4236" spans="34:39" x14ac:dyDescent="0.35">
      <c r="AH4236" s="21"/>
      <c r="AI4236" s="21"/>
      <c r="AJ4236" s="21"/>
      <c r="AK4236" s="21"/>
      <c r="AM4236" s="26" t="s">
        <v>38</v>
      </c>
    </row>
    <row r="4237" spans="34:39" x14ac:dyDescent="0.35">
      <c r="AH4237" s="21"/>
      <c r="AI4237" s="21"/>
      <c r="AJ4237" s="21"/>
      <c r="AK4237" s="21"/>
      <c r="AM4237" s="26" t="s">
        <v>38</v>
      </c>
    </row>
    <row r="4238" spans="34:39" x14ac:dyDescent="0.35">
      <c r="AH4238" s="21"/>
      <c r="AI4238" s="21"/>
      <c r="AJ4238" s="21"/>
      <c r="AK4238" s="21"/>
      <c r="AM4238" s="26" t="s">
        <v>38</v>
      </c>
    </row>
    <row r="4239" spans="34:39" x14ac:dyDescent="0.35">
      <c r="AH4239" s="21"/>
      <c r="AI4239" s="21"/>
      <c r="AJ4239" s="21"/>
      <c r="AK4239" s="21"/>
      <c r="AM4239" s="26" t="s">
        <v>38</v>
      </c>
    </row>
    <row r="4240" spans="34:39" x14ac:dyDescent="0.35">
      <c r="AH4240" s="21"/>
      <c r="AI4240" s="21"/>
      <c r="AJ4240" s="21"/>
      <c r="AK4240" s="21"/>
      <c r="AM4240" s="26" t="s">
        <v>38</v>
      </c>
    </row>
    <row r="4241" spans="34:39" x14ac:dyDescent="0.35">
      <c r="AH4241" s="21"/>
      <c r="AI4241" s="21"/>
      <c r="AJ4241" s="21"/>
      <c r="AK4241" s="21"/>
      <c r="AM4241" s="26" t="s">
        <v>38</v>
      </c>
    </row>
    <row r="4242" spans="34:39" x14ac:dyDescent="0.35">
      <c r="AH4242" s="21"/>
      <c r="AI4242" s="21"/>
      <c r="AJ4242" s="21"/>
      <c r="AK4242" s="21"/>
      <c r="AM4242" s="26" t="s">
        <v>38</v>
      </c>
    </row>
    <row r="4243" spans="34:39" x14ac:dyDescent="0.35">
      <c r="AH4243" s="21"/>
      <c r="AI4243" s="21"/>
      <c r="AJ4243" s="21"/>
      <c r="AK4243" s="21"/>
      <c r="AM4243" s="26" t="s">
        <v>38</v>
      </c>
    </row>
    <row r="4244" spans="34:39" x14ac:dyDescent="0.35">
      <c r="AH4244" s="21"/>
      <c r="AI4244" s="21"/>
      <c r="AJ4244" s="21"/>
      <c r="AK4244" s="21"/>
      <c r="AM4244" s="26" t="s">
        <v>38</v>
      </c>
    </row>
    <row r="4245" spans="34:39" x14ac:dyDescent="0.35">
      <c r="AH4245" s="21"/>
      <c r="AI4245" s="21"/>
      <c r="AJ4245" s="21"/>
      <c r="AK4245" s="21"/>
      <c r="AM4245" s="26" t="s">
        <v>38</v>
      </c>
    </row>
    <row r="4246" spans="34:39" x14ac:dyDescent="0.35">
      <c r="AH4246" s="21"/>
      <c r="AI4246" s="21"/>
      <c r="AJ4246" s="21"/>
      <c r="AK4246" s="21"/>
      <c r="AM4246" s="26" t="s">
        <v>38</v>
      </c>
    </row>
    <row r="4247" spans="34:39" x14ac:dyDescent="0.35">
      <c r="AH4247" s="21"/>
      <c r="AI4247" s="21"/>
      <c r="AJ4247" s="21"/>
      <c r="AK4247" s="21"/>
      <c r="AM4247" s="26" t="s">
        <v>38</v>
      </c>
    </row>
    <row r="4248" spans="34:39" x14ac:dyDescent="0.35">
      <c r="AH4248" s="21"/>
      <c r="AI4248" s="21"/>
      <c r="AJ4248" s="21"/>
      <c r="AK4248" s="21"/>
      <c r="AM4248" s="26" t="s">
        <v>38</v>
      </c>
    </row>
    <row r="4249" spans="34:39" x14ac:dyDescent="0.35">
      <c r="AH4249" s="21"/>
      <c r="AI4249" s="21"/>
      <c r="AJ4249" s="21"/>
      <c r="AK4249" s="21"/>
      <c r="AM4249" s="26" t="s">
        <v>38</v>
      </c>
    </row>
    <row r="4250" spans="34:39" x14ac:dyDescent="0.35">
      <c r="AH4250" s="21"/>
      <c r="AI4250" s="21"/>
      <c r="AJ4250" s="21"/>
      <c r="AK4250" s="21"/>
      <c r="AM4250" s="26" t="s">
        <v>38</v>
      </c>
    </row>
    <row r="4251" spans="34:39" x14ac:dyDescent="0.35">
      <c r="AH4251" s="21"/>
      <c r="AI4251" s="21"/>
      <c r="AJ4251" s="21"/>
      <c r="AK4251" s="21"/>
      <c r="AM4251" s="26" t="s">
        <v>38</v>
      </c>
    </row>
    <row r="4252" spans="34:39" x14ac:dyDescent="0.35">
      <c r="AH4252" s="21"/>
      <c r="AI4252" s="21"/>
      <c r="AJ4252" s="21"/>
      <c r="AK4252" s="21"/>
      <c r="AM4252" s="26" t="s">
        <v>38</v>
      </c>
    </row>
    <row r="4253" spans="34:39" x14ac:dyDescent="0.35">
      <c r="AH4253" s="21"/>
      <c r="AI4253" s="21"/>
      <c r="AJ4253" s="21"/>
      <c r="AK4253" s="21"/>
      <c r="AM4253" s="26" t="s">
        <v>38</v>
      </c>
    </row>
    <row r="4254" spans="34:39" x14ac:dyDescent="0.35">
      <c r="AH4254" s="21"/>
      <c r="AI4254" s="21"/>
      <c r="AJ4254" s="21"/>
      <c r="AK4254" s="21"/>
      <c r="AM4254" s="26" t="s">
        <v>38</v>
      </c>
    </row>
    <row r="4255" spans="34:39" x14ac:dyDescent="0.35">
      <c r="AH4255" s="21"/>
      <c r="AI4255" s="21"/>
      <c r="AJ4255" s="21"/>
      <c r="AK4255" s="21"/>
      <c r="AM4255" s="26" t="s">
        <v>38</v>
      </c>
    </row>
    <row r="4256" spans="34:39" x14ac:dyDescent="0.35">
      <c r="AH4256" s="21"/>
      <c r="AI4256" s="21"/>
      <c r="AJ4256" s="21"/>
      <c r="AK4256" s="21"/>
      <c r="AM4256" s="26" t="s">
        <v>38</v>
      </c>
    </row>
    <row r="4257" spans="34:39" x14ac:dyDescent="0.35">
      <c r="AH4257" s="21"/>
      <c r="AI4257" s="21"/>
      <c r="AJ4257" s="21"/>
      <c r="AK4257" s="21"/>
      <c r="AM4257" s="26" t="s">
        <v>38</v>
      </c>
    </row>
    <row r="4258" spans="34:39" x14ac:dyDescent="0.35">
      <c r="AH4258" s="21"/>
      <c r="AI4258" s="21"/>
      <c r="AJ4258" s="21"/>
      <c r="AK4258" s="21"/>
      <c r="AM4258" s="26" t="s">
        <v>38</v>
      </c>
    </row>
    <row r="4259" spans="34:39" x14ac:dyDescent="0.35">
      <c r="AH4259" s="21"/>
      <c r="AI4259" s="21"/>
      <c r="AJ4259" s="21"/>
      <c r="AK4259" s="21"/>
      <c r="AM4259" s="26" t="s">
        <v>38</v>
      </c>
    </row>
    <row r="4260" spans="34:39" x14ac:dyDescent="0.35">
      <c r="AH4260" s="21"/>
      <c r="AI4260" s="21"/>
      <c r="AJ4260" s="21"/>
      <c r="AK4260" s="21"/>
      <c r="AM4260" s="26" t="s">
        <v>38</v>
      </c>
    </row>
    <row r="4261" spans="34:39" x14ac:dyDescent="0.35">
      <c r="AH4261" s="21"/>
      <c r="AI4261" s="21"/>
      <c r="AJ4261" s="21"/>
      <c r="AK4261" s="21"/>
      <c r="AM4261" s="26" t="s">
        <v>38</v>
      </c>
    </row>
    <row r="4262" spans="34:39" x14ac:dyDescent="0.35">
      <c r="AH4262" s="21"/>
      <c r="AI4262" s="21"/>
      <c r="AJ4262" s="21"/>
      <c r="AK4262" s="21"/>
      <c r="AM4262" s="26" t="s">
        <v>38</v>
      </c>
    </row>
    <row r="4263" spans="34:39" x14ac:dyDescent="0.35">
      <c r="AH4263" s="21"/>
      <c r="AI4263" s="21"/>
      <c r="AJ4263" s="21"/>
      <c r="AK4263" s="21"/>
      <c r="AM4263" s="26" t="s">
        <v>38</v>
      </c>
    </row>
    <row r="4264" spans="34:39" x14ac:dyDescent="0.35">
      <c r="AH4264" s="21"/>
      <c r="AI4264" s="21"/>
      <c r="AJ4264" s="21"/>
      <c r="AK4264" s="21"/>
      <c r="AM4264" s="26" t="s">
        <v>38</v>
      </c>
    </row>
    <row r="4265" spans="34:39" x14ac:dyDescent="0.35">
      <c r="AH4265" s="21"/>
      <c r="AI4265" s="21"/>
      <c r="AJ4265" s="21"/>
      <c r="AK4265" s="21"/>
      <c r="AM4265" s="26" t="s">
        <v>38</v>
      </c>
    </row>
    <row r="4266" spans="34:39" x14ac:dyDescent="0.35">
      <c r="AH4266" s="21"/>
      <c r="AI4266" s="21"/>
      <c r="AJ4266" s="21"/>
      <c r="AK4266" s="21"/>
      <c r="AM4266" s="26" t="s">
        <v>38</v>
      </c>
    </row>
    <row r="4267" spans="34:39" x14ac:dyDescent="0.35">
      <c r="AH4267" s="21"/>
      <c r="AI4267" s="21"/>
      <c r="AJ4267" s="21"/>
      <c r="AK4267" s="21"/>
      <c r="AM4267" s="26" t="s">
        <v>38</v>
      </c>
    </row>
    <row r="4268" spans="34:39" x14ac:dyDescent="0.35">
      <c r="AH4268" s="21"/>
      <c r="AI4268" s="21"/>
      <c r="AJ4268" s="21"/>
      <c r="AK4268" s="21"/>
      <c r="AM4268" s="26" t="s">
        <v>38</v>
      </c>
    </row>
    <row r="4269" spans="34:39" x14ac:dyDescent="0.35">
      <c r="AH4269" s="21"/>
      <c r="AI4269" s="21"/>
      <c r="AJ4269" s="21"/>
      <c r="AK4269" s="21"/>
      <c r="AM4269" s="26" t="s">
        <v>38</v>
      </c>
    </row>
    <row r="4270" spans="34:39" x14ac:dyDescent="0.35">
      <c r="AH4270" s="21"/>
      <c r="AI4270" s="21"/>
      <c r="AJ4270" s="21"/>
      <c r="AK4270" s="21"/>
      <c r="AM4270" s="26" t="s">
        <v>38</v>
      </c>
    </row>
    <row r="4271" spans="34:39" x14ac:dyDescent="0.35">
      <c r="AH4271" s="21"/>
      <c r="AI4271" s="21"/>
      <c r="AJ4271" s="21"/>
      <c r="AK4271" s="21"/>
      <c r="AM4271" s="26" t="s">
        <v>38</v>
      </c>
    </row>
    <row r="4272" spans="34:39" x14ac:dyDescent="0.35">
      <c r="AH4272" s="21"/>
      <c r="AI4272" s="21"/>
      <c r="AJ4272" s="21"/>
      <c r="AK4272" s="21"/>
      <c r="AM4272" s="26" t="s">
        <v>38</v>
      </c>
    </row>
    <row r="4273" spans="34:39" x14ac:dyDescent="0.35">
      <c r="AH4273" s="21"/>
      <c r="AI4273" s="21"/>
      <c r="AJ4273" s="21"/>
      <c r="AK4273" s="21"/>
      <c r="AM4273" s="26" t="s">
        <v>38</v>
      </c>
    </row>
    <row r="4274" spans="34:39" x14ac:dyDescent="0.35">
      <c r="AH4274" s="21"/>
      <c r="AI4274" s="21"/>
      <c r="AJ4274" s="21"/>
      <c r="AK4274" s="21"/>
      <c r="AM4274" s="26" t="s">
        <v>38</v>
      </c>
    </row>
    <row r="4275" spans="34:39" x14ac:dyDescent="0.35">
      <c r="AH4275" s="21"/>
      <c r="AI4275" s="21"/>
      <c r="AJ4275" s="21"/>
      <c r="AK4275" s="21"/>
      <c r="AM4275" s="26" t="s">
        <v>38</v>
      </c>
    </row>
    <row r="4276" spans="34:39" x14ac:dyDescent="0.35">
      <c r="AH4276" s="21"/>
      <c r="AI4276" s="21"/>
      <c r="AJ4276" s="21"/>
      <c r="AK4276" s="21"/>
      <c r="AM4276" s="26" t="s">
        <v>38</v>
      </c>
    </row>
    <row r="4277" spans="34:39" x14ac:dyDescent="0.35">
      <c r="AH4277" s="21"/>
      <c r="AI4277" s="21"/>
      <c r="AJ4277" s="21"/>
      <c r="AK4277" s="21"/>
      <c r="AM4277" s="26" t="s">
        <v>38</v>
      </c>
    </row>
    <row r="4278" spans="34:39" x14ac:dyDescent="0.35">
      <c r="AH4278" s="21"/>
      <c r="AI4278" s="21"/>
      <c r="AJ4278" s="21"/>
      <c r="AK4278" s="21"/>
      <c r="AM4278" s="26" t="s">
        <v>38</v>
      </c>
    </row>
    <row r="4279" spans="34:39" x14ac:dyDescent="0.35">
      <c r="AH4279" s="21"/>
      <c r="AI4279" s="21"/>
      <c r="AJ4279" s="21"/>
      <c r="AK4279" s="21"/>
      <c r="AM4279" s="26" t="s">
        <v>38</v>
      </c>
    </row>
    <row r="4280" spans="34:39" x14ac:dyDescent="0.35">
      <c r="AH4280" s="21"/>
      <c r="AI4280" s="21"/>
      <c r="AJ4280" s="21"/>
      <c r="AK4280" s="21"/>
      <c r="AM4280" s="26" t="s">
        <v>38</v>
      </c>
    </row>
    <row r="4281" spans="34:39" x14ac:dyDescent="0.35">
      <c r="AH4281" s="21"/>
      <c r="AI4281" s="21"/>
      <c r="AJ4281" s="21"/>
      <c r="AK4281" s="21"/>
      <c r="AM4281" s="26" t="s">
        <v>38</v>
      </c>
    </row>
    <row r="4282" spans="34:39" x14ac:dyDescent="0.35">
      <c r="AH4282" s="21"/>
      <c r="AI4282" s="21"/>
      <c r="AJ4282" s="21"/>
      <c r="AK4282" s="21"/>
      <c r="AM4282" s="26" t="s">
        <v>38</v>
      </c>
    </row>
    <row r="4283" spans="34:39" x14ac:dyDescent="0.35">
      <c r="AH4283" s="21"/>
      <c r="AI4283" s="21"/>
      <c r="AJ4283" s="21"/>
      <c r="AK4283" s="21"/>
      <c r="AM4283" s="26" t="s">
        <v>38</v>
      </c>
    </row>
    <row r="4284" spans="34:39" x14ac:dyDescent="0.35">
      <c r="AH4284" s="21"/>
      <c r="AI4284" s="21"/>
      <c r="AJ4284" s="21"/>
      <c r="AK4284" s="21"/>
      <c r="AM4284" s="26" t="s">
        <v>38</v>
      </c>
    </row>
    <row r="4285" spans="34:39" x14ac:dyDescent="0.35">
      <c r="AH4285" s="21"/>
      <c r="AI4285" s="21"/>
      <c r="AJ4285" s="21"/>
      <c r="AK4285" s="21"/>
      <c r="AM4285" s="26" t="s">
        <v>38</v>
      </c>
    </row>
    <row r="4286" spans="34:39" x14ac:dyDescent="0.35">
      <c r="AH4286" s="21"/>
      <c r="AI4286" s="21"/>
      <c r="AJ4286" s="21"/>
      <c r="AK4286" s="21"/>
      <c r="AM4286" s="26" t="s">
        <v>38</v>
      </c>
    </row>
    <row r="4287" spans="34:39" x14ac:dyDescent="0.35">
      <c r="AH4287" s="21"/>
      <c r="AI4287" s="21"/>
      <c r="AJ4287" s="21"/>
      <c r="AK4287" s="21"/>
      <c r="AM4287" s="26" t="s">
        <v>38</v>
      </c>
    </row>
    <row r="4288" spans="34:39" x14ac:dyDescent="0.35">
      <c r="AH4288" s="21"/>
      <c r="AI4288" s="21"/>
      <c r="AJ4288" s="21"/>
      <c r="AK4288" s="21"/>
      <c r="AM4288" s="26" t="s">
        <v>38</v>
      </c>
    </row>
    <row r="4289" spans="34:39" x14ac:dyDescent="0.35">
      <c r="AH4289" s="21"/>
      <c r="AI4289" s="21"/>
      <c r="AJ4289" s="21"/>
      <c r="AK4289" s="21"/>
      <c r="AM4289" s="26" t="s">
        <v>38</v>
      </c>
    </row>
    <row r="4290" spans="34:39" x14ac:dyDescent="0.35">
      <c r="AH4290" s="21"/>
      <c r="AI4290" s="21"/>
      <c r="AJ4290" s="21"/>
      <c r="AK4290" s="21"/>
      <c r="AM4290" s="26" t="s">
        <v>38</v>
      </c>
    </row>
    <row r="4291" spans="34:39" x14ac:dyDescent="0.35">
      <c r="AH4291" s="21"/>
      <c r="AI4291" s="21"/>
      <c r="AJ4291" s="21"/>
      <c r="AK4291" s="21"/>
      <c r="AM4291" s="26" t="s">
        <v>38</v>
      </c>
    </row>
    <row r="4292" spans="34:39" x14ac:dyDescent="0.35">
      <c r="AH4292" s="21"/>
      <c r="AI4292" s="21"/>
      <c r="AJ4292" s="21"/>
      <c r="AK4292" s="21"/>
      <c r="AM4292" s="26" t="s">
        <v>38</v>
      </c>
    </row>
    <row r="4293" spans="34:39" x14ac:dyDescent="0.35">
      <c r="AH4293" s="21"/>
      <c r="AI4293" s="21"/>
      <c r="AJ4293" s="21"/>
      <c r="AK4293" s="21"/>
      <c r="AM4293" s="26" t="s">
        <v>38</v>
      </c>
    </row>
    <row r="4294" spans="34:39" x14ac:dyDescent="0.35">
      <c r="AH4294" s="21"/>
      <c r="AI4294" s="21"/>
      <c r="AJ4294" s="21"/>
      <c r="AK4294" s="21"/>
      <c r="AM4294" s="26" t="s">
        <v>38</v>
      </c>
    </row>
    <row r="4295" spans="34:39" x14ac:dyDescent="0.35">
      <c r="AH4295" s="21"/>
      <c r="AI4295" s="21"/>
      <c r="AJ4295" s="21"/>
      <c r="AK4295" s="21"/>
      <c r="AM4295" s="26" t="s">
        <v>38</v>
      </c>
    </row>
    <row r="4296" spans="34:39" x14ac:dyDescent="0.35">
      <c r="AH4296" s="21"/>
      <c r="AI4296" s="21"/>
      <c r="AJ4296" s="21"/>
      <c r="AK4296" s="21"/>
      <c r="AM4296" s="26" t="s">
        <v>38</v>
      </c>
    </row>
    <row r="4297" spans="34:39" x14ac:dyDescent="0.35">
      <c r="AH4297" s="21"/>
      <c r="AI4297" s="21"/>
      <c r="AJ4297" s="21"/>
      <c r="AK4297" s="21"/>
      <c r="AM4297" s="26" t="s">
        <v>38</v>
      </c>
    </row>
    <row r="4298" spans="34:39" x14ac:dyDescent="0.35">
      <c r="AH4298" s="21"/>
      <c r="AI4298" s="21"/>
      <c r="AJ4298" s="21"/>
      <c r="AK4298" s="21"/>
      <c r="AM4298" s="26" t="s">
        <v>38</v>
      </c>
    </row>
    <row r="4299" spans="34:39" x14ac:dyDescent="0.35">
      <c r="AH4299" s="21"/>
      <c r="AI4299" s="21"/>
      <c r="AJ4299" s="21"/>
      <c r="AK4299" s="21"/>
      <c r="AM4299" s="26" t="s">
        <v>38</v>
      </c>
    </row>
    <row r="4300" spans="34:39" x14ac:dyDescent="0.35">
      <c r="AH4300" s="21"/>
      <c r="AI4300" s="21"/>
      <c r="AJ4300" s="21"/>
      <c r="AK4300" s="21"/>
      <c r="AM4300" s="26" t="s">
        <v>38</v>
      </c>
    </row>
    <row r="4301" spans="34:39" x14ac:dyDescent="0.35">
      <c r="AH4301" s="21"/>
      <c r="AI4301" s="21"/>
      <c r="AJ4301" s="21"/>
      <c r="AK4301" s="21"/>
      <c r="AM4301" s="26" t="s">
        <v>38</v>
      </c>
    </row>
    <row r="4302" spans="34:39" x14ac:dyDescent="0.35">
      <c r="AH4302" s="21"/>
      <c r="AI4302" s="21"/>
      <c r="AJ4302" s="21"/>
      <c r="AK4302" s="21"/>
      <c r="AM4302" s="26" t="s">
        <v>38</v>
      </c>
    </row>
    <row r="4303" spans="34:39" x14ac:dyDescent="0.35">
      <c r="AH4303" s="21"/>
      <c r="AI4303" s="21"/>
      <c r="AJ4303" s="21"/>
      <c r="AK4303" s="21"/>
      <c r="AM4303" s="26" t="s">
        <v>38</v>
      </c>
    </row>
    <row r="4304" spans="34:39" x14ac:dyDescent="0.35">
      <c r="AH4304" s="21"/>
      <c r="AI4304" s="21"/>
      <c r="AJ4304" s="21"/>
      <c r="AK4304" s="21"/>
      <c r="AM4304" s="26" t="s">
        <v>38</v>
      </c>
    </row>
    <row r="4305" spans="34:39" x14ac:dyDescent="0.35">
      <c r="AH4305" s="21"/>
      <c r="AI4305" s="21"/>
      <c r="AJ4305" s="21"/>
      <c r="AK4305" s="21"/>
      <c r="AM4305" s="26" t="s">
        <v>38</v>
      </c>
    </row>
    <row r="4306" spans="34:39" x14ac:dyDescent="0.35">
      <c r="AH4306" s="21"/>
      <c r="AI4306" s="21"/>
      <c r="AJ4306" s="21"/>
      <c r="AK4306" s="21"/>
      <c r="AM4306" s="26" t="s">
        <v>38</v>
      </c>
    </row>
    <row r="4307" spans="34:39" x14ac:dyDescent="0.35">
      <c r="AH4307" s="21"/>
      <c r="AI4307" s="21"/>
      <c r="AJ4307" s="21"/>
      <c r="AK4307" s="21"/>
      <c r="AM4307" s="26" t="s">
        <v>38</v>
      </c>
    </row>
    <row r="4308" spans="34:39" x14ac:dyDescent="0.35">
      <c r="AH4308" s="21"/>
      <c r="AI4308" s="21"/>
      <c r="AJ4308" s="21"/>
      <c r="AK4308" s="21"/>
      <c r="AM4308" s="26" t="s">
        <v>38</v>
      </c>
    </row>
    <row r="4309" spans="34:39" x14ac:dyDescent="0.35">
      <c r="AH4309" s="21"/>
      <c r="AI4309" s="21"/>
      <c r="AJ4309" s="21"/>
      <c r="AK4309" s="21"/>
      <c r="AM4309" s="26" t="s">
        <v>38</v>
      </c>
    </row>
    <row r="4310" spans="34:39" x14ac:dyDescent="0.35">
      <c r="AH4310" s="21"/>
      <c r="AI4310" s="21"/>
      <c r="AJ4310" s="21"/>
      <c r="AK4310" s="21"/>
      <c r="AM4310" s="26" t="s">
        <v>38</v>
      </c>
    </row>
    <row r="4311" spans="34:39" x14ac:dyDescent="0.35">
      <c r="AH4311" s="21"/>
      <c r="AI4311" s="21"/>
      <c r="AJ4311" s="21"/>
      <c r="AK4311" s="21"/>
      <c r="AM4311" s="26" t="s">
        <v>38</v>
      </c>
    </row>
    <row r="4312" spans="34:39" x14ac:dyDescent="0.35">
      <c r="AH4312" s="21"/>
      <c r="AI4312" s="21"/>
      <c r="AJ4312" s="21"/>
      <c r="AK4312" s="21"/>
      <c r="AM4312" s="26" t="s">
        <v>38</v>
      </c>
    </row>
    <row r="4313" spans="34:39" x14ac:dyDescent="0.35">
      <c r="AH4313" s="21"/>
      <c r="AI4313" s="21"/>
      <c r="AJ4313" s="21"/>
      <c r="AK4313" s="21"/>
      <c r="AM4313" s="26" t="s">
        <v>38</v>
      </c>
    </row>
    <row r="4314" spans="34:39" x14ac:dyDescent="0.35">
      <c r="AH4314" s="21"/>
      <c r="AI4314" s="21"/>
      <c r="AJ4314" s="21"/>
      <c r="AK4314" s="21"/>
      <c r="AM4314" s="26" t="s">
        <v>38</v>
      </c>
    </row>
    <row r="4315" spans="34:39" x14ac:dyDescent="0.35">
      <c r="AH4315" s="21"/>
      <c r="AI4315" s="21"/>
      <c r="AJ4315" s="21"/>
      <c r="AK4315" s="21"/>
      <c r="AM4315" s="26" t="s">
        <v>38</v>
      </c>
    </row>
    <row r="4316" spans="34:39" x14ac:dyDescent="0.35">
      <c r="AH4316" s="21"/>
      <c r="AI4316" s="21"/>
      <c r="AJ4316" s="21"/>
      <c r="AK4316" s="21"/>
      <c r="AM4316" s="26" t="s">
        <v>38</v>
      </c>
    </row>
    <row r="4317" spans="34:39" x14ac:dyDescent="0.35">
      <c r="AH4317" s="21"/>
      <c r="AI4317" s="21"/>
      <c r="AJ4317" s="21"/>
      <c r="AK4317" s="21"/>
      <c r="AM4317" s="26" t="s">
        <v>38</v>
      </c>
    </row>
    <row r="4318" spans="34:39" x14ac:dyDescent="0.35">
      <c r="AH4318" s="21"/>
      <c r="AI4318" s="21"/>
      <c r="AJ4318" s="21"/>
      <c r="AK4318" s="21"/>
      <c r="AM4318" s="26" t="s">
        <v>38</v>
      </c>
    </row>
    <row r="4319" spans="34:39" x14ac:dyDescent="0.35">
      <c r="AH4319" s="21"/>
      <c r="AI4319" s="21"/>
      <c r="AJ4319" s="21"/>
      <c r="AK4319" s="21"/>
      <c r="AM4319" s="26" t="s">
        <v>38</v>
      </c>
    </row>
    <row r="4320" spans="34:39" x14ac:dyDescent="0.35">
      <c r="AH4320" s="21"/>
      <c r="AI4320" s="21"/>
      <c r="AJ4320" s="21"/>
      <c r="AK4320" s="21"/>
      <c r="AM4320" s="26" t="s">
        <v>38</v>
      </c>
    </row>
    <row r="4321" spans="34:39" x14ac:dyDescent="0.35">
      <c r="AH4321" s="21"/>
      <c r="AI4321" s="21"/>
      <c r="AJ4321" s="21"/>
      <c r="AK4321" s="21"/>
      <c r="AM4321" s="26" t="s">
        <v>38</v>
      </c>
    </row>
    <row r="4322" spans="34:39" x14ac:dyDescent="0.35">
      <c r="AH4322" s="21"/>
      <c r="AI4322" s="21"/>
      <c r="AJ4322" s="21"/>
      <c r="AK4322" s="21"/>
      <c r="AM4322" s="26" t="s">
        <v>38</v>
      </c>
    </row>
    <row r="4323" spans="34:39" x14ac:dyDescent="0.35">
      <c r="AH4323" s="21"/>
      <c r="AI4323" s="21"/>
      <c r="AJ4323" s="21"/>
      <c r="AK4323" s="21"/>
      <c r="AM4323" s="26" t="s">
        <v>38</v>
      </c>
    </row>
    <row r="4324" spans="34:39" x14ac:dyDescent="0.35">
      <c r="AH4324" s="21"/>
      <c r="AI4324" s="21"/>
      <c r="AJ4324" s="21"/>
      <c r="AK4324" s="21"/>
      <c r="AM4324" s="26" t="s">
        <v>38</v>
      </c>
    </row>
    <row r="4325" spans="34:39" x14ac:dyDescent="0.35">
      <c r="AH4325" s="21"/>
      <c r="AI4325" s="21"/>
      <c r="AJ4325" s="21"/>
      <c r="AK4325" s="21"/>
      <c r="AM4325" s="26" t="s">
        <v>38</v>
      </c>
    </row>
    <row r="4326" spans="34:39" x14ac:dyDescent="0.35">
      <c r="AH4326" s="21"/>
      <c r="AI4326" s="21"/>
      <c r="AJ4326" s="21"/>
      <c r="AK4326" s="21"/>
      <c r="AM4326" s="26" t="s">
        <v>38</v>
      </c>
    </row>
    <row r="4327" spans="34:39" x14ac:dyDescent="0.35">
      <c r="AH4327" s="21"/>
      <c r="AI4327" s="21"/>
      <c r="AJ4327" s="21"/>
      <c r="AK4327" s="21"/>
      <c r="AM4327" s="26" t="s">
        <v>38</v>
      </c>
    </row>
    <row r="4328" spans="34:39" x14ac:dyDescent="0.35">
      <c r="AH4328" s="21"/>
      <c r="AI4328" s="21"/>
      <c r="AJ4328" s="21"/>
      <c r="AK4328" s="21"/>
      <c r="AM4328" s="26" t="s">
        <v>38</v>
      </c>
    </row>
    <row r="4329" spans="34:39" x14ac:dyDescent="0.35">
      <c r="AH4329" s="21"/>
      <c r="AI4329" s="21"/>
      <c r="AJ4329" s="21"/>
      <c r="AK4329" s="21"/>
      <c r="AM4329" s="26" t="s">
        <v>38</v>
      </c>
    </row>
    <row r="4330" spans="34:39" x14ac:dyDescent="0.35">
      <c r="AH4330" s="21"/>
      <c r="AI4330" s="21"/>
      <c r="AJ4330" s="21"/>
      <c r="AK4330" s="21"/>
      <c r="AM4330" s="26" t="s">
        <v>38</v>
      </c>
    </row>
    <row r="4331" spans="34:39" x14ac:dyDescent="0.35">
      <c r="AH4331" s="21"/>
      <c r="AI4331" s="21"/>
      <c r="AJ4331" s="21"/>
      <c r="AK4331" s="21"/>
      <c r="AM4331" s="26" t="s">
        <v>38</v>
      </c>
    </row>
    <row r="4332" spans="34:39" x14ac:dyDescent="0.35">
      <c r="AH4332" s="21"/>
      <c r="AI4332" s="21"/>
      <c r="AJ4332" s="21"/>
      <c r="AK4332" s="21"/>
      <c r="AM4332" s="26" t="s">
        <v>38</v>
      </c>
    </row>
    <row r="4333" spans="34:39" x14ac:dyDescent="0.35">
      <c r="AH4333" s="21"/>
      <c r="AI4333" s="21"/>
      <c r="AJ4333" s="21"/>
      <c r="AK4333" s="21"/>
      <c r="AM4333" s="26" t="s">
        <v>38</v>
      </c>
    </row>
    <row r="4334" spans="34:39" x14ac:dyDescent="0.35">
      <c r="AH4334" s="21"/>
      <c r="AI4334" s="21"/>
      <c r="AJ4334" s="21"/>
      <c r="AK4334" s="21"/>
      <c r="AM4334" s="26" t="s">
        <v>38</v>
      </c>
    </row>
    <row r="4335" spans="34:39" x14ac:dyDescent="0.35">
      <c r="AH4335" s="21"/>
      <c r="AI4335" s="21"/>
      <c r="AJ4335" s="21"/>
      <c r="AK4335" s="21"/>
      <c r="AM4335" s="26" t="s">
        <v>38</v>
      </c>
    </row>
    <row r="4336" spans="34:39" x14ac:dyDescent="0.35">
      <c r="AH4336" s="21"/>
      <c r="AI4336" s="21"/>
      <c r="AJ4336" s="21"/>
      <c r="AK4336" s="21"/>
      <c r="AM4336" s="26" t="s">
        <v>38</v>
      </c>
    </row>
    <row r="4337" spans="34:39" x14ac:dyDescent="0.35">
      <c r="AH4337" s="21"/>
      <c r="AI4337" s="21"/>
      <c r="AJ4337" s="21"/>
      <c r="AK4337" s="21"/>
      <c r="AM4337" s="26" t="s">
        <v>38</v>
      </c>
    </row>
    <row r="4338" spans="34:39" x14ac:dyDescent="0.35">
      <c r="AH4338" s="21"/>
      <c r="AI4338" s="21"/>
      <c r="AJ4338" s="21"/>
      <c r="AK4338" s="21"/>
      <c r="AM4338" s="26" t="s">
        <v>38</v>
      </c>
    </row>
    <row r="4339" spans="34:39" x14ac:dyDescent="0.35">
      <c r="AH4339" s="21"/>
      <c r="AI4339" s="21"/>
      <c r="AJ4339" s="21"/>
      <c r="AK4339" s="21"/>
      <c r="AM4339" s="26" t="s">
        <v>38</v>
      </c>
    </row>
    <row r="4340" spans="34:39" x14ac:dyDescent="0.35">
      <c r="AH4340" s="21"/>
      <c r="AI4340" s="21"/>
      <c r="AJ4340" s="21"/>
      <c r="AK4340" s="21"/>
      <c r="AM4340" s="26" t="s">
        <v>38</v>
      </c>
    </row>
    <row r="4341" spans="34:39" x14ac:dyDescent="0.35">
      <c r="AH4341" s="21"/>
      <c r="AI4341" s="21"/>
      <c r="AJ4341" s="21"/>
      <c r="AK4341" s="21"/>
      <c r="AM4341" s="26" t="s">
        <v>38</v>
      </c>
    </row>
    <row r="4342" spans="34:39" x14ac:dyDescent="0.35">
      <c r="AH4342" s="21"/>
      <c r="AI4342" s="21"/>
      <c r="AJ4342" s="21"/>
      <c r="AK4342" s="21"/>
      <c r="AM4342" s="26" t="s">
        <v>38</v>
      </c>
    </row>
    <row r="4343" spans="34:39" x14ac:dyDescent="0.35">
      <c r="AH4343" s="21"/>
      <c r="AI4343" s="21"/>
      <c r="AJ4343" s="21"/>
      <c r="AK4343" s="21"/>
      <c r="AM4343" s="26" t="s">
        <v>38</v>
      </c>
    </row>
    <row r="4344" spans="34:39" x14ac:dyDescent="0.35">
      <c r="AH4344" s="21"/>
      <c r="AI4344" s="21"/>
      <c r="AJ4344" s="21"/>
      <c r="AK4344" s="21"/>
      <c r="AM4344" s="26" t="s">
        <v>38</v>
      </c>
    </row>
    <row r="4345" spans="34:39" x14ac:dyDescent="0.35">
      <c r="AH4345" s="21"/>
      <c r="AI4345" s="21"/>
      <c r="AJ4345" s="21"/>
      <c r="AK4345" s="21"/>
      <c r="AM4345" s="26" t="s">
        <v>38</v>
      </c>
    </row>
    <row r="4346" spans="34:39" x14ac:dyDescent="0.35">
      <c r="AH4346" s="21"/>
      <c r="AI4346" s="21"/>
      <c r="AJ4346" s="21"/>
      <c r="AK4346" s="21"/>
      <c r="AM4346" s="26" t="s">
        <v>38</v>
      </c>
    </row>
    <row r="4347" spans="34:39" x14ac:dyDescent="0.35">
      <c r="AH4347" s="21"/>
      <c r="AI4347" s="21"/>
      <c r="AJ4347" s="21"/>
      <c r="AK4347" s="21"/>
      <c r="AM4347" s="26" t="s">
        <v>38</v>
      </c>
    </row>
    <row r="4348" spans="34:39" x14ac:dyDescent="0.35">
      <c r="AH4348" s="21"/>
      <c r="AI4348" s="21"/>
      <c r="AJ4348" s="21"/>
      <c r="AK4348" s="21"/>
      <c r="AM4348" s="26" t="s">
        <v>38</v>
      </c>
    </row>
    <row r="4349" spans="34:39" x14ac:dyDescent="0.35">
      <c r="AH4349" s="21"/>
      <c r="AI4349" s="21"/>
      <c r="AJ4349" s="21"/>
      <c r="AK4349" s="21"/>
      <c r="AM4349" s="26" t="s">
        <v>38</v>
      </c>
    </row>
    <row r="4350" spans="34:39" x14ac:dyDescent="0.35">
      <c r="AH4350" s="21"/>
      <c r="AI4350" s="21"/>
      <c r="AJ4350" s="21"/>
      <c r="AK4350" s="21"/>
      <c r="AM4350" s="26" t="s">
        <v>38</v>
      </c>
    </row>
    <row r="4351" spans="34:39" x14ac:dyDescent="0.35">
      <c r="AH4351" s="21"/>
      <c r="AI4351" s="21"/>
      <c r="AJ4351" s="21"/>
      <c r="AK4351" s="21"/>
      <c r="AM4351" s="26" t="s">
        <v>38</v>
      </c>
    </row>
    <row r="4352" spans="34:39" x14ac:dyDescent="0.35">
      <c r="AH4352" s="21"/>
      <c r="AI4352" s="21"/>
      <c r="AJ4352" s="21"/>
      <c r="AK4352" s="21"/>
      <c r="AM4352" s="26" t="s">
        <v>38</v>
      </c>
    </row>
    <row r="4353" spans="34:39" x14ac:dyDescent="0.35">
      <c r="AH4353" s="21"/>
      <c r="AI4353" s="21"/>
      <c r="AJ4353" s="21"/>
      <c r="AK4353" s="21"/>
      <c r="AM4353" s="26" t="s">
        <v>38</v>
      </c>
    </row>
    <row r="4354" spans="34:39" x14ac:dyDescent="0.35">
      <c r="AH4354" s="21"/>
      <c r="AI4354" s="21"/>
      <c r="AJ4354" s="21"/>
      <c r="AK4354" s="21"/>
      <c r="AM4354" s="26" t="s">
        <v>38</v>
      </c>
    </row>
    <row r="4355" spans="34:39" x14ac:dyDescent="0.35">
      <c r="AH4355" s="21"/>
      <c r="AI4355" s="21"/>
      <c r="AJ4355" s="21"/>
      <c r="AK4355" s="21"/>
      <c r="AM4355" s="26" t="s">
        <v>38</v>
      </c>
    </row>
    <row r="4356" spans="34:39" x14ac:dyDescent="0.35">
      <c r="AH4356" s="21"/>
      <c r="AI4356" s="21"/>
      <c r="AJ4356" s="21"/>
      <c r="AK4356" s="21"/>
      <c r="AM4356" s="26" t="s">
        <v>38</v>
      </c>
    </row>
    <row r="4357" spans="34:39" x14ac:dyDescent="0.35">
      <c r="AH4357" s="21"/>
      <c r="AI4357" s="21"/>
      <c r="AJ4357" s="21"/>
      <c r="AK4357" s="21"/>
      <c r="AM4357" s="26" t="s">
        <v>38</v>
      </c>
    </row>
    <row r="4358" spans="34:39" x14ac:dyDescent="0.35">
      <c r="AH4358" s="21"/>
      <c r="AI4358" s="21"/>
      <c r="AJ4358" s="21"/>
      <c r="AK4358" s="21"/>
      <c r="AM4358" s="26" t="s">
        <v>38</v>
      </c>
    </row>
    <row r="4359" spans="34:39" x14ac:dyDescent="0.35">
      <c r="AH4359" s="21"/>
      <c r="AI4359" s="21"/>
      <c r="AJ4359" s="21"/>
      <c r="AK4359" s="21"/>
      <c r="AM4359" s="26" t="s">
        <v>38</v>
      </c>
    </row>
    <row r="4360" spans="34:39" x14ac:dyDescent="0.35">
      <c r="AH4360" s="21"/>
      <c r="AI4360" s="21"/>
      <c r="AJ4360" s="21"/>
      <c r="AK4360" s="21"/>
      <c r="AM4360" s="26" t="s">
        <v>38</v>
      </c>
    </row>
    <row r="4361" spans="34:39" x14ac:dyDescent="0.35">
      <c r="AH4361" s="21"/>
      <c r="AI4361" s="21"/>
      <c r="AJ4361" s="21"/>
      <c r="AK4361" s="21"/>
      <c r="AM4361" s="26" t="s">
        <v>38</v>
      </c>
    </row>
    <row r="4362" spans="34:39" x14ac:dyDescent="0.35">
      <c r="AH4362" s="21"/>
      <c r="AI4362" s="21"/>
      <c r="AJ4362" s="21"/>
      <c r="AK4362" s="21"/>
      <c r="AM4362" s="26" t="s">
        <v>38</v>
      </c>
    </row>
    <row r="4363" spans="34:39" x14ac:dyDescent="0.35">
      <c r="AH4363" s="21"/>
      <c r="AI4363" s="21"/>
      <c r="AJ4363" s="21"/>
      <c r="AK4363" s="21"/>
      <c r="AM4363" s="26" t="s">
        <v>38</v>
      </c>
    </row>
    <row r="4364" spans="34:39" x14ac:dyDescent="0.35">
      <c r="AH4364" s="21"/>
      <c r="AI4364" s="21"/>
      <c r="AJ4364" s="21"/>
      <c r="AK4364" s="21"/>
      <c r="AM4364" s="26" t="s">
        <v>38</v>
      </c>
    </row>
    <row r="4365" spans="34:39" x14ac:dyDescent="0.35">
      <c r="AH4365" s="21"/>
      <c r="AI4365" s="21"/>
      <c r="AJ4365" s="21"/>
      <c r="AK4365" s="21"/>
      <c r="AM4365" s="26" t="s">
        <v>38</v>
      </c>
    </row>
    <row r="4366" spans="34:39" x14ac:dyDescent="0.35">
      <c r="AH4366" s="21"/>
      <c r="AI4366" s="21"/>
      <c r="AJ4366" s="21"/>
      <c r="AK4366" s="21"/>
      <c r="AM4366" s="26" t="s">
        <v>38</v>
      </c>
    </row>
    <row r="4367" spans="34:39" x14ac:dyDescent="0.35">
      <c r="AH4367" s="21"/>
      <c r="AI4367" s="21"/>
      <c r="AJ4367" s="21"/>
      <c r="AK4367" s="21"/>
      <c r="AM4367" s="26" t="s">
        <v>38</v>
      </c>
    </row>
    <row r="4368" spans="34:39" x14ac:dyDescent="0.35">
      <c r="AH4368" s="21"/>
      <c r="AI4368" s="21"/>
      <c r="AJ4368" s="21"/>
      <c r="AK4368" s="21"/>
      <c r="AM4368" s="26" t="s">
        <v>38</v>
      </c>
    </row>
    <row r="4369" spans="34:39" x14ac:dyDescent="0.35">
      <c r="AH4369" s="21"/>
      <c r="AI4369" s="21"/>
      <c r="AJ4369" s="21"/>
      <c r="AK4369" s="21"/>
      <c r="AM4369" s="26" t="s">
        <v>38</v>
      </c>
    </row>
    <row r="4370" spans="34:39" x14ac:dyDescent="0.35">
      <c r="AH4370" s="21"/>
      <c r="AI4370" s="21"/>
      <c r="AJ4370" s="21"/>
      <c r="AK4370" s="21"/>
      <c r="AM4370" s="26" t="s">
        <v>38</v>
      </c>
    </row>
    <row r="4371" spans="34:39" x14ac:dyDescent="0.35">
      <c r="AH4371" s="21"/>
      <c r="AI4371" s="21"/>
      <c r="AJ4371" s="21"/>
      <c r="AK4371" s="21"/>
      <c r="AM4371" s="26" t="s">
        <v>38</v>
      </c>
    </row>
    <row r="4372" spans="34:39" x14ac:dyDescent="0.35">
      <c r="AH4372" s="21"/>
      <c r="AI4372" s="21"/>
      <c r="AJ4372" s="21"/>
      <c r="AK4372" s="21"/>
      <c r="AM4372" s="26" t="s">
        <v>38</v>
      </c>
    </row>
    <row r="4373" spans="34:39" x14ac:dyDescent="0.35">
      <c r="AH4373" s="21"/>
      <c r="AI4373" s="21"/>
      <c r="AJ4373" s="21"/>
      <c r="AK4373" s="21"/>
      <c r="AM4373" s="26" t="s">
        <v>38</v>
      </c>
    </row>
    <row r="4374" spans="34:39" x14ac:dyDescent="0.35">
      <c r="AH4374" s="21"/>
      <c r="AI4374" s="21"/>
      <c r="AJ4374" s="21"/>
      <c r="AK4374" s="21"/>
      <c r="AM4374" s="26" t="s">
        <v>38</v>
      </c>
    </row>
    <row r="4375" spans="34:39" x14ac:dyDescent="0.35">
      <c r="AH4375" s="21"/>
      <c r="AI4375" s="21"/>
      <c r="AJ4375" s="21"/>
      <c r="AK4375" s="21"/>
      <c r="AM4375" s="26" t="s">
        <v>38</v>
      </c>
    </row>
    <row r="4376" spans="34:39" x14ac:dyDescent="0.35">
      <c r="AH4376" s="21"/>
      <c r="AI4376" s="21"/>
      <c r="AJ4376" s="21"/>
      <c r="AK4376" s="21"/>
      <c r="AM4376" s="26" t="s">
        <v>38</v>
      </c>
    </row>
    <row r="4377" spans="34:39" x14ac:dyDescent="0.35">
      <c r="AH4377" s="21"/>
      <c r="AI4377" s="21"/>
      <c r="AJ4377" s="21"/>
      <c r="AK4377" s="21"/>
      <c r="AM4377" s="26" t="s">
        <v>38</v>
      </c>
    </row>
    <row r="4378" spans="34:39" x14ac:dyDescent="0.35">
      <c r="AH4378" s="21"/>
      <c r="AI4378" s="21"/>
      <c r="AJ4378" s="21"/>
      <c r="AK4378" s="21"/>
      <c r="AM4378" s="26" t="s">
        <v>38</v>
      </c>
    </row>
    <row r="4379" spans="34:39" x14ac:dyDescent="0.35">
      <c r="AH4379" s="21"/>
      <c r="AI4379" s="21"/>
      <c r="AJ4379" s="21"/>
      <c r="AK4379" s="21"/>
      <c r="AM4379" s="26" t="s">
        <v>38</v>
      </c>
    </row>
    <row r="4380" spans="34:39" x14ac:dyDescent="0.35">
      <c r="AH4380" s="21"/>
      <c r="AI4380" s="21"/>
      <c r="AJ4380" s="21"/>
      <c r="AK4380" s="21"/>
      <c r="AM4380" s="26" t="s">
        <v>38</v>
      </c>
    </row>
    <row r="4381" spans="34:39" x14ac:dyDescent="0.35">
      <c r="AH4381" s="21"/>
      <c r="AI4381" s="21"/>
      <c r="AJ4381" s="21"/>
      <c r="AK4381" s="21"/>
      <c r="AM4381" s="26" t="s">
        <v>38</v>
      </c>
    </row>
    <row r="4382" spans="34:39" x14ac:dyDescent="0.35">
      <c r="AH4382" s="21"/>
      <c r="AI4382" s="21"/>
      <c r="AJ4382" s="21"/>
      <c r="AK4382" s="21"/>
      <c r="AM4382" s="26" t="s">
        <v>38</v>
      </c>
    </row>
    <row r="4383" spans="34:39" x14ac:dyDescent="0.35">
      <c r="AH4383" s="21"/>
      <c r="AI4383" s="21"/>
      <c r="AJ4383" s="21"/>
      <c r="AK4383" s="21"/>
      <c r="AM4383" s="26" t="s">
        <v>38</v>
      </c>
    </row>
    <row r="4384" spans="34:39" x14ac:dyDescent="0.35">
      <c r="AH4384" s="21"/>
      <c r="AI4384" s="21"/>
      <c r="AJ4384" s="21"/>
      <c r="AK4384" s="21"/>
      <c r="AM4384" s="26" t="s">
        <v>38</v>
      </c>
    </row>
    <row r="4385" spans="34:39" x14ac:dyDescent="0.35">
      <c r="AH4385" s="21"/>
      <c r="AI4385" s="21"/>
      <c r="AJ4385" s="21"/>
      <c r="AK4385" s="21"/>
      <c r="AM4385" s="26" t="s">
        <v>38</v>
      </c>
    </row>
    <row r="4386" spans="34:39" x14ac:dyDescent="0.35">
      <c r="AH4386" s="21"/>
      <c r="AI4386" s="21"/>
      <c r="AJ4386" s="21"/>
      <c r="AK4386" s="21"/>
      <c r="AM4386" s="26" t="s">
        <v>38</v>
      </c>
    </row>
    <row r="4387" spans="34:39" x14ac:dyDescent="0.35">
      <c r="AH4387" s="21"/>
      <c r="AI4387" s="21"/>
      <c r="AJ4387" s="21"/>
      <c r="AK4387" s="21"/>
      <c r="AM4387" s="26" t="s">
        <v>38</v>
      </c>
    </row>
    <row r="4388" spans="34:39" x14ac:dyDescent="0.35">
      <c r="AH4388" s="21"/>
      <c r="AI4388" s="21"/>
      <c r="AJ4388" s="21"/>
      <c r="AK4388" s="21"/>
      <c r="AM4388" s="26" t="s">
        <v>38</v>
      </c>
    </row>
    <row r="4389" spans="34:39" x14ac:dyDescent="0.35">
      <c r="AH4389" s="21"/>
      <c r="AI4389" s="21"/>
      <c r="AJ4389" s="21"/>
      <c r="AK4389" s="21"/>
      <c r="AM4389" s="26" t="s">
        <v>38</v>
      </c>
    </row>
    <row r="4390" spans="34:39" x14ac:dyDescent="0.35">
      <c r="AH4390" s="21"/>
      <c r="AI4390" s="21"/>
      <c r="AJ4390" s="21"/>
      <c r="AK4390" s="21"/>
      <c r="AM4390" s="26" t="s">
        <v>38</v>
      </c>
    </row>
    <row r="4391" spans="34:39" x14ac:dyDescent="0.35">
      <c r="AH4391" s="21"/>
      <c r="AI4391" s="21"/>
      <c r="AJ4391" s="21"/>
      <c r="AK4391" s="21"/>
      <c r="AM4391" s="26" t="s">
        <v>38</v>
      </c>
    </row>
    <row r="4392" spans="34:39" x14ac:dyDescent="0.35">
      <c r="AH4392" s="21"/>
      <c r="AI4392" s="21"/>
      <c r="AJ4392" s="21"/>
      <c r="AK4392" s="21"/>
      <c r="AM4392" s="26" t="s">
        <v>38</v>
      </c>
    </row>
    <row r="4393" spans="34:39" x14ac:dyDescent="0.35">
      <c r="AH4393" s="21"/>
      <c r="AI4393" s="21"/>
      <c r="AJ4393" s="21"/>
      <c r="AK4393" s="21"/>
      <c r="AM4393" s="26" t="s">
        <v>38</v>
      </c>
    </row>
    <row r="4394" spans="34:39" x14ac:dyDescent="0.35">
      <c r="AH4394" s="21"/>
      <c r="AI4394" s="21"/>
      <c r="AJ4394" s="21"/>
      <c r="AK4394" s="21"/>
      <c r="AM4394" s="26" t="s">
        <v>38</v>
      </c>
    </row>
    <row r="4395" spans="34:39" x14ac:dyDescent="0.35">
      <c r="AH4395" s="21"/>
      <c r="AI4395" s="21"/>
      <c r="AJ4395" s="21"/>
      <c r="AK4395" s="21"/>
      <c r="AM4395" s="26" t="s">
        <v>38</v>
      </c>
    </row>
    <row r="4396" spans="34:39" x14ac:dyDescent="0.35">
      <c r="AH4396" s="21"/>
      <c r="AI4396" s="21"/>
      <c r="AJ4396" s="21"/>
      <c r="AK4396" s="21"/>
      <c r="AM4396" s="26" t="s">
        <v>38</v>
      </c>
    </row>
    <row r="4397" spans="34:39" x14ac:dyDescent="0.35">
      <c r="AH4397" s="21"/>
      <c r="AI4397" s="21"/>
      <c r="AJ4397" s="21"/>
      <c r="AK4397" s="21"/>
      <c r="AM4397" s="26" t="s">
        <v>38</v>
      </c>
    </row>
    <row r="4398" spans="34:39" x14ac:dyDescent="0.35">
      <c r="AH4398" s="21"/>
      <c r="AI4398" s="21"/>
      <c r="AJ4398" s="21"/>
      <c r="AK4398" s="21"/>
      <c r="AM4398" s="26" t="s">
        <v>38</v>
      </c>
    </row>
    <row r="4399" spans="34:39" x14ac:dyDescent="0.35">
      <c r="AH4399" s="21"/>
      <c r="AI4399" s="21"/>
      <c r="AJ4399" s="21"/>
      <c r="AK4399" s="21"/>
      <c r="AM4399" s="26" t="s">
        <v>38</v>
      </c>
    </row>
    <row r="4400" spans="34:39" x14ac:dyDescent="0.35">
      <c r="AH4400" s="21"/>
      <c r="AI4400" s="21"/>
      <c r="AJ4400" s="21"/>
      <c r="AK4400" s="21"/>
      <c r="AM4400" s="26" t="s">
        <v>38</v>
      </c>
    </row>
    <row r="4401" spans="34:39" x14ac:dyDescent="0.35">
      <c r="AH4401" s="21"/>
      <c r="AI4401" s="21"/>
      <c r="AJ4401" s="21"/>
      <c r="AK4401" s="21"/>
      <c r="AM4401" s="26" t="s">
        <v>38</v>
      </c>
    </row>
    <row r="4402" spans="34:39" x14ac:dyDescent="0.35">
      <c r="AH4402" s="21"/>
      <c r="AI4402" s="21"/>
      <c r="AJ4402" s="21"/>
      <c r="AK4402" s="21"/>
      <c r="AM4402" s="26" t="s">
        <v>38</v>
      </c>
    </row>
    <row r="4403" spans="34:39" x14ac:dyDescent="0.35">
      <c r="AH4403" s="21"/>
      <c r="AI4403" s="21"/>
      <c r="AJ4403" s="21"/>
      <c r="AK4403" s="21"/>
      <c r="AM4403" s="26" t="s">
        <v>38</v>
      </c>
    </row>
    <row r="4404" spans="34:39" x14ac:dyDescent="0.35">
      <c r="AH4404" s="21"/>
      <c r="AI4404" s="21"/>
      <c r="AJ4404" s="21"/>
      <c r="AK4404" s="21"/>
      <c r="AM4404" s="26" t="s">
        <v>38</v>
      </c>
    </row>
    <row r="4405" spans="34:39" x14ac:dyDescent="0.35">
      <c r="AH4405" s="21"/>
      <c r="AI4405" s="21"/>
      <c r="AJ4405" s="21"/>
      <c r="AK4405" s="21"/>
      <c r="AM4405" s="26" t="s">
        <v>38</v>
      </c>
    </row>
    <row r="4406" spans="34:39" x14ac:dyDescent="0.35">
      <c r="AH4406" s="21"/>
      <c r="AI4406" s="21"/>
      <c r="AJ4406" s="21"/>
      <c r="AK4406" s="21"/>
      <c r="AM4406" s="26" t="s">
        <v>38</v>
      </c>
    </row>
    <row r="4407" spans="34:39" x14ac:dyDescent="0.35">
      <c r="AH4407" s="21"/>
      <c r="AI4407" s="21"/>
      <c r="AJ4407" s="21"/>
      <c r="AK4407" s="21"/>
      <c r="AM4407" s="26" t="s">
        <v>38</v>
      </c>
    </row>
    <row r="4408" spans="34:39" x14ac:dyDescent="0.35">
      <c r="AH4408" s="21"/>
      <c r="AI4408" s="21"/>
      <c r="AJ4408" s="21"/>
      <c r="AK4408" s="21"/>
      <c r="AM4408" s="26" t="s">
        <v>38</v>
      </c>
    </row>
    <row r="4409" spans="34:39" x14ac:dyDescent="0.35">
      <c r="AH4409" s="21"/>
      <c r="AI4409" s="21"/>
      <c r="AJ4409" s="21"/>
      <c r="AK4409" s="21"/>
      <c r="AM4409" s="26" t="s">
        <v>38</v>
      </c>
    </row>
    <row r="4410" spans="34:39" x14ac:dyDescent="0.35">
      <c r="AH4410" s="21"/>
      <c r="AI4410" s="21"/>
      <c r="AJ4410" s="21"/>
      <c r="AK4410" s="21"/>
      <c r="AM4410" s="26" t="s">
        <v>38</v>
      </c>
    </row>
    <row r="4411" spans="34:39" x14ac:dyDescent="0.35">
      <c r="AH4411" s="21"/>
      <c r="AI4411" s="21"/>
      <c r="AJ4411" s="21"/>
      <c r="AK4411" s="21"/>
      <c r="AM4411" s="26" t="s">
        <v>38</v>
      </c>
    </row>
    <row r="4412" spans="34:39" x14ac:dyDescent="0.35">
      <c r="AH4412" s="21"/>
      <c r="AI4412" s="21"/>
      <c r="AJ4412" s="21"/>
      <c r="AK4412" s="21"/>
      <c r="AM4412" s="26" t="s">
        <v>38</v>
      </c>
    </row>
    <row r="4413" spans="34:39" x14ac:dyDescent="0.35">
      <c r="AH4413" s="21"/>
      <c r="AI4413" s="21"/>
      <c r="AJ4413" s="21"/>
      <c r="AK4413" s="21"/>
      <c r="AM4413" s="26" t="s">
        <v>38</v>
      </c>
    </row>
    <row r="4414" spans="34:39" x14ac:dyDescent="0.35">
      <c r="AH4414" s="21"/>
      <c r="AI4414" s="21"/>
      <c r="AJ4414" s="21"/>
      <c r="AK4414" s="21"/>
      <c r="AM4414" s="26" t="s">
        <v>38</v>
      </c>
    </row>
    <row r="4415" spans="34:39" x14ac:dyDescent="0.35">
      <c r="AH4415" s="21"/>
      <c r="AI4415" s="21"/>
      <c r="AJ4415" s="21"/>
      <c r="AK4415" s="21"/>
      <c r="AM4415" s="26" t="s">
        <v>38</v>
      </c>
    </row>
    <row r="4416" spans="34:39" x14ac:dyDescent="0.35">
      <c r="AH4416" s="21"/>
      <c r="AI4416" s="21"/>
      <c r="AJ4416" s="21"/>
      <c r="AK4416" s="21"/>
      <c r="AM4416" s="26" t="s">
        <v>38</v>
      </c>
    </row>
    <row r="4417" spans="34:39" x14ac:dyDescent="0.35">
      <c r="AH4417" s="21"/>
      <c r="AI4417" s="21"/>
      <c r="AJ4417" s="21"/>
      <c r="AK4417" s="21"/>
      <c r="AM4417" s="26" t="s">
        <v>38</v>
      </c>
    </row>
    <row r="4418" spans="34:39" x14ac:dyDescent="0.35">
      <c r="AH4418" s="21"/>
      <c r="AI4418" s="21"/>
      <c r="AJ4418" s="21"/>
      <c r="AK4418" s="21"/>
      <c r="AM4418" s="26" t="s">
        <v>38</v>
      </c>
    </row>
    <row r="4419" spans="34:39" x14ac:dyDescent="0.35">
      <c r="AH4419" s="21"/>
      <c r="AI4419" s="21"/>
      <c r="AJ4419" s="21"/>
      <c r="AK4419" s="21"/>
      <c r="AM4419" s="26" t="s">
        <v>38</v>
      </c>
    </row>
    <row r="4420" spans="34:39" x14ac:dyDescent="0.35">
      <c r="AH4420" s="21"/>
      <c r="AI4420" s="21"/>
      <c r="AJ4420" s="21"/>
      <c r="AK4420" s="21"/>
      <c r="AM4420" s="26" t="s">
        <v>38</v>
      </c>
    </row>
    <row r="4421" spans="34:39" x14ac:dyDescent="0.35">
      <c r="AH4421" s="21"/>
      <c r="AI4421" s="21"/>
      <c r="AJ4421" s="21"/>
      <c r="AK4421" s="21"/>
      <c r="AM4421" s="26" t="s">
        <v>38</v>
      </c>
    </row>
    <row r="4422" spans="34:39" x14ac:dyDescent="0.35">
      <c r="AH4422" s="21"/>
      <c r="AI4422" s="21"/>
      <c r="AJ4422" s="21"/>
      <c r="AK4422" s="21"/>
      <c r="AM4422" s="26" t="s">
        <v>38</v>
      </c>
    </row>
    <row r="4423" spans="34:39" x14ac:dyDescent="0.35">
      <c r="AH4423" s="21"/>
      <c r="AI4423" s="21"/>
      <c r="AJ4423" s="21"/>
      <c r="AK4423" s="21"/>
      <c r="AM4423" s="26" t="s">
        <v>38</v>
      </c>
    </row>
    <row r="4424" spans="34:39" x14ac:dyDescent="0.35">
      <c r="AH4424" s="21"/>
      <c r="AI4424" s="21"/>
      <c r="AJ4424" s="21"/>
      <c r="AK4424" s="21"/>
      <c r="AM4424" s="26" t="s">
        <v>38</v>
      </c>
    </row>
    <row r="4425" spans="34:39" x14ac:dyDescent="0.35">
      <c r="AH4425" s="21"/>
      <c r="AI4425" s="21"/>
      <c r="AJ4425" s="21"/>
      <c r="AK4425" s="21"/>
      <c r="AM4425" s="26" t="s">
        <v>38</v>
      </c>
    </row>
    <row r="4426" spans="34:39" x14ac:dyDescent="0.35">
      <c r="AH4426" s="21"/>
      <c r="AI4426" s="21"/>
      <c r="AJ4426" s="21"/>
      <c r="AK4426" s="21"/>
      <c r="AM4426" s="26" t="s">
        <v>38</v>
      </c>
    </row>
    <row r="4427" spans="34:39" x14ac:dyDescent="0.35">
      <c r="AH4427" s="21"/>
      <c r="AI4427" s="21"/>
      <c r="AJ4427" s="21"/>
      <c r="AK4427" s="21"/>
      <c r="AM4427" s="26" t="s">
        <v>38</v>
      </c>
    </row>
    <row r="4428" spans="34:39" x14ac:dyDescent="0.35">
      <c r="AH4428" s="21"/>
      <c r="AI4428" s="21"/>
      <c r="AJ4428" s="21"/>
      <c r="AK4428" s="21"/>
      <c r="AM4428" s="26" t="s">
        <v>38</v>
      </c>
    </row>
    <row r="4429" spans="34:39" x14ac:dyDescent="0.35">
      <c r="AH4429" s="21"/>
      <c r="AI4429" s="21"/>
      <c r="AJ4429" s="21"/>
      <c r="AK4429" s="21"/>
      <c r="AM4429" s="26" t="s">
        <v>38</v>
      </c>
    </row>
    <row r="4430" spans="34:39" x14ac:dyDescent="0.35">
      <c r="AH4430" s="21"/>
      <c r="AI4430" s="21"/>
      <c r="AJ4430" s="21"/>
      <c r="AK4430" s="21"/>
      <c r="AM4430" s="26" t="s">
        <v>38</v>
      </c>
    </row>
    <row r="4431" spans="34:39" x14ac:dyDescent="0.35">
      <c r="AH4431" s="21"/>
      <c r="AI4431" s="21"/>
      <c r="AJ4431" s="21"/>
      <c r="AK4431" s="21"/>
      <c r="AM4431" s="26" t="s">
        <v>38</v>
      </c>
    </row>
    <row r="4432" spans="34:39" x14ac:dyDescent="0.35">
      <c r="AH4432" s="21"/>
      <c r="AI4432" s="21"/>
      <c r="AJ4432" s="21"/>
      <c r="AK4432" s="21"/>
      <c r="AM4432" s="26" t="s">
        <v>38</v>
      </c>
    </row>
    <row r="4433" spans="34:39" x14ac:dyDescent="0.35">
      <c r="AH4433" s="21"/>
      <c r="AI4433" s="21"/>
      <c r="AJ4433" s="21"/>
      <c r="AK4433" s="21"/>
      <c r="AM4433" s="26" t="s">
        <v>38</v>
      </c>
    </row>
    <row r="4434" spans="34:39" x14ac:dyDescent="0.35">
      <c r="AH4434" s="21"/>
      <c r="AI4434" s="21"/>
      <c r="AJ4434" s="21"/>
      <c r="AK4434" s="21"/>
      <c r="AM4434" s="26" t="s">
        <v>38</v>
      </c>
    </row>
    <row r="4435" spans="34:39" x14ac:dyDescent="0.35">
      <c r="AH4435" s="21"/>
      <c r="AI4435" s="21"/>
      <c r="AJ4435" s="21"/>
      <c r="AK4435" s="21"/>
      <c r="AM4435" s="26" t="s">
        <v>38</v>
      </c>
    </row>
    <row r="4436" spans="34:39" x14ac:dyDescent="0.35">
      <c r="AH4436" s="21"/>
      <c r="AI4436" s="21"/>
      <c r="AJ4436" s="21"/>
      <c r="AK4436" s="21"/>
      <c r="AM4436" s="26" t="s">
        <v>38</v>
      </c>
    </row>
    <row r="4437" spans="34:39" x14ac:dyDescent="0.35">
      <c r="AH4437" s="21"/>
      <c r="AI4437" s="21"/>
      <c r="AJ4437" s="21"/>
      <c r="AK4437" s="21"/>
      <c r="AM4437" s="26" t="s">
        <v>38</v>
      </c>
    </row>
    <row r="4438" spans="34:39" x14ac:dyDescent="0.35">
      <c r="AH4438" s="21"/>
      <c r="AI4438" s="21"/>
      <c r="AJ4438" s="21"/>
      <c r="AK4438" s="21"/>
      <c r="AM4438" s="26" t="s">
        <v>38</v>
      </c>
    </row>
    <row r="4439" spans="34:39" x14ac:dyDescent="0.35">
      <c r="AH4439" s="21"/>
      <c r="AI4439" s="21"/>
      <c r="AJ4439" s="21"/>
      <c r="AK4439" s="21"/>
      <c r="AM4439" s="26" t="s">
        <v>38</v>
      </c>
    </row>
    <row r="4440" spans="34:39" x14ac:dyDescent="0.35">
      <c r="AH4440" s="21"/>
      <c r="AI4440" s="21"/>
      <c r="AJ4440" s="21"/>
      <c r="AK4440" s="21"/>
      <c r="AM4440" s="26" t="s">
        <v>38</v>
      </c>
    </row>
    <row r="4441" spans="34:39" x14ac:dyDescent="0.35">
      <c r="AH4441" s="21"/>
      <c r="AI4441" s="21"/>
      <c r="AJ4441" s="21"/>
      <c r="AK4441" s="21"/>
      <c r="AM4441" s="26" t="s">
        <v>38</v>
      </c>
    </row>
    <row r="4442" spans="34:39" x14ac:dyDescent="0.35">
      <c r="AH4442" s="21"/>
      <c r="AI4442" s="21"/>
      <c r="AJ4442" s="21"/>
      <c r="AK4442" s="21"/>
      <c r="AM4442" s="26" t="s">
        <v>38</v>
      </c>
    </row>
    <row r="4443" spans="34:39" x14ac:dyDescent="0.35">
      <c r="AH4443" s="21"/>
      <c r="AI4443" s="21"/>
      <c r="AJ4443" s="21"/>
      <c r="AK4443" s="21"/>
      <c r="AM4443" s="26" t="s">
        <v>38</v>
      </c>
    </row>
    <row r="4444" spans="34:39" x14ac:dyDescent="0.35">
      <c r="AH4444" s="21"/>
      <c r="AI4444" s="21"/>
      <c r="AJ4444" s="21"/>
      <c r="AK4444" s="21"/>
      <c r="AM4444" s="26" t="s">
        <v>38</v>
      </c>
    </row>
    <row r="4445" spans="34:39" x14ac:dyDescent="0.35">
      <c r="AH4445" s="21"/>
      <c r="AI4445" s="21"/>
      <c r="AJ4445" s="21"/>
      <c r="AK4445" s="21"/>
      <c r="AM4445" s="26" t="s">
        <v>38</v>
      </c>
    </row>
    <row r="4446" spans="34:39" x14ac:dyDescent="0.35">
      <c r="AH4446" s="21"/>
      <c r="AI4446" s="21"/>
      <c r="AJ4446" s="21"/>
      <c r="AK4446" s="21"/>
      <c r="AM4446" s="26" t="s">
        <v>38</v>
      </c>
    </row>
    <row r="4447" spans="34:39" x14ac:dyDescent="0.35">
      <c r="AH4447" s="21"/>
      <c r="AI4447" s="21"/>
      <c r="AJ4447" s="21"/>
      <c r="AK4447" s="21"/>
      <c r="AM4447" s="26" t="s">
        <v>38</v>
      </c>
    </row>
    <row r="4448" spans="34:39" x14ac:dyDescent="0.35">
      <c r="AH4448" s="21"/>
      <c r="AI4448" s="21"/>
      <c r="AJ4448" s="21"/>
      <c r="AK4448" s="21"/>
      <c r="AM4448" s="26" t="s">
        <v>38</v>
      </c>
    </row>
    <row r="4449" spans="34:39" x14ac:dyDescent="0.35">
      <c r="AH4449" s="21"/>
      <c r="AI4449" s="21"/>
      <c r="AJ4449" s="21"/>
      <c r="AK4449" s="21"/>
      <c r="AM4449" s="26" t="s">
        <v>38</v>
      </c>
    </row>
    <row r="4450" spans="34:39" x14ac:dyDescent="0.35">
      <c r="AH4450" s="21"/>
      <c r="AI4450" s="21"/>
      <c r="AJ4450" s="21"/>
      <c r="AK4450" s="21"/>
      <c r="AM4450" s="26" t="s">
        <v>38</v>
      </c>
    </row>
    <row r="4451" spans="34:39" x14ac:dyDescent="0.35">
      <c r="AH4451" s="21"/>
      <c r="AI4451" s="21"/>
      <c r="AJ4451" s="21"/>
      <c r="AK4451" s="21"/>
      <c r="AM4451" s="26" t="s">
        <v>38</v>
      </c>
    </row>
    <row r="4452" spans="34:39" x14ac:dyDescent="0.35">
      <c r="AH4452" s="21"/>
      <c r="AI4452" s="21"/>
      <c r="AJ4452" s="21"/>
      <c r="AK4452" s="21"/>
      <c r="AM4452" s="26" t="s">
        <v>38</v>
      </c>
    </row>
    <row r="4453" spans="34:39" x14ac:dyDescent="0.35">
      <c r="AH4453" s="21"/>
      <c r="AI4453" s="21"/>
      <c r="AJ4453" s="21"/>
      <c r="AK4453" s="21"/>
      <c r="AM4453" s="26" t="s">
        <v>38</v>
      </c>
    </row>
    <row r="4454" spans="34:39" x14ac:dyDescent="0.35">
      <c r="AH4454" s="21"/>
      <c r="AI4454" s="21"/>
      <c r="AJ4454" s="21"/>
      <c r="AK4454" s="21"/>
      <c r="AM4454" s="26" t="s">
        <v>38</v>
      </c>
    </row>
    <row r="4455" spans="34:39" x14ac:dyDescent="0.35">
      <c r="AH4455" s="21"/>
      <c r="AI4455" s="21"/>
      <c r="AJ4455" s="21"/>
      <c r="AK4455" s="21"/>
      <c r="AM4455" s="26" t="s">
        <v>38</v>
      </c>
    </row>
    <row r="4456" spans="34:39" x14ac:dyDescent="0.35">
      <c r="AH4456" s="21"/>
      <c r="AI4456" s="21"/>
      <c r="AJ4456" s="21"/>
      <c r="AK4456" s="21"/>
      <c r="AM4456" s="26" t="s">
        <v>38</v>
      </c>
    </row>
    <row r="4457" spans="34:39" x14ac:dyDescent="0.35">
      <c r="AH4457" s="21"/>
      <c r="AI4457" s="21"/>
      <c r="AJ4457" s="21"/>
      <c r="AK4457" s="21"/>
      <c r="AM4457" s="26" t="s">
        <v>38</v>
      </c>
    </row>
    <row r="4458" spans="34:39" x14ac:dyDescent="0.35">
      <c r="AH4458" s="21"/>
      <c r="AI4458" s="21"/>
      <c r="AJ4458" s="21"/>
      <c r="AK4458" s="21"/>
      <c r="AM4458" s="26" t="s">
        <v>38</v>
      </c>
    </row>
    <row r="4459" spans="34:39" x14ac:dyDescent="0.35">
      <c r="AH4459" s="21"/>
      <c r="AI4459" s="21"/>
      <c r="AJ4459" s="21"/>
      <c r="AK4459" s="21"/>
      <c r="AM4459" s="26" t="s">
        <v>38</v>
      </c>
    </row>
    <row r="4460" spans="34:39" x14ac:dyDescent="0.35">
      <c r="AH4460" s="21"/>
      <c r="AI4460" s="21"/>
      <c r="AJ4460" s="21"/>
      <c r="AK4460" s="21"/>
      <c r="AM4460" s="26" t="s">
        <v>38</v>
      </c>
    </row>
    <row r="4461" spans="34:39" x14ac:dyDescent="0.35">
      <c r="AH4461" s="21"/>
      <c r="AI4461" s="21"/>
      <c r="AJ4461" s="21"/>
      <c r="AK4461" s="21"/>
      <c r="AM4461" s="26" t="s">
        <v>38</v>
      </c>
    </row>
    <row r="4462" spans="34:39" x14ac:dyDescent="0.35">
      <c r="AH4462" s="21"/>
      <c r="AI4462" s="21"/>
      <c r="AJ4462" s="21"/>
      <c r="AK4462" s="21"/>
      <c r="AM4462" s="26" t="s">
        <v>38</v>
      </c>
    </row>
    <row r="4463" spans="34:39" x14ac:dyDescent="0.35">
      <c r="AH4463" s="21"/>
      <c r="AI4463" s="21"/>
      <c r="AJ4463" s="21"/>
      <c r="AK4463" s="21"/>
      <c r="AM4463" s="26" t="s">
        <v>38</v>
      </c>
    </row>
    <row r="4464" spans="34:39" x14ac:dyDescent="0.35">
      <c r="AH4464" s="21"/>
      <c r="AI4464" s="21"/>
      <c r="AJ4464" s="21"/>
      <c r="AK4464" s="21"/>
      <c r="AM4464" s="26" t="s">
        <v>38</v>
      </c>
    </row>
    <row r="4465" spans="34:39" x14ac:dyDescent="0.35">
      <c r="AH4465" s="21"/>
      <c r="AI4465" s="21"/>
      <c r="AJ4465" s="21"/>
      <c r="AK4465" s="21"/>
      <c r="AM4465" s="26" t="s">
        <v>38</v>
      </c>
    </row>
    <row r="4466" spans="34:39" x14ac:dyDescent="0.35">
      <c r="AH4466" s="21"/>
      <c r="AI4466" s="21"/>
      <c r="AJ4466" s="21"/>
      <c r="AK4466" s="21"/>
      <c r="AM4466" s="26" t="s">
        <v>38</v>
      </c>
    </row>
    <row r="4467" spans="34:39" x14ac:dyDescent="0.35">
      <c r="AH4467" s="21"/>
      <c r="AI4467" s="21"/>
      <c r="AJ4467" s="21"/>
      <c r="AK4467" s="21"/>
      <c r="AM4467" s="26" t="s">
        <v>38</v>
      </c>
    </row>
    <row r="4468" spans="34:39" x14ac:dyDescent="0.35">
      <c r="AH4468" s="21"/>
      <c r="AI4468" s="21"/>
      <c r="AJ4468" s="21"/>
      <c r="AK4468" s="21"/>
      <c r="AM4468" s="26" t="s">
        <v>38</v>
      </c>
    </row>
    <row r="4469" spans="34:39" x14ac:dyDescent="0.35">
      <c r="AH4469" s="21"/>
      <c r="AI4469" s="21"/>
      <c r="AJ4469" s="21"/>
      <c r="AK4469" s="21"/>
      <c r="AM4469" s="26" t="s">
        <v>38</v>
      </c>
    </row>
    <row r="4470" spans="34:39" x14ac:dyDescent="0.35">
      <c r="AH4470" s="21"/>
      <c r="AI4470" s="21"/>
      <c r="AJ4470" s="21"/>
      <c r="AK4470" s="21"/>
      <c r="AM4470" s="26" t="s">
        <v>38</v>
      </c>
    </row>
    <row r="4471" spans="34:39" x14ac:dyDescent="0.35">
      <c r="AH4471" s="21"/>
      <c r="AI4471" s="21"/>
      <c r="AJ4471" s="21"/>
      <c r="AK4471" s="21"/>
      <c r="AM4471" s="26" t="s">
        <v>38</v>
      </c>
    </row>
    <row r="4472" spans="34:39" x14ac:dyDescent="0.35">
      <c r="AH4472" s="21"/>
      <c r="AI4472" s="21"/>
      <c r="AJ4472" s="21"/>
      <c r="AK4472" s="21"/>
      <c r="AM4472" s="26" t="s">
        <v>38</v>
      </c>
    </row>
    <row r="4473" spans="34:39" x14ac:dyDescent="0.35">
      <c r="AH4473" s="21"/>
      <c r="AI4473" s="21"/>
      <c r="AJ4473" s="21"/>
      <c r="AK4473" s="21"/>
      <c r="AM4473" s="26" t="s">
        <v>38</v>
      </c>
    </row>
    <row r="4474" spans="34:39" x14ac:dyDescent="0.35">
      <c r="AH4474" s="21"/>
      <c r="AI4474" s="21"/>
      <c r="AJ4474" s="21"/>
      <c r="AK4474" s="21"/>
      <c r="AM4474" s="26" t="s">
        <v>38</v>
      </c>
    </row>
    <row r="4475" spans="34:39" x14ac:dyDescent="0.35">
      <c r="AH4475" s="21"/>
      <c r="AI4475" s="21"/>
      <c r="AJ4475" s="21"/>
      <c r="AK4475" s="21"/>
      <c r="AM4475" s="26" t="s">
        <v>38</v>
      </c>
    </row>
    <row r="4476" spans="34:39" x14ac:dyDescent="0.35">
      <c r="AH4476" s="21"/>
      <c r="AI4476" s="21"/>
      <c r="AJ4476" s="21"/>
      <c r="AK4476" s="21"/>
      <c r="AM4476" s="26" t="s">
        <v>38</v>
      </c>
    </row>
    <row r="4477" spans="34:39" x14ac:dyDescent="0.35">
      <c r="AH4477" s="21"/>
      <c r="AI4477" s="21"/>
      <c r="AJ4477" s="21"/>
      <c r="AK4477" s="21"/>
      <c r="AM4477" s="26" t="s">
        <v>38</v>
      </c>
    </row>
    <row r="4478" spans="34:39" x14ac:dyDescent="0.35">
      <c r="AH4478" s="21"/>
      <c r="AI4478" s="21"/>
      <c r="AJ4478" s="21"/>
      <c r="AK4478" s="21"/>
      <c r="AM4478" s="26" t="s">
        <v>38</v>
      </c>
    </row>
    <row r="4479" spans="34:39" x14ac:dyDescent="0.35">
      <c r="AH4479" s="21"/>
      <c r="AI4479" s="21"/>
      <c r="AJ4479" s="21"/>
      <c r="AK4479" s="21"/>
      <c r="AM4479" s="26" t="s">
        <v>38</v>
      </c>
    </row>
    <row r="4480" spans="34:39" x14ac:dyDescent="0.35">
      <c r="AH4480" s="21"/>
      <c r="AI4480" s="21"/>
      <c r="AJ4480" s="21"/>
      <c r="AK4480" s="21"/>
      <c r="AM4480" s="26" t="s">
        <v>38</v>
      </c>
    </row>
    <row r="4481" spans="34:39" x14ac:dyDescent="0.35">
      <c r="AH4481" s="21"/>
      <c r="AI4481" s="21"/>
      <c r="AJ4481" s="21"/>
      <c r="AK4481" s="21"/>
      <c r="AM4481" s="26" t="s">
        <v>38</v>
      </c>
    </row>
    <row r="4482" spans="34:39" x14ac:dyDescent="0.35">
      <c r="AH4482" s="21"/>
      <c r="AI4482" s="21"/>
      <c r="AJ4482" s="21"/>
      <c r="AK4482" s="21"/>
      <c r="AM4482" s="26" t="s">
        <v>38</v>
      </c>
    </row>
    <row r="4483" spans="34:39" x14ac:dyDescent="0.35">
      <c r="AH4483" s="21"/>
      <c r="AI4483" s="21"/>
      <c r="AJ4483" s="21"/>
      <c r="AK4483" s="21"/>
      <c r="AM4483" s="26" t="s">
        <v>38</v>
      </c>
    </row>
    <row r="4484" spans="34:39" x14ac:dyDescent="0.35">
      <c r="AH4484" s="21"/>
      <c r="AI4484" s="21"/>
      <c r="AJ4484" s="21"/>
      <c r="AK4484" s="21"/>
      <c r="AM4484" s="26" t="s">
        <v>38</v>
      </c>
    </row>
    <row r="4485" spans="34:39" x14ac:dyDescent="0.35">
      <c r="AH4485" s="21"/>
      <c r="AI4485" s="21"/>
      <c r="AJ4485" s="21"/>
      <c r="AK4485" s="21"/>
      <c r="AM4485" s="26" t="s">
        <v>38</v>
      </c>
    </row>
    <row r="4486" spans="34:39" x14ac:dyDescent="0.35">
      <c r="AH4486" s="21"/>
      <c r="AI4486" s="21"/>
      <c r="AJ4486" s="21"/>
      <c r="AK4486" s="21"/>
      <c r="AM4486" s="26" t="s">
        <v>38</v>
      </c>
    </row>
    <row r="4487" spans="34:39" x14ac:dyDescent="0.35">
      <c r="AH4487" s="21"/>
      <c r="AI4487" s="21"/>
      <c r="AJ4487" s="21"/>
      <c r="AK4487" s="21"/>
      <c r="AM4487" s="26" t="s">
        <v>38</v>
      </c>
    </row>
    <row r="4488" spans="34:39" x14ac:dyDescent="0.35">
      <c r="AH4488" s="21"/>
      <c r="AI4488" s="21"/>
      <c r="AJ4488" s="21"/>
      <c r="AK4488" s="21"/>
      <c r="AM4488" s="26" t="s">
        <v>38</v>
      </c>
    </row>
    <row r="4489" spans="34:39" x14ac:dyDescent="0.35">
      <c r="AH4489" s="21"/>
      <c r="AI4489" s="21"/>
      <c r="AJ4489" s="21"/>
      <c r="AK4489" s="21"/>
      <c r="AM4489" s="26" t="s">
        <v>38</v>
      </c>
    </row>
    <row r="4490" spans="34:39" x14ac:dyDescent="0.35">
      <c r="AH4490" s="21"/>
      <c r="AI4490" s="21"/>
      <c r="AJ4490" s="21"/>
      <c r="AK4490" s="21"/>
      <c r="AM4490" s="26" t="s">
        <v>38</v>
      </c>
    </row>
    <row r="4491" spans="34:39" x14ac:dyDescent="0.35">
      <c r="AH4491" s="21"/>
      <c r="AI4491" s="21"/>
      <c r="AJ4491" s="21"/>
      <c r="AK4491" s="21"/>
      <c r="AM4491" s="26" t="s">
        <v>38</v>
      </c>
    </row>
    <row r="4492" spans="34:39" x14ac:dyDescent="0.35">
      <c r="AH4492" s="21"/>
      <c r="AI4492" s="21"/>
      <c r="AJ4492" s="21"/>
      <c r="AK4492" s="21"/>
      <c r="AM4492" s="26" t="s">
        <v>38</v>
      </c>
    </row>
    <row r="4493" spans="34:39" x14ac:dyDescent="0.35">
      <c r="AH4493" s="21"/>
      <c r="AI4493" s="21"/>
      <c r="AJ4493" s="21"/>
      <c r="AK4493" s="21"/>
      <c r="AM4493" s="26" t="s">
        <v>38</v>
      </c>
    </row>
    <row r="4494" spans="34:39" x14ac:dyDescent="0.35">
      <c r="AH4494" s="21"/>
      <c r="AI4494" s="21"/>
      <c r="AJ4494" s="21"/>
      <c r="AK4494" s="21"/>
      <c r="AM4494" s="26" t="s">
        <v>38</v>
      </c>
    </row>
    <row r="4495" spans="34:39" x14ac:dyDescent="0.35">
      <c r="AH4495" s="21"/>
      <c r="AI4495" s="21"/>
      <c r="AJ4495" s="21"/>
      <c r="AK4495" s="21"/>
      <c r="AM4495" s="26" t="s">
        <v>38</v>
      </c>
    </row>
    <row r="4496" spans="34:39" x14ac:dyDescent="0.35">
      <c r="AH4496" s="21"/>
      <c r="AI4496" s="21"/>
      <c r="AJ4496" s="21"/>
      <c r="AK4496" s="21"/>
      <c r="AM4496" s="26" t="s">
        <v>38</v>
      </c>
    </row>
    <row r="4497" spans="34:39" x14ac:dyDescent="0.35">
      <c r="AH4497" s="21"/>
      <c r="AI4497" s="21"/>
      <c r="AJ4497" s="21"/>
      <c r="AK4497" s="21"/>
      <c r="AM4497" s="26" t="s">
        <v>38</v>
      </c>
    </row>
    <row r="4498" spans="34:39" x14ac:dyDescent="0.35">
      <c r="AH4498" s="21"/>
      <c r="AI4498" s="21"/>
      <c r="AJ4498" s="21"/>
      <c r="AK4498" s="21"/>
      <c r="AM4498" s="26" t="s">
        <v>38</v>
      </c>
    </row>
    <row r="4499" spans="34:39" x14ac:dyDescent="0.35">
      <c r="AH4499" s="21"/>
      <c r="AI4499" s="21"/>
      <c r="AJ4499" s="21"/>
      <c r="AK4499" s="21"/>
      <c r="AM4499" s="26" t="s">
        <v>38</v>
      </c>
    </row>
    <row r="4500" spans="34:39" x14ac:dyDescent="0.35">
      <c r="AH4500" s="21"/>
      <c r="AI4500" s="21"/>
      <c r="AJ4500" s="21"/>
      <c r="AK4500" s="21"/>
      <c r="AM4500" s="26" t="s">
        <v>38</v>
      </c>
    </row>
    <row r="4501" spans="34:39" x14ac:dyDescent="0.35">
      <c r="AH4501" s="21"/>
      <c r="AI4501" s="21"/>
      <c r="AJ4501" s="21"/>
      <c r="AK4501" s="21"/>
      <c r="AM4501" s="26" t="s">
        <v>38</v>
      </c>
    </row>
    <row r="4502" spans="34:39" x14ac:dyDescent="0.35">
      <c r="AH4502" s="21"/>
      <c r="AI4502" s="21"/>
      <c r="AJ4502" s="21"/>
      <c r="AK4502" s="21"/>
      <c r="AM4502" s="26" t="s">
        <v>38</v>
      </c>
    </row>
    <row r="4503" spans="34:39" x14ac:dyDescent="0.35">
      <c r="AH4503" s="21"/>
      <c r="AI4503" s="21"/>
      <c r="AJ4503" s="21"/>
      <c r="AK4503" s="21"/>
      <c r="AM4503" s="26" t="s">
        <v>38</v>
      </c>
    </row>
    <row r="4504" spans="34:39" x14ac:dyDescent="0.35">
      <c r="AH4504" s="21"/>
      <c r="AI4504" s="21"/>
      <c r="AJ4504" s="21"/>
      <c r="AK4504" s="21"/>
      <c r="AM4504" s="26" t="s">
        <v>38</v>
      </c>
    </row>
    <row r="4505" spans="34:39" x14ac:dyDescent="0.35">
      <c r="AH4505" s="21"/>
      <c r="AI4505" s="21"/>
      <c r="AJ4505" s="21"/>
      <c r="AK4505" s="21"/>
      <c r="AM4505" s="26" t="s">
        <v>38</v>
      </c>
    </row>
    <row r="4506" spans="34:39" x14ac:dyDescent="0.35">
      <c r="AH4506" s="21"/>
      <c r="AI4506" s="21"/>
      <c r="AJ4506" s="21"/>
      <c r="AK4506" s="21"/>
      <c r="AM4506" s="26" t="s">
        <v>38</v>
      </c>
    </row>
    <row r="4507" spans="34:39" x14ac:dyDescent="0.35">
      <c r="AH4507" s="21"/>
      <c r="AI4507" s="21"/>
      <c r="AJ4507" s="21"/>
      <c r="AK4507" s="21"/>
      <c r="AM4507" s="26" t="s">
        <v>38</v>
      </c>
    </row>
    <row r="4508" spans="34:39" x14ac:dyDescent="0.35">
      <c r="AH4508" s="21"/>
      <c r="AI4508" s="21"/>
      <c r="AJ4508" s="21"/>
      <c r="AK4508" s="21"/>
      <c r="AM4508" s="26" t="s">
        <v>38</v>
      </c>
    </row>
    <row r="4509" spans="34:39" x14ac:dyDescent="0.35">
      <c r="AH4509" s="21"/>
      <c r="AI4509" s="21"/>
      <c r="AJ4509" s="21"/>
      <c r="AK4509" s="21"/>
      <c r="AM4509" s="26" t="s">
        <v>38</v>
      </c>
    </row>
    <row r="4510" spans="34:39" x14ac:dyDescent="0.35">
      <c r="AH4510" s="21"/>
      <c r="AI4510" s="21"/>
      <c r="AJ4510" s="21"/>
      <c r="AK4510" s="21"/>
      <c r="AM4510" s="26" t="s">
        <v>38</v>
      </c>
    </row>
    <row r="4511" spans="34:39" x14ac:dyDescent="0.35">
      <c r="AH4511" s="21"/>
      <c r="AI4511" s="21"/>
      <c r="AJ4511" s="21"/>
      <c r="AK4511" s="21"/>
      <c r="AM4511" s="26" t="s">
        <v>38</v>
      </c>
    </row>
    <row r="4512" spans="34:39" x14ac:dyDescent="0.35">
      <c r="AH4512" s="21"/>
      <c r="AI4512" s="21"/>
      <c r="AJ4512" s="21"/>
      <c r="AK4512" s="21"/>
      <c r="AM4512" s="26" t="s">
        <v>38</v>
      </c>
    </row>
    <row r="4513" spans="34:39" x14ac:dyDescent="0.35">
      <c r="AH4513" s="21"/>
      <c r="AI4513" s="21"/>
      <c r="AJ4513" s="21"/>
      <c r="AK4513" s="21"/>
      <c r="AM4513" s="26" t="s">
        <v>38</v>
      </c>
    </row>
    <row r="4514" spans="34:39" x14ac:dyDescent="0.35">
      <c r="AH4514" s="21"/>
      <c r="AI4514" s="21"/>
      <c r="AJ4514" s="21"/>
      <c r="AK4514" s="21"/>
      <c r="AM4514" s="26" t="s">
        <v>38</v>
      </c>
    </row>
    <row r="4515" spans="34:39" x14ac:dyDescent="0.35">
      <c r="AH4515" s="21"/>
      <c r="AI4515" s="21"/>
      <c r="AJ4515" s="21"/>
      <c r="AK4515" s="21"/>
      <c r="AM4515" s="26" t="s">
        <v>38</v>
      </c>
    </row>
    <row r="4516" spans="34:39" x14ac:dyDescent="0.35">
      <c r="AH4516" s="21"/>
      <c r="AI4516" s="21"/>
      <c r="AJ4516" s="21"/>
      <c r="AK4516" s="21"/>
      <c r="AM4516" s="26" t="s">
        <v>38</v>
      </c>
    </row>
    <row r="4517" spans="34:39" x14ac:dyDescent="0.35">
      <c r="AH4517" s="21"/>
      <c r="AI4517" s="21"/>
      <c r="AJ4517" s="21"/>
      <c r="AK4517" s="21"/>
      <c r="AM4517" s="26" t="s">
        <v>38</v>
      </c>
    </row>
    <row r="4518" spans="34:39" x14ac:dyDescent="0.35">
      <c r="AH4518" s="21"/>
      <c r="AI4518" s="21"/>
      <c r="AJ4518" s="21"/>
      <c r="AK4518" s="21"/>
      <c r="AM4518" s="26" t="s">
        <v>38</v>
      </c>
    </row>
    <row r="4519" spans="34:39" x14ac:dyDescent="0.35">
      <c r="AH4519" s="21"/>
      <c r="AI4519" s="21"/>
      <c r="AJ4519" s="21"/>
      <c r="AK4519" s="21"/>
      <c r="AM4519" s="26" t="s">
        <v>38</v>
      </c>
    </row>
    <row r="4520" spans="34:39" x14ac:dyDescent="0.35">
      <c r="AH4520" s="21"/>
      <c r="AI4520" s="21"/>
      <c r="AJ4520" s="21"/>
      <c r="AK4520" s="21"/>
      <c r="AM4520" s="26" t="s">
        <v>38</v>
      </c>
    </row>
    <row r="4521" spans="34:39" x14ac:dyDescent="0.35">
      <c r="AH4521" s="21"/>
      <c r="AI4521" s="21"/>
      <c r="AJ4521" s="21"/>
      <c r="AK4521" s="21"/>
      <c r="AM4521" s="26" t="s">
        <v>38</v>
      </c>
    </row>
    <row r="4522" spans="34:39" x14ac:dyDescent="0.35">
      <c r="AH4522" s="21"/>
      <c r="AI4522" s="21"/>
      <c r="AJ4522" s="21"/>
      <c r="AK4522" s="21"/>
      <c r="AM4522" s="26" t="s">
        <v>38</v>
      </c>
    </row>
    <row r="4523" spans="34:39" x14ac:dyDescent="0.35">
      <c r="AH4523" s="21"/>
      <c r="AI4523" s="21"/>
      <c r="AJ4523" s="21"/>
      <c r="AK4523" s="21"/>
      <c r="AM4523" s="26" t="s">
        <v>38</v>
      </c>
    </row>
    <row r="4524" spans="34:39" x14ac:dyDescent="0.35">
      <c r="AH4524" s="21"/>
      <c r="AI4524" s="21"/>
      <c r="AJ4524" s="21"/>
      <c r="AK4524" s="21"/>
      <c r="AM4524" s="26" t="s">
        <v>38</v>
      </c>
    </row>
    <row r="4525" spans="34:39" x14ac:dyDescent="0.35">
      <c r="AH4525" s="21"/>
      <c r="AI4525" s="21"/>
      <c r="AJ4525" s="21"/>
      <c r="AK4525" s="21"/>
      <c r="AM4525" s="26" t="s">
        <v>38</v>
      </c>
    </row>
    <row r="4526" spans="34:39" x14ac:dyDescent="0.35">
      <c r="AH4526" s="21"/>
      <c r="AI4526" s="21"/>
      <c r="AJ4526" s="21"/>
      <c r="AK4526" s="21"/>
      <c r="AM4526" s="26" t="s">
        <v>38</v>
      </c>
    </row>
    <row r="4527" spans="34:39" x14ac:dyDescent="0.35">
      <c r="AH4527" s="21"/>
      <c r="AI4527" s="21"/>
      <c r="AJ4527" s="21"/>
      <c r="AK4527" s="21"/>
      <c r="AM4527" s="26" t="s">
        <v>38</v>
      </c>
    </row>
    <row r="4528" spans="34:39" x14ac:dyDescent="0.35">
      <c r="AH4528" s="21"/>
      <c r="AI4528" s="21"/>
      <c r="AJ4528" s="21"/>
      <c r="AK4528" s="21"/>
      <c r="AM4528" s="26" t="s">
        <v>38</v>
      </c>
    </row>
    <row r="4529" spans="34:39" x14ac:dyDescent="0.35">
      <c r="AH4529" s="21"/>
      <c r="AI4529" s="21"/>
      <c r="AJ4529" s="21"/>
      <c r="AK4529" s="21"/>
      <c r="AM4529" s="26" t="s">
        <v>38</v>
      </c>
    </row>
    <row r="4530" spans="34:39" x14ac:dyDescent="0.35">
      <c r="AH4530" s="21"/>
      <c r="AI4530" s="21"/>
      <c r="AJ4530" s="21"/>
      <c r="AK4530" s="21"/>
      <c r="AM4530" s="26" t="s">
        <v>38</v>
      </c>
    </row>
    <row r="4531" spans="34:39" x14ac:dyDescent="0.35">
      <c r="AH4531" s="21"/>
      <c r="AI4531" s="21"/>
      <c r="AJ4531" s="21"/>
      <c r="AK4531" s="21"/>
      <c r="AM4531" s="26" t="s">
        <v>38</v>
      </c>
    </row>
    <row r="4532" spans="34:39" x14ac:dyDescent="0.35">
      <c r="AH4532" s="21"/>
      <c r="AI4532" s="21"/>
      <c r="AJ4532" s="21"/>
      <c r="AK4532" s="21"/>
      <c r="AM4532" s="26" t="s">
        <v>38</v>
      </c>
    </row>
    <row r="4533" spans="34:39" x14ac:dyDescent="0.35">
      <c r="AH4533" s="21"/>
      <c r="AI4533" s="21"/>
      <c r="AJ4533" s="21"/>
      <c r="AK4533" s="21"/>
      <c r="AM4533" s="26" t="s">
        <v>38</v>
      </c>
    </row>
    <row r="4534" spans="34:39" x14ac:dyDescent="0.35">
      <c r="AH4534" s="21"/>
      <c r="AI4534" s="21"/>
      <c r="AJ4534" s="21"/>
      <c r="AK4534" s="21"/>
      <c r="AM4534" s="26" t="s">
        <v>38</v>
      </c>
    </row>
    <row r="4535" spans="34:39" x14ac:dyDescent="0.35">
      <c r="AH4535" s="21"/>
      <c r="AI4535" s="21"/>
      <c r="AJ4535" s="21"/>
      <c r="AK4535" s="21"/>
      <c r="AM4535" s="26" t="s">
        <v>38</v>
      </c>
    </row>
    <row r="4536" spans="34:39" x14ac:dyDescent="0.35">
      <c r="AH4536" s="21"/>
      <c r="AI4536" s="21"/>
      <c r="AJ4536" s="21"/>
      <c r="AK4536" s="21"/>
      <c r="AM4536" s="26" t="s">
        <v>38</v>
      </c>
    </row>
    <row r="4537" spans="34:39" x14ac:dyDescent="0.35">
      <c r="AH4537" s="21"/>
      <c r="AI4537" s="21"/>
      <c r="AJ4537" s="21"/>
      <c r="AK4537" s="21"/>
      <c r="AM4537" s="26" t="s">
        <v>38</v>
      </c>
    </row>
    <row r="4538" spans="34:39" x14ac:dyDescent="0.35">
      <c r="AH4538" s="21"/>
      <c r="AI4538" s="21"/>
      <c r="AJ4538" s="21"/>
      <c r="AK4538" s="21"/>
      <c r="AM4538" s="26" t="s">
        <v>38</v>
      </c>
    </row>
    <row r="4539" spans="34:39" x14ac:dyDescent="0.35">
      <c r="AH4539" s="21"/>
      <c r="AI4539" s="21"/>
      <c r="AJ4539" s="21"/>
      <c r="AK4539" s="21"/>
      <c r="AM4539" s="26" t="s">
        <v>38</v>
      </c>
    </row>
    <row r="4540" spans="34:39" x14ac:dyDescent="0.35">
      <c r="AH4540" s="21"/>
      <c r="AI4540" s="21"/>
      <c r="AJ4540" s="21"/>
      <c r="AK4540" s="21"/>
      <c r="AM4540" s="26" t="s">
        <v>38</v>
      </c>
    </row>
    <row r="4541" spans="34:39" x14ac:dyDescent="0.35">
      <c r="AH4541" s="21"/>
      <c r="AI4541" s="21"/>
      <c r="AJ4541" s="21"/>
      <c r="AK4541" s="21"/>
      <c r="AM4541" s="26" t="s">
        <v>38</v>
      </c>
    </row>
    <row r="4542" spans="34:39" x14ac:dyDescent="0.35">
      <c r="AH4542" s="21"/>
      <c r="AI4542" s="21"/>
      <c r="AJ4542" s="21"/>
      <c r="AK4542" s="21"/>
      <c r="AM4542" s="26" t="s">
        <v>38</v>
      </c>
    </row>
    <row r="4543" spans="34:39" x14ac:dyDescent="0.35">
      <c r="AH4543" s="21"/>
      <c r="AI4543" s="21"/>
      <c r="AJ4543" s="21"/>
      <c r="AK4543" s="21"/>
      <c r="AM4543" s="26" t="s">
        <v>38</v>
      </c>
    </row>
    <row r="4544" spans="34:39" x14ac:dyDescent="0.35">
      <c r="AH4544" s="21"/>
      <c r="AI4544" s="21"/>
      <c r="AJ4544" s="21"/>
      <c r="AK4544" s="21"/>
      <c r="AM4544" s="26" t="s">
        <v>38</v>
      </c>
    </row>
    <row r="4545" spans="34:39" x14ac:dyDescent="0.35">
      <c r="AH4545" s="21"/>
      <c r="AI4545" s="21"/>
      <c r="AJ4545" s="21"/>
      <c r="AK4545" s="21"/>
      <c r="AM4545" s="26" t="s">
        <v>38</v>
      </c>
    </row>
    <row r="4546" spans="34:39" x14ac:dyDescent="0.35">
      <c r="AH4546" s="21"/>
      <c r="AI4546" s="21"/>
      <c r="AJ4546" s="21"/>
      <c r="AK4546" s="21"/>
      <c r="AM4546" s="26" t="s">
        <v>38</v>
      </c>
    </row>
    <row r="4547" spans="34:39" x14ac:dyDescent="0.35">
      <c r="AH4547" s="21"/>
      <c r="AI4547" s="21"/>
      <c r="AJ4547" s="21"/>
      <c r="AK4547" s="21"/>
      <c r="AM4547" s="26" t="s">
        <v>38</v>
      </c>
    </row>
    <row r="4548" spans="34:39" x14ac:dyDescent="0.35">
      <c r="AH4548" s="21"/>
      <c r="AI4548" s="21"/>
      <c r="AJ4548" s="21"/>
      <c r="AK4548" s="21"/>
      <c r="AM4548" s="26" t="s">
        <v>38</v>
      </c>
    </row>
    <row r="4549" spans="34:39" x14ac:dyDescent="0.35">
      <c r="AH4549" s="21"/>
      <c r="AI4549" s="21"/>
      <c r="AJ4549" s="21"/>
      <c r="AK4549" s="21"/>
      <c r="AM4549" s="26" t="s">
        <v>38</v>
      </c>
    </row>
    <row r="4550" spans="34:39" x14ac:dyDescent="0.35">
      <c r="AH4550" s="21"/>
      <c r="AI4550" s="21"/>
      <c r="AJ4550" s="21"/>
      <c r="AK4550" s="21"/>
      <c r="AM4550" s="26" t="s">
        <v>38</v>
      </c>
    </row>
    <row r="4551" spans="34:39" x14ac:dyDescent="0.35">
      <c r="AH4551" s="21"/>
      <c r="AI4551" s="21"/>
      <c r="AJ4551" s="21"/>
      <c r="AK4551" s="21"/>
      <c r="AM4551" s="26" t="s">
        <v>38</v>
      </c>
    </row>
    <row r="4552" spans="34:39" x14ac:dyDescent="0.35">
      <c r="AH4552" s="21"/>
      <c r="AI4552" s="21"/>
      <c r="AJ4552" s="21"/>
      <c r="AK4552" s="21"/>
      <c r="AM4552" s="26" t="s">
        <v>38</v>
      </c>
    </row>
    <row r="4553" spans="34:39" x14ac:dyDescent="0.35">
      <c r="AH4553" s="21"/>
      <c r="AI4553" s="21"/>
      <c r="AJ4553" s="21"/>
      <c r="AK4553" s="21"/>
      <c r="AM4553" s="26" t="s">
        <v>38</v>
      </c>
    </row>
    <row r="4554" spans="34:39" x14ac:dyDescent="0.35">
      <c r="AH4554" s="21"/>
      <c r="AI4554" s="21"/>
      <c r="AJ4554" s="21"/>
      <c r="AK4554" s="21"/>
      <c r="AM4554" s="26" t="s">
        <v>38</v>
      </c>
    </row>
    <row r="4555" spans="34:39" x14ac:dyDescent="0.35">
      <c r="AH4555" s="21"/>
      <c r="AI4555" s="21"/>
      <c r="AJ4555" s="21"/>
      <c r="AK4555" s="21"/>
      <c r="AM4555" s="26" t="s">
        <v>38</v>
      </c>
    </row>
    <row r="4556" spans="34:39" x14ac:dyDescent="0.35">
      <c r="AH4556" s="21"/>
      <c r="AI4556" s="21"/>
      <c r="AJ4556" s="21"/>
      <c r="AK4556" s="21"/>
      <c r="AM4556" s="26" t="s">
        <v>38</v>
      </c>
    </row>
    <row r="4557" spans="34:39" x14ac:dyDescent="0.35">
      <c r="AH4557" s="21"/>
      <c r="AI4557" s="21"/>
      <c r="AJ4557" s="21"/>
      <c r="AK4557" s="21"/>
      <c r="AM4557" s="26" t="s">
        <v>38</v>
      </c>
    </row>
    <row r="4558" spans="34:39" x14ac:dyDescent="0.35">
      <c r="AH4558" s="21"/>
      <c r="AI4558" s="21"/>
      <c r="AJ4558" s="21"/>
      <c r="AK4558" s="21"/>
      <c r="AM4558" s="26" t="s">
        <v>38</v>
      </c>
    </row>
    <row r="4559" spans="34:39" x14ac:dyDescent="0.35">
      <c r="AH4559" s="21"/>
      <c r="AI4559" s="21"/>
      <c r="AJ4559" s="21"/>
      <c r="AK4559" s="21"/>
      <c r="AM4559" s="26" t="s">
        <v>38</v>
      </c>
    </row>
    <row r="4560" spans="34:39" x14ac:dyDescent="0.35">
      <c r="AH4560" s="21"/>
      <c r="AI4560" s="21"/>
      <c r="AJ4560" s="21"/>
      <c r="AK4560" s="21"/>
      <c r="AM4560" s="26" t="s">
        <v>38</v>
      </c>
    </row>
    <row r="4561" spans="34:39" x14ac:dyDescent="0.35">
      <c r="AH4561" s="21"/>
      <c r="AI4561" s="21"/>
      <c r="AJ4561" s="21"/>
      <c r="AK4561" s="21"/>
      <c r="AM4561" s="26" t="s">
        <v>38</v>
      </c>
    </row>
    <row r="4562" spans="34:39" x14ac:dyDescent="0.35">
      <c r="AH4562" s="21"/>
      <c r="AI4562" s="21"/>
      <c r="AJ4562" s="21"/>
      <c r="AK4562" s="21"/>
      <c r="AM4562" s="26" t="s">
        <v>38</v>
      </c>
    </row>
    <row r="4563" spans="34:39" x14ac:dyDescent="0.35">
      <c r="AH4563" s="21"/>
      <c r="AI4563" s="21"/>
      <c r="AJ4563" s="21"/>
      <c r="AK4563" s="21"/>
      <c r="AM4563" s="26" t="s">
        <v>38</v>
      </c>
    </row>
    <row r="4564" spans="34:39" x14ac:dyDescent="0.35">
      <c r="AH4564" s="21"/>
      <c r="AI4564" s="21"/>
      <c r="AJ4564" s="21"/>
      <c r="AK4564" s="21"/>
      <c r="AM4564" s="26" t="s">
        <v>38</v>
      </c>
    </row>
    <row r="4565" spans="34:39" x14ac:dyDescent="0.35">
      <c r="AH4565" s="21"/>
      <c r="AI4565" s="21"/>
      <c r="AJ4565" s="21"/>
      <c r="AK4565" s="21"/>
      <c r="AM4565" s="26" t="s">
        <v>38</v>
      </c>
    </row>
    <row r="4566" spans="34:39" x14ac:dyDescent="0.35">
      <c r="AH4566" s="21"/>
      <c r="AI4566" s="21"/>
      <c r="AJ4566" s="21"/>
      <c r="AK4566" s="21"/>
      <c r="AM4566" s="26" t="s">
        <v>38</v>
      </c>
    </row>
    <row r="4567" spans="34:39" x14ac:dyDescent="0.35">
      <c r="AH4567" s="21"/>
      <c r="AI4567" s="21"/>
      <c r="AJ4567" s="21"/>
      <c r="AK4567" s="21"/>
      <c r="AM4567" s="26" t="s">
        <v>38</v>
      </c>
    </row>
    <row r="4568" spans="34:39" x14ac:dyDescent="0.35">
      <c r="AH4568" s="21"/>
      <c r="AI4568" s="21"/>
      <c r="AJ4568" s="21"/>
      <c r="AK4568" s="21"/>
      <c r="AM4568" s="26" t="s">
        <v>38</v>
      </c>
    </row>
    <row r="4569" spans="34:39" x14ac:dyDescent="0.35">
      <c r="AH4569" s="21"/>
      <c r="AI4569" s="21"/>
      <c r="AJ4569" s="21"/>
      <c r="AK4569" s="21"/>
      <c r="AM4569" s="26" t="s">
        <v>38</v>
      </c>
    </row>
    <row r="4570" spans="34:39" x14ac:dyDescent="0.35">
      <c r="AH4570" s="21"/>
      <c r="AI4570" s="21"/>
      <c r="AJ4570" s="21"/>
      <c r="AK4570" s="21"/>
      <c r="AM4570" s="26" t="s">
        <v>38</v>
      </c>
    </row>
    <row r="4571" spans="34:39" x14ac:dyDescent="0.35">
      <c r="AH4571" s="21"/>
      <c r="AI4571" s="21"/>
      <c r="AJ4571" s="21"/>
      <c r="AK4571" s="21"/>
      <c r="AM4571" s="26" t="s">
        <v>38</v>
      </c>
    </row>
    <row r="4572" spans="34:39" x14ac:dyDescent="0.35">
      <c r="AH4572" s="21"/>
      <c r="AI4572" s="21"/>
      <c r="AJ4572" s="21"/>
      <c r="AK4572" s="21"/>
      <c r="AM4572" s="26" t="s">
        <v>38</v>
      </c>
    </row>
    <row r="4573" spans="34:39" x14ac:dyDescent="0.35">
      <c r="AH4573" s="21"/>
      <c r="AI4573" s="21"/>
      <c r="AJ4573" s="21"/>
      <c r="AK4573" s="21"/>
      <c r="AM4573" s="26" t="s">
        <v>38</v>
      </c>
    </row>
    <row r="4574" spans="34:39" x14ac:dyDescent="0.35">
      <c r="AH4574" s="21"/>
      <c r="AI4574" s="21"/>
      <c r="AJ4574" s="21"/>
      <c r="AK4574" s="21"/>
      <c r="AM4574" s="26" t="s">
        <v>38</v>
      </c>
    </row>
    <row r="4575" spans="34:39" x14ac:dyDescent="0.35">
      <c r="AH4575" s="21"/>
      <c r="AI4575" s="21"/>
      <c r="AJ4575" s="21"/>
      <c r="AK4575" s="21"/>
      <c r="AM4575" s="26" t="s">
        <v>38</v>
      </c>
    </row>
    <row r="4576" spans="34:39" x14ac:dyDescent="0.35">
      <c r="AH4576" s="21"/>
      <c r="AI4576" s="21"/>
      <c r="AJ4576" s="21"/>
      <c r="AK4576" s="21"/>
      <c r="AM4576" s="26" t="s">
        <v>38</v>
      </c>
    </row>
    <row r="4577" spans="34:39" x14ac:dyDescent="0.35">
      <c r="AH4577" s="21"/>
      <c r="AI4577" s="21"/>
      <c r="AJ4577" s="21"/>
      <c r="AK4577" s="21"/>
      <c r="AM4577" s="26" t="s">
        <v>38</v>
      </c>
    </row>
    <row r="4578" spans="34:39" x14ac:dyDescent="0.35">
      <c r="AH4578" s="21"/>
      <c r="AI4578" s="21"/>
      <c r="AJ4578" s="21"/>
      <c r="AK4578" s="21"/>
      <c r="AM4578" s="26" t="s">
        <v>38</v>
      </c>
    </row>
    <row r="4579" spans="34:39" x14ac:dyDescent="0.35">
      <c r="AH4579" s="21"/>
      <c r="AI4579" s="21"/>
      <c r="AJ4579" s="21"/>
      <c r="AK4579" s="21"/>
      <c r="AM4579" s="26" t="s">
        <v>38</v>
      </c>
    </row>
    <row r="4580" spans="34:39" x14ac:dyDescent="0.35">
      <c r="AH4580" s="21"/>
      <c r="AI4580" s="21"/>
      <c r="AJ4580" s="21"/>
      <c r="AK4580" s="21"/>
      <c r="AM4580" s="26" t="s">
        <v>38</v>
      </c>
    </row>
    <row r="4581" spans="34:39" x14ac:dyDescent="0.35">
      <c r="AH4581" s="21"/>
      <c r="AI4581" s="21"/>
      <c r="AJ4581" s="21"/>
      <c r="AK4581" s="21"/>
      <c r="AM4581" s="26" t="s">
        <v>38</v>
      </c>
    </row>
    <row r="4582" spans="34:39" x14ac:dyDescent="0.35">
      <c r="AH4582" s="21"/>
      <c r="AI4582" s="21"/>
      <c r="AJ4582" s="21"/>
      <c r="AK4582" s="21"/>
      <c r="AM4582" s="26" t="s">
        <v>38</v>
      </c>
    </row>
    <row r="4583" spans="34:39" x14ac:dyDescent="0.35">
      <c r="AH4583" s="21"/>
      <c r="AI4583" s="21"/>
      <c r="AJ4583" s="21"/>
      <c r="AK4583" s="21"/>
      <c r="AM4583" s="26" t="s">
        <v>38</v>
      </c>
    </row>
    <row r="4584" spans="34:39" x14ac:dyDescent="0.35">
      <c r="AH4584" s="21"/>
      <c r="AI4584" s="21"/>
      <c r="AJ4584" s="21"/>
      <c r="AK4584" s="21"/>
      <c r="AM4584" s="26" t="s">
        <v>38</v>
      </c>
    </row>
    <row r="4585" spans="34:39" x14ac:dyDescent="0.35">
      <c r="AH4585" s="21"/>
      <c r="AI4585" s="21"/>
      <c r="AJ4585" s="21"/>
      <c r="AK4585" s="21"/>
      <c r="AM4585" s="26" t="s">
        <v>38</v>
      </c>
    </row>
    <row r="4586" spans="34:39" x14ac:dyDescent="0.35">
      <c r="AH4586" s="21"/>
      <c r="AI4586" s="21"/>
      <c r="AJ4586" s="21"/>
      <c r="AK4586" s="21"/>
      <c r="AM4586" s="26" t="s">
        <v>38</v>
      </c>
    </row>
    <row r="4587" spans="34:39" x14ac:dyDescent="0.35">
      <c r="AH4587" s="21"/>
      <c r="AI4587" s="21"/>
      <c r="AJ4587" s="21"/>
      <c r="AK4587" s="21"/>
      <c r="AM4587" s="26" t="s">
        <v>38</v>
      </c>
    </row>
    <row r="4588" spans="34:39" x14ac:dyDescent="0.35">
      <c r="AH4588" s="21"/>
      <c r="AI4588" s="21"/>
      <c r="AJ4588" s="21"/>
      <c r="AK4588" s="21"/>
      <c r="AM4588" s="26" t="s">
        <v>38</v>
      </c>
    </row>
    <row r="4589" spans="34:39" x14ac:dyDescent="0.35">
      <c r="AH4589" s="21"/>
      <c r="AI4589" s="21"/>
      <c r="AJ4589" s="21"/>
      <c r="AK4589" s="21"/>
      <c r="AM4589" s="26" t="s">
        <v>38</v>
      </c>
    </row>
    <row r="4590" spans="34:39" x14ac:dyDescent="0.35">
      <c r="AH4590" s="21"/>
      <c r="AI4590" s="21"/>
      <c r="AJ4590" s="21"/>
      <c r="AK4590" s="21"/>
      <c r="AM4590" s="26" t="s">
        <v>38</v>
      </c>
    </row>
    <row r="4591" spans="34:39" x14ac:dyDescent="0.35">
      <c r="AH4591" s="21"/>
      <c r="AI4591" s="21"/>
      <c r="AJ4591" s="21"/>
      <c r="AK4591" s="21"/>
      <c r="AM4591" s="26" t="s">
        <v>38</v>
      </c>
    </row>
    <row r="4592" spans="34:39" x14ac:dyDescent="0.35">
      <c r="AH4592" s="21"/>
      <c r="AI4592" s="21"/>
      <c r="AJ4592" s="21"/>
      <c r="AK4592" s="21"/>
      <c r="AM4592" s="26" t="s">
        <v>38</v>
      </c>
    </row>
    <row r="4593" spans="34:39" x14ac:dyDescent="0.35">
      <c r="AH4593" s="21"/>
      <c r="AI4593" s="21"/>
      <c r="AJ4593" s="21"/>
      <c r="AK4593" s="21"/>
      <c r="AM4593" s="26" t="s">
        <v>38</v>
      </c>
    </row>
    <row r="4594" spans="34:39" x14ac:dyDescent="0.35">
      <c r="AH4594" s="21"/>
      <c r="AI4594" s="21"/>
      <c r="AJ4594" s="21"/>
      <c r="AK4594" s="21"/>
      <c r="AM4594" s="26" t="s">
        <v>38</v>
      </c>
    </row>
    <row r="4595" spans="34:39" x14ac:dyDescent="0.35">
      <c r="AH4595" s="21"/>
      <c r="AI4595" s="21"/>
      <c r="AJ4595" s="21"/>
      <c r="AK4595" s="21"/>
      <c r="AM4595" s="26" t="s">
        <v>38</v>
      </c>
    </row>
    <row r="4596" spans="34:39" x14ac:dyDescent="0.35">
      <c r="AH4596" s="21"/>
      <c r="AI4596" s="21"/>
      <c r="AJ4596" s="21"/>
      <c r="AK4596" s="21"/>
      <c r="AM4596" s="26" t="s">
        <v>38</v>
      </c>
    </row>
    <row r="4597" spans="34:39" x14ac:dyDescent="0.35">
      <c r="AH4597" s="21"/>
      <c r="AI4597" s="21"/>
      <c r="AJ4597" s="21"/>
      <c r="AK4597" s="21"/>
      <c r="AM4597" s="26" t="s">
        <v>38</v>
      </c>
    </row>
    <row r="4598" spans="34:39" x14ac:dyDescent="0.35">
      <c r="AH4598" s="21"/>
      <c r="AI4598" s="21"/>
      <c r="AJ4598" s="21"/>
      <c r="AK4598" s="21"/>
      <c r="AM4598" s="26" t="s">
        <v>38</v>
      </c>
    </row>
    <row r="4599" spans="34:39" x14ac:dyDescent="0.35">
      <c r="AH4599" s="21"/>
      <c r="AI4599" s="21"/>
      <c r="AJ4599" s="21"/>
      <c r="AK4599" s="21"/>
      <c r="AM4599" s="26" t="s">
        <v>38</v>
      </c>
    </row>
    <row r="4600" spans="34:39" x14ac:dyDescent="0.35">
      <c r="AH4600" s="21"/>
      <c r="AI4600" s="21"/>
      <c r="AJ4600" s="21"/>
      <c r="AK4600" s="21"/>
      <c r="AM4600" s="26" t="s">
        <v>38</v>
      </c>
    </row>
    <row r="4601" spans="34:39" x14ac:dyDescent="0.35">
      <c r="AH4601" s="21"/>
      <c r="AI4601" s="21"/>
      <c r="AJ4601" s="21"/>
      <c r="AK4601" s="21"/>
      <c r="AM4601" s="26" t="s">
        <v>38</v>
      </c>
    </row>
    <row r="4602" spans="34:39" x14ac:dyDescent="0.35">
      <c r="AH4602" s="21"/>
      <c r="AI4602" s="21"/>
      <c r="AJ4602" s="21"/>
      <c r="AK4602" s="21"/>
      <c r="AM4602" s="26" t="s">
        <v>38</v>
      </c>
    </row>
    <row r="4603" spans="34:39" x14ac:dyDescent="0.35">
      <c r="AH4603" s="21"/>
      <c r="AI4603" s="21"/>
      <c r="AJ4603" s="21"/>
      <c r="AK4603" s="21"/>
      <c r="AM4603" s="26" t="s">
        <v>38</v>
      </c>
    </row>
    <row r="4604" spans="34:39" x14ac:dyDescent="0.35">
      <c r="AH4604" s="21"/>
      <c r="AI4604" s="21"/>
      <c r="AJ4604" s="21"/>
      <c r="AK4604" s="21"/>
      <c r="AM4604" s="26" t="s">
        <v>38</v>
      </c>
    </row>
    <row r="4605" spans="34:39" x14ac:dyDescent="0.35">
      <c r="AH4605" s="21"/>
      <c r="AI4605" s="21"/>
      <c r="AJ4605" s="21"/>
      <c r="AK4605" s="21"/>
      <c r="AM4605" s="26" t="s">
        <v>38</v>
      </c>
    </row>
    <row r="4606" spans="34:39" x14ac:dyDescent="0.35">
      <c r="AH4606" s="21"/>
      <c r="AI4606" s="21"/>
      <c r="AJ4606" s="21"/>
      <c r="AK4606" s="21"/>
      <c r="AM4606" s="26" t="s">
        <v>38</v>
      </c>
    </row>
    <row r="4607" spans="34:39" x14ac:dyDescent="0.35">
      <c r="AH4607" s="21"/>
      <c r="AI4607" s="21"/>
      <c r="AJ4607" s="21"/>
      <c r="AK4607" s="21"/>
      <c r="AM4607" s="26" t="s">
        <v>38</v>
      </c>
    </row>
    <row r="4608" spans="34:39" x14ac:dyDescent="0.35">
      <c r="AH4608" s="21"/>
      <c r="AI4608" s="21"/>
      <c r="AJ4608" s="21"/>
      <c r="AK4608" s="21"/>
      <c r="AM4608" s="26" t="s">
        <v>38</v>
      </c>
    </row>
    <row r="4609" spans="34:39" x14ac:dyDescent="0.35">
      <c r="AH4609" s="21"/>
      <c r="AI4609" s="21"/>
      <c r="AJ4609" s="21"/>
      <c r="AK4609" s="21"/>
      <c r="AM4609" s="26" t="s">
        <v>38</v>
      </c>
    </row>
    <row r="4610" spans="34:39" x14ac:dyDescent="0.35">
      <c r="AH4610" s="21"/>
      <c r="AI4610" s="21"/>
      <c r="AJ4610" s="21"/>
      <c r="AK4610" s="21"/>
      <c r="AM4610" s="26" t="s">
        <v>38</v>
      </c>
    </row>
    <row r="4611" spans="34:39" x14ac:dyDescent="0.35">
      <c r="AH4611" s="21"/>
      <c r="AI4611" s="21"/>
      <c r="AJ4611" s="21"/>
      <c r="AK4611" s="21"/>
      <c r="AM4611" s="26" t="s">
        <v>38</v>
      </c>
    </row>
    <row r="4612" spans="34:39" x14ac:dyDescent="0.35">
      <c r="AH4612" s="21"/>
      <c r="AI4612" s="21"/>
      <c r="AJ4612" s="21"/>
      <c r="AK4612" s="21"/>
      <c r="AM4612" s="26" t="s">
        <v>38</v>
      </c>
    </row>
    <row r="4613" spans="34:39" x14ac:dyDescent="0.35">
      <c r="AH4613" s="21"/>
      <c r="AI4613" s="21"/>
      <c r="AJ4613" s="21"/>
      <c r="AK4613" s="21"/>
      <c r="AM4613" s="26" t="s">
        <v>38</v>
      </c>
    </row>
    <row r="4614" spans="34:39" x14ac:dyDescent="0.35">
      <c r="AH4614" s="21"/>
      <c r="AI4614" s="21"/>
      <c r="AJ4614" s="21"/>
      <c r="AK4614" s="21"/>
      <c r="AM4614" s="26" t="s">
        <v>38</v>
      </c>
    </row>
    <row r="4615" spans="34:39" x14ac:dyDescent="0.35">
      <c r="AH4615" s="21"/>
      <c r="AI4615" s="21"/>
      <c r="AJ4615" s="21"/>
      <c r="AK4615" s="21"/>
      <c r="AM4615" s="26" t="s">
        <v>38</v>
      </c>
    </row>
    <row r="4616" spans="34:39" x14ac:dyDescent="0.35">
      <c r="AH4616" s="21"/>
      <c r="AI4616" s="21"/>
      <c r="AJ4616" s="21"/>
      <c r="AK4616" s="21"/>
      <c r="AM4616" s="26" t="s">
        <v>38</v>
      </c>
    </row>
    <row r="4617" spans="34:39" x14ac:dyDescent="0.35">
      <c r="AH4617" s="21"/>
      <c r="AI4617" s="21"/>
      <c r="AJ4617" s="21"/>
      <c r="AK4617" s="21"/>
      <c r="AM4617" s="26" t="s">
        <v>38</v>
      </c>
    </row>
    <row r="4618" spans="34:39" x14ac:dyDescent="0.35">
      <c r="AH4618" s="21"/>
      <c r="AI4618" s="21"/>
      <c r="AJ4618" s="21"/>
      <c r="AK4618" s="21"/>
      <c r="AM4618" s="26" t="s">
        <v>38</v>
      </c>
    </row>
    <row r="4619" spans="34:39" x14ac:dyDescent="0.35">
      <c r="AH4619" s="21"/>
      <c r="AI4619" s="21"/>
      <c r="AJ4619" s="21"/>
      <c r="AK4619" s="21"/>
      <c r="AM4619" s="26" t="s">
        <v>38</v>
      </c>
    </row>
    <row r="4620" spans="34:39" x14ac:dyDescent="0.35">
      <c r="AH4620" s="21"/>
      <c r="AI4620" s="21"/>
      <c r="AJ4620" s="21"/>
      <c r="AK4620" s="21"/>
      <c r="AM4620" s="26" t="s">
        <v>38</v>
      </c>
    </row>
    <row r="4621" spans="34:39" x14ac:dyDescent="0.35">
      <c r="AH4621" s="21"/>
      <c r="AI4621" s="21"/>
      <c r="AJ4621" s="21"/>
      <c r="AK4621" s="21"/>
      <c r="AM4621" s="26" t="s">
        <v>38</v>
      </c>
    </row>
    <row r="4622" spans="34:39" x14ac:dyDescent="0.35">
      <c r="AH4622" s="21"/>
      <c r="AI4622" s="21"/>
      <c r="AJ4622" s="21"/>
      <c r="AK4622" s="21"/>
      <c r="AM4622" s="26" t="s">
        <v>38</v>
      </c>
    </row>
    <row r="4623" spans="34:39" x14ac:dyDescent="0.35">
      <c r="AH4623" s="21"/>
      <c r="AI4623" s="21"/>
      <c r="AJ4623" s="21"/>
      <c r="AK4623" s="21"/>
      <c r="AM4623" s="26" t="s">
        <v>38</v>
      </c>
    </row>
    <row r="4624" spans="34:39" x14ac:dyDescent="0.35">
      <c r="AH4624" s="21"/>
      <c r="AI4624" s="21"/>
      <c r="AJ4624" s="21"/>
      <c r="AK4624" s="21"/>
      <c r="AM4624" s="26" t="s">
        <v>38</v>
      </c>
    </row>
    <row r="4625" spans="34:39" x14ac:dyDescent="0.35">
      <c r="AH4625" s="21"/>
      <c r="AI4625" s="21"/>
      <c r="AJ4625" s="21"/>
      <c r="AK4625" s="21"/>
      <c r="AM4625" s="26" t="s">
        <v>38</v>
      </c>
    </row>
    <row r="4626" spans="34:39" x14ac:dyDescent="0.35">
      <c r="AH4626" s="21"/>
      <c r="AI4626" s="21"/>
      <c r="AJ4626" s="21"/>
      <c r="AK4626" s="21"/>
      <c r="AM4626" s="26" t="s">
        <v>38</v>
      </c>
    </row>
    <row r="4627" spans="34:39" x14ac:dyDescent="0.35">
      <c r="AH4627" s="21"/>
      <c r="AI4627" s="21"/>
      <c r="AJ4627" s="21"/>
      <c r="AK4627" s="21"/>
      <c r="AM4627" s="26" t="s">
        <v>38</v>
      </c>
    </row>
    <row r="4628" spans="34:39" x14ac:dyDescent="0.35">
      <c r="AH4628" s="21"/>
      <c r="AI4628" s="21"/>
      <c r="AJ4628" s="21"/>
      <c r="AK4628" s="21"/>
      <c r="AM4628" s="26" t="s">
        <v>38</v>
      </c>
    </row>
    <row r="4629" spans="34:39" x14ac:dyDescent="0.35">
      <c r="AH4629" s="21"/>
      <c r="AI4629" s="21"/>
      <c r="AJ4629" s="21"/>
      <c r="AK4629" s="21"/>
      <c r="AM4629" s="26" t="s">
        <v>38</v>
      </c>
    </row>
    <row r="4630" spans="34:39" x14ac:dyDescent="0.35">
      <c r="AH4630" s="21"/>
      <c r="AI4630" s="21"/>
      <c r="AJ4630" s="21"/>
      <c r="AK4630" s="21"/>
      <c r="AM4630" s="26" t="s">
        <v>38</v>
      </c>
    </row>
    <row r="4631" spans="34:39" x14ac:dyDescent="0.35">
      <c r="AH4631" s="21"/>
      <c r="AI4631" s="21"/>
      <c r="AJ4631" s="21"/>
      <c r="AK4631" s="21"/>
      <c r="AM4631" s="26" t="s">
        <v>38</v>
      </c>
    </row>
    <row r="4632" spans="34:39" x14ac:dyDescent="0.35">
      <c r="AH4632" s="21"/>
      <c r="AI4632" s="21"/>
      <c r="AJ4632" s="21"/>
      <c r="AK4632" s="21"/>
      <c r="AM4632" s="26" t="s">
        <v>38</v>
      </c>
    </row>
    <row r="4633" spans="34:39" x14ac:dyDescent="0.35">
      <c r="AH4633" s="21"/>
      <c r="AI4633" s="21"/>
      <c r="AJ4633" s="21"/>
      <c r="AK4633" s="21"/>
      <c r="AM4633" s="26" t="s">
        <v>38</v>
      </c>
    </row>
    <row r="4634" spans="34:39" x14ac:dyDescent="0.35">
      <c r="AH4634" s="21"/>
      <c r="AI4634" s="21"/>
      <c r="AJ4634" s="21"/>
      <c r="AK4634" s="21"/>
      <c r="AM4634" s="26" t="s">
        <v>38</v>
      </c>
    </row>
    <row r="4635" spans="34:39" x14ac:dyDescent="0.35">
      <c r="AH4635" s="21"/>
      <c r="AI4635" s="21"/>
      <c r="AJ4635" s="21"/>
      <c r="AK4635" s="21"/>
      <c r="AM4635" s="26" t="s">
        <v>38</v>
      </c>
    </row>
    <row r="4636" spans="34:39" x14ac:dyDescent="0.35">
      <c r="AH4636" s="21"/>
      <c r="AI4636" s="21"/>
      <c r="AJ4636" s="21"/>
      <c r="AK4636" s="21"/>
      <c r="AM4636" s="26" t="s">
        <v>38</v>
      </c>
    </row>
    <row r="4637" spans="34:39" x14ac:dyDescent="0.35">
      <c r="AH4637" s="21"/>
      <c r="AI4637" s="21"/>
      <c r="AJ4637" s="21"/>
      <c r="AK4637" s="21"/>
      <c r="AM4637" s="26" t="s">
        <v>38</v>
      </c>
    </row>
    <row r="4638" spans="34:39" x14ac:dyDescent="0.35">
      <c r="AH4638" s="21"/>
      <c r="AI4638" s="21"/>
      <c r="AJ4638" s="21"/>
      <c r="AK4638" s="21"/>
      <c r="AM4638" s="26" t="s">
        <v>38</v>
      </c>
    </row>
    <row r="4639" spans="34:39" x14ac:dyDescent="0.35">
      <c r="AH4639" s="21"/>
      <c r="AI4639" s="21"/>
      <c r="AJ4639" s="21"/>
      <c r="AK4639" s="21"/>
      <c r="AM4639" s="26" t="s">
        <v>38</v>
      </c>
    </row>
    <row r="4640" spans="34:39" x14ac:dyDescent="0.35">
      <c r="AH4640" s="21"/>
      <c r="AI4640" s="21"/>
      <c r="AJ4640" s="21"/>
      <c r="AK4640" s="21"/>
      <c r="AM4640" s="26" t="s">
        <v>38</v>
      </c>
    </row>
    <row r="4641" spans="34:39" x14ac:dyDescent="0.35">
      <c r="AH4641" s="21"/>
      <c r="AI4641" s="21"/>
      <c r="AJ4641" s="21"/>
      <c r="AK4641" s="21"/>
      <c r="AM4641" s="26" t="s">
        <v>38</v>
      </c>
    </row>
    <row r="4642" spans="34:39" x14ac:dyDescent="0.35">
      <c r="AH4642" s="21"/>
      <c r="AI4642" s="21"/>
      <c r="AJ4642" s="21"/>
      <c r="AK4642" s="21"/>
      <c r="AM4642" s="26" t="s">
        <v>38</v>
      </c>
    </row>
    <row r="4643" spans="34:39" x14ac:dyDescent="0.35">
      <c r="AH4643" s="21"/>
      <c r="AI4643" s="21"/>
      <c r="AJ4643" s="21"/>
      <c r="AK4643" s="21"/>
      <c r="AM4643" s="26" t="s">
        <v>38</v>
      </c>
    </row>
    <row r="4644" spans="34:39" x14ac:dyDescent="0.35">
      <c r="AH4644" s="21"/>
      <c r="AI4644" s="21"/>
      <c r="AJ4644" s="21"/>
      <c r="AK4644" s="21"/>
      <c r="AM4644" s="26" t="s">
        <v>38</v>
      </c>
    </row>
    <row r="4645" spans="34:39" x14ac:dyDescent="0.35">
      <c r="AH4645" s="21"/>
      <c r="AI4645" s="21"/>
      <c r="AJ4645" s="21"/>
      <c r="AK4645" s="21"/>
      <c r="AM4645" s="26" t="s">
        <v>38</v>
      </c>
    </row>
    <row r="4646" spans="34:39" x14ac:dyDescent="0.35">
      <c r="AH4646" s="21"/>
      <c r="AI4646" s="21"/>
      <c r="AJ4646" s="21"/>
      <c r="AK4646" s="21"/>
      <c r="AM4646" s="26" t="s">
        <v>38</v>
      </c>
    </row>
    <row r="4647" spans="34:39" x14ac:dyDescent="0.35">
      <c r="AH4647" s="21"/>
      <c r="AI4647" s="21"/>
      <c r="AJ4647" s="21"/>
      <c r="AK4647" s="21"/>
      <c r="AM4647" s="26" t="s">
        <v>38</v>
      </c>
    </row>
    <row r="4648" spans="34:39" x14ac:dyDescent="0.35">
      <c r="AH4648" s="21"/>
      <c r="AI4648" s="21"/>
      <c r="AJ4648" s="21"/>
      <c r="AK4648" s="21"/>
      <c r="AM4648" s="26" t="s">
        <v>38</v>
      </c>
    </row>
    <row r="4649" spans="34:39" x14ac:dyDescent="0.35">
      <c r="AH4649" s="21"/>
      <c r="AI4649" s="21"/>
      <c r="AJ4649" s="21"/>
      <c r="AK4649" s="21"/>
      <c r="AM4649" s="26" t="s">
        <v>38</v>
      </c>
    </row>
    <row r="4650" spans="34:39" x14ac:dyDescent="0.35">
      <c r="AH4650" s="21"/>
      <c r="AI4650" s="21"/>
      <c r="AJ4650" s="21"/>
      <c r="AK4650" s="21"/>
      <c r="AM4650" s="26" t="s">
        <v>38</v>
      </c>
    </row>
    <row r="4651" spans="34:39" x14ac:dyDescent="0.35">
      <c r="AH4651" s="21"/>
      <c r="AI4651" s="21"/>
      <c r="AJ4651" s="21"/>
      <c r="AK4651" s="21"/>
      <c r="AM4651" s="26" t="s">
        <v>38</v>
      </c>
    </row>
    <row r="4652" spans="34:39" x14ac:dyDescent="0.35">
      <c r="AH4652" s="21"/>
      <c r="AI4652" s="21"/>
      <c r="AJ4652" s="21"/>
      <c r="AK4652" s="21"/>
      <c r="AM4652" s="26" t="s">
        <v>38</v>
      </c>
    </row>
    <row r="4653" spans="34:39" x14ac:dyDescent="0.35">
      <c r="AH4653" s="21"/>
      <c r="AI4653" s="21"/>
      <c r="AJ4653" s="21"/>
      <c r="AK4653" s="21"/>
      <c r="AM4653" s="26" t="s">
        <v>38</v>
      </c>
    </row>
    <row r="4654" spans="34:39" x14ac:dyDescent="0.35">
      <c r="AH4654" s="21"/>
      <c r="AI4654" s="21"/>
      <c r="AJ4654" s="21"/>
      <c r="AK4654" s="21"/>
      <c r="AM4654" s="26" t="s">
        <v>38</v>
      </c>
    </row>
    <row r="4655" spans="34:39" x14ac:dyDescent="0.35">
      <c r="AH4655" s="21"/>
      <c r="AI4655" s="21"/>
      <c r="AJ4655" s="21"/>
      <c r="AK4655" s="21"/>
      <c r="AM4655" s="26" t="s">
        <v>38</v>
      </c>
    </row>
    <row r="4656" spans="34:39" x14ac:dyDescent="0.35">
      <c r="AH4656" s="21"/>
      <c r="AI4656" s="21"/>
      <c r="AJ4656" s="21"/>
      <c r="AK4656" s="21"/>
      <c r="AM4656" s="26" t="s">
        <v>38</v>
      </c>
    </row>
    <row r="4657" spans="34:39" x14ac:dyDescent="0.35">
      <c r="AH4657" s="21"/>
      <c r="AI4657" s="21"/>
      <c r="AJ4657" s="21"/>
      <c r="AK4657" s="21"/>
      <c r="AM4657" s="26" t="s">
        <v>38</v>
      </c>
    </row>
    <row r="4658" spans="34:39" x14ac:dyDescent="0.35">
      <c r="AH4658" s="21"/>
      <c r="AI4658" s="21"/>
      <c r="AJ4658" s="21"/>
      <c r="AK4658" s="21"/>
      <c r="AM4658" s="26" t="s">
        <v>38</v>
      </c>
    </row>
    <row r="4659" spans="34:39" x14ac:dyDescent="0.35">
      <c r="AH4659" s="21"/>
      <c r="AI4659" s="21"/>
      <c r="AJ4659" s="21"/>
      <c r="AK4659" s="21"/>
      <c r="AM4659" s="26" t="s">
        <v>38</v>
      </c>
    </row>
    <row r="4660" spans="34:39" x14ac:dyDescent="0.35">
      <c r="AH4660" s="21"/>
      <c r="AI4660" s="21"/>
      <c r="AJ4660" s="21"/>
      <c r="AK4660" s="21"/>
      <c r="AM4660" s="26" t="s">
        <v>38</v>
      </c>
    </row>
    <row r="4661" spans="34:39" x14ac:dyDescent="0.35">
      <c r="AH4661" s="21"/>
      <c r="AI4661" s="21"/>
      <c r="AJ4661" s="21"/>
      <c r="AK4661" s="21"/>
      <c r="AM4661" s="26" t="s">
        <v>38</v>
      </c>
    </row>
    <row r="4662" spans="34:39" x14ac:dyDescent="0.35">
      <c r="AH4662" s="21"/>
      <c r="AI4662" s="21"/>
      <c r="AJ4662" s="21"/>
      <c r="AK4662" s="21"/>
      <c r="AM4662" s="26" t="s">
        <v>38</v>
      </c>
    </row>
    <row r="4663" spans="34:39" x14ac:dyDescent="0.35">
      <c r="AH4663" s="21"/>
      <c r="AI4663" s="21"/>
      <c r="AJ4663" s="21"/>
      <c r="AK4663" s="21"/>
      <c r="AM4663" s="26" t="s">
        <v>38</v>
      </c>
    </row>
    <row r="4664" spans="34:39" x14ac:dyDescent="0.35">
      <c r="AH4664" s="21"/>
      <c r="AI4664" s="21"/>
      <c r="AJ4664" s="21"/>
      <c r="AK4664" s="21"/>
      <c r="AM4664" s="26" t="s">
        <v>38</v>
      </c>
    </row>
    <row r="4665" spans="34:39" x14ac:dyDescent="0.35">
      <c r="AH4665" s="21"/>
      <c r="AI4665" s="21"/>
      <c r="AJ4665" s="21"/>
      <c r="AK4665" s="21"/>
      <c r="AM4665" s="26" t="s">
        <v>38</v>
      </c>
    </row>
    <row r="4666" spans="34:39" x14ac:dyDescent="0.35">
      <c r="AH4666" s="21"/>
      <c r="AI4666" s="21"/>
      <c r="AJ4666" s="21"/>
      <c r="AK4666" s="21"/>
      <c r="AM4666" s="26" t="s">
        <v>38</v>
      </c>
    </row>
    <row r="4667" spans="34:39" x14ac:dyDescent="0.35">
      <c r="AH4667" s="21"/>
      <c r="AI4667" s="21"/>
      <c r="AJ4667" s="21"/>
      <c r="AK4667" s="21"/>
      <c r="AM4667" s="26" t="s">
        <v>38</v>
      </c>
    </row>
    <row r="4668" spans="34:39" x14ac:dyDescent="0.35">
      <c r="AH4668" s="21"/>
      <c r="AI4668" s="21"/>
      <c r="AJ4668" s="21"/>
      <c r="AK4668" s="21"/>
      <c r="AM4668" s="26" t="s">
        <v>38</v>
      </c>
    </row>
    <row r="4669" spans="34:39" x14ac:dyDescent="0.35">
      <c r="AH4669" s="21"/>
      <c r="AI4669" s="21"/>
      <c r="AJ4669" s="21"/>
      <c r="AK4669" s="21"/>
      <c r="AM4669" s="26" t="s">
        <v>38</v>
      </c>
    </row>
    <row r="4670" spans="34:39" x14ac:dyDescent="0.35">
      <c r="AH4670" s="21"/>
      <c r="AI4670" s="21"/>
      <c r="AJ4670" s="21"/>
      <c r="AK4670" s="21"/>
      <c r="AM4670" s="26" t="s">
        <v>38</v>
      </c>
    </row>
    <row r="4671" spans="34:39" x14ac:dyDescent="0.35">
      <c r="AH4671" s="21"/>
      <c r="AI4671" s="21"/>
      <c r="AJ4671" s="21"/>
      <c r="AK4671" s="21"/>
      <c r="AM4671" s="26" t="s">
        <v>38</v>
      </c>
    </row>
    <row r="4672" spans="34:39" x14ac:dyDescent="0.35">
      <c r="AH4672" s="21"/>
      <c r="AI4672" s="21"/>
      <c r="AJ4672" s="21"/>
      <c r="AK4672" s="21"/>
      <c r="AM4672" s="26" t="s">
        <v>38</v>
      </c>
    </row>
    <row r="4673" spans="34:39" x14ac:dyDescent="0.35">
      <c r="AH4673" s="21"/>
      <c r="AI4673" s="21"/>
      <c r="AJ4673" s="21"/>
      <c r="AK4673" s="21"/>
      <c r="AM4673" s="26" t="s">
        <v>38</v>
      </c>
    </row>
    <row r="4674" spans="34:39" x14ac:dyDescent="0.35">
      <c r="AH4674" s="21"/>
      <c r="AI4674" s="21"/>
      <c r="AJ4674" s="21"/>
      <c r="AK4674" s="21"/>
      <c r="AM4674" s="26" t="s">
        <v>38</v>
      </c>
    </row>
    <row r="4675" spans="34:39" x14ac:dyDescent="0.35">
      <c r="AH4675" s="21"/>
      <c r="AI4675" s="21"/>
      <c r="AJ4675" s="21"/>
      <c r="AK4675" s="21"/>
      <c r="AM4675" s="26" t="s">
        <v>38</v>
      </c>
    </row>
    <row r="4676" spans="34:39" x14ac:dyDescent="0.35">
      <c r="AH4676" s="21"/>
      <c r="AI4676" s="21"/>
      <c r="AJ4676" s="21"/>
      <c r="AK4676" s="21"/>
      <c r="AM4676" s="26" t="s">
        <v>38</v>
      </c>
    </row>
    <row r="4677" spans="34:39" x14ac:dyDescent="0.35">
      <c r="AH4677" s="21"/>
      <c r="AI4677" s="21"/>
      <c r="AJ4677" s="21"/>
      <c r="AK4677" s="21"/>
      <c r="AM4677" s="26" t="s">
        <v>38</v>
      </c>
    </row>
    <row r="4678" spans="34:39" x14ac:dyDescent="0.35">
      <c r="AH4678" s="21"/>
      <c r="AI4678" s="21"/>
      <c r="AJ4678" s="21"/>
      <c r="AK4678" s="21"/>
      <c r="AM4678" s="26" t="s">
        <v>38</v>
      </c>
    </row>
    <row r="4679" spans="34:39" x14ac:dyDescent="0.35">
      <c r="AH4679" s="21"/>
      <c r="AI4679" s="21"/>
      <c r="AJ4679" s="21"/>
      <c r="AK4679" s="21"/>
      <c r="AM4679" s="26" t="s">
        <v>38</v>
      </c>
    </row>
    <row r="4680" spans="34:39" x14ac:dyDescent="0.35">
      <c r="AH4680" s="21"/>
      <c r="AI4680" s="21"/>
      <c r="AJ4680" s="21"/>
      <c r="AK4680" s="21"/>
      <c r="AM4680" s="26" t="s">
        <v>38</v>
      </c>
    </row>
    <row r="4681" spans="34:39" x14ac:dyDescent="0.35">
      <c r="AH4681" s="21"/>
      <c r="AI4681" s="21"/>
      <c r="AJ4681" s="21"/>
      <c r="AK4681" s="21"/>
      <c r="AM4681" s="26" t="s">
        <v>38</v>
      </c>
    </row>
    <row r="4682" spans="34:39" x14ac:dyDescent="0.35">
      <c r="AH4682" s="21"/>
      <c r="AI4682" s="21"/>
      <c r="AJ4682" s="21"/>
      <c r="AK4682" s="21"/>
      <c r="AM4682" s="26" t="s">
        <v>38</v>
      </c>
    </row>
    <row r="4683" spans="34:39" x14ac:dyDescent="0.35">
      <c r="AH4683" s="21"/>
      <c r="AI4683" s="21"/>
      <c r="AJ4683" s="21"/>
      <c r="AK4683" s="21"/>
      <c r="AM4683" s="26" t="s">
        <v>38</v>
      </c>
    </row>
    <row r="4684" spans="34:39" x14ac:dyDescent="0.35">
      <c r="AH4684" s="21"/>
      <c r="AI4684" s="21"/>
      <c r="AJ4684" s="21"/>
      <c r="AK4684" s="21"/>
      <c r="AM4684" s="26" t="s">
        <v>38</v>
      </c>
    </row>
    <row r="4685" spans="34:39" x14ac:dyDescent="0.35">
      <c r="AH4685" s="21"/>
      <c r="AI4685" s="21"/>
      <c r="AJ4685" s="21"/>
      <c r="AK4685" s="21"/>
      <c r="AM4685" s="26" t="s">
        <v>38</v>
      </c>
    </row>
    <row r="4686" spans="34:39" x14ac:dyDescent="0.35">
      <c r="AH4686" s="21"/>
      <c r="AI4686" s="21"/>
      <c r="AJ4686" s="21"/>
      <c r="AK4686" s="21"/>
      <c r="AM4686" s="26" t="s">
        <v>38</v>
      </c>
    </row>
    <row r="4687" spans="34:39" x14ac:dyDescent="0.35">
      <c r="AH4687" s="21"/>
      <c r="AI4687" s="21"/>
      <c r="AJ4687" s="21"/>
      <c r="AK4687" s="21"/>
      <c r="AM4687" s="26" t="s">
        <v>38</v>
      </c>
    </row>
    <row r="4688" spans="34:39" x14ac:dyDescent="0.35">
      <c r="AH4688" s="21"/>
      <c r="AI4688" s="21"/>
      <c r="AJ4688" s="21"/>
      <c r="AK4688" s="21"/>
      <c r="AM4688" s="26" t="s">
        <v>38</v>
      </c>
    </row>
    <row r="4689" spans="34:39" x14ac:dyDescent="0.35">
      <c r="AH4689" s="21"/>
      <c r="AI4689" s="21"/>
      <c r="AJ4689" s="21"/>
      <c r="AK4689" s="21"/>
      <c r="AM4689" s="26" t="s">
        <v>38</v>
      </c>
    </row>
    <row r="4690" spans="34:39" x14ac:dyDescent="0.35">
      <c r="AH4690" s="21"/>
      <c r="AI4690" s="21"/>
      <c r="AJ4690" s="21"/>
      <c r="AK4690" s="21"/>
      <c r="AM4690" s="26" t="s">
        <v>38</v>
      </c>
    </row>
    <row r="4691" spans="34:39" x14ac:dyDescent="0.35">
      <c r="AH4691" s="21"/>
      <c r="AI4691" s="21"/>
      <c r="AJ4691" s="21"/>
      <c r="AK4691" s="21"/>
      <c r="AM4691" s="26" t="s">
        <v>38</v>
      </c>
    </row>
    <row r="4692" spans="34:39" x14ac:dyDescent="0.35">
      <c r="AH4692" s="21"/>
      <c r="AI4692" s="21"/>
      <c r="AJ4692" s="21"/>
      <c r="AK4692" s="21"/>
      <c r="AM4692" s="26" t="s">
        <v>38</v>
      </c>
    </row>
    <row r="4693" spans="34:39" x14ac:dyDescent="0.35">
      <c r="AH4693" s="21"/>
      <c r="AI4693" s="21"/>
      <c r="AJ4693" s="21"/>
      <c r="AK4693" s="21"/>
      <c r="AM4693" s="26" t="s">
        <v>38</v>
      </c>
    </row>
    <row r="4694" spans="34:39" x14ac:dyDescent="0.35">
      <c r="AH4694" s="21"/>
      <c r="AI4694" s="21"/>
      <c r="AJ4694" s="21"/>
      <c r="AK4694" s="21"/>
      <c r="AM4694" s="26" t="s">
        <v>38</v>
      </c>
    </row>
    <row r="4695" spans="34:39" x14ac:dyDescent="0.35">
      <c r="AH4695" s="21"/>
      <c r="AI4695" s="21"/>
      <c r="AJ4695" s="21"/>
      <c r="AK4695" s="21"/>
      <c r="AM4695" s="26" t="s">
        <v>38</v>
      </c>
    </row>
    <row r="4696" spans="34:39" x14ac:dyDescent="0.35">
      <c r="AH4696" s="21"/>
      <c r="AI4696" s="21"/>
      <c r="AJ4696" s="21"/>
      <c r="AK4696" s="21"/>
      <c r="AM4696" s="26" t="s">
        <v>38</v>
      </c>
    </row>
    <row r="4697" spans="34:39" x14ac:dyDescent="0.35">
      <c r="AH4697" s="21"/>
      <c r="AI4697" s="21"/>
      <c r="AJ4697" s="21"/>
      <c r="AK4697" s="21"/>
      <c r="AM4697" s="26" t="s">
        <v>38</v>
      </c>
    </row>
    <row r="4698" spans="34:39" x14ac:dyDescent="0.35">
      <c r="AH4698" s="21"/>
      <c r="AI4698" s="21"/>
      <c r="AJ4698" s="21"/>
      <c r="AK4698" s="21"/>
      <c r="AM4698" s="26" t="s">
        <v>38</v>
      </c>
    </row>
    <row r="4699" spans="34:39" x14ac:dyDescent="0.35">
      <c r="AH4699" s="21"/>
      <c r="AI4699" s="21"/>
      <c r="AJ4699" s="21"/>
      <c r="AK4699" s="21"/>
      <c r="AM4699" s="26" t="s">
        <v>38</v>
      </c>
    </row>
    <row r="4700" spans="34:39" x14ac:dyDescent="0.35">
      <c r="AH4700" s="21"/>
      <c r="AI4700" s="21"/>
      <c r="AJ4700" s="21"/>
      <c r="AK4700" s="21"/>
      <c r="AM4700" s="26" t="s">
        <v>38</v>
      </c>
    </row>
    <row r="4701" spans="34:39" x14ac:dyDescent="0.35">
      <c r="AH4701" s="21"/>
      <c r="AI4701" s="21"/>
      <c r="AJ4701" s="21"/>
      <c r="AK4701" s="21"/>
      <c r="AM4701" s="26" t="s">
        <v>38</v>
      </c>
    </row>
    <row r="4702" spans="34:39" x14ac:dyDescent="0.35">
      <c r="AH4702" s="21"/>
      <c r="AI4702" s="21"/>
      <c r="AJ4702" s="21"/>
      <c r="AK4702" s="21"/>
      <c r="AM4702" s="26" t="s">
        <v>38</v>
      </c>
    </row>
    <row r="4703" spans="34:39" x14ac:dyDescent="0.35">
      <c r="AH4703" s="21"/>
      <c r="AI4703" s="21"/>
      <c r="AJ4703" s="21"/>
      <c r="AK4703" s="21"/>
      <c r="AM4703" s="26" t="s">
        <v>38</v>
      </c>
    </row>
    <row r="4704" spans="34:39" x14ac:dyDescent="0.35">
      <c r="AH4704" s="21"/>
      <c r="AI4704" s="21"/>
      <c r="AJ4704" s="21"/>
      <c r="AK4704" s="21"/>
      <c r="AM4704" s="26" t="s">
        <v>38</v>
      </c>
    </row>
    <row r="4705" spans="34:39" x14ac:dyDescent="0.35">
      <c r="AH4705" s="21"/>
      <c r="AI4705" s="21"/>
      <c r="AJ4705" s="21"/>
      <c r="AK4705" s="21"/>
      <c r="AM4705" s="26" t="s">
        <v>38</v>
      </c>
    </row>
    <row r="4706" spans="34:39" x14ac:dyDescent="0.35">
      <c r="AH4706" s="21"/>
      <c r="AI4706" s="21"/>
      <c r="AJ4706" s="21"/>
      <c r="AK4706" s="21"/>
      <c r="AM4706" s="26" t="s">
        <v>38</v>
      </c>
    </row>
    <row r="4707" spans="34:39" x14ac:dyDescent="0.35">
      <c r="AH4707" s="21"/>
      <c r="AI4707" s="21"/>
      <c r="AJ4707" s="21"/>
      <c r="AK4707" s="21"/>
      <c r="AM4707" s="26" t="s">
        <v>38</v>
      </c>
    </row>
    <row r="4708" spans="34:39" x14ac:dyDescent="0.35">
      <c r="AH4708" s="21"/>
      <c r="AI4708" s="21"/>
      <c r="AJ4708" s="21"/>
      <c r="AK4708" s="21"/>
      <c r="AM4708" s="26" t="s">
        <v>38</v>
      </c>
    </row>
    <row r="4709" spans="34:39" x14ac:dyDescent="0.35">
      <c r="AH4709" s="21"/>
      <c r="AI4709" s="21"/>
      <c r="AJ4709" s="21"/>
      <c r="AK4709" s="21"/>
      <c r="AM4709" s="26" t="s">
        <v>38</v>
      </c>
    </row>
    <row r="4710" spans="34:39" x14ac:dyDescent="0.35">
      <c r="AH4710" s="21"/>
      <c r="AI4710" s="21"/>
      <c r="AJ4710" s="21"/>
      <c r="AK4710" s="21"/>
      <c r="AM4710" s="26" t="s">
        <v>38</v>
      </c>
    </row>
    <row r="4711" spans="34:39" x14ac:dyDescent="0.35">
      <c r="AH4711" s="21"/>
      <c r="AI4711" s="21"/>
      <c r="AJ4711" s="21"/>
      <c r="AK4711" s="21"/>
      <c r="AM4711" s="26" t="s">
        <v>38</v>
      </c>
    </row>
    <row r="4712" spans="34:39" x14ac:dyDescent="0.35">
      <c r="AH4712" s="21"/>
      <c r="AI4712" s="21"/>
      <c r="AJ4712" s="21"/>
      <c r="AK4712" s="21"/>
      <c r="AM4712" s="26" t="s">
        <v>38</v>
      </c>
    </row>
    <row r="4713" spans="34:39" x14ac:dyDescent="0.35">
      <c r="AH4713" s="21"/>
      <c r="AI4713" s="21"/>
      <c r="AJ4713" s="21"/>
      <c r="AK4713" s="21"/>
      <c r="AM4713" s="26" t="s">
        <v>38</v>
      </c>
    </row>
    <row r="4714" spans="34:39" x14ac:dyDescent="0.35">
      <c r="AH4714" s="21"/>
      <c r="AI4714" s="21"/>
      <c r="AJ4714" s="21"/>
      <c r="AK4714" s="21"/>
      <c r="AM4714" s="26" t="s">
        <v>38</v>
      </c>
    </row>
    <row r="4715" spans="34:39" x14ac:dyDescent="0.35">
      <c r="AH4715" s="21"/>
      <c r="AI4715" s="21"/>
      <c r="AJ4715" s="21"/>
      <c r="AK4715" s="21"/>
      <c r="AM4715" s="26" t="s">
        <v>38</v>
      </c>
    </row>
    <row r="4716" spans="34:39" x14ac:dyDescent="0.35">
      <c r="AH4716" s="21"/>
      <c r="AI4716" s="21"/>
      <c r="AJ4716" s="21"/>
      <c r="AK4716" s="21"/>
      <c r="AM4716" s="26" t="s">
        <v>38</v>
      </c>
    </row>
    <row r="4717" spans="34:39" x14ac:dyDescent="0.35">
      <c r="AH4717" s="21"/>
      <c r="AI4717" s="21"/>
      <c r="AJ4717" s="21"/>
      <c r="AK4717" s="21"/>
      <c r="AM4717" s="26" t="s">
        <v>38</v>
      </c>
    </row>
    <row r="4718" spans="34:39" x14ac:dyDescent="0.35">
      <c r="AH4718" s="21"/>
      <c r="AI4718" s="21"/>
      <c r="AJ4718" s="21"/>
      <c r="AK4718" s="21"/>
      <c r="AM4718" s="26" t="s">
        <v>38</v>
      </c>
    </row>
    <row r="4719" spans="34:39" x14ac:dyDescent="0.35">
      <c r="AH4719" s="21"/>
      <c r="AI4719" s="21"/>
      <c r="AJ4719" s="21"/>
      <c r="AK4719" s="21"/>
      <c r="AM4719" s="26" t="s">
        <v>38</v>
      </c>
    </row>
    <row r="4720" spans="34:39" x14ac:dyDescent="0.35">
      <c r="AH4720" s="21"/>
      <c r="AI4720" s="21"/>
      <c r="AJ4720" s="21"/>
      <c r="AK4720" s="21"/>
      <c r="AM4720" s="26" t="s">
        <v>38</v>
      </c>
    </row>
    <row r="4721" spans="34:39" x14ac:dyDescent="0.35">
      <c r="AH4721" s="21"/>
      <c r="AI4721" s="21"/>
      <c r="AJ4721" s="21"/>
      <c r="AK4721" s="21"/>
      <c r="AM4721" s="26" t="s">
        <v>38</v>
      </c>
    </row>
    <row r="4722" spans="34:39" x14ac:dyDescent="0.35">
      <c r="AH4722" s="21"/>
      <c r="AI4722" s="21"/>
      <c r="AJ4722" s="21"/>
      <c r="AK4722" s="21"/>
      <c r="AM4722" s="26" t="s">
        <v>38</v>
      </c>
    </row>
    <row r="4723" spans="34:39" x14ac:dyDescent="0.35">
      <c r="AH4723" s="21"/>
      <c r="AI4723" s="21"/>
      <c r="AJ4723" s="21"/>
      <c r="AK4723" s="21"/>
      <c r="AM4723" s="26" t="s">
        <v>38</v>
      </c>
    </row>
    <row r="4724" spans="34:39" x14ac:dyDescent="0.35">
      <c r="AH4724" s="21"/>
      <c r="AI4724" s="21"/>
      <c r="AJ4724" s="21"/>
      <c r="AK4724" s="21"/>
      <c r="AM4724" s="26" t="s">
        <v>38</v>
      </c>
    </row>
    <row r="4725" spans="34:39" x14ac:dyDescent="0.35">
      <c r="AH4725" s="21"/>
      <c r="AI4725" s="21"/>
      <c r="AJ4725" s="21"/>
      <c r="AK4725" s="21"/>
      <c r="AM4725" s="26" t="s">
        <v>38</v>
      </c>
    </row>
    <row r="4726" spans="34:39" x14ac:dyDescent="0.35">
      <c r="AH4726" s="21"/>
      <c r="AI4726" s="21"/>
      <c r="AJ4726" s="21"/>
      <c r="AK4726" s="21"/>
      <c r="AM4726" s="26" t="s">
        <v>38</v>
      </c>
    </row>
    <row r="4727" spans="34:39" x14ac:dyDescent="0.35">
      <c r="AH4727" s="21"/>
      <c r="AI4727" s="21"/>
      <c r="AJ4727" s="21"/>
      <c r="AK4727" s="21"/>
      <c r="AM4727" s="26" t="s">
        <v>38</v>
      </c>
    </row>
    <row r="4728" spans="34:39" x14ac:dyDescent="0.35">
      <c r="AH4728" s="21"/>
      <c r="AI4728" s="21"/>
      <c r="AJ4728" s="21"/>
      <c r="AK4728" s="21"/>
      <c r="AM4728" s="26" t="s">
        <v>38</v>
      </c>
    </row>
    <row r="4729" spans="34:39" x14ac:dyDescent="0.35">
      <c r="AH4729" s="21"/>
      <c r="AI4729" s="21"/>
      <c r="AJ4729" s="21"/>
      <c r="AK4729" s="21"/>
      <c r="AM4729" s="26" t="s">
        <v>38</v>
      </c>
    </row>
    <row r="4730" spans="34:39" x14ac:dyDescent="0.35">
      <c r="AH4730" s="21"/>
      <c r="AI4730" s="21"/>
      <c r="AJ4730" s="21"/>
      <c r="AK4730" s="21"/>
      <c r="AM4730" s="26" t="s">
        <v>38</v>
      </c>
    </row>
    <row r="4731" spans="34:39" x14ac:dyDescent="0.35">
      <c r="AH4731" s="21"/>
      <c r="AI4731" s="21"/>
      <c r="AJ4731" s="21"/>
      <c r="AK4731" s="21"/>
      <c r="AM4731" s="26" t="s">
        <v>38</v>
      </c>
    </row>
    <row r="4732" spans="34:39" x14ac:dyDescent="0.35">
      <c r="AH4732" s="21"/>
      <c r="AI4732" s="21"/>
      <c r="AJ4732" s="21"/>
      <c r="AK4732" s="21"/>
      <c r="AM4732" s="26" t="s">
        <v>38</v>
      </c>
    </row>
    <row r="4733" spans="34:39" x14ac:dyDescent="0.35">
      <c r="AH4733" s="21"/>
      <c r="AI4733" s="21"/>
      <c r="AJ4733" s="21"/>
      <c r="AK4733" s="21"/>
      <c r="AM4733" s="26" t="s">
        <v>38</v>
      </c>
    </row>
    <row r="4734" spans="34:39" x14ac:dyDescent="0.35">
      <c r="AH4734" s="21"/>
      <c r="AI4734" s="21"/>
      <c r="AJ4734" s="21"/>
      <c r="AK4734" s="21"/>
      <c r="AM4734" s="26" t="s">
        <v>38</v>
      </c>
    </row>
    <row r="4735" spans="34:39" x14ac:dyDescent="0.35">
      <c r="AH4735" s="21"/>
      <c r="AI4735" s="21"/>
      <c r="AJ4735" s="21"/>
      <c r="AK4735" s="21"/>
      <c r="AM4735" s="26" t="s">
        <v>38</v>
      </c>
    </row>
    <row r="4736" spans="34:39" x14ac:dyDescent="0.35">
      <c r="AH4736" s="21"/>
      <c r="AI4736" s="21"/>
      <c r="AJ4736" s="21"/>
      <c r="AK4736" s="21"/>
      <c r="AM4736" s="26" t="s">
        <v>38</v>
      </c>
    </row>
    <row r="4737" spans="34:39" x14ac:dyDescent="0.35">
      <c r="AH4737" s="21"/>
      <c r="AI4737" s="21"/>
      <c r="AJ4737" s="21"/>
      <c r="AK4737" s="21"/>
      <c r="AM4737" s="26" t="s">
        <v>38</v>
      </c>
    </row>
    <row r="4738" spans="34:39" x14ac:dyDescent="0.35">
      <c r="AH4738" s="21"/>
      <c r="AI4738" s="21"/>
      <c r="AJ4738" s="21"/>
      <c r="AK4738" s="21"/>
      <c r="AM4738" s="26" t="s">
        <v>38</v>
      </c>
    </row>
    <row r="4739" spans="34:39" x14ac:dyDescent="0.35">
      <c r="AH4739" s="21"/>
      <c r="AI4739" s="21"/>
      <c r="AJ4739" s="21"/>
      <c r="AK4739" s="21"/>
      <c r="AM4739" s="26" t="s">
        <v>38</v>
      </c>
    </row>
    <row r="4740" spans="34:39" x14ac:dyDescent="0.35">
      <c r="AH4740" s="21"/>
      <c r="AI4740" s="21"/>
      <c r="AJ4740" s="21"/>
      <c r="AK4740" s="21"/>
      <c r="AM4740" s="26" t="s">
        <v>38</v>
      </c>
    </row>
    <row r="4741" spans="34:39" x14ac:dyDescent="0.35">
      <c r="AH4741" s="21"/>
      <c r="AI4741" s="21"/>
      <c r="AJ4741" s="21"/>
      <c r="AK4741" s="21"/>
      <c r="AM4741" s="26" t="s">
        <v>38</v>
      </c>
    </row>
    <row r="4742" spans="34:39" x14ac:dyDescent="0.35">
      <c r="AH4742" s="21"/>
      <c r="AI4742" s="21"/>
      <c r="AJ4742" s="21"/>
      <c r="AK4742" s="21"/>
      <c r="AM4742" s="26" t="s">
        <v>38</v>
      </c>
    </row>
    <row r="4743" spans="34:39" x14ac:dyDescent="0.35">
      <c r="AH4743" s="21"/>
      <c r="AI4743" s="21"/>
      <c r="AJ4743" s="21"/>
      <c r="AK4743" s="21"/>
      <c r="AM4743" s="26" t="s">
        <v>38</v>
      </c>
    </row>
    <row r="4744" spans="34:39" x14ac:dyDescent="0.35">
      <c r="AH4744" s="21"/>
      <c r="AI4744" s="21"/>
      <c r="AJ4744" s="21"/>
      <c r="AK4744" s="21"/>
      <c r="AM4744" s="26" t="s">
        <v>38</v>
      </c>
    </row>
    <row r="4745" spans="34:39" x14ac:dyDescent="0.35">
      <c r="AH4745" s="21"/>
      <c r="AI4745" s="21"/>
      <c r="AJ4745" s="21"/>
      <c r="AK4745" s="21"/>
      <c r="AM4745" s="26" t="s">
        <v>38</v>
      </c>
    </row>
    <row r="4746" spans="34:39" x14ac:dyDescent="0.35">
      <c r="AH4746" s="21"/>
      <c r="AI4746" s="21"/>
      <c r="AJ4746" s="21"/>
      <c r="AK4746" s="21"/>
      <c r="AM4746" s="26" t="s">
        <v>38</v>
      </c>
    </row>
    <row r="4747" spans="34:39" x14ac:dyDescent="0.35">
      <c r="AH4747" s="21"/>
      <c r="AI4747" s="21"/>
      <c r="AJ4747" s="21"/>
      <c r="AK4747" s="21"/>
      <c r="AM4747" s="26" t="s">
        <v>38</v>
      </c>
    </row>
    <row r="4748" spans="34:39" x14ac:dyDescent="0.35">
      <c r="AH4748" s="21"/>
      <c r="AI4748" s="21"/>
      <c r="AJ4748" s="21"/>
      <c r="AK4748" s="21"/>
      <c r="AM4748" s="26" t="s">
        <v>38</v>
      </c>
    </row>
    <row r="4749" spans="34:39" x14ac:dyDescent="0.35">
      <c r="AH4749" s="21"/>
      <c r="AI4749" s="21"/>
      <c r="AJ4749" s="21"/>
      <c r="AK4749" s="21"/>
      <c r="AM4749" s="26" t="s">
        <v>38</v>
      </c>
    </row>
    <row r="4750" spans="34:39" x14ac:dyDescent="0.35">
      <c r="AH4750" s="21"/>
      <c r="AI4750" s="21"/>
      <c r="AJ4750" s="21"/>
      <c r="AK4750" s="21"/>
      <c r="AM4750" s="26" t="s">
        <v>38</v>
      </c>
    </row>
    <row r="4751" spans="34:39" x14ac:dyDescent="0.35">
      <c r="AH4751" s="21"/>
      <c r="AI4751" s="21"/>
      <c r="AJ4751" s="21"/>
      <c r="AK4751" s="21"/>
      <c r="AM4751" s="26" t="s">
        <v>38</v>
      </c>
    </row>
    <row r="4752" spans="34:39" x14ac:dyDescent="0.35">
      <c r="AH4752" s="21"/>
      <c r="AI4752" s="21"/>
      <c r="AJ4752" s="21"/>
      <c r="AK4752" s="21"/>
      <c r="AM4752" s="26" t="s">
        <v>38</v>
      </c>
    </row>
    <row r="4753" spans="34:39" x14ac:dyDescent="0.35">
      <c r="AH4753" s="21"/>
      <c r="AI4753" s="21"/>
      <c r="AJ4753" s="21"/>
      <c r="AK4753" s="21"/>
      <c r="AM4753" s="26" t="s">
        <v>38</v>
      </c>
    </row>
    <row r="4754" spans="34:39" x14ac:dyDescent="0.35">
      <c r="AH4754" s="21"/>
      <c r="AI4754" s="21"/>
      <c r="AJ4754" s="21"/>
      <c r="AK4754" s="21"/>
      <c r="AM4754" s="26" t="s">
        <v>38</v>
      </c>
    </row>
    <row r="4755" spans="34:39" x14ac:dyDescent="0.35">
      <c r="AH4755" s="21"/>
      <c r="AI4755" s="21"/>
      <c r="AJ4755" s="21"/>
      <c r="AK4755" s="21"/>
      <c r="AM4755" s="26" t="s">
        <v>38</v>
      </c>
    </row>
    <row r="4756" spans="34:39" x14ac:dyDescent="0.35">
      <c r="AH4756" s="21"/>
      <c r="AI4756" s="21"/>
      <c r="AJ4756" s="21"/>
      <c r="AK4756" s="21"/>
      <c r="AM4756" s="26" t="s">
        <v>38</v>
      </c>
    </row>
    <row r="4757" spans="34:39" x14ac:dyDescent="0.35">
      <c r="AH4757" s="21"/>
      <c r="AI4757" s="21"/>
      <c r="AJ4757" s="21"/>
      <c r="AK4757" s="21"/>
      <c r="AM4757" s="26" t="s">
        <v>38</v>
      </c>
    </row>
    <row r="4758" spans="34:39" x14ac:dyDescent="0.35">
      <c r="AH4758" s="21"/>
      <c r="AI4758" s="21"/>
      <c r="AJ4758" s="21"/>
      <c r="AK4758" s="21"/>
      <c r="AM4758" s="26" t="s">
        <v>38</v>
      </c>
    </row>
    <row r="4759" spans="34:39" x14ac:dyDescent="0.35">
      <c r="AH4759" s="21"/>
      <c r="AI4759" s="21"/>
      <c r="AJ4759" s="21"/>
      <c r="AK4759" s="21"/>
      <c r="AM4759" s="26" t="s">
        <v>38</v>
      </c>
    </row>
    <row r="4760" spans="34:39" x14ac:dyDescent="0.35">
      <c r="AH4760" s="21"/>
      <c r="AI4760" s="21"/>
      <c r="AJ4760" s="21"/>
      <c r="AK4760" s="21"/>
      <c r="AM4760" s="26" t="s">
        <v>38</v>
      </c>
    </row>
    <row r="4761" spans="34:39" x14ac:dyDescent="0.35">
      <c r="AH4761" s="21"/>
      <c r="AI4761" s="21"/>
      <c r="AJ4761" s="21"/>
      <c r="AK4761" s="21"/>
      <c r="AM4761" s="26" t="s">
        <v>38</v>
      </c>
    </row>
    <row r="4762" spans="34:39" x14ac:dyDescent="0.35">
      <c r="AH4762" s="21"/>
      <c r="AI4762" s="21"/>
      <c r="AJ4762" s="21"/>
      <c r="AK4762" s="21"/>
      <c r="AM4762" s="26" t="s">
        <v>38</v>
      </c>
    </row>
    <row r="4763" spans="34:39" x14ac:dyDescent="0.35">
      <c r="AH4763" s="21"/>
      <c r="AI4763" s="21"/>
      <c r="AJ4763" s="21"/>
      <c r="AK4763" s="21"/>
      <c r="AM4763" s="26" t="s">
        <v>38</v>
      </c>
    </row>
    <row r="4764" spans="34:39" x14ac:dyDescent="0.35">
      <c r="AH4764" s="21"/>
      <c r="AI4764" s="21"/>
      <c r="AJ4764" s="21"/>
      <c r="AK4764" s="21"/>
      <c r="AM4764" s="26" t="s">
        <v>38</v>
      </c>
    </row>
    <row r="4765" spans="34:39" x14ac:dyDescent="0.35">
      <c r="AH4765" s="21"/>
      <c r="AI4765" s="21"/>
      <c r="AJ4765" s="21"/>
      <c r="AK4765" s="21"/>
      <c r="AM4765" s="26" t="s">
        <v>38</v>
      </c>
    </row>
    <row r="4766" spans="34:39" x14ac:dyDescent="0.35">
      <c r="AH4766" s="21"/>
      <c r="AI4766" s="21"/>
      <c r="AJ4766" s="21"/>
      <c r="AK4766" s="21"/>
      <c r="AM4766" s="26" t="s">
        <v>38</v>
      </c>
    </row>
    <row r="4767" spans="34:39" x14ac:dyDescent="0.35">
      <c r="AH4767" s="21"/>
      <c r="AI4767" s="21"/>
      <c r="AJ4767" s="21"/>
      <c r="AK4767" s="21"/>
      <c r="AM4767" s="26" t="s">
        <v>38</v>
      </c>
    </row>
    <row r="4768" spans="34:39" x14ac:dyDescent="0.35">
      <c r="AH4768" s="21"/>
      <c r="AI4768" s="21"/>
      <c r="AJ4768" s="21"/>
      <c r="AK4768" s="21"/>
      <c r="AM4768" s="26" t="s">
        <v>38</v>
      </c>
    </row>
    <row r="4769" spans="34:39" x14ac:dyDescent="0.35">
      <c r="AH4769" s="21"/>
      <c r="AI4769" s="21"/>
      <c r="AJ4769" s="21"/>
      <c r="AK4769" s="21"/>
      <c r="AM4769" s="26" t="s">
        <v>38</v>
      </c>
    </row>
    <row r="4770" spans="34:39" x14ac:dyDescent="0.35">
      <c r="AH4770" s="21"/>
      <c r="AI4770" s="21"/>
      <c r="AJ4770" s="21"/>
      <c r="AK4770" s="21"/>
      <c r="AM4770" s="26" t="s">
        <v>38</v>
      </c>
    </row>
    <row r="4771" spans="34:39" x14ac:dyDescent="0.35">
      <c r="AH4771" s="21"/>
      <c r="AI4771" s="21"/>
      <c r="AJ4771" s="21"/>
      <c r="AK4771" s="21"/>
      <c r="AM4771" s="26" t="s">
        <v>38</v>
      </c>
    </row>
    <row r="4772" spans="34:39" x14ac:dyDescent="0.35">
      <c r="AH4772" s="21"/>
      <c r="AI4772" s="21"/>
      <c r="AJ4772" s="21"/>
      <c r="AK4772" s="21"/>
      <c r="AM4772" s="26" t="s">
        <v>38</v>
      </c>
    </row>
    <row r="4773" spans="34:39" x14ac:dyDescent="0.35">
      <c r="AH4773" s="21"/>
      <c r="AI4773" s="21"/>
      <c r="AJ4773" s="21"/>
      <c r="AK4773" s="21"/>
      <c r="AM4773" s="26" t="s">
        <v>38</v>
      </c>
    </row>
    <row r="4774" spans="34:39" x14ac:dyDescent="0.35">
      <c r="AH4774" s="21"/>
      <c r="AI4774" s="21"/>
      <c r="AJ4774" s="21"/>
      <c r="AK4774" s="21"/>
      <c r="AM4774" s="26" t="s">
        <v>38</v>
      </c>
    </row>
    <row r="4775" spans="34:39" x14ac:dyDescent="0.35">
      <c r="AH4775" s="21"/>
      <c r="AI4775" s="21"/>
      <c r="AJ4775" s="21"/>
      <c r="AK4775" s="21"/>
      <c r="AM4775" s="26" t="s">
        <v>38</v>
      </c>
    </row>
    <row r="4776" spans="34:39" x14ac:dyDescent="0.35">
      <c r="AH4776" s="21"/>
      <c r="AI4776" s="21"/>
      <c r="AJ4776" s="21"/>
      <c r="AK4776" s="21"/>
      <c r="AM4776" s="26" t="s">
        <v>38</v>
      </c>
    </row>
    <row r="4777" spans="34:39" x14ac:dyDescent="0.35">
      <c r="AH4777" s="21"/>
      <c r="AI4777" s="21"/>
      <c r="AJ4777" s="21"/>
      <c r="AK4777" s="21"/>
      <c r="AM4777" s="26" t="s">
        <v>38</v>
      </c>
    </row>
    <row r="4778" spans="34:39" x14ac:dyDescent="0.35">
      <c r="AH4778" s="21"/>
      <c r="AI4778" s="21"/>
      <c r="AJ4778" s="21"/>
      <c r="AK4778" s="21"/>
      <c r="AM4778" s="26" t="s">
        <v>38</v>
      </c>
    </row>
    <row r="4779" spans="34:39" x14ac:dyDescent="0.35">
      <c r="AH4779" s="21"/>
      <c r="AI4779" s="21"/>
      <c r="AJ4779" s="21"/>
      <c r="AK4779" s="21"/>
      <c r="AM4779" s="26" t="s">
        <v>38</v>
      </c>
    </row>
    <row r="4780" spans="34:39" x14ac:dyDescent="0.35">
      <c r="AH4780" s="21"/>
      <c r="AI4780" s="21"/>
      <c r="AJ4780" s="21"/>
      <c r="AK4780" s="21"/>
      <c r="AM4780" s="26" t="s">
        <v>38</v>
      </c>
    </row>
    <row r="4781" spans="34:39" x14ac:dyDescent="0.35">
      <c r="AH4781" s="21"/>
      <c r="AI4781" s="21"/>
      <c r="AJ4781" s="21"/>
      <c r="AK4781" s="21"/>
      <c r="AM4781" s="26" t="s">
        <v>38</v>
      </c>
    </row>
    <row r="4782" spans="34:39" x14ac:dyDescent="0.35">
      <c r="AH4782" s="21"/>
      <c r="AI4782" s="21"/>
      <c r="AJ4782" s="21"/>
      <c r="AK4782" s="21"/>
      <c r="AM4782" s="26" t="s">
        <v>38</v>
      </c>
    </row>
    <row r="4783" spans="34:39" x14ac:dyDescent="0.35">
      <c r="AH4783" s="21"/>
      <c r="AI4783" s="21"/>
      <c r="AJ4783" s="21"/>
      <c r="AK4783" s="21"/>
      <c r="AM4783" s="26" t="s">
        <v>38</v>
      </c>
    </row>
    <row r="4784" spans="34:39" x14ac:dyDescent="0.35">
      <c r="AH4784" s="21"/>
      <c r="AI4784" s="21"/>
      <c r="AJ4784" s="21"/>
      <c r="AK4784" s="21"/>
      <c r="AM4784" s="26" t="s">
        <v>38</v>
      </c>
    </row>
    <row r="4785" spans="34:39" x14ac:dyDescent="0.35">
      <c r="AH4785" s="21"/>
      <c r="AI4785" s="21"/>
      <c r="AJ4785" s="21"/>
      <c r="AK4785" s="21"/>
      <c r="AM4785" s="26" t="s">
        <v>38</v>
      </c>
    </row>
    <row r="4786" spans="34:39" x14ac:dyDescent="0.35">
      <c r="AH4786" s="21"/>
      <c r="AI4786" s="21"/>
      <c r="AJ4786" s="21"/>
      <c r="AK4786" s="21"/>
      <c r="AM4786" s="26" t="s">
        <v>38</v>
      </c>
    </row>
    <row r="4787" spans="34:39" x14ac:dyDescent="0.35">
      <c r="AH4787" s="21"/>
      <c r="AI4787" s="21"/>
      <c r="AJ4787" s="21"/>
      <c r="AK4787" s="21"/>
      <c r="AM4787" s="26" t="s">
        <v>38</v>
      </c>
    </row>
    <row r="4788" spans="34:39" x14ac:dyDescent="0.35">
      <c r="AH4788" s="21"/>
      <c r="AI4788" s="21"/>
      <c r="AJ4788" s="21"/>
      <c r="AK4788" s="21"/>
      <c r="AM4788" s="26" t="s">
        <v>38</v>
      </c>
    </row>
    <row r="4789" spans="34:39" x14ac:dyDescent="0.35">
      <c r="AH4789" s="21"/>
      <c r="AI4789" s="21"/>
      <c r="AJ4789" s="21"/>
      <c r="AK4789" s="21"/>
      <c r="AM4789" s="26" t="s">
        <v>38</v>
      </c>
    </row>
    <row r="4790" spans="34:39" x14ac:dyDescent="0.35">
      <c r="AH4790" s="21"/>
      <c r="AI4790" s="21"/>
      <c r="AJ4790" s="21"/>
      <c r="AK4790" s="21"/>
      <c r="AM4790" s="26" t="s">
        <v>38</v>
      </c>
    </row>
    <row r="4791" spans="34:39" x14ac:dyDescent="0.35">
      <c r="AH4791" s="21"/>
      <c r="AI4791" s="21"/>
      <c r="AJ4791" s="21"/>
      <c r="AK4791" s="21"/>
      <c r="AM4791" s="26" t="s">
        <v>38</v>
      </c>
    </row>
    <row r="4792" spans="34:39" x14ac:dyDescent="0.35">
      <c r="AH4792" s="21"/>
      <c r="AI4792" s="21"/>
      <c r="AJ4792" s="21"/>
      <c r="AK4792" s="21"/>
      <c r="AM4792" s="26" t="s">
        <v>38</v>
      </c>
    </row>
    <row r="4793" spans="34:39" x14ac:dyDescent="0.35">
      <c r="AH4793" s="21"/>
      <c r="AI4793" s="21"/>
      <c r="AJ4793" s="21"/>
      <c r="AK4793" s="21"/>
      <c r="AM4793" s="26" t="s">
        <v>38</v>
      </c>
    </row>
    <row r="4794" spans="34:39" x14ac:dyDescent="0.35">
      <c r="AH4794" s="21"/>
      <c r="AI4794" s="21"/>
      <c r="AJ4794" s="21"/>
      <c r="AK4794" s="21"/>
      <c r="AM4794" s="26" t="s">
        <v>38</v>
      </c>
    </row>
    <row r="4795" spans="34:39" x14ac:dyDescent="0.35">
      <c r="AH4795" s="21"/>
      <c r="AI4795" s="21"/>
      <c r="AJ4795" s="21"/>
      <c r="AK4795" s="21"/>
      <c r="AM4795" s="26" t="s">
        <v>38</v>
      </c>
    </row>
    <row r="4796" spans="34:39" x14ac:dyDescent="0.35">
      <c r="AH4796" s="21"/>
      <c r="AI4796" s="21"/>
      <c r="AJ4796" s="21"/>
      <c r="AK4796" s="21"/>
      <c r="AM4796" s="26" t="s">
        <v>38</v>
      </c>
    </row>
    <row r="4797" spans="34:39" x14ac:dyDescent="0.35">
      <c r="AH4797" s="21"/>
      <c r="AI4797" s="21"/>
      <c r="AJ4797" s="21"/>
      <c r="AK4797" s="21"/>
      <c r="AM4797" s="26" t="s">
        <v>38</v>
      </c>
    </row>
    <row r="4798" spans="34:39" x14ac:dyDescent="0.35">
      <c r="AH4798" s="21"/>
      <c r="AI4798" s="21"/>
      <c r="AJ4798" s="21"/>
      <c r="AK4798" s="21"/>
      <c r="AM4798" s="26" t="s">
        <v>38</v>
      </c>
    </row>
    <row r="4799" spans="34:39" x14ac:dyDescent="0.35">
      <c r="AH4799" s="21"/>
      <c r="AI4799" s="21"/>
      <c r="AJ4799" s="21"/>
      <c r="AK4799" s="21"/>
      <c r="AM4799" s="26" t="s">
        <v>38</v>
      </c>
    </row>
    <row r="4800" spans="34:39" x14ac:dyDescent="0.35">
      <c r="AH4800" s="21"/>
      <c r="AI4800" s="21"/>
      <c r="AJ4800" s="21"/>
      <c r="AK4800" s="21"/>
      <c r="AM4800" s="26" t="s">
        <v>38</v>
      </c>
    </row>
    <row r="4801" spans="34:39" x14ac:dyDescent="0.35">
      <c r="AH4801" s="21"/>
      <c r="AI4801" s="21"/>
      <c r="AJ4801" s="21"/>
      <c r="AK4801" s="21"/>
      <c r="AM4801" s="26" t="s">
        <v>38</v>
      </c>
    </row>
    <row r="4802" spans="34:39" x14ac:dyDescent="0.35">
      <c r="AH4802" s="21"/>
      <c r="AI4802" s="21"/>
      <c r="AJ4802" s="21"/>
      <c r="AK4802" s="21"/>
      <c r="AM4802" s="26" t="s">
        <v>38</v>
      </c>
    </row>
    <row r="4803" spans="34:39" x14ac:dyDescent="0.35">
      <c r="AH4803" s="21"/>
      <c r="AI4803" s="21"/>
      <c r="AJ4803" s="21"/>
      <c r="AK4803" s="21"/>
      <c r="AM4803" s="26" t="s">
        <v>38</v>
      </c>
    </row>
    <row r="4804" spans="34:39" x14ac:dyDescent="0.35">
      <c r="AH4804" s="21"/>
      <c r="AI4804" s="21"/>
      <c r="AJ4804" s="21"/>
      <c r="AK4804" s="21"/>
      <c r="AM4804" s="26" t="s">
        <v>38</v>
      </c>
    </row>
    <row r="4805" spans="34:39" x14ac:dyDescent="0.35">
      <c r="AH4805" s="21"/>
      <c r="AI4805" s="21"/>
      <c r="AJ4805" s="21"/>
      <c r="AK4805" s="21"/>
      <c r="AM4805" s="26" t="s">
        <v>38</v>
      </c>
    </row>
    <row r="4806" spans="34:39" x14ac:dyDescent="0.35">
      <c r="AH4806" s="21"/>
      <c r="AI4806" s="21"/>
      <c r="AJ4806" s="21"/>
      <c r="AK4806" s="21"/>
      <c r="AM4806" s="26" t="s">
        <v>38</v>
      </c>
    </row>
    <row r="4807" spans="34:39" x14ac:dyDescent="0.35">
      <c r="AH4807" s="21"/>
      <c r="AI4807" s="21"/>
      <c r="AJ4807" s="21"/>
      <c r="AK4807" s="21"/>
      <c r="AM4807" s="26" t="s">
        <v>38</v>
      </c>
    </row>
    <row r="4808" spans="34:39" x14ac:dyDescent="0.35">
      <c r="AH4808" s="21"/>
      <c r="AI4808" s="21"/>
      <c r="AJ4808" s="21"/>
      <c r="AK4808" s="21"/>
      <c r="AM4808" s="26" t="s">
        <v>38</v>
      </c>
    </row>
    <row r="4809" spans="34:39" x14ac:dyDescent="0.35">
      <c r="AH4809" s="21"/>
      <c r="AI4809" s="21"/>
      <c r="AJ4809" s="21"/>
      <c r="AK4809" s="21"/>
      <c r="AM4809" s="26" t="s">
        <v>38</v>
      </c>
    </row>
    <row r="4810" spans="34:39" x14ac:dyDescent="0.35">
      <c r="AH4810" s="21"/>
      <c r="AI4810" s="21"/>
      <c r="AJ4810" s="21"/>
      <c r="AK4810" s="21"/>
      <c r="AM4810" s="26" t="s">
        <v>38</v>
      </c>
    </row>
    <row r="4811" spans="34:39" x14ac:dyDescent="0.35">
      <c r="AH4811" s="21"/>
      <c r="AI4811" s="21"/>
      <c r="AJ4811" s="21"/>
      <c r="AK4811" s="21"/>
      <c r="AM4811" s="26" t="s">
        <v>38</v>
      </c>
    </row>
    <row r="4812" spans="34:39" x14ac:dyDescent="0.35">
      <c r="AH4812" s="21"/>
      <c r="AI4812" s="21"/>
      <c r="AJ4812" s="21"/>
      <c r="AK4812" s="21"/>
      <c r="AM4812" s="26" t="s">
        <v>38</v>
      </c>
    </row>
    <row r="4813" spans="34:39" x14ac:dyDescent="0.35">
      <c r="AH4813" s="21"/>
      <c r="AI4813" s="21"/>
      <c r="AJ4813" s="21"/>
      <c r="AK4813" s="21"/>
      <c r="AM4813" s="26" t="s">
        <v>38</v>
      </c>
    </row>
    <row r="4814" spans="34:39" x14ac:dyDescent="0.35">
      <c r="AH4814" s="21"/>
      <c r="AI4814" s="21"/>
      <c r="AJ4814" s="21"/>
      <c r="AK4814" s="21"/>
      <c r="AM4814" s="26" t="s">
        <v>38</v>
      </c>
    </row>
    <row r="4815" spans="34:39" x14ac:dyDescent="0.35">
      <c r="AH4815" s="21"/>
      <c r="AI4815" s="21"/>
      <c r="AJ4815" s="21"/>
      <c r="AK4815" s="21"/>
      <c r="AM4815" s="26" t="s">
        <v>38</v>
      </c>
    </row>
    <row r="4816" spans="34:39" x14ac:dyDescent="0.35">
      <c r="AH4816" s="21"/>
      <c r="AI4816" s="21"/>
      <c r="AJ4816" s="21"/>
      <c r="AK4816" s="21"/>
      <c r="AM4816" s="26" t="s">
        <v>38</v>
      </c>
    </row>
    <row r="4817" spans="34:39" x14ac:dyDescent="0.35">
      <c r="AH4817" s="21"/>
      <c r="AI4817" s="21"/>
      <c r="AJ4817" s="21"/>
      <c r="AK4817" s="21"/>
      <c r="AM4817" s="26" t="s">
        <v>38</v>
      </c>
    </row>
    <row r="4818" spans="34:39" x14ac:dyDescent="0.35">
      <c r="AH4818" s="21"/>
      <c r="AI4818" s="21"/>
      <c r="AJ4818" s="21"/>
      <c r="AK4818" s="21"/>
      <c r="AM4818" s="26" t="s">
        <v>38</v>
      </c>
    </row>
    <row r="4819" spans="34:39" x14ac:dyDescent="0.35">
      <c r="AH4819" s="21"/>
      <c r="AI4819" s="21"/>
      <c r="AJ4819" s="21"/>
      <c r="AK4819" s="21"/>
      <c r="AM4819" s="26" t="s">
        <v>38</v>
      </c>
    </row>
    <row r="4820" spans="34:39" x14ac:dyDescent="0.35">
      <c r="AH4820" s="21"/>
      <c r="AI4820" s="21"/>
      <c r="AJ4820" s="21"/>
      <c r="AK4820" s="21"/>
      <c r="AM4820" s="26" t="s">
        <v>38</v>
      </c>
    </row>
    <row r="4821" spans="34:39" x14ac:dyDescent="0.35">
      <c r="AH4821" s="21"/>
      <c r="AI4821" s="21"/>
      <c r="AJ4821" s="21"/>
      <c r="AK4821" s="21"/>
      <c r="AM4821" s="26" t="s">
        <v>38</v>
      </c>
    </row>
    <row r="4822" spans="34:39" x14ac:dyDescent="0.35">
      <c r="AH4822" s="21"/>
      <c r="AI4822" s="21"/>
      <c r="AJ4822" s="21"/>
      <c r="AK4822" s="21"/>
      <c r="AM4822" s="26" t="s">
        <v>38</v>
      </c>
    </row>
    <row r="4823" spans="34:39" x14ac:dyDescent="0.35">
      <c r="AH4823" s="21"/>
      <c r="AI4823" s="21"/>
      <c r="AJ4823" s="21"/>
      <c r="AK4823" s="21"/>
      <c r="AM4823" s="26" t="s">
        <v>38</v>
      </c>
    </row>
    <row r="4824" spans="34:39" x14ac:dyDescent="0.35">
      <c r="AH4824" s="21"/>
      <c r="AI4824" s="21"/>
      <c r="AJ4824" s="21"/>
      <c r="AK4824" s="21"/>
      <c r="AM4824" s="26" t="s">
        <v>38</v>
      </c>
    </row>
    <row r="4825" spans="34:39" x14ac:dyDescent="0.35">
      <c r="AH4825" s="21"/>
      <c r="AI4825" s="21"/>
      <c r="AJ4825" s="21"/>
      <c r="AK4825" s="21"/>
      <c r="AM4825" s="26" t="s">
        <v>38</v>
      </c>
    </row>
    <row r="4826" spans="34:39" x14ac:dyDescent="0.35">
      <c r="AH4826" s="21"/>
      <c r="AI4826" s="21"/>
      <c r="AJ4826" s="21"/>
      <c r="AK4826" s="21"/>
      <c r="AM4826" s="26" t="s">
        <v>38</v>
      </c>
    </row>
    <row r="4827" spans="34:39" x14ac:dyDescent="0.35">
      <c r="AH4827" s="21"/>
      <c r="AI4827" s="21"/>
      <c r="AJ4827" s="21"/>
      <c r="AK4827" s="21"/>
      <c r="AM4827" s="26" t="s">
        <v>38</v>
      </c>
    </row>
    <row r="4828" spans="34:39" x14ac:dyDescent="0.35">
      <c r="AH4828" s="21"/>
      <c r="AI4828" s="21"/>
      <c r="AJ4828" s="21"/>
      <c r="AK4828" s="21"/>
      <c r="AM4828" s="26" t="s">
        <v>38</v>
      </c>
    </row>
    <row r="4829" spans="34:39" x14ac:dyDescent="0.35">
      <c r="AH4829" s="21"/>
      <c r="AI4829" s="21"/>
      <c r="AJ4829" s="21"/>
      <c r="AK4829" s="21"/>
      <c r="AM4829" s="26" t="s">
        <v>38</v>
      </c>
    </row>
    <row r="4830" spans="34:39" x14ac:dyDescent="0.35">
      <c r="AH4830" s="21"/>
      <c r="AI4830" s="21"/>
      <c r="AJ4830" s="21"/>
      <c r="AK4830" s="21"/>
      <c r="AM4830" s="26" t="s">
        <v>38</v>
      </c>
    </row>
    <row r="4831" spans="34:39" x14ac:dyDescent="0.35">
      <c r="AH4831" s="21"/>
      <c r="AI4831" s="21"/>
      <c r="AJ4831" s="21"/>
      <c r="AK4831" s="21"/>
      <c r="AM4831" s="26" t="s">
        <v>38</v>
      </c>
    </row>
    <row r="4832" spans="34:39" x14ac:dyDescent="0.35">
      <c r="AH4832" s="21"/>
      <c r="AI4832" s="21"/>
      <c r="AJ4832" s="21"/>
      <c r="AK4832" s="21"/>
      <c r="AM4832" s="26" t="s">
        <v>38</v>
      </c>
    </row>
    <row r="4833" spans="34:39" x14ac:dyDescent="0.35">
      <c r="AH4833" s="21"/>
      <c r="AI4833" s="21"/>
      <c r="AJ4833" s="21"/>
      <c r="AK4833" s="21"/>
      <c r="AM4833" s="26" t="s">
        <v>38</v>
      </c>
    </row>
    <row r="4834" spans="34:39" x14ac:dyDescent="0.35">
      <c r="AH4834" s="21"/>
      <c r="AI4834" s="21"/>
      <c r="AJ4834" s="21"/>
      <c r="AK4834" s="21"/>
      <c r="AM4834" s="26" t="s">
        <v>38</v>
      </c>
    </row>
    <row r="4835" spans="34:39" x14ac:dyDescent="0.35">
      <c r="AH4835" s="21"/>
      <c r="AI4835" s="21"/>
      <c r="AJ4835" s="21"/>
      <c r="AK4835" s="21"/>
      <c r="AM4835" s="26" t="s">
        <v>38</v>
      </c>
    </row>
    <row r="4836" spans="34:39" x14ac:dyDescent="0.35">
      <c r="AH4836" s="21"/>
      <c r="AI4836" s="21"/>
      <c r="AJ4836" s="21"/>
      <c r="AK4836" s="21"/>
      <c r="AM4836" s="26" t="s">
        <v>38</v>
      </c>
    </row>
    <row r="4837" spans="34:39" x14ac:dyDescent="0.35">
      <c r="AH4837" s="21"/>
      <c r="AI4837" s="21"/>
      <c r="AJ4837" s="21"/>
      <c r="AK4837" s="21"/>
      <c r="AM4837" s="26" t="s">
        <v>38</v>
      </c>
    </row>
    <row r="4838" spans="34:39" x14ac:dyDescent="0.35">
      <c r="AH4838" s="21"/>
      <c r="AI4838" s="21"/>
      <c r="AJ4838" s="21"/>
      <c r="AK4838" s="21"/>
      <c r="AM4838" s="26" t="s">
        <v>38</v>
      </c>
    </row>
    <row r="4839" spans="34:39" x14ac:dyDescent="0.35">
      <c r="AH4839" s="21"/>
      <c r="AI4839" s="21"/>
      <c r="AJ4839" s="21"/>
      <c r="AK4839" s="21"/>
      <c r="AM4839" s="26" t="s">
        <v>38</v>
      </c>
    </row>
    <row r="4840" spans="34:39" x14ac:dyDescent="0.35">
      <c r="AH4840" s="21"/>
      <c r="AI4840" s="21"/>
      <c r="AJ4840" s="21"/>
      <c r="AK4840" s="21"/>
      <c r="AM4840" s="26" t="s">
        <v>38</v>
      </c>
    </row>
    <row r="4841" spans="34:39" x14ac:dyDescent="0.35">
      <c r="AH4841" s="21"/>
      <c r="AI4841" s="21"/>
      <c r="AJ4841" s="21"/>
      <c r="AK4841" s="21"/>
      <c r="AM4841" s="26" t="s">
        <v>38</v>
      </c>
    </row>
    <row r="4842" spans="34:39" x14ac:dyDescent="0.35">
      <c r="AH4842" s="21"/>
      <c r="AI4842" s="21"/>
      <c r="AJ4842" s="21"/>
      <c r="AK4842" s="21"/>
      <c r="AM4842" s="26" t="s">
        <v>38</v>
      </c>
    </row>
    <row r="4843" spans="34:39" x14ac:dyDescent="0.35">
      <c r="AH4843" s="21"/>
      <c r="AI4843" s="21"/>
      <c r="AJ4843" s="21"/>
      <c r="AK4843" s="21"/>
      <c r="AM4843" s="26" t="s">
        <v>38</v>
      </c>
    </row>
    <row r="4844" spans="34:39" x14ac:dyDescent="0.35">
      <c r="AH4844" s="21"/>
      <c r="AI4844" s="21"/>
      <c r="AJ4844" s="21"/>
      <c r="AK4844" s="21"/>
      <c r="AM4844" s="26" t="s">
        <v>38</v>
      </c>
    </row>
    <row r="4845" spans="34:39" x14ac:dyDescent="0.35">
      <c r="AH4845" s="21"/>
      <c r="AI4845" s="21"/>
      <c r="AJ4845" s="21"/>
      <c r="AK4845" s="21"/>
      <c r="AM4845" s="26" t="s">
        <v>38</v>
      </c>
    </row>
    <row r="4846" spans="34:39" x14ac:dyDescent="0.35">
      <c r="AH4846" s="21"/>
      <c r="AI4846" s="21"/>
      <c r="AJ4846" s="21"/>
      <c r="AK4846" s="21"/>
      <c r="AM4846" s="26" t="s">
        <v>38</v>
      </c>
    </row>
    <row r="4847" spans="34:39" x14ac:dyDescent="0.35">
      <c r="AH4847" s="21"/>
      <c r="AI4847" s="21"/>
      <c r="AJ4847" s="21"/>
      <c r="AK4847" s="21"/>
      <c r="AM4847" s="26" t="s">
        <v>38</v>
      </c>
    </row>
    <row r="4848" spans="34:39" x14ac:dyDescent="0.35">
      <c r="AH4848" s="21"/>
      <c r="AI4848" s="21"/>
      <c r="AJ4848" s="21"/>
      <c r="AK4848" s="21"/>
      <c r="AM4848" s="26" t="s">
        <v>38</v>
      </c>
    </row>
    <row r="4849" spans="34:39" x14ac:dyDescent="0.35">
      <c r="AH4849" s="21"/>
      <c r="AI4849" s="21"/>
      <c r="AJ4849" s="21"/>
      <c r="AK4849" s="21"/>
      <c r="AM4849" s="26" t="s">
        <v>38</v>
      </c>
    </row>
    <row r="4850" spans="34:39" x14ac:dyDescent="0.35">
      <c r="AH4850" s="21"/>
      <c r="AI4850" s="21"/>
      <c r="AJ4850" s="21"/>
      <c r="AK4850" s="21"/>
      <c r="AM4850" s="26" t="s">
        <v>38</v>
      </c>
    </row>
    <row r="4851" spans="34:39" x14ac:dyDescent="0.35">
      <c r="AH4851" s="21"/>
      <c r="AI4851" s="21"/>
      <c r="AJ4851" s="21"/>
      <c r="AK4851" s="21"/>
      <c r="AM4851" s="26" t="s">
        <v>38</v>
      </c>
    </row>
    <row r="4852" spans="34:39" x14ac:dyDescent="0.35">
      <c r="AH4852" s="21"/>
      <c r="AI4852" s="21"/>
      <c r="AJ4852" s="21"/>
      <c r="AK4852" s="21"/>
      <c r="AM4852" s="26" t="s">
        <v>38</v>
      </c>
    </row>
    <row r="4853" spans="34:39" x14ac:dyDescent="0.35">
      <c r="AH4853" s="21"/>
      <c r="AI4853" s="21"/>
      <c r="AJ4853" s="21"/>
      <c r="AK4853" s="21"/>
      <c r="AM4853" s="26" t="s">
        <v>38</v>
      </c>
    </row>
    <row r="4854" spans="34:39" x14ac:dyDescent="0.35">
      <c r="AH4854" s="21"/>
      <c r="AI4854" s="21"/>
      <c r="AJ4854" s="21"/>
      <c r="AK4854" s="21"/>
      <c r="AM4854" s="26" t="s">
        <v>38</v>
      </c>
    </row>
    <row r="4855" spans="34:39" x14ac:dyDescent="0.35">
      <c r="AH4855" s="21"/>
      <c r="AI4855" s="21"/>
      <c r="AJ4855" s="21"/>
      <c r="AK4855" s="21"/>
      <c r="AM4855" s="26" t="s">
        <v>38</v>
      </c>
    </row>
    <row r="4856" spans="34:39" x14ac:dyDescent="0.35">
      <c r="AH4856" s="21"/>
      <c r="AI4856" s="21"/>
      <c r="AJ4856" s="21"/>
      <c r="AK4856" s="21"/>
      <c r="AM4856" s="26" t="s">
        <v>38</v>
      </c>
    </row>
    <row r="4857" spans="34:39" x14ac:dyDescent="0.35">
      <c r="AH4857" s="21"/>
      <c r="AI4857" s="21"/>
      <c r="AJ4857" s="21"/>
      <c r="AK4857" s="21"/>
      <c r="AM4857" s="26" t="s">
        <v>38</v>
      </c>
    </row>
    <row r="4858" spans="34:39" x14ac:dyDescent="0.35">
      <c r="AH4858" s="21"/>
      <c r="AI4858" s="21"/>
      <c r="AJ4858" s="21"/>
      <c r="AK4858" s="21"/>
      <c r="AM4858" s="26" t="s">
        <v>38</v>
      </c>
    </row>
    <row r="4859" spans="34:39" x14ac:dyDescent="0.35">
      <c r="AH4859" s="21"/>
      <c r="AI4859" s="21"/>
      <c r="AJ4859" s="21"/>
      <c r="AK4859" s="21"/>
      <c r="AM4859" s="26" t="s">
        <v>38</v>
      </c>
    </row>
    <row r="4860" spans="34:39" x14ac:dyDescent="0.35">
      <c r="AH4860" s="21"/>
      <c r="AI4860" s="21"/>
      <c r="AJ4860" s="21"/>
      <c r="AK4860" s="21"/>
      <c r="AM4860" s="26" t="s">
        <v>38</v>
      </c>
    </row>
    <row r="4861" spans="34:39" x14ac:dyDescent="0.35">
      <c r="AH4861" s="21"/>
      <c r="AI4861" s="21"/>
      <c r="AJ4861" s="21"/>
      <c r="AK4861" s="21"/>
      <c r="AM4861" s="26" t="s">
        <v>38</v>
      </c>
    </row>
    <row r="4862" spans="34:39" x14ac:dyDescent="0.35">
      <c r="AH4862" s="21"/>
      <c r="AI4862" s="21"/>
      <c r="AJ4862" s="21"/>
      <c r="AK4862" s="21"/>
      <c r="AM4862" s="26" t="s">
        <v>38</v>
      </c>
    </row>
    <row r="4863" spans="34:39" x14ac:dyDescent="0.35">
      <c r="AH4863" s="21"/>
      <c r="AI4863" s="21"/>
      <c r="AJ4863" s="21"/>
      <c r="AK4863" s="21"/>
      <c r="AM4863" s="26" t="s">
        <v>38</v>
      </c>
    </row>
    <row r="4864" spans="34:39" x14ac:dyDescent="0.35">
      <c r="AH4864" s="21"/>
      <c r="AI4864" s="21"/>
      <c r="AJ4864" s="21"/>
      <c r="AK4864" s="21"/>
      <c r="AM4864" s="26" t="s">
        <v>38</v>
      </c>
    </row>
    <row r="4865" spans="1:40" x14ac:dyDescent="0.35">
      <c r="AH4865" s="21"/>
      <c r="AI4865" s="21"/>
      <c r="AJ4865" s="21"/>
      <c r="AK4865" s="21"/>
      <c r="AM4865" s="26" t="s">
        <v>38</v>
      </c>
    </row>
    <row r="4866" spans="1:40" x14ac:dyDescent="0.35">
      <c r="AH4866" s="21"/>
      <c r="AI4866" s="21"/>
      <c r="AJ4866" s="21"/>
      <c r="AK4866" s="21"/>
      <c r="AM4866" s="26" t="s">
        <v>38</v>
      </c>
    </row>
    <row r="4867" spans="1:40" x14ac:dyDescent="0.35">
      <c r="AH4867" s="21"/>
      <c r="AI4867" s="21"/>
      <c r="AJ4867" s="21"/>
      <c r="AK4867" s="21"/>
      <c r="AM4867" s="26" t="s">
        <v>38</v>
      </c>
    </row>
    <row r="4868" spans="1:40" x14ac:dyDescent="0.35">
      <c r="AH4868" s="21"/>
      <c r="AI4868" s="21"/>
      <c r="AJ4868" s="21"/>
      <c r="AK4868" s="21"/>
      <c r="AM4868" s="26" t="s">
        <v>38</v>
      </c>
    </row>
    <row r="4869" spans="1:40" x14ac:dyDescent="0.35">
      <c r="AH4869" s="21"/>
      <c r="AI4869" s="21"/>
      <c r="AJ4869" s="21"/>
      <c r="AK4869" s="21"/>
      <c r="AM4869" s="26" t="s">
        <v>38</v>
      </c>
    </row>
    <row r="4870" spans="1:40" x14ac:dyDescent="0.35">
      <c r="AH4870" s="21"/>
      <c r="AI4870" s="21"/>
      <c r="AJ4870" s="21"/>
      <c r="AK4870" s="21"/>
      <c r="AM4870" s="26" t="s">
        <v>38</v>
      </c>
    </row>
    <row r="4871" spans="1:40" x14ac:dyDescent="0.35">
      <c r="AH4871" s="21"/>
      <c r="AI4871" s="21"/>
      <c r="AJ4871" s="21"/>
      <c r="AK4871" s="21"/>
      <c r="AM4871" s="26" t="s">
        <v>38</v>
      </c>
    </row>
    <row r="4872" spans="1:40" x14ac:dyDescent="0.35">
      <c r="AH4872" s="21"/>
      <c r="AI4872" s="21"/>
      <c r="AJ4872" s="21"/>
      <c r="AK4872" s="21"/>
      <c r="AM4872" s="26" t="s">
        <v>38</v>
      </c>
    </row>
    <row r="4873" spans="1:40" s="84" customFormat="1" x14ac:dyDescent="0.35">
      <c r="A4873"/>
      <c r="B4873"/>
      <c r="C4873"/>
      <c r="D4873"/>
      <c r="E4873"/>
      <c r="F4873"/>
      <c r="G4873"/>
      <c r="H4873"/>
      <c r="I4873"/>
      <c r="J4873"/>
      <c r="K4873"/>
      <c r="L4873"/>
      <c r="M4873"/>
      <c r="N4873"/>
      <c r="O4873"/>
      <c r="P4873"/>
      <c r="Q4873"/>
      <c r="R4873"/>
      <c r="S4873"/>
      <c r="T4873"/>
      <c r="U4873"/>
      <c r="V4873"/>
      <c r="W4873"/>
      <c r="X4873"/>
      <c r="Y4873"/>
      <c r="Z4873"/>
      <c r="AA4873"/>
      <c r="AB4873"/>
      <c r="AC4873"/>
      <c r="AD4873"/>
      <c r="AE4873"/>
      <c r="AF4873"/>
      <c r="AG4873"/>
      <c r="AH4873" s="21"/>
      <c r="AI4873" s="21"/>
      <c r="AJ4873" s="21"/>
      <c r="AK4873" s="21"/>
      <c r="AL4873"/>
      <c r="AM4873" s="26" t="s">
        <v>38</v>
      </c>
      <c r="AN4873"/>
    </row>
    <row r="4874" spans="1:40" x14ac:dyDescent="0.35">
      <c r="AH4874" s="21"/>
      <c r="AI4874" s="21"/>
      <c r="AJ4874" s="21"/>
      <c r="AK4874" s="21"/>
      <c r="AM4874" s="26" t="s">
        <v>38</v>
      </c>
    </row>
    <row r="4875" spans="1:40" x14ac:dyDescent="0.35">
      <c r="AH4875" s="21"/>
      <c r="AI4875" s="21"/>
      <c r="AJ4875" s="21"/>
      <c r="AK4875" s="21"/>
      <c r="AM4875" s="26" t="s">
        <v>38</v>
      </c>
    </row>
    <row r="4876" spans="1:40" x14ac:dyDescent="0.35">
      <c r="AH4876" s="21"/>
      <c r="AI4876" s="21"/>
      <c r="AJ4876" s="21"/>
      <c r="AK4876" s="21"/>
      <c r="AM4876" s="26" t="s">
        <v>38</v>
      </c>
    </row>
    <row r="4877" spans="1:40" x14ac:dyDescent="0.35">
      <c r="AH4877" s="21"/>
      <c r="AI4877" s="21"/>
      <c r="AJ4877" s="21"/>
      <c r="AK4877" s="21"/>
      <c r="AM4877" s="26" t="s">
        <v>38</v>
      </c>
    </row>
    <row r="4878" spans="1:40" x14ac:dyDescent="0.35">
      <c r="AH4878" s="21"/>
      <c r="AI4878" s="21"/>
      <c r="AJ4878" s="21"/>
      <c r="AK4878" s="21"/>
      <c r="AM4878" s="26" t="s">
        <v>38</v>
      </c>
    </row>
    <row r="4879" spans="1:40" x14ac:dyDescent="0.35">
      <c r="AH4879" s="21"/>
      <c r="AI4879" s="21"/>
      <c r="AJ4879" s="21"/>
      <c r="AK4879" s="21"/>
      <c r="AM4879" s="26" t="s">
        <v>38</v>
      </c>
    </row>
    <row r="4880" spans="1:40" x14ac:dyDescent="0.35">
      <c r="AH4880" s="21"/>
      <c r="AI4880" s="21"/>
      <c r="AJ4880" s="21"/>
      <c r="AK4880" s="21"/>
      <c r="AM4880" s="26" t="s">
        <v>38</v>
      </c>
    </row>
    <row r="4881" spans="34:39" x14ac:dyDescent="0.35">
      <c r="AH4881" s="21"/>
      <c r="AI4881" s="21"/>
      <c r="AJ4881" s="21"/>
      <c r="AK4881" s="21"/>
      <c r="AM4881" s="26" t="s">
        <v>38</v>
      </c>
    </row>
    <row r="4882" spans="34:39" x14ac:dyDescent="0.35">
      <c r="AH4882" s="21"/>
      <c r="AI4882" s="21"/>
      <c r="AJ4882" s="21"/>
      <c r="AK4882" s="21"/>
      <c r="AM4882" s="26" t="s">
        <v>38</v>
      </c>
    </row>
    <row r="4883" spans="34:39" x14ac:dyDescent="0.35">
      <c r="AH4883" s="21"/>
      <c r="AI4883" s="21"/>
      <c r="AJ4883" s="21"/>
      <c r="AK4883" s="21"/>
      <c r="AM4883" s="26" t="s">
        <v>38</v>
      </c>
    </row>
    <row r="4884" spans="34:39" x14ac:dyDescent="0.35">
      <c r="AH4884" s="21"/>
      <c r="AI4884" s="21"/>
      <c r="AJ4884" s="21"/>
      <c r="AK4884" s="21"/>
      <c r="AM4884" s="26" t="s">
        <v>38</v>
      </c>
    </row>
    <row r="4885" spans="34:39" x14ac:dyDescent="0.35">
      <c r="AH4885" s="21"/>
      <c r="AI4885" s="21"/>
      <c r="AJ4885" s="21"/>
      <c r="AK4885" s="21"/>
      <c r="AM4885" s="26" t="s">
        <v>38</v>
      </c>
    </row>
    <row r="4886" spans="34:39" x14ac:dyDescent="0.35">
      <c r="AH4886" s="21"/>
      <c r="AI4886" s="21"/>
      <c r="AJ4886" s="21"/>
      <c r="AK4886" s="21"/>
      <c r="AM4886" s="26" t="s">
        <v>38</v>
      </c>
    </row>
    <row r="4887" spans="34:39" x14ac:dyDescent="0.35">
      <c r="AH4887" s="21"/>
      <c r="AI4887" s="21"/>
      <c r="AJ4887" s="21"/>
      <c r="AK4887" s="21"/>
      <c r="AM4887" s="26" t="s">
        <v>38</v>
      </c>
    </row>
    <row r="4888" spans="34:39" x14ac:dyDescent="0.35">
      <c r="AH4888" s="21"/>
      <c r="AI4888" s="21"/>
      <c r="AJ4888" s="21"/>
      <c r="AK4888" s="21"/>
      <c r="AM4888" s="26" t="s">
        <v>38</v>
      </c>
    </row>
    <row r="4889" spans="34:39" x14ac:dyDescent="0.35">
      <c r="AH4889" s="21"/>
      <c r="AI4889" s="21"/>
      <c r="AJ4889" s="21"/>
      <c r="AK4889" s="21"/>
      <c r="AM4889" s="26" t="s">
        <v>38</v>
      </c>
    </row>
    <row r="4890" spans="34:39" x14ac:dyDescent="0.35">
      <c r="AH4890" s="21"/>
      <c r="AI4890" s="21"/>
      <c r="AJ4890" s="21"/>
      <c r="AK4890" s="21"/>
      <c r="AM4890" s="26" t="s">
        <v>38</v>
      </c>
    </row>
    <row r="4891" spans="34:39" x14ac:dyDescent="0.35">
      <c r="AH4891" s="21"/>
      <c r="AI4891" s="21"/>
      <c r="AJ4891" s="21"/>
      <c r="AK4891" s="21"/>
      <c r="AM4891" s="26" t="s">
        <v>38</v>
      </c>
    </row>
    <row r="4892" spans="34:39" x14ac:dyDescent="0.35">
      <c r="AH4892" s="21"/>
      <c r="AI4892" s="21"/>
      <c r="AJ4892" s="21"/>
      <c r="AK4892" s="21"/>
      <c r="AM4892" s="26" t="s">
        <v>38</v>
      </c>
    </row>
    <row r="4893" spans="34:39" x14ac:dyDescent="0.35">
      <c r="AH4893" s="21"/>
      <c r="AI4893" s="21"/>
      <c r="AJ4893" s="21"/>
      <c r="AK4893" s="21"/>
      <c r="AM4893" s="26" t="s">
        <v>38</v>
      </c>
    </row>
    <row r="4894" spans="34:39" x14ac:dyDescent="0.35">
      <c r="AH4894" s="21"/>
      <c r="AI4894" s="21"/>
      <c r="AJ4894" s="21"/>
      <c r="AK4894" s="21"/>
      <c r="AM4894" s="26" t="s">
        <v>38</v>
      </c>
    </row>
    <row r="4895" spans="34:39" x14ac:dyDescent="0.35">
      <c r="AH4895" s="21"/>
      <c r="AI4895" s="21"/>
      <c r="AJ4895" s="21"/>
      <c r="AK4895" s="21"/>
      <c r="AM4895" s="26" t="s">
        <v>38</v>
      </c>
    </row>
    <row r="4896" spans="34:39" x14ac:dyDescent="0.35">
      <c r="AH4896" s="21"/>
      <c r="AI4896" s="21"/>
      <c r="AJ4896" s="21"/>
      <c r="AK4896" s="21"/>
      <c r="AM4896" s="26" t="s">
        <v>38</v>
      </c>
    </row>
    <row r="4897" spans="34:39" x14ac:dyDescent="0.35">
      <c r="AH4897" s="21"/>
      <c r="AI4897" s="21"/>
      <c r="AJ4897" s="21"/>
      <c r="AK4897" s="21"/>
      <c r="AM4897" s="26" t="s">
        <v>38</v>
      </c>
    </row>
    <row r="4898" spans="34:39" x14ac:dyDescent="0.35">
      <c r="AH4898" s="21"/>
      <c r="AI4898" s="21"/>
      <c r="AJ4898" s="21"/>
      <c r="AK4898" s="21"/>
      <c r="AM4898" s="26" t="s">
        <v>38</v>
      </c>
    </row>
    <row r="4899" spans="34:39" x14ac:dyDescent="0.35">
      <c r="AH4899" s="21"/>
      <c r="AI4899" s="21"/>
      <c r="AJ4899" s="21"/>
      <c r="AK4899" s="21"/>
      <c r="AM4899" s="26" t="s">
        <v>38</v>
      </c>
    </row>
    <row r="4900" spans="34:39" x14ac:dyDescent="0.35">
      <c r="AH4900" s="21"/>
      <c r="AI4900" s="21"/>
      <c r="AJ4900" s="21"/>
      <c r="AK4900" s="21"/>
      <c r="AM4900" s="26" t="s">
        <v>38</v>
      </c>
    </row>
    <row r="4901" spans="34:39" x14ac:dyDescent="0.35">
      <c r="AH4901" s="21"/>
      <c r="AI4901" s="21"/>
      <c r="AJ4901" s="21"/>
      <c r="AK4901" s="21"/>
      <c r="AM4901" s="26" t="s">
        <v>38</v>
      </c>
    </row>
    <row r="4902" spans="34:39" x14ac:dyDescent="0.35">
      <c r="AH4902" s="21"/>
      <c r="AI4902" s="21"/>
      <c r="AJ4902" s="21"/>
      <c r="AK4902" s="21"/>
      <c r="AM4902" s="26" t="s">
        <v>38</v>
      </c>
    </row>
    <row r="4903" spans="34:39" x14ac:dyDescent="0.35">
      <c r="AH4903" s="21"/>
      <c r="AI4903" s="21"/>
      <c r="AJ4903" s="21"/>
      <c r="AK4903" s="21"/>
      <c r="AM4903" s="26" t="s">
        <v>38</v>
      </c>
    </row>
    <row r="4904" spans="34:39" x14ac:dyDescent="0.35">
      <c r="AH4904" s="21"/>
      <c r="AI4904" s="21"/>
      <c r="AJ4904" s="21"/>
      <c r="AK4904" s="21"/>
      <c r="AM4904" s="26" t="s">
        <v>38</v>
      </c>
    </row>
    <row r="4905" spans="34:39" x14ac:dyDescent="0.35">
      <c r="AH4905" s="21"/>
      <c r="AI4905" s="21"/>
      <c r="AJ4905" s="21"/>
      <c r="AK4905" s="21"/>
      <c r="AM4905" s="26" t="s">
        <v>38</v>
      </c>
    </row>
    <row r="4906" spans="34:39" x14ac:dyDescent="0.35">
      <c r="AH4906" s="21"/>
      <c r="AI4906" s="21"/>
      <c r="AJ4906" s="21"/>
      <c r="AK4906" s="21"/>
      <c r="AM4906" s="26" t="s">
        <v>38</v>
      </c>
    </row>
    <row r="4907" spans="34:39" x14ac:dyDescent="0.35">
      <c r="AH4907" s="21"/>
      <c r="AI4907" s="21"/>
      <c r="AJ4907" s="21"/>
      <c r="AK4907" s="21"/>
      <c r="AM4907" s="26" t="s">
        <v>38</v>
      </c>
    </row>
    <row r="4908" spans="34:39" x14ac:dyDescent="0.35">
      <c r="AH4908" s="21"/>
      <c r="AI4908" s="21"/>
      <c r="AJ4908" s="21"/>
      <c r="AK4908" s="21"/>
      <c r="AM4908" s="26" t="s">
        <v>38</v>
      </c>
    </row>
    <row r="4909" spans="34:39" x14ac:dyDescent="0.35">
      <c r="AH4909" s="21"/>
      <c r="AI4909" s="21"/>
      <c r="AJ4909" s="21"/>
      <c r="AK4909" s="21"/>
      <c r="AM4909" s="26" t="s">
        <v>38</v>
      </c>
    </row>
    <row r="4910" spans="34:39" x14ac:dyDescent="0.35">
      <c r="AH4910" s="21"/>
      <c r="AI4910" s="21"/>
      <c r="AJ4910" s="21"/>
      <c r="AK4910" s="21"/>
      <c r="AM4910" s="26" t="s">
        <v>38</v>
      </c>
    </row>
    <row r="4911" spans="34:39" x14ac:dyDescent="0.35">
      <c r="AH4911" s="21"/>
      <c r="AI4911" s="21"/>
      <c r="AJ4911" s="21"/>
      <c r="AK4911" s="21"/>
      <c r="AM4911" s="26" t="s">
        <v>38</v>
      </c>
    </row>
    <row r="4912" spans="34:39" x14ac:dyDescent="0.35">
      <c r="AH4912" s="21"/>
      <c r="AI4912" s="21"/>
      <c r="AJ4912" s="21"/>
      <c r="AK4912" s="21"/>
      <c r="AM4912" s="26" t="s">
        <v>38</v>
      </c>
    </row>
    <row r="4913" spans="34:39" x14ac:dyDescent="0.35">
      <c r="AH4913" s="21"/>
      <c r="AI4913" s="21"/>
      <c r="AJ4913" s="21"/>
      <c r="AK4913" s="21"/>
      <c r="AM4913" s="26" t="s">
        <v>38</v>
      </c>
    </row>
    <row r="4914" spans="34:39" x14ac:dyDescent="0.35">
      <c r="AH4914" s="21"/>
      <c r="AI4914" s="21"/>
      <c r="AJ4914" s="21"/>
      <c r="AK4914" s="21"/>
      <c r="AM4914" s="26" t="s">
        <v>38</v>
      </c>
    </row>
    <row r="4915" spans="34:39" x14ac:dyDescent="0.35">
      <c r="AH4915" s="21"/>
      <c r="AI4915" s="21"/>
      <c r="AJ4915" s="21"/>
      <c r="AK4915" s="21"/>
      <c r="AM4915" s="26" t="s">
        <v>38</v>
      </c>
    </row>
    <row r="4916" spans="34:39" x14ac:dyDescent="0.35">
      <c r="AH4916" s="21"/>
      <c r="AI4916" s="21"/>
      <c r="AJ4916" s="21"/>
      <c r="AK4916" s="21"/>
      <c r="AM4916" s="26" t="s">
        <v>38</v>
      </c>
    </row>
    <row r="4917" spans="34:39" x14ac:dyDescent="0.35">
      <c r="AH4917" s="21"/>
      <c r="AI4917" s="21"/>
      <c r="AJ4917" s="21"/>
      <c r="AK4917" s="21"/>
      <c r="AM4917" s="26" t="s">
        <v>38</v>
      </c>
    </row>
    <row r="4918" spans="34:39" x14ac:dyDescent="0.35">
      <c r="AH4918" s="21"/>
      <c r="AI4918" s="21"/>
      <c r="AJ4918" s="21"/>
      <c r="AK4918" s="21"/>
      <c r="AM4918" s="26" t="s">
        <v>38</v>
      </c>
    </row>
    <row r="4919" spans="34:39" x14ac:dyDescent="0.35">
      <c r="AH4919" s="21"/>
      <c r="AI4919" s="21"/>
      <c r="AJ4919" s="21"/>
      <c r="AK4919" s="21"/>
      <c r="AM4919" s="26" t="s">
        <v>38</v>
      </c>
    </row>
    <row r="4920" spans="34:39" x14ac:dyDescent="0.35">
      <c r="AH4920" s="21"/>
      <c r="AI4920" s="21"/>
      <c r="AJ4920" s="21"/>
      <c r="AK4920" s="21"/>
      <c r="AM4920" s="26" t="s">
        <v>38</v>
      </c>
    </row>
    <row r="4921" spans="34:39" x14ac:dyDescent="0.35">
      <c r="AH4921" s="21"/>
      <c r="AI4921" s="21"/>
      <c r="AJ4921" s="21"/>
      <c r="AK4921" s="21"/>
      <c r="AM4921" s="26" t="s">
        <v>38</v>
      </c>
    </row>
    <row r="4922" spans="34:39" x14ac:dyDescent="0.35">
      <c r="AH4922" s="21"/>
      <c r="AI4922" s="21"/>
      <c r="AJ4922" s="21"/>
      <c r="AK4922" s="21"/>
      <c r="AM4922" s="26" t="s">
        <v>38</v>
      </c>
    </row>
    <row r="4923" spans="34:39" x14ac:dyDescent="0.35">
      <c r="AH4923" s="21"/>
      <c r="AI4923" s="21"/>
      <c r="AJ4923" s="21"/>
      <c r="AK4923" s="21"/>
      <c r="AM4923" s="26" t="s">
        <v>38</v>
      </c>
    </row>
    <row r="4924" spans="34:39" x14ac:dyDescent="0.35">
      <c r="AH4924" s="21"/>
      <c r="AI4924" s="21"/>
      <c r="AJ4924" s="21"/>
      <c r="AK4924" s="21"/>
      <c r="AM4924" s="26" t="s">
        <v>38</v>
      </c>
    </row>
    <row r="4925" spans="34:39" x14ac:dyDescent="0.35">
      <c r="AH4925" s="21"/>
      <c r="AI4925" s="21"/>
      <c r="AJ4925" s="21"/>
      <c r="AK4925" s="21"/>
      <c r="AM4925" s="26" t="s">
        <v>38</v>
      </c>
    </row>
    <row r="4926" spans="34:39" x14ac:dyDescent="0.35">
      <c r="AH4926" s="21"/>
      <c r="AI4926" s="21"/>
      <c r="AJ4926" s="21"/>
      <c r="AK4926" s="21"/>
      <c r="AM4926" s="26" t="s">
        <v>38</v>
      </c>
    </row>
    <row r="4927" spans="34:39" x14ac:dyDescent="0.35">
      <c r="AH4927" s="21"/>
      <c r="AI4927" s="21"/>
      <c r="AJ4927" s="21"/>
      <c r="AK4927" s="21"/>
      <c r="AM4927" s="26" t="s">
        <v>38</v>
      </c>
    </row>
    <row r="4928" spans="34:39" x14ac:dyDescent="0.35">
      <c r="AH4928" s="21"/>
      <c r="AI4928" s="21"/>
      <c r="AJ4928" s="21"/>
      <c r="AK4928" s="21"/>
      <c r="AM4928" s="26" t="s">
        <v>38</v>
      </c>
    </row>
    <row r="4929" spans="34:39" x14ac:dyDescent="0.35">
      <c r="AH4929" s="21"/>
      <c r="AI4929" s="21"/>
      <c r="AJ4929" s="21"/>
      <c r="AK4929" s="21"/>
      <c r="AM4929" s="26" t="s">
        <v>38</v>
      </c>
    </row>
    <row r="4930" spans="34:39" x14ac:dyDescent="0.35">
      <c r="AH4930" s="21"/>
      <c r="AI4930" s="21"/>
      <c r="AJ4930" s="21"/>
      <c r="AK4930" s="21"/>
      <c r="AM4930" s="26" t="s">
        <v>38</v>
      </c>
    </row>
    <row r="4931" spans="34:39" x14ac:dyDescent="0.35">
      <c r="AH4931" s="21"/>
      <c r="AI4931" s="21"/>
      <c r="AJ4931" s="21"/>
      <c r="AK4931" s="21"/>
      <c r="AM4931" s="26" t="s">
        <v>38</v>
      </c>
    </row>
    <row r="4932" spans="34:39" x14ac:dyDescent="0.35">
      <c r="AH4932" s="21"/>
      <c r="AI4932" s="21"/>
      <c r="AJ4932" s="21"/>
      <c r="AK4932" s="21"/>
      <c r="AM4932" s="26" t="s">
        <v>38</v>
      </c>
    </row>
    <row r="4933" spans="34:39" x14ac:dyDescent="0.35">
      <c r="AH4933" s="21"/>
      <c r="AI4933" s="21"/>
      <c r="AJ4933" s="21"/>
      <c r="AK4933" s="21"/>
      <c r="AM4933" s="26" t="s">
        <v>38</v>
      </c>
    </row>
    <row r="4934" spans="34:39" x14ac:dyDescent="0.35">
      <c r="AH4934" s="21"/>
      <c r="AI4934" s="21"/>
      <c r="AJ4934" s="21"/>
      <c r="AK4934" s="21"/>
      <c r="AM4934" s="26" t="s">
        <v>38</v>
      </c>
    </row>
    <row r="4935" spans="34:39" x14ac:dyDescent="0.35">
      <c r="AH4935" s="21"/>
      <c r="AI4935" s="21"/>
      <c r="AJ4935" s="21"/>
      <c r="AK4935" s="21"/>
      <c r="AM4935" s="26" t="s">
        <v>38</v>
      </c>
    </row>
    <row r="4936" spans="34:39" x14ac:dyDescent="0.35">
      <c r="AH4936" s="21"/>
      <c r="AI4936" s="21"/>
      <c r="AJ4936" s="21"/>
      <c r="AK4936" s="21"/>
      <c r="AM4936" s="26" t="s">
        <v>38</v>
      </c>
    </row>
    <row r="4937" spans="34:39" x14ac:dyDescent="0.35">
      <c r="AH4937" s="21"/>
      <c r="AI4937" s="21"/>
      <c r="AJ4937" s="21"/>
      <c r="AK4937" s="21"/>
      <c r="AM4937" s="26" t="s">
        <v>38</v>
      </c>
    </row>
    <row r="4938" spans="34:39" x14ac:dyDescent="0.35">
      <c r="AH4938" s="21"/>
      <c r="AI4938" s="21"/>
      <c r="AJ4938" s="21"/>
      <c r="AK4938" s="21"/>
      <c r="AM4938" s="26" t="s">
        <v>38</v>
      </c>
    </row>
    <row r="4939" spans="34:39" x14ac:dyDescent="0.35">
      <c r="AH4939" s="21"/>
      <c r="AI4939" s="21"/>
      <c r="AJ4939" s="21"/>
      <c r="AK4939" s="21"/>
      <c r="AM4939" s="26" t="s">
        <v>38</v>
      </c>
    </row>
    <row r="4940" spans="34:39" x14ac:dyDescent="0.35">
      <c r="AH4940" s="21"/>
      <c r="AI4940" s="21"/>
      <c r="AJ4940" s="21"/>
      <c r="AK4940" s="21"/>
      <c r="AM4940" s="26" t="s">
        <v>38</v>
      </c>
    </row>
    <row r="4941" spans="34:39" x14ac:dyDescent="0.35">
      <c r="AH4941" s="21"/>
      <c r="AI4941" s="21"/>
      <c r="AJ4941" s="21"/>
      <c r="AK4941" s="21"/>
      <c r="AM4941" s="26" t="s">
        <v>38</v>
      </c>
    </row>
    <row r="4942" spans="34:39" x14ac:dyDescent="0.35">
      <c r="AH4942" s="21"/>
      <c r="AI4942" s="21"/>
      <c r="AJ4942" s="21"/>
      <c r="AK4942" s="21"/>
      <c r="AM4942" s="26" t="s">
        <v>38</v>
      </c>
    </row>
    <row r="4943" spans="34:39" x14ac:dyDescent="0.35">
      <c r="AH4943" s="21"/>
      <c r="AI4943" s="21"/>
      <c r="AJ4943" s="21"/>
      <c r="AK4943" s="21"/>
      <c r="AM4943" s="26" t="s">
        <v>38</v>
      </c>
    </row>
    <row r="4944" spans="34:39" x14ac:dyDescent="0.35">
      <c r="AH4944" s="21"/>
      <c r="AI4944" s="21"/>
      <c r="AJ4944" s="21"/>
      <c r="AK4944" s="21"/>
      <c r="AM4944" s="26" t="s">
        <v>38</v>
      </c>
    </row>
    <row r="4945" spans="34:39" x14ac:dyDescent="0.35">
      <c r="AH4945" s="21"/>
      <c r="AI4945" s="21"/>
      <c r="AJ4945" s="21"/>
      <c r="AK4945" s="21"/>
      <c r="AM4945" s="26" t="s">
        <v>38</v>
      </c>
    </row>
    <row r="4946" spans="34:39" x14ac:dyDescent="0.35">
      <c r="AH4946" s="21"/>
      <c r="AI4946" s="21"/>
      <c r="AJ4946" s="21"/>
      <c r="AK4946" s="21"/>
      <c r="AM4946" s="26" t="s">
        <v>38</v>
      </c>
    </row>
    <row r="4947" spans="34:39" x14ac:dyDescent="0.35">
      <c r="AH4947" s="21"/>
      <c r="AI4947" s="21"/>
      <c r="AJ4947" s="21"/>
      <c r="AK4947" s="21"/>
      <c r="AM4947" s="26" t="s">
        <v>38</v>
      </c>
    </row>
    <row r="4948" spans="34:39" x14ac:dyDescent="0.35">
      <c r="AH4948" s="21"/>
      <c r="AI4948" s="21"/>
      <c r="AJ4948" s="21"/>
      <c r="AK4948" s="21"/>
      <c r="AM4948" s="26" t="s">
        <v>38</v>
      </c>
    </row>
    <row r="4949" spans="34:39" x14ac:dyDescent="0.35">
      <c r="AH4949" s="21"/>
      <c r="AI4949" s="21"/>
      <c r="AJ4949" s="21"/>
      <c r="AK4949" s="21"/>
      <c r="AM4949" s="26" t="s">
        <v>38</v>
      </c>
    </row>
    <row r="4950" spans="34:39" x14ac:dyDescent="0.35">
      <c r="AH4950" s="21"/>
      <c r="AI4950" s="21"/>
      <c r="AJ4950" s="21"/>
      <c r="AK4950" s="21"/>
      <c r="AM4950" s="26" t="s">
        <v>38</v>
      </c>
    </row>
    <row r="4951" spans="34:39" x14ac:dyDescent="0.35">
      <c r="AH4951" s="21"/>
      <c r="AI4951" s="21"/>
      <c r="AJ4951" s="21"/>
      <c r="AK4951" s="21"/>
      <c r="AM4951" s="26" t="s">
        <v>38</v>
      </c>
    </row>
    <row r="4952" spans="34:39" x14ac:dyDescent="0.35">
      <c r="AH4952" s="21"/>
      <c r="AI4952" s="21"/>
      <c r="AJ4952" s="21"/>
      <c r="AK4952" s="21"/>
      <c r="AM4952" s="26" t="s">
        <v>38</v>
      </c>
    </row>
    <row r="4953" spans="34:39" x14ac:dyDescent="0.35">
      <c r="AH4953" s="21"/>
      <c r="AI4953" s="21"/>
      <c r="AJ4953" s="21"/>
      <c r="AK4953" s="21"/>
      <c r="AM4953" s="26" t="s">
        <v>38</v>
      </c>
    </row>
    <row r="4954" spans="34:39" x14ac:dyDescent="0.35">
      <c r="AH4954" s="21"/>
      <c r="AI4954" s="21"/>
      <c r="AJ4954" s="21"/>
      <c r="AK4954" s="21"/>
      <c r="AM4954" s="26" t="s">
        <v>38</v>
      </c>
    </row>
    <row r="4955" spans="34:39" x14ac:dyDescent="0.35">
      <c r="AH4955" s="21"/>
      <c r="AI4955" s="21"/>
      <c r="AJ4955" s="21"/>
      <c r="AK4955" s="21"/>
      <c r="AM4955" s="26" t="s">
        <v>38</v>
      </c>
    </row>
    <row r="4956" spans="34:39" x14ac:dyDescent="0.35">
      <c r="AH4956" s="21"/>
      <c r="AI4956" s="21"/>
      <c r="AJ4956" s="21"/>
      <c r="AK4956" s="21"/>
      <c r="AM4956" s="26" t="s">
        <v>38</v>
      </c>
    </row>
    <row r="4957" spans="34:39" x14ac:dyDescent="0.35">
      <c r="AH4957" s="21"/>
      <c r="AI4957" s="21"/>
      <c r="AJ4957" s="21"/>
      <c r="AK4957" s="21"/>
      <c r="AM4957" s="26" t="s">
        <v>38</v>
      </c>
    </row>
    <row r="4958" spans="34:39" x14ac:dyDescent="0.35">
      <c r="AH4958" s="21"/>
      <c r="AI4958" s="21"/>
      <c r="AJ4958" s="21"/>
      <c r="AK4958" s="21"/>
      <c r="AM4958" s="26" t="s">
        <v>38</v>
      </c>
    </row>
    <row r="4959" spans="34:39" x14ac:dyDescent="0.35">
      <c r="AH4959" s="21"/>
      <c r="AI4959" s="21"/>
      <c r="AJ4959" s="21"/>
      <c r="AK4959" s="21"/>
      <c r="AM4959" s="26" t="s">
        <v>38</v>
      </c>
    </row>
    <row r="4960" spans="34:39" x14ac:dyDescent="0.35">
      <c r="AH4960" s="21"/>
      <c r="AI4960" s="21"/>
      <c r="AJ4960" s="21"/>
      <c r="AK4960" s="21"/>
      <c r="AM4960" s="26" t="s">
        <v>38</v>
      </c>
    </row>
    <row r="4961" spans="34:39" x14ac:dyDescent="0.35">
      <c r="AH4961" s="21"/>
      <c r="AI4961" s="21"/>
      <c r="AJ4961" s="21"/>
      <c r="AK4961" s="21"/>
      <c r="AM4961" s="26" t="s">
        <v>38</v>
      </c>
    </row>
    <row r="4962" spans="34:39" x14ac:dyDescent="0.35">
      <c r="AH4962" s="21"/>
      <c r="AI4962" s="21"/>
      <c r="AJ4962" s="21"/>
      <c r="AK4962" s="21"/>
      <c r="AM4962" s="26" t="s">
        <v>38</v>
      </c>
    </row>
    <row r="4963" spans="34:39" x14ac:dyDescent="0.35">
      <c r="AH4963" s="21"/>
      <c r="AI4963" s="21"/>
      <c r="AJ4963" s="21"/>
      <c r="AK4963" s="21"/>
      <c r="AM4963" s="26" t="s">
        <v>38</v>
      </c>
    </row>
    <row r="4964" spans="34:39" x14ac:dyDescent="0.35">
      <c r="AH4964" s="21"/>
      <c r="AI4964" s="21"/>
      <c r="AJ4964" s="21"/>
      <c r="AK4964" s="21"/>
      <c r="AM4964" s="26" t="s">
        <v>38</v>
      </c>
    </row>
    <row r="4965" spans="34:39" x14ac:dyDescent="0.35">
      <c r="AH4965" s="21"/>
      <c r="AI4965" s="21"/>
      <c r="AJ4965" s="21"/>
      <c r="AK4965" s="21"/>
      <c r="AM4965" s="26" t="s">
        <v>38</v>
      </c>
    </row>
    <row r="4966" spans="34:39" x14ac:dyDescent="0.35">
      <c r="AH4966" s="21"/>
      <c r="AI4966" s="21"/>
      <c r="AJ4966" s="21"/>
      <c r="AK4966" s="21"/>
      <c r="AM4966" s="26" t="s">
        <v>38</v>
      </c>
    </row>
    <row r="4967" spans="34:39" x14ac:dyDescent="0.35">
      <c r="AH4967" s="21"/>
      <c r="AI4967" s="21"/>
      <c r="AJ4967" s="21"/>
      <c r="AK4967" s="21"/>
      <c r="AM4967" s="26" t="s">
        <v>38</v>
      </c>
    </row>
    <row r="4968" spans="34:39" x14ac:dyDescent="0.35">
      <c r="AH4968" s="21"/>
      <c r="AI4968" s="21"/>
      <c r="AJ4968" s="21"/>
      <c r="AK4968" s="21"/>
      <c r="AM4968" s="26" t="s">
        <v>38</v>
      </c>
    </row>
    <row r="4969" spans="34:39" x14ac:dyDescent="0.35">
      <c r="AH4969" s="21"/>
      <c r="AI4969" s="21"/>
      <c r="AJ4969" s="21"/>
      <c r="AK4969" s="21"/>
      <c r="AM4969" s="26" t="s">
        <v>38</v>
      </c>
    </row>
    <row r="4970" spans="34:39" x14ac:dyDescent="0.35">
      <c r="AH4970" s="21"/>
      <c r="AI4970" s="21"/>
      <c r="AJ4970" s="21"/>
      <c r="AK4970" s="21"/>
      <c r="AM4970" s="26" t="s">
        <v>38</v>
      </c>
    </row>
    <row r="4971" spans="34:39" x14ac:dyDescent="0.35">
      <c r="AH4971" s="21"/>
      <c r="AI4971" s="21"/>
      <c r="AJ4971" s="21"/>
      <c r="AK4971" s="21"/>
      <c r="AM4971" s="26" t="s">
        <v>38</v>
      </c>
    </row>
    <row r="4972" spans="34:39" x14ac:dyDescent="0.35">
      <c r="AH4972" s="21"/>
      <c r="AI4972" s="21"/>
      <c r="AJ4972" s="21"/>
      <c r="AK4972" s="21"/>
      <c r="AM4972" s="26" t="s">
        <v>38</v>
      </c>
    </row>
    <row r="4973" spans="34:39" x14ac:dyDescent="0.35">
      <c r="AH4973" s="21"/>
      <c r="AI4973" s="21"/>
      <c r="AJ4973" s="21"/>
      <c r="AK4973" s="21"/>
      <c r="AM4973" s="26" t="s">
        <v>38</v>
      </c>
    </row>
    <row r="4974" spans="34:39" x14ac:dyDescent="0.35">
      <c r="AH4974" s="21"/>
      <c r="AI4974" s="21"/>
      <c r="AJ4974" s="21"/>
      <c r="AK4974" s="21"/>
      <c r="AM4974" s="26" t="s">
        <v>38</v>
      </c>
    </row>
    <row r="4975" spans="34:39" x14ac:dyDescent="0.35">
      <c r="AH4975" s="21"/>
      <c r="AI4975" s="21"/>
      <c r="AJ4975" s="21"/>
      <c r="AK4975" s="21"/>
      <c r="AM4975" s="26" t="s">
        <v>38</v>
      </c>
    </row>
    <row r="4976" spans="34:39" x14ac:dyDescent="0.35">
      <c r="AH4976" s="21"/>
      <c r="AI4976" s="21"/>
      <c r="AJ4976" s="21"/>
      <c r="AK4976" s="21"/>
      <c r="AM4976" s="26" t="s">
        <v>38</v>
      </c>
    </row>
    <row r="4977" spans="34:39" x14ac:dyDescent="0.35">
      <c r="AH4977" s="21"/>
      <c r="AI4977" s="21"/>
      <c r="AJ4977" s="21"/>
      <c r="AK4977" s="21"/>
      <c r="AM4977" s="26" t="s">
        <v>38</v>
      </c>
    </row>
    <row r="4978" spans="34:39" x14ac:dyDescent="0.35">
      <c r="AH4978" s="21"/>
      <c r="AI4978" s="21"/>
      <c r="AJ4978" s="21"/>
      <c r="AK4978" s="21"/>
      <c r="AM4978" s="26" t="s">
        <v>38</v>
      </c>
    </row>
    <row r="4979" spans="34:39" x14ac:dyDescent="0.35">
      <c r="AH4979" s="21"/>
      <c r="AI4979" s="21"/>
      <c r="AJ4979" s="21"/>
      <c r="AK4979" s="21"/>
      <c r="AM4979" s="26" t="s">
        <v>38</v>
      </c>
    </row>
    <row r="4980" spans="34:39" x14ac:dyDescent="0.35">
      <c r="AH4980" s="21"/>
      <c r="AI4980" s="21"/>
      <c r="AJ4980" s="21"/>
      <c r="AK4980" s="21"/>
      <c r="AM4980" s="26" t="s">
        <v>38</v>
      </c>
    </row>
    <row r="4981" spans="34:39" x14ac:dyDescent="0.35">
      <c r="AH4981" s="21"/>
      <c r="AI4981" s="21"/>
      <c r="AJ4981" s="21"/>
      <c r="AK4981" s="21"/>
      <c r="AM4981" s="26" t="s">
        <v>38</v>
      </c>
    </row>
    <row r="4982" spans="34:39" x14ac:dyDescent="0.35">
      <c r="AH4982" s="21"/>
      <c r="AI4982" s="21"/>
      <c r="AJ4982" s="21"/>
      <c r="AK4982" s="21"/>
      <c r="AM4982" s="26" t="s">
        <v>38</v>
      </c>
    </row>
    <row r="4983" spans="34:39" x14ac:dyDescent="0.35">
      <c r="AH4983" s="21"/>
      <c r="AI4983" s="21"/>
      <c r="AJ4983" s="21"/>
      <c r="AK4983" s="21"/>
      <c r="AM4983" s="26" t="s">
        <v>38</v>
      </c>
    </row>
    <row r="4984" spans="34:39" x14ac:dyDescent="0.35">
      <c r="AH4984" s="21"/>
      <c r="AI4984" s="21"/>
      <c r="AJ4984" s="21"/>
      <c r="AK4984" s="21"/>
      <c r="AM4984" s="26" t="s">
        <v>38</v>
      </c>
    </row>
    <row r="4985" spans="34:39" x14ac:dyDescent="0.35">
      <c r="AH4985" s="21"/>
      <c r="AI4985" s="21"/>
      <c r="AJ4985" s="21"/>
      <c r="AK4985" s="21"/>
      <c r="AM4985" s="26" t="s">
        <v>38</v>
      </c>
    </row>
    <row r="4986" spans="34:39" x14ac:dyDescent="0.35">
      <c r="AH4986" s="21"/>
      <c r="AI4986" s="21"/>
      <c r="AJ4986" s="21"/>
      <c r="AK4986" s="21"/>
      <c r="AM4986" s="26" t="s">
        <v>38</v>
      </c>
    </row>
    <row r="4987" spans="34:39" x14ac:dyDescent="0.35">
      <c r="AH4987" s="21"/>
      <c r="AI4987" s="21"/>
      <c r="AJ4987" s="21"/>
      <c r="AK4987" s="21"/>
      <c r="AM4987" s="26" t="s">
        <v>38</v>
      </c>
    </row>
    <row r="4988" spans="34:39" x14ac:dyDescent="0.35">
      <c r="AH4988" s="21"/>
      <c r="AI4988" s="21"/>
      <c r="AJ4988" s="21"/>
      <c r="AK4988" s="21"/>
      <c r="AM4988" s="26" t="s">
        <v>38</v>
      </c>
    </row>
    <row r="4989" spans="34:39" x14ac:dyDescent="0.35">
      <c r="AH4989" s="21"/>
      <c r="AI4989" s="21"/>
      <c r="AJ4989" s="21"/>
      <c r="AK4989" s="21"/>
      <c r="AM4989" s="26" t="s">
        <v>38</v>
      </c>
    </row>
    <row r="4990" spans="34:39" x14ac:dyDescent="0.35">
      <c r="AH4990" s="21"/>
      <c r="AI4990" s="21"/>
      <c r="AJ4990" s="21"/>
      <c r="AK4990" s="21"/>
      <c r="AM4990" s="26" t="s">
        <v>38</v>
      </c>
    </row>
    <row r="4991" spans="34:39" x14ac:dyDescent="0.35">
      <c r="AH4991" s="21"/>
      <c r="AI4991" s="21"/>
      <c r="AJ4991" s="21"/>
      <c r="AK4991" s="21"/>
      <c r="AM4991" s="26" t="s">
        <v>38</v>
      </c>
    </row>
    <row r="4992" spans="34:39" x14ac:dyDescent="0.35">
      <c r="AH4992" s="21"/>
      <c r="AI4992" s="21"/>
      <c r="AJ4992" s="21"/>
      <c r="AK4992" s="21"/>
      <c r="AM4992" s="26" t="s">
        <v>38</v>
      </c>
    </row>
    <row r="4993" spans="34:39" x14ac:dyDescent="0.35">
      <c r="AH4993" s="21"/>
      <c r="AI4993" s="21"/>
      <c r="AJ4993" s="21"/>
      <c r="AK4993" s="21"/>
      <c r="AM4993" s="26" t="s">
        <v>38</v>
      </c>
    </row>
    <row r="4994" spans="34:39" x14ac:dyDescent="0.35">
      <c r="AH4994" s="21"/>
      <c r="AI4994" s="21"/>
      <c r="AJ4994" s="21"/>
      <c r="AK4994" s="21"/>
      <c r="AM4994" s="26" t="s">
        <v>38</v>
      </c>
    </row>
    <row r="4995" spans="34:39" x14ac:dyDescent="0.35">
      <c r="AH4995" s="21"/>
      <c r="AI4995" s="21"/>
      <c r="AJ4995" s="21"/>
      <c r="AK4995" s="21"/>
      <c r="AM4995" s="26" t="s">
        <v>38</v>
      </c>
    </row>
    <row r="4996" spans="34:39" x14ac:dyDescent="0.35">
      <c r="AH4996" s="21"/>
      <c r="AI4996" s="21"/>
      <c r="AJ4996" s="21"/>
      <c r="AK4996" s="21"/>
      <c r="AM4996" s="26" t="s">
        <v>38</v>
      </c>
    </row>
    <row r="4997" spans="34:39" x14ac:dyDescent="0.35">
      <c r="AH4997" s="21"/>
      <c r="AI4997" s="21"/>
      <c r="AJ4997" s="21"/>
      <c r="AK4997" s="21"/>
      <c r="AM4997" s="26" t="s">
        <v>38</v>
      </c>
    </row>
    <row r="4998" spans="34:39" x14ac:dyDescent="0.35">
      <c r="AH4998" s="21"/>
      <c r="AI4998" s="21"/>
      <c r="AJ4998" s="21"/>
      <c r="AK4998" s="21"/>
      <c r="AM4998" s="26" t="s">
        <v>38</v>
      </c>
    </row>
    <row r="4999" spans="34:39" x14ac:dyDescent="0.35">
      <c r="AH4999" s="21"/>
      <c r="AI4999" s="21"/>
      <c r="AJ4999" s="21"/>
      <c r="AK4999" s="21"/>
      <c r="AM4999" s="26" t="s">
        <v>38</v>
      </c>
    </row>
    <row r="5000" spans="34:39" x14ac:dyDescent="0.35">
      <c r="AH5000" s="21"/>
      <c r="AI5000" s="21"/>
      <c r="AJ5000" s="21"/>
      <c r="AK5000" s="21"/>
      <c r="AM5000" s="26" t="s">
        <v>38</v>
      </c>
    </row>
    <row r="5001" spans="34:39" x14ac:dyDescent="0.35">
      <c r="AH5001" s="21"/>
      <c r="AI5001" s="21"/>
      <c r="AJ5001" s="21"/>
      <c r="AK5001" s="21"/>
      <c r="AM5001" s="26" t="s">
        <v>38</v>
      </c>
    </row>
    <row r="5002" spans="34:39" x14ac:dyDescent="0.35">
      <c r="AH5002" s="21"/>
      <c r="AI5002" s="21"/>
      <c r="AJ5002" s="21"/>
      <c r="AK5002" s="21"/>
      <c r="AM5002" s="26" t="s">
        <v>38</v>
      </c>
    </row>
    <row r="5003" spans="34:39" x14ac:dyDescent="0.35">
      <c r="AH5003" s="21"/>
      <c r="AI5003" s="21"/>
      <c r="AJ5003" s="21"/>
      <c r="AK5003" s="21"/>
      <c r="AM5003" s="26" t="s">
        <v>38</v>
      </c>
    </row>
    <row r="5004" spans="34:39" x14ac:dyDescent="0.35">
      <c r="AH5004" s="21"/>
      <c r="AI5004" s="21"/>
      <c r="AJ5004" s="21"/>
      <c r="AK5004" s="21"/>
      <c r="AM5004" s="26" t="s">
        <v>38</v>
      </c>
    </row>
    <row r="5005" spans="34:39" x14ac:dyDescent="0.35">
      <c r="AH5005" s="21"/>
      <c r="AI5005" s="21"/>
      <c r="AJ5005" s="21"/>
      <c r="AK5005" s="21"/>
      <c r="AM5005" s="26" t="s">
        <v>38</v>
      </c>
    </row>
    <row r="5006" spans="34:39" x14ac:dyDescent="0.35">
      <c r="AH5006" s="21"/>
      <c r="AI5006" s="21"/>
      <c r="AJ5006" s="21"/>
      <c r="AK5006" s="21"/>
      <c r="AM5006" s="26" t="s">
        <v>38</v>
      </c>
    </row>
    <row r="5007" spans="34:39" x14ac:dyDescent="0.35">
      <c r="AH5007" s="21"/>
      <c r="AI5007" s="21"/>
      <c r="AJ5007" s="21"/>
      <c r="AK5007" s="21"/>
      <c r="AM5007" s="26" t="s">
        <v>38</v>
      </c>
    </row>
    <row r="5008" spans="34:39" x14ac:dyDescent="0.35">
      <c r="AH5008" s="21"/>
      <c r="AI5008" s="21"/>
      <c r="AJ5008" s="21"/>
      <c r="AK5008" s="21"/>
      <c r="AM5008" s="26" t="s">
        <v>38</v>
      </c>
    </row>
    <row r="5009" spans="34:39" x14ac:dyDescent="0.35">
      <c r="AH5009" s="21"/>
      <c r="AI5009" s="21"/>
      <c r="AJ5009" s="21"/>
      <c r="AK5009" s="21"/>
      <c r="AM5009" s="26" t="s">
        <v>38</v>
      </c>
    </row>
    <row r="5010" spans="34:39" x14ac:dyDescent="0.35">
      <c r="AH5010" s="21"/>
      <c r="AI5010" s="21"/>
      <c r="AJ5010" s="21"/>
      <c r="AK5010" s="21"/>
      <c r="AM5010" s="26" t="s">
        <v>38</v>
      </c>
    </row>
    <row r="5011" spans="34:39" x14ac:dyDescent="0.35">
      <c r="AH5011" s="21"/>
      <c r="AI5011" s="21"/>
      <c r="AJ5011" s="21"/>
      <c r="AK5011" s="21"/>
      <c r="AM5011" s="26" t="s">
        <v>38</v>
      </c>
    </row>
    <row r="5012" spans="34:39" x14ac:dyDescent="0.35">
      <c r="AH5012" s="21"/>
      <c r="AI5012" s="21"/>
      <c r="AJ5012" s="21"/>
      <c r="AK5012" s="21"/>
      <c r="AM5012" s="26" t="s">
        <v>38</v>
      </c>
    </row>
    <row r="5013" spans="34:39" x14ac:dyDescent="0.35">
      <c r="AH5013" s="21"/>
      <c r="AI5013" s="21"/>
      <c r="AJ5013" s="21"/>
      <c r="AK5013" s="21"/>
      <c r="AM5013" s="26" t="s">
        <v>38</v>
      </c>
    </row>
    <row r="5014" spans="34:39" x14ac:dyDescent="0.35">
      <c r="AH5014" s="21"/>
      <c r="AI5014" s="21"/>
      <c r="AJ5014" s="21"/>
      <c r="AK5014" s="21"/>
      <c r="AM5014" s="26" t="s">
        <v>38</v>
      </c>
    </row>
    <row r="5015" spans="34:39" x14ac:dyDescent="0.35">
      <c r="AH5015" s="21"/>
      <c r="AI5015" s="21"/>
      <c r="AJ5015" s="21"/>
      <c r="AK5015" s="21"/>
      <c r="AM5015" s="26" t="s">
        <v>38</v>
      </c>
    </row>
    <row r="5016" spans="34:39" x14ac:dyDescent="0.35">
      <c r="AH5016" s="21"/>
      <c r="AI5016" s="21"/>
      <c r="AJ5016" s="21"/>
      <c r="AK5016" s="21"/>
      <c r="AM5016" s="26" t="s">
        <v>38</v>
      </c>
    </row>
    <row r="5017" spans="34:39" x14ac:dyDescent="0.35">
      <c r="AH5017" s="21"/>
      <c r="AI5017" s="21"/>
      <c r="AJ5017" s="21"/>
      <c r="AK5017" s="21"/>
      <c r="AM5017" s="26" t="s">
        <v>38</v>
      </c>
    </row>
    <row r="5018" spans="34:39" x14ac:dyDescent="0.35">
      <c r="AH5018" s="21"/>
      <c r="AI5018" s="21"/>
      <c r="AJ5018" s="21"/>
      <c r="AK5018" s="21"/>
      <c r="AM5018" s="26" t="s">
        <v>38</v>
      </c>
    </row>
    <row r="5019" spans="34:39" x14ac:dyDescent="0.35">
      <c r="AH5019" s="21"/>
      <c r="AI5019" s="21"/>
      <c r="AJ5019" s="21"/>
      <c r="AK5019" s="21"/>
      <c r="AM5019" s="26" t="s">
        <v>38</v>
      </c>
    </row>
    <row r="5020" spans="34:39" x14ac:dyDescent="0.35">
      <c r="AH5020" s="21"/>
      <c r="AI5020" s="21"/>
      <c r="AJ5020" s="21"/>
      <c r="AK5020" s="21"/>
      <c r="AM5020" s="26" t="s">
        <v>38</v>
      </c>
    </row>
    <row r="5021" spans="34:39" x14ac:dyDescent="0.35">
      <c r="AH5021" s="21"/>
      <c r="AI5021" s="21"/>
      <c r="AJ5021" s="21"/>
      <c r="AK5021" s="21"/>
      <c r="AM5021" s="26" t="s">
        <v>38</v>
      </c>
    </row>
    <row r="5022" spans="34:39" x14ac:dyDescent="0.35">
      <c r="AH5022" s="21"/>
      <c r="AI5022" s="21"/>
      <c r="AJ5022" s="21"/>
      <c r="AK5022" s="21"/>
      <c r="AM5022" s="26" t="s">
        <v>38</v>
      </c>
    </row>
    <row r="5023" spans="34:39" x14ac:dyDescent="0.35">
      <c r="AH5023" s="21"/>
      <c r="AI5023" s="21"/>
      <c r="AJ5023" s="21"/>
      <c r="AK5023" s="21"/>
      <c r="AM5023" s="26" t="s">
        <v>38</v>
      </c>
    </row>
    <row r="5024" spans="34:39" x14ac:dyDescent="0.35">
      <c r="AH5024" s="21"/>
      <c r="AI5024" s="21"/>
      <c r="AJ5024" s="21"/>
      <c r="AK5024" s="21"/>
      <c r="AM5024" s="26" t="s">
        <v>38</v>
      </c>
    </row>
    <row r="5025" spans="34:39" x14ac:dyDescent="0.35">
      <c r="AH5025" s="21"/>
      <c r="AI5025" s="21"/>
      <c r="AJ5025" s="21"/>
      <c r="AK5025" s="21"/>
      <c r="AM5025" s="26" t="s">
        <v>38</v>
      </c>
    </row>
    <row r="5026" spans="34:39" x14ac:dyDescent="0.35">
      <c r="AH5026" s="21"/>
      <c r="AI5026" s="21"/>
      <c r="AJ5026" s="21"/>
      <c r="AK5026" s="21"/>
      <c r="AM5026" s="26" t="s">
        <v>38</v>
      </c>
    </row>
    <row r="5027" spans="34:39" x14ac:dyDescent="0.35">
      <c r="AH5027" s="21"/>
      <c r="AI5027" s="21"/>
      <c r="AJ5027" s="21"/>
      <c r="AK5027" s="21"/>
      <c r="AM5027" s="26" t="s">
        <v>38</v>
      </c>
    </row>
    <row r="5028" spans="34:39" x14ac:dyDescent="0.35">
      <c r="AH5028" s="21"/>
      <c r="AI5028" s="21"/>
      <c r="AJ5028" s="21"/>
      <c r="AK5028" s="21"/>
      <c r="AM5028" s="26" t="s">
        <v>38</v>
      </c>
    </row>
    <row r="5029" spans="34:39" x14ac:dyDescent="0.35">
      <c r="AH5029" s="21"/>
      <c r="AI5029" s="21"/>
      <c r="AJ5029" s="21"/>
      <c r="AK5029" s="21"/>
      <c r="AM5029" s="26" t="s">
        <v>38</v>
      </c>
    </row>
    <row r="5030" spans="34:39" x14ac:dyDescent="0.35">
      <c r="AH5030" s="21"/>
      <c r="AI5030" s="21"/>
      <c r="AJ5030" s="21"/>
      <c r="AK5030" s="21"/>
      <c r="AM5030" s="26" t="s">
        <v>38</v>
      </c>
    </row>
    <row r="5031" spans="34:39" x14ac:dyDescent="0.35">
      <c r="AH5031" s="21"/>
      <c r="AI5031" s="21"/>
      <c r="AJ5031" s="21"/>
      <c r="AK5031" s="21"/>
      <c r="AM5031" s="26" t="s">
        <v>38</v>
      </c>
    </row>
    <row r="5032" spans="34:39" x14ac:dyDescent="0.35">
      <c r="AH5032" s="21"/>
      <c r="AI5032" s="21"/>
      <c r="AJ5032" s="21"/>
      <c r="AK5032" s="21"/>
      <c r="AM5032" s="26" t="s">
        <v>38</v>
      </c>
    </row>
    <row r="5033" spans="34:39" x14ac:dyDescent="0.35">
      <c r="AH5033" s="21"/>
      <c r="AI5033" s="21"/>
      <c r="AJ5033" s="21"/>
      <c r="AK5033" s="21"/>
      <c r="AM5033" s="26" t="s">
        <v>38</v>
      </c>
    </row>
    <row r="5034" spans="34:39" x14ac:dyDescent="0.35">
      <c r="AH5034" s="21"/>
      <c r="AI5034" s="21"/>
      <c r="AJ5034" s="21"/>
      <c r="AK5034" s="21"/>
      <c r="AM5034" s="26" t="s">
        <v>38</v>
      </c>
    </row>
    <row r="5035" spans="34:39" x14ac:dyDescent="0.35">
      <c r="AH5035" s="21"/>
      <c r="AI5035" s="21"/>
      <c r="AJ5035" s="21"/>
      <c r="AK5035" s="21"/>
      <c r="AM5035" s="26" t="s">
        <v>38</v>
      </c>
    </row>
    <row r="5036" spans="34:39" x14ac:dyDescent="0.35">
      <c r="AH5036" s="21"/>
      <c r="AI5036" s="21"/>
      <c r="AJ5036" s="21"/>
      <c r="AK5036" s="21"/>
      <c r="AM5036" s="26" t="s">
        <v>38</v>
      </c>
    </row>
    <row r="5037" spans="34:39" x14ac:dyDescent="0.35">
      <c r="AH5037" s="21"/>
      <c r="AI5037" s="21"/>
      <c r="AJ5037" s="21"/>
      <c r="AK5037" s="21"/>
      <c r="AM5037" s="26" t="s">
        <v>38</v>
      </c>
    </row>
    <row r="5038" spans="34:39" x14ac:dyDescent="0.35">
      <c r="AH5038" s="21"/>
      <c r="AI5038" s="21"/>
      <c r="AJ5038" s="21"/>
      <c r="AK5038" s="21"/>
      <c r="AM5038" s="26" t="s">
        <v>38</v>
      </c>
    </row>
    <row r="5039" spans="34:39" x14ac:dyDescent="0.35">
      <c r="AH5039" s="21"/>
      <c r="AI5039" s="21"/>
      <c r="AJ5039" s="21"/>
      <c r="AK5039" s="21"/>
      <c r="AM5039" s="26" t="s">
        <v>38</v>
      </c>
    </row>
    <row r="5040" spans="34:39" x14ac:dyDescent="0.35">
      <c r="AH5040" s="21"/>
      <c r="AI5040" s="21"/>
      <c r="AJ5040" s="21"/>
      <c r="AK5040" s="21"/>
      <c r="AM5040" s="26" t="s">
        <v>38</v>
      </c>
    </row>
    <row r="5041" spans="34:39" x14ac:dyDescent="0.35">
      <c r="AH5041" s="21"/>
      <c r="AI5041" s="21"/>
      <c r="AJ5041" s="21"/>
      <c r="AK5041" s="21"/>
      <c r="AM5041" s="26" t="s">
        <v>38</v>
      </c>
    </row>
    <row r="5042" spans="34:39" x14ac:dyDescent="0.35">
      <c r="AH5042" s="21"/>
      <c r="AI5042" s="21"/>
      <c r="AJ5042" s="21"/>
      <c r="AK5042" s="21"/>
      <c r="AM5042" s="26" t="s">
        <v>38</v>
      </c>
    </row>
    <row r="5043" spans="34:39" x14ac:dyDescent="0.35">
      <c r="AH5043" s="21"/>
      <c r="AI5043" s="21"/>
      <c r="AJ5043" s="21"/>
      <c r="AK5043" s="21"/>
      <c r="AM5043" s="26" t="s">
        <v>38</v>
      </c>
    </row>
    <row r="5044" spans="34:39" x14ac:dyDescent="0.35">
      <c r="AH5044" s="21"/>
      <c r="AI5044" s="21"/>
      <c r="AJ5044" s="21"/>
      <c r="AK5044" s="21"/>
      <c r="AM5044" s="26" t="s">
        <v>38</v>
      </c>
    </row>
    <row r="5045" spans="34:39" x14ac:dyDescent="0.35">
      <c r="AH5045" s="21"/>
      <c r="AI5045" s="21"/>
      <c r="AJ5045" s="21"/>
      <c r="AK5045" s="21"/>
      <c r="AM5045" s="26" t="s">
        <v>38</v>
      </c>
    </row>
    <row r="5046" spans="34:39" x14ac:dyDescent="0.35">
      <c r="AH5046" s="21"/>
      <c r="AI5046" s="21"/>
      <c r="AJ5046" s="21"/>
      <c r="AK5046" s="21"/>
      <c r="AM5046" s="26" t="s">
        <v>38</v>
      </c>
    </row>
    <row r="5047" spans="34:39" x14ac:dyDescent="0.35">
      <c r="AH5047" s="21"/>
      <c r="AI5047" s="21"/>
      <c r="AJ5047" s="21"/>
      <c r="AK5047" s="21"/>
      <c r="AM5047" s="26" t="s">
        <v>38</v>
      </c>
    </row>
    <row r="5048" spans="34:39" x14ac:dyDescent="0.35">
      <c r="AH5048" s="21"/>
      <c r="AI5048" s="21"/>
      <c r="AJ5048" s="21"/>
      <c r="AK5048" s="21"/>
      <c r="AM5048" s="26" t="s">
        <v>38</v>
      </c>
    </row>
    <row r="5049" spans="34:39" x14ac:dyDescent="0.35">
      <c r="AH5049" s="21"/>
      <c r="AI5049" s="21"/>
      <c r="AJ5049" s="21"/>
      <c r="AK5049" s="21"/>
      <c r="AM5049" s="26" t="s">
        <v>38</v>
      </c>
    </row>
    <row r="5050" spans="34:39" x14ac:dyDescent="0.35">
      <c r="AH5050" s="21"/>
      <c r="AI5050" s="21"/>
      <c r="AJ5050" s="21"/>
      <c r="AK5050" s="21"/>
      <c r="AM5050" s="26" t="s">
        <v>38</v>
      </c>
    </row>
    <row r="5051" spans="34:39" x14ac:dyDescent="0.35">
      <c r="AH5051" s="21"/>
      <c r="AI5051" s="21"/>
      <c r="AJ5051" s="21"/>
      <c r="AK5051" s="21"/>
      <c r="AM5051" s="26" t="s">
        <v>38</v>
      </c>
    </row>
    <row r="5052" spans="34:39" x14ac:dyDescent="0.35">
      <c r="AH5052" s="21"/>
      <c r="AI5052" s="21"/>
      <c r="AJ5052" s="21"/>
      <c r="AK5052" s="21"/>
      <c r="AM5052" s="26" t="s">
        <v>38</v>
      </c>
    </row>
    <row r="5053" spans="34:39" x14ac:dyDescent="0.35">
      <c r="AH5053" s="21"/>
      <c r="AI5053" s="21"/>
      <c r="AJ5053" s="21"/>
      <c r="AK5053" s="21"/>
      <c r="AM5053" s="26" t="s">
        <v>38</v>
      </c>
    </row>
    <row r="5054" spans="34:39" x14ac:dyDescent="0.35">
      <c r="AH5054" s="21"/>
      <c r="AI5054" s="21"/>
      <c r="AJ5054" s="21"/>
      <c r="AK5054" s="21"/>
      <c r="AM5054" s="26" t="s">
        <v>38</v>
      </c>
    </row>
    <row r="5055" spans="34:39" x14ac:dyDescent="0.35">
      <c r="AH5055" s="21"/>
      <c r="AI5055" s="21"/>
      <c r="AJ5055" s="21"/>
      <c r="AK5055" s="21"/>
      <c r="AM5055" s="26" t="s">
        <v>38</v>
      </c>
    </row>
    <row r="5056" spans="34:39" x14ac:dyDescent="0.35">
      <c r="AH5056" s="21"/>
      <c r="AI5056" s="21"/>
      <c r="AJ5056" s="21"/>
      <c r="AK5056" s="21"/>
      <c r="AM5056" s="26" t="s">
        <v>38</v>
      </c>
    </row>
    <row r="5057" spans="34:39" x14ac:dyDescent="0.35">
      <c r="AH5057" s="21"/>
      <c r="AI5057" s="21"/>
      <c r="AJ5057" s="21"/>
      <c r="AK5057" s="21"/>
      <c r="AM5057" s="26" t="s">
        <v>38</v>
      </c>
    </row>
    <row r="5058" spans="34:39" x14ac:dyDescent="0.35">
      <c r="AH5058" s="21"/>
      <c r="AI5058" s="21"/>
      <c r="AJ5058" s="21"/>
      <c r="AK5058" s="21"/>
      <c r="AM5058" s="26" t="s">
        <v>38</v>
      </c>
    </row>
    <row r="5059" spans="34:39" x14ac:dyDescent="0.35">
      <c r="AH5059" s="21"/>
      <c r="AI5059" s="21"/>
      <c r="AJ5059" s="21"/>
      <c r="AK5059" s="21"/>
      <c r="AM5059" s="26" t="s">
        <v>38</v>
      </c>
    </row>
    <row r="5060" spans="34:39" x14ac:dyDescent="0.35">
      <c r="AH5060" s="21"/>
      <c r="AI5060" s="21"/>
      <c r="AJ5060" s="21"/>
      <c r="AK5060" s="21"/>
      <c r="AM5060" s="26" t="s">
        <v>38</v>
      </c>
    </row>
    <row r="5061" spans="34:39" x14ac:dyDescent="0.35">
      <c r="AH5061" s="21"/>
      <c r="AI5061" s="21"/>
      <c r="AJ5061" s="21"/>
      <c r="AK5061" s="21"/>
      <c r="AM5061" s="26" t="s">
        <v>38</v>
      </c>
    </row>
    <row r="5062" spans="34:39" x14ac:dyDescent="0.35">
      <c r="AH5062" s="21"/>
      <c r="AI5062" s="21"/>
      <c r="AJ5062" s="21"/>
      <c r="AK5062" s="21"/>
      <c r="AM5062" s="26" t="s">
        <v>38</v>
      </c>
    </row>
    <row r="5063" spans="34:39" x14ac:dyDescent="0.35">
      <c r="AH5063" s="21"/>
      <c r="AI5063" s="21"/>
      <c r="AJ5063" s="21"/>
      <c r="AK5063" s="21"/>
      <c r="AM5063" s="26" t="s">
        <v>38</v>
      </c>
    </row>
    <row r="5064" spans="34:39" x14ac:dyDescent="0.35">
      <c r="AH5064" s="21"/>
      <c r="AI5064" s="21"/>
      <c r="AJ5064" s="21"/>
      <c r="AK5064" s="21"/>
      <c r="AM5064" s="26" t="s">
        <v>38</v>
      </c>
    </row>
    <row r="5065" spans="34:39" x14ac:dyDescent="0.35">
      <c r="AH5065" s="21"/>
      <c r="AI5065" s="21"/>
      <c r="AJ5065" s="21"/>
      <c r="AK5065" s="21"/>
      <c r="AM5065" s="26" t="s">
        <v>38</v>
      </c>
    </row>
    <row r="5066" spans="34:39" x14ac:dyDescent="0.35">
      <c r="AH5066" s="21"/>
      <c r="AI5066" s="21"/>
      <c r="AJ5066" s="21"/>
      <c r="AK5066" s="21"/>
      <c r="AM5066" s="26" t="s">
        <v>38</v>
      </c>
    </row>
    <row r="5067" spans="34:39" x14ac:dyDescent="0.35">
      <c r="AH5067" s="21"/>
      <c r="AI5067" s="21"/>
      <c r="AJ5067" s="21"/>
      <c r="AK5067" s="21"/>
      <c r="AM5067" s="26" t="s">
        <v>38</v>
      </c>
    </row>
    <row r="5068" spans="34:39" x14ac:dyDescent="0.35">
      <c r="AH5068" s="21"/>
      <c r="AI5068" s="21"/>
      <c r="AJ5068" s="21"/>
      <c r="AK5068" s="21"/>
      <c r="AM5068" s="26" t="s">
        <v>38</v>
      </c>
    </row>
    <row r="5069" spans="34:39" x14ac:dyDescent="0.35">
      <c r="AH5069" s="21"/>
      <c r="AI5069" s="21"/>
      <c r="AJ5069" s="21"/>
      <c r="AK5069" s="21"/>
      <c r="AM5069" s="26" t="s">
        <v>38</v>
      </c>
    </row>
    <row r="5070" spans="34:39" x14ac:dyDescent="0.35">
      <c r="AH5070" s="21"/>
      <c r="AI5070" s="21"/>
      <c r="AJ5070" s="21"/>
      <c r="AK5070" s="21"/>
      <c r="AM5070" s="26" t="s">
        <v>38</v>
      </c>
    </row>
    <row r="5071" spans="34:39" x14ac:dyDescent="0.35">
      <c r="AH5071" s="21"/>
      <c r="AI5071" s="21"/>
      <c r="AJ5071" s="21"/>
      <c r="AK5071" s="21"/>
      <c r="AM5071" s="26" t="s">
        <v>38</v>
      </c>
    </row>
    <row r="5072" spans="34:39" x14ac:dyDescent="0.35">
      <c r="AH5072" s="21"/>
      <c r="AI5072" s="21"/>
      <c r="AJ5072" s="21"/>
      <c r="AK5072" s="21"/>
      <c r="AM5072" s="26" t="s">
        <v>38</v>
      </c>
    </row>
    <row r="5073" spans="34:39" x14ac:dyDescent="0.35">
      <c r="AH5073" s="21"/>
      <c r="AI5073" s="21"/>
      <c r="AJ5073" s="21"/>
      <c r="AK5073" s="21"/>
      <c r="AM5073" s="26" t="s">
        <v>38</v>
      </c>
    </row>
    <row r="5074" spans="34:39" x14ac:dyDescent="0.35">
      <c r="AH5074" s="21"/>
      <c r="AI5074" s="21"/>
      <c r="AJ5074" s="21"/>
      <c r="AK5074" s="21"/>
      <c r="AM5074" s="26" t="s">
        <v>38</v>
      </c>
    </row>
    <row r="5075" spans="34:39" x14ac:dyDescent="0.35">
      <c r="AH5075" s="21"/>
      <c r="AI5075" s="21"/>
      <c r="AJ5075" s="21"/>
      <c r="AK5075" s="21"/>
      <c r="AM5075" s="26" t="s">
        <v>38</v>
      </c>
    </row>
    <row r="5076" spans="34:39" x14ac:dyDescent="0.35">
      <c r="AH5076" s="21"/>
      <c r="AI5076" s="21"/>
      <c r="AJ5076" s="21"/>
      <c r="AK5076" s="21"/>
      <c r="AM5076" s="26" t="s">
        <v>38</v>
      </c>
    </row>
    <row r="5077" spans="34:39" x14ac:dyDescent="0.35">
      <c r="AH5077" s="21"/>
      <c r="AI5077" s="21"/>
      <c r="AJ5077" s="21"/>
      <c r="AK5077" s="21"/>
      <c r="AM5077" s="26" t="s">
        <v>38</v>
      </c>
    </row>
    <row r="5078" spans="34:39" x14ac:dyDescent="0.35">
      <c r="AH5078" s="21"/>
      <c r="AI5078" s="21"/>
      <c r="AJ5078" s="21"/>
      <c r="AK5078" s="21"/>
      <c r="AM5078" s="26" t="s">
        <v>38</v>
      </c>
    </row>
    <row r="5079" spans="34:39" x14ac:dyDescent="0.35">
      <c r="AH5079" s="21"/>
      <c r="AI5079" s="21"/>
      <c r="AJ5079" s="21"/>
      <c r="AK5079" s="21"/>
      <c r="AM5079" s="26" t="s">
        <v>38</v>
      </c>
    </row>
    <row r="5080" spans="34:39" x14ac:dyDescent="0.35">
      <c r="AH5080" s="21"/>
      <c r="AI5080" s="21"/>
      <c r="AJ5080" s="21"/>
      <c r="AK5080" s="21"/>
      <c r="AM5080" s="26" t="s">
        <v>38</v>
      </c>
    </row>
    <row r="5081" spans="34:39" x14ac:dyDescent="0.35">
      <c r="AH5081" s="21"/>
      <c r="AI5081" s="21"/>
      <c r="AJ5081" s="21"/>
      <c r="AK5081" s="21"/>
      <c r="AM5081" s="26" t="s">
        <v>38</v>
      </c>
    </row>
    <row r="5082" spans="34:39" x14ac:dyDescent="0.35">
      <c r="AH5082" s="21"/>
      <c r="AI5082" s="21"/>
      <c r="AJ5082" s="21"/>
      <c r="AK5082" s="21"/>
      <c r="AM5082" s="26" t="s">
        <v>38</v>
      </c>
    </row>
    <row r="5083" spans="34:39" x14ac:dyDescent="0.35">
      <c r="AH5083" s="21"/>
      <c r="AI5083" s="21"/>
      <c r="AJ5083" s="21"/>
      <c r="AK5083" s="21"/>
      <c r="AM5083" s="26" t="s">
        <v>38</v>
      </c>
    </row>
    <row r="5084" spans="34:39" x14ac:dyDescent="0.35">
      <c r="AH5084" s="21"/>
      <c r="AI5084" s="21"/>
      <c r="AJ5084" s="21"/>
      <c r="AK5084" s="21"/>
      <c r="AM5084" s="26" t="s">
        <v>38</v>
      </c>
    </row>
    <row r="5085" spans="34:39" x14ac:dyDescent="0.35">
      <c r="AH5085" s="21"/>
      <c r="AI5085" s="21"/>
      <c r="AJ5085" s="21"/>
      <c r="AK5085" s="21"/>
      <c r="AM5085" s="26" t="s">
        <v>38</v>
      </c>
    </row>
    <row r="5086" spans="34:39" x14ac:dyDescent="0.35">
      <c r="AH5086" s="21"/>
      <c r="AI5086" s="21"/>
      <c r="AJ5086" s="21"/>
      <c r="AK5086" s="21"/>
      <c r="AM5086" s="26" t="s">
        <v>38</v>
      </c>
    </row>
    <row r="5087" spans="34:39" x14ac:dyDescent="0.35">
      <c r="AH5087" s="21"/>
      <c r="AI5087" s="21"/>
      <c r="AJ5087" s="21"/>
      <c r="AK5087" s="21"/>
      <c r="AM5087" s="26" t="s">
        <v>38</v>
      </c>
    </row>
    <row r="5088" spans="34:39" x14ac:dyDescent="0.35">
      <c r="AH5088" s="21"/>
      <c r="AI5088" s="21"/>
      <c r="AJ5088" s="21"/>
      <c r="AK5088" s="21"/>
      <c r="AM5088" s="26" t="s">
        <v>38</v>
      </c>
    </row>
    <row r="5089" spans="34:39" x14ac:dyDescent="0.35">
      <c r="AH5089" s="21"/>
      <c r="AI5089" s="21"/>
      <c r="AJ5089" s="21"/>
      <c r="AK5089" s="21"/>
      <c r="AM5089" s="26" t="s">
        <v>38</v>
      </c>
    </row>
    <row r="5090" spans="34:39" x14ac:dyDescent="0.35">
      <c r="AH5090" s="21"/>
      <c r="AI5090" s="21"/>
      <c r="AJ5090" s="21"/>
      <c r="AK5090" s="21"/>
      <c r="AM5090" s="26" t="s">
        <v>38</v>
      </c>
    </row>
    <row r="5091" spans="34:39" x14ac:dyDescent="0.35">
      <c r="AH5091" s="21"/>
      <c r="AI5091" s="21"/>
      <c r="AJ5091" s="21"/>
      <c r="AK5091" s="21"/>
      <c r="AM5091" s="26" t="s">
        <v>38</v>
      </c>
    </row>
    <row r="5092" spans="34:39" x14ac:dyDescent="0.35">
      <c r="AH5092" s="21"/>
      <c r="AI5092" s="21"/>
      <c r="AJ5092" s="21"/>
      <c r="AK5092" s="21"/>
      <c r="AM5092" s="26" t="s">
        <v>38</v>
      </c>
    </row>
    <row r="5093" spans="34:39" x14ac:dyDescent="0.35">
      <c r="AH5093" s="21"/>
      <c r="AI5093" s="21"/>
      <c r="AJ5093" s="21"/>
      <c r="AK5093" s="21"/>
      <c r="AM5093" s="26" t="s">
        <v>38</v>
      </c>
    </row>
    <row r="5094" spans="34:39" x14ac:dyDescent="0.35">
      <c r="AH5094" s="21"/>
      <c r="AI5094" s="21"/>
      <c r="AJ5094" s="21"/>
      <c r="AK5094" s="21"/>
      <c r="AM5094" s="26" t="s">
        <v>38</v>
      </c>
    </row>
    <row r="5095" spans="34:39" x14ac:dyDescent="0.35">
      <c r="AH5095" s="21"/>
      <c r="AI5095" s="21"/>
      <c r="AJ5095" s="21"/>
      <c r="AK5095" s="21"/>
      <c r="AM5095" s="26" t="s">
        <v>38</v>
      </c>
    </row>
    <row r="5096" spans="34:39" x14ac:dyDescent="0.35">
      <c r="AH5096" s="21"/>
      <c r="AI5096" s="21"/>
      <c r="AJ5096" s="21"/>
      <c r="AK5096" s="21"/>
      <c r="AM5096" s="26" t="s">
        <v>38</v>
      </c>
    </row>
    <row r="5097" spans="34:39" x14ac:dyDescent="0.35">
      <c r="AH5097" s="21"/>
      <c r="AI5097" s="21"/>
      <c r="AJ5097" s="21"/>
      <c r="AK5097" s="21"/>
      <c r="AM5097" s="26" t="s">
        <v>38</v>
      </c>
    </row>
    <row r="5098" spans="34:39" x14ac:dyDescent="0.35">
      <c r="AH5098" s="21"/>
      <c r="AI5098" s="21"/>
      <c r="AJ5098" s="21"/>
      <c r="AK5098" s="21"/>
      <c r="AM5098" s="26" t="s">
        <v>38</v>
      </c>
    </row>
    <row r="5099" spans="34:39" x14ac:dyDescent="0.35">
      <c r="AH5099" s="21"/>
      <c r="AI5099" s="21"/>
      <c r="AJ5099" s="21"/>
      <c r="AK5099" s="21"/>
      <c r="AM5099" s="26" t="s">
        <v>38</v>
      </c>
    </row>
    <row r="5100" spans="34:39" x14ac:dyDescent="0.35">
      <c r="AH5100" s="21"/>
      <c r="AI5100" s="21"/>
      <c r="AJ5100" s="21"/>
      <c r="AK5100" s="21"/>
      <c r="AM5100" s="26" t="s">
        <v>38</v>
      </c>
    </row>
    <row r="5101" spans="34:39" x14ac:dyDescent="0.35">
      <c r="AH5101" s="21"/>
      <c r="AI5101" s="21"/>
      <c r="AJ5101" s="21"/>
      <c r="AK5101" s="21"/>
      <c r="AM5101" s="26" t="s">
        <v>38</v>
      </c>
    </row>
    <row r="5102" spans="34:39" x14ac:dyDescent="0.35">
      <c r="AH5102" s="21"/>
      <c r="AI5102" s="21"/>
      <c r="AJ5102" s="21"/>
      <c r="AK5102" s="21"/>
      <c r="AM5102" s="26" t="s">
        <v>38</v>
      </c>
    </row>
    <row r="5103" spans="34:39" x14ac:dyDescent="0.35">
      <c r="AH5103" s="21"/>
      <c r="AI5103" s="21"/>
      <c r="AJ5103" s="21"/>
      <c r="AK5103" s="21"/>
      <c r="AM5103" s="26" t="s">
        <v>38</v>
      </c>
    </row>
    <row r="5104" spans="34:39" x14ac:dyDescent="0.35">
      <c r="AH5104" s="21"/>
      <c r="AI5104" s="21"/>
      <c r="AJ5104" s="21"/>
      <c r="AK5104" s="21"/>
      <c r="AM5104" s="26" t="s">
        <v>38</v>
      </c>
    </row>
    <row r="5105" spans="34:39" x14ac:dyDescent="0.35">
      <c r="AH5105" s="21"/>
      <c r="AI5105" s="21"/>
      <c r="AJ5105" s="21"/>
      <c r="AK5105" s="21"/>
      <c r="AM5105" s="26" t="s">
        <v>38</v>
      </c>
    </row>
    <row r="5106" spans="34:39" x14ac:dyDescent="0.35">
      <c r="AH5106" s="21"/>
      <c r="AI5106" s="21"/>
      <c r="AJ5106" s="21"/>
      <c r="AK5106" s="21"/>
      <c r="AM5106" s="26" t="s">
        <v>38</v>
      </c>
    </row>
    <row r="5107" spans="34:39" x14ac:dyDescent="0.35">
      <c r="AH5107" s="21"/>
      <c r="AI5107" s="21"/>
      <c r="AJ5107" s="21"/>
      <c r="AK5107" s="21"/>
      <c r="AM5107" s="26" t="s">
        <v>38</v>
      </c>
    </row>
    <row r="5108" spans="34:39" x14ac:dyDescent="0.35">
      <c r="AH5108" s="21"/>
      <c r="AI5108" s="21"/>
      <c r="AJ5108" s="21"/>
      <c r="AK5108" s="21"/>
      <c r="AM5108" s="26" t="s">
        <v>38</v>
      </c>
    </row>
    <row r="5109" spans="34:39" x14ac:dyDescent="0.35">
      <c r="AH5109" s="21"/>
      <c r="AI5109" s="21"/>
      <c r="AJ5109" s="21"/>
      <c r="AK5109" s="21"/>
      <c r="AM5109" s="26" t="s">
        <v>38</v>
      </c>
    </row>
    <row r="5110" spans="34:39" x14ac:dyDescent="0.35">
      <c r="AH5110" s="21"/>
      <c r="AI5110" s="21"/>
      <c r="AJ5110" s="21"/>
      <c r="AK5110" s="21"/>
      <c r="AM5110" s="26" t="s">
        <v>38</v>
      </c>
    </row>
    <row r="5111" spans="34:39" x14ac:dyDescent="0.35">
      <c r="AH5111" s="21"/>
      <c r="AI5111" s="21"/>
      <c r="AJ5111" s="21"/>
      <c r="AK5111" s="21"/>
      <c r="AM5111" s="26" t="s">
        <v>38</v>
      </c>
    </row>
    <row r="5112" spans="34:39" x14ac:dyDescent="0.35">
      <c r="AH5112" s="21"/>
      <c r="AI5112" s="21"/>
      <c r="AJ5112" s="21"/>
      <c r="AK5112" s="21"/>
      <c r="AM5112" s="26" t="s">
        <v>38</v>
      </c>
    </row>
    <row r="5113" spans="34:39" x14ac:dyDescent="0.35">
      <c r="AH5113" s="21"/>
      <c r="AI5113" s="21"/>
      <c r="AJ5113" s="21"/>
      <c r="AK5113" s="21"/>
      <c r="AM5113" s="26" t="s">
        <v>38</v>
      </c>
    </row>
    <row r="5114" spans="34:39" x14ac:dyDescent="0.35">
      <c r="AH5114" s="21"/>
      <c r="AI5114" s="21"/>
      <c r="AJ5114" s="21"/>
      <c r="AK5114" s="21"/>
      <c r="AM5114" s="26" t="s">
        <v>38</v>
      </c>
    </row>
    <row r="5115" spans="34:39" x14ac:dyDescent="0.35">
      <c r="AH5115" s="21"/>
      <c r="AI5115" s="21"/>
      <c r="AJ5115" s="21"/>
      <c r="AK5115" s="21"/>
      <c r="AM5115" s="26" t="s">
        <v>38</v>
      </c>
    </row>
    <row r="5116" spans="34:39" x14ac:dyDescent="0.35">
      <c r="AH5116" s="21"/>
      <c r="AI5116" s="21"/>
      <c r="AJ5116" s="21"/>
      <c r="AK5116" s="21"/>
      <c r="AM5116" s="26" t="s">
        <v>38</v>
      </c>
    </row>
    <row r="5117" spans="34:39" x14ac:dyDescent="0.35">
      <c r="AH5117" s="21"/>
      <c r="AI5117" s="21"/>
      <c r="AJ5117" s="21"/>
      <c r="AK5117" s="21"/>
      <c r="AM5117" s="26" t="s">
        <v>38</v>
      </c>
    </row>
    <row r="5118" spans="34:39" x14ac:dyDescent="0.35">
      <c r="AH5118" s="21"/>
      <c r="AI5118" s="21"/>
      <c r="AJ5118" s="21"/>
      <c r="AK5118" s="21"/>
      <c r="AM5118" s="26" t="s">
        <v>38</v>
      </c>
    </row>
    <row r="5119" spans="34:39" x14ac:dyDescent="0.35">
      <c r="AH5119" s="21"/>
      <c r="AI5119" s="21"/>
      <c r="AJ5119" s="21"/>
      <c r="AK5119" s="21"/>
      <c r="AM5119" s="26" t="s">
        <v>38</v>
      </c>
    </row>
    <row r="5120" spans="34:39" x14ac:dyDescent="0.35">
      <c r="AH5120" s="21"/>
      <c r="AI5120" s="21"/>
      <c r="AJ5120" s="21"/>
      <c r="AK5120" s="21"/>
      <c r="AM5120" s="26" t="s">
        <v>38</v>
      </c>
    </row>
    <row r="5121" spans="34:39" x14ac:dyDescent="0.35">
      <c r="AH5121" s="21"/>
      <c r="AI5121" s="21"/>
      <c r="AJ5121" s="21"/>
      <c r="AK5121" s="21"/>
      <c r="AM5121" s="26" t="s">
        <v>38</v>
      </c>
    </row>
    <row r="5122" spans="34:39" x14ac:dyDescent="0.35">
      <c r="AH5122" s="21"/>
      <c r="AI5122" s="21"/>
      <c r="AJ5122" s="21"/>
      <c r="AK5122" s="21"/>
      <c r="AM5122" s="26" t="s">
        <v>38</v>
      </c>
    </row>
    <row r="5123" spans="34:39" x14ac:dyDescent="0.35">
      <c r="AH5123" s="21"/>
      <c r="AI5123" s="21"/>
      <c r="AJ5123" s="21"/>
      <c r="AK5123" s="21"/>
      <c r="AM5123" s="26" t="s">
        <v>38</v>
      </c>
    </row>
    <row r="5124" spans="34:39" x14ac:dyDescent="0.35">
      <c r="AH5124" s="21"/>
      <c r="AI5124" s="21"/>
      <c r="AJ5124" s="21"/>
      <c r="AK5124" s="21"/>
      <c r="AM5124" s="26" t="s">
        <v>38</v>
      </c>
    </row>
    <row r="5125" spans="34:39" x14ac:dyDescent="0.35">
      <c r="AH5125" s="21"/>
      <c r="AI5125" s="21"/>
      <c r="AJ5125" s="21"/>
      <c r="AK5125" s="21"/>
      <c r="AM5125" s="26" t="s">
        <v>38</v>
      </c>
    </row>
    <row r="5126" spans="34:39" x14ac:dyDescent="0.35">
      <c r="AH5126" s="21"/>
      <c r="AI5126" s="21"/>
      <c r="AJ5126" s="21"/>
      <c r="AK5126" s="21"/>
      <c r="AM5126" s="26" t="s">
        <v>38</v>
      </c>
    </row>
    <row r="5127" spans="34:39" x14ac:dyDescent="0.35">
      <c r="AH5127" s="21"/>
      <c r="AI5127" s="21"/>
      <c r="AJ5127" s="21"/>
      <c r="AK5127" s="21"/>
      <c r="AM5127" s="26" t="s">
        <v>38</v>
      </c>
    </row>
    <row r="5128" spans="34:39" x14ac:dyDescent="0.35">
      <c r="AH5128" s="21"/>
      <c r="AI5128" s="21"/>
      <c r="AJ5128" s="21"/>
      <c r="AK5128" s="21"/>
      <c r="AM5128" s="26" t="s">
        <v>38</v>
      </c>
    </row>
    <row r="5129" spans="34:39" x14ac:dyDescent="0.35">
      <c r="AH5129" s="21"/>
      <c r="AI5129" s="21"/>
      <c r="AJ5129" s="21"/>
      <c r="AK5129" s="21"/>
      <c r="AM5129" s="26" t="s">
        <v>38</v>
      </c>
    </row>
    <row r="5130" spans="34:39" x14ac:dyDescent="0.35">
      <c r="AH5130" s="21"/>
      <c r="AI5130" s="21"/>
      <c r="AJ5130" s="21"/>
      <c r="AK5130" s="21"/>
      <c r="AM5130" s="26" t="s">
        <v>38</v>
      </c>
    </row>
    <row r="5131" spans="34:39" x14ac:dyDescent="0.35">
      <c r="AH5131" s="21"/>
      <c r="AI5131" s="21"/>
      <c r="AJ5131" s="21"/>
      <c r="AK5131" s="21"/>
      <c r="AM5131" s="26" t="s">
        <v>38</v>
      </c>
    </row>
    <row r="5132" spans="34:39" x14ac:dyDescent="0.35">
      <c r="AH5132" s="21"/>
      <c r="AI5132" s="21"/>
      <c r="AJ5132" s="21"/>
      <c r="AK5132" s="21"/>
      <c r="AM5132" s="26" t="s">
        <v>38</v>
      </c>
    </row>
    <row r="5133" spans="34:39" x14ac:dyDescent="0.35">
      <c r="AH5133" s="21"/>
      <c r="AI5133" s="21"/>
      <c r="AJ5133" s="21"/>
      <c r="AK5133" s="21"/>
      <c r="AM5133" s="26" t="s">
        <v>38</v>
      </c>
    </row>
    <row r="5134" spans="34:39" x14ac:dyDescent="0.35">
      <c r="AH5134" s="21"/>
      <c r="AI5134" s="21"/>
      <c r="AJ5134" s="21"/>
      <c r="AK5134" s="21"/>
      <c r="AM5134" s="26" t="s">
        <v>38</v>
      </c>
    </row>
    <row r="5135" spans="34:39" x14ac:dyDescent="0.35">
      <c r="AH5135" s="21"/>
      <c r="AI5135" s="21"/>
      <c r="AJ5135" s="21"/>
      <c r="AK5135" s="21"/>
      <c r="AM5135" s="26" t="s">
        <v>38</v>
      </c>
    </row>
    <row r="5136" spans="34:39" x14ac:dyDescent="0.35">
      <c r="AH5136" s="21"/>
      <c r="AI5136" s="21"/>
      <c r="AJ5136" s="21"/>
      <c r="AK5136" s="21"/>
      <c r="AM5136" s="26" t="s">
        <v>38</v>
      </c>
    </row>
    <row r="5137" spans="34:39" x14ac:dyDescent="0.35">
      <c r="AH5137" s="21"/>
      <c r="AI5137" s="21"/>
      <c r="AJ5137" s="21"/>
      <c r="AK5137" s="21"/>
      <c r="AM5137" s="26" t="s">
        <v>38</v>
      </c>
    </row>
    <row r="5138" spans="34:39" x14ac:dyDescent="0.35">
      <c r="AH5138" s="21"/>
      <c r="AI5138" s="21"/>
      <c r="AJ5138" s="21"/>
      <c r="AK5138" s="21"/>
      <c r="AM5138" s="26" t="s">
        <v>38</v>
      </c>
    </row>
    <row r="5139" spans="34:39" x14ac:dyDescent="0.35">
      <c r="AH5139" s="21"/>
      <c r="AI5139" s="21"/>
      <c r="AJ5139" s="21"/>
      <c r="AK5139" s="21"/>
      <c r="AM5139" s="26" t="s">
        <v>38</v>
      </c>
    </row>
    <row r="5140" spans="34:39" x14ac:dyDescent="0.35">
      <c r="AH5140" s="21"/>
      <c r="AI5140" s="21"/>
      <c r="AJ5140" s="21"/>
      <c r="AK5140" s="21"/>
      <c r="AM5140" s="26" t="s">
        <v>38</v>
      </c>
    </row>
    <row r="5141" spans="34:39" x14ac:dyDescent="0.35">
      <c r="AH5141" s="21"/>
      <c r="AI5141" s="21"/>
      <c r="AJ5141" s="21"/>
      <c r="AK5141" s="21"/>
      <c r="AM5141" s="26" t="s">
        <v>38</v>
      </c>
    </row>
    <row r="5142" spans="34:39" x14ac:dyDescent="0.35">
      <c r="AH5142" s="21"/>
      <c r="AI5142" s="21"/>
      <c r="AJ5142" s="21"/>
      <c r="AK5142" s="21"/>
      <c r="AM5142" s="26" t="s">
        <v>38</v>
      </c>
    </row>
    <row r="5143" spans="34:39" x14ac:dyDescent="0.35">
      <c r="AH5143" s="21"/>
      <c r="AI5143" s="21"/>
      <c r="AJ5143" s="21"/>
      <c r="AK5143" s="21"/>
      <c r="AM5143" s="26" t="s">
        <v>38</v>
      </c>
    </row>
    <row r="5144" spans="34:39" x14ac:dyDescent="0.35">
      <c r="AH5144" s="21"/>
      <c r="AI5144" s="21"/>
      <c r="AJ5144" s="21"/>
      <c r="AK5144" s="21"/>
      <c r="AM5144" s="26" t="s">
        <v>38</v>
      </c>
    </row>
    <row r="5145" spans="34:39" x14ac:dyDescent="0.35">
      <c r="AH5145" s="21"/>
      <c r="AI5145" s="21"/>
      <c r="AJ5145" s="21"/>
      <c r="AK5145" s="21"/>
      <c r="AM5145" s="26" t="s">
        <v>38</v>
      </c>
    </row>
    <row r="5146" spans="34:39" x14ac:dyDescent="0.35">
      <c r="AH5146" s="21"/>
      <c r="AI5146" s="21"/>
      <c r="AJ5146" s="21"/>
      <c r="AK5146" s="21"/>
      <c r="AM5146" s="26" t="s">
        <v>38</v>
      </c>
    </row>
    <row r="5147" spans="34:39" x14ac:dyDescent="0.35">
      <c r="AH5147" s="21"/>
      <c r="AI5147" s="21"/>
      <c r="AJ5147" s="21"/>
      <c r="AK5147" s="21"/>
      <c r="AM5147" s="26" t="s">
        <v>38</v>
      </c>
    </row>
    <row r="5148" spans="34:39" x14ac:dyDescent="0.35">
      <c r="AH5148" s="21"/>
      <c r="AI5148" s="21"/>
      <c r="AJ5148" s="21"/>
      <c r="AK5148" s="21"/>
      <c r="AM5148" s="26" t="s">
        <v>38</v>
      </c>
    </row>
    <row r="5149" spans="34:39" x14ac:dyDescent="0.35">
      <c r="AH5149" s="21"/>
      <c r="AI5149" s="21"/>
      <c r="AJ5149" s="21"/>
      <c r="AK5149" s="21"/>
      <c r="AM5149" s="26" t="s">
        <v>38</v>
      </c>
    </row>
    <row r="5150" spans="34:39" x14ac:dyDescent="0.35">
      <c r="AH5150" s="21"/>
      <c r="AI5150" s="21"/>
      <c r="AJ5150" s="21"/>
      <c r="AK5150" s="21"/>
      <c r="AM5150" s="26" t="s">
        <v>38</v>
      </c>
    </row>
    <row r="5151" spans="34:39" x14ac:dyDescent="0.35">
      <c r="AH5151" s="21"/>
      <c r="AI5151" s="21"/>
      <c r="AJ5151" s="21"/>
      <c r="AK5151" s="21"/>
      <c r="AM5151" s="26" t="s">
        <v>38</v>
      </c>
    </row>
    <row r="5152" spans="34:39" x14ac:dyDescent="0.35">
      <c r="AH5152" s="21"/>
      <c r="AI5152" s="21"/>
      <c r="AJ5152" s="21"/>
      <c r="AK5152" s="21"/>
      <c r="AM5152" s="26" t="s">
        <v>38</v>
      </c>
    </row>
    <row r="5153" spans="34:39" x14ac:dyDescent="0.35">
      <c r="AH5153" s="21"/>
      <c r="AI5153" s="21"/>
      <c r="AJ5153" s="21"/>
      <c r="AK5153" s="21"/>
      <c r="AM5153" s="26" t="s">
        <v>38</v>
      </c>
    </row>
    <row r="5154" spans="34:39" x14ac:dyDescent="0.35">
      <c r="AH5154" s="21"/>
      <c r="AI5154" s="21"/>
      <c r="AJ5154" s="21"/>
      <c r="AK5154" s="21"/>
      <c r="AM5154" s="26" t="s">
        <v>38</v>
      </c>
    </row>
    <row r="5155" spans="34:39" x14ac:dyDescent="0.35">
      <c r="AH5155" s="21"/>
      <c r="AI5155" s="21"/>
      <c r="AJ5155" s="21"/>
      <c r="AK5155" s="21"/>
      <c r="AM5155" s="26" t="s">
        <v>38</v>
      </c>
    </row>
    <row r="5156" spans="34:39" x14ac:dyDescent="0.35">
      <c r="AH5156" s="21"/>
      <c r="AI5156" s="21"/>
      <c r="AJ5156" s="21"/>
      <c r="AK5156" s="21"/>
      <c r="AM5156" s="26" t="s">
        <v>38</v>
      </c>
    </row>
    <row r="5157" spans="34:39" x14ac:dyDescent="0.35">
      <c r="AH5157" s="21"/>
      <c r="AI5157" s="21"/>
      <c r="AJ5157" s="21"/>
      <c r="AK5157" s="21"/>
      <c r="AM5157" s="26" t="s">
        <v>38</v>
      </c>
    </row>
    <row r="5158" spans="34:39" x14ac:dyDescent="0.35">
      <c r="AH5158" s="21"/>
      <c r="AI5158" s="21"/>
      <c r="AJ5158" s="21"/>
      <c r="AK5158" s="21"/>
      <c r="AM5158" s="26" t="s">
        <v>38</v>
      </c>
    </row>
    <row r="5159" spans="34:39" x14ac:dyDescent="0.35">
      <c r="AH5159" s="21"/>
      <c r="AI5159" s="21"/>
      <c r="AJ5159" s="21"/>
      <c r="AK5159" s="21"/>
      <c r="AM5159" s="26" t="s">
        <v>38</v>
      </c>
    </row>
    <row r="5160" spans="34:39" x14ac:dyDescent="0.35">
      <c r="AH5160" s="21"/>
      <c r="AI5160" s="21"/>
      <c r="AJ5160" s="21"/>
      <c r="AK5160" s="21"/>
      <c r="AM5160" s="26" t="s">
        <v>38</v>
      </c>
    </row>
    <row r="5161" spans="34:39" x14ac:dyDescent="0.35">
      <c r="AH5161" s="21"/>
      <c r="AI5161" s="21"/>
      <c r="AJ5161" s="21"/>
      <c r="AK5161" s="21"/>
      <c r="AM5161" s="26" t="s">
        <v>38</v>
      </c>
    </row>
    <row r="5162" spans="34:39" x14ac:dyDescent="0.35">
      <c r="AH5162" s="21"/>
      <c r="AI5162" s="21"/>
      <c r="AJ5162" s="21"/>
      <c r="AK5162" s="21"/>
      <c r="AM5162" s="26" t="s">
        <v>38</v>
      </c>
    </row>
    <row r="5163" spans="34:39" x14ac:dyDescent="0.35">
      <c r="AH5163" s="21"/>
      <c r="AI5163" s="21"/>
      <c r="AJ5163" s="21"/>
      <c r="AK5163" s="21"/>
      <c r="AM5163" s="26" t="s">
        <v>38</v>
      </c>
    </row>
    <row r="5164" spans="34:39" x14ac:dyDescent="0.35">
      <c r="AH5164" s="21"/>
      <c r="AI5164" s="21"/>
      <c r="AJ5164" s="21"/>
      <c r="AK5164" s="21"/>
      <c r="AM5164" s="26" t="s">
        <v>38</v>
      </c>
    </row>
    <row r="5165" spans="34:39" x14ac:dyDescent="0.35">
      <c r="AH5165" s="21"/>
      <c r="AI5165" s="21"/>
      <c r="AJ5165" s="21"/>
      <c r="AK5165" s="21"/>
      <c r="AM5165" s="26" t="s">
        <v>38</v>
      </c>
    </row>
    <row r="5166" spans="34:39" x14ac:dyDescent="0.35">
      <c r="AH5166" s="21"/>
      <c r="AI5166" s="21"/>
      <c r="AJ5166" s="21"/>
      <c r="AK5166" s="21"/>
      <c r="AM5166" s="26" t="s">
        <v>38</v>
      </c>
    </row>
    <row r="5167" spans="34:39" x14ac:dyDescent="0.35">
      <c r="AH5167" s="21"/>
      <c r="AI5167" s="21"/>
      <c r="AJ5167" s="21"/>
      <c r="AK5167" s="21"/>
      <c r="AM5167" s="26" t="s">
        <v>38</v>
      </c>
    </row>
    <row r="5168" spans="34:39" x14ac:dyDescent="0.35">
      <c r="AH5168" s="21"/>
      <c r="AI5168" s="21"/>
      <c r="AJ5168" s="21"/>
      <c r="AK5168" s="21"/>
      <c r="AM5168" s="26" t="s">
        <v>38</v>
      </c>
    </row>
    <row r="5169" spans="34:39" x14ac:dyDescent="0.35">
      <c r="AH5169" s="21"/>
      <c r="AI5169" s="21"/>
      <c r="AJ5169" s="21"/>
      <c r="AK5169" s="21"/>
      <c r="AM5169" s="26" t="s">
        <v>38</v>
      </c>
    </row>
    <row r="5170" spans="34:39" x14ac:dyDescent="0.35">
      <c r="AH5170" s="21"/>
      <c r="AI5170" s="21"/>
      <c r="AJ5170" s="21"/>
      <c r="AK5170" s="21"/>
      <c r="AM5170" s="26" t="s">
        <v>38</v>
      </c>
    </row>
    <row r="5171" spans="34:39" x14ac:dyDescent="0.35">
      <c r="AH5171" s="21"/>
      <c r="AI5171" s="21"/>
      <c r="AJ5171" s="21"/>
      <c r="AK5171" s="21"/>
      <c r="AM5171" s="26" t="s">
        <v>38</v>
      </c>
    </row>
    <row r="5172" spans="34:39" x14ac:dyDescent="0.35">
      <c r="AH5172" s="21"/>
      <c r="AI5172" s="21"/>
      <c r="AJ5172" s="21"/>
      <c r="AK5172" s="21"/>
      <c r="AM5172" s="26" t="s">
        <v>38</v>
      </c>
    </row>
    <row r="5173" spans="34:39" x14ac:dyDescent="0.35">
      <c r="AH5173" s="21"/>
      <c r="AI5173" s="21"/>
      <c r="AJ5173" s="21"/>
      <c r="AK5173" s="21"/>
      <c r="AM5173" s="26" t="s">
        <v>38</v>
      </c>
    </row>
    <row r="5174" spans="34:39" x14ac:dyDescent="0.35">
      <c r="AH5174" s="21"/>
      <c r="AI5174" s="21"/>
      <c r="AJ5174" s="21"/>
      <c r="AK5174" s="21"/>
      <c r="AM5174" s="26" t="s">
        <v>38</v>
      </c>
    </row>
    <row r="5175" spans="34:39" x14ac:dyDescent="0.35">
      <c r="AH5175" s="21"/>
      <c r="AI5175" s="21"/>
      <c r="AJ5175" s="21"/>
      <c r="AK5175" s="21"/>
      <c r="AM5175" s="26" t="s">
        <v>38</v>
      </c>
    </row>
    <row r="5176" spans="34:39" x14ac:dyDescent="0.35">
      <c r="AH5176" s="21"/>
      <c r="AI5176" s="21"/>
      <c r="AJ5176" s="21"/>
      <c r="AK5176" s="21"/>
      <c r="AM5176" s="26" t="s">
        <v>38</v>
      </c>
    </row>
    <row r="5177" spans="34:39" x14ac:dyDescent="0.35">
      <c r="AH5177" s="21"/>
      <c r="AI5177" s="21"/>
      <c r="AJ5177" s="21"/>
      <c r="AK5177" s="21"/>
      <c r="AM5177" s="26" t="s">
        <v>38</v>
      </c>
    </row>
    <row r="5178" spans="34:39" x14ac:dyDescent="0.35">
      <c r="AH5178" s="21"/>
      <c r="AI5178" s="21"/>
      <c r="AJ5178" s="21"/>
      <c r="AK5178" s="21"/>
      <c r="AM5178" s="26" t="s">
        <v>38</v>
      </c>
    </row>
    <row r="5179" spans="34:39" x14ac:dyDescent="0.35">
      <c r="AH5179" s="21"/>
      <c r="AI5179" s="21"/>
      <c r="AJ5179" s="21"/>
      <c r="AK5179" s="21"/>
      <c r="AM5179" s="26" t="s">
        <v>38</v>
      </c>
    </row>
    <row r="5180" spans="34:39" x14ac:dyDescent="0.35">
      <c r="AH5180" s="21"/>
      <c r="AI5180" s="21"/>
      <c r="AJ5180" s="21"/>
      <c r="AK5180" s="21"/>
      <c r="AM5180" s="26" t="s">
        <v>38</v>
      </c>
    </row>
    <row r="5181" spans="34:39" x14ac:dyDescent="0.35">
      <c r="AH5181" s="21"/>
      <c r="AI5181" s="21"/>
      <c r="AJ5181" s="21"/>
      <c r="AK5181" s="21"/>
      <c r="AM5181" s="26" t="s">
        <v>38</v>
      </c>
    </row>
    <row r="5182" spans="34:39" x14ac:dyDescent="0.35">
      <c r="AH5182" s="21"/>
      <c r="AI5182" s="21"/>
      <c r="AJ5182" s="21"/>
      <c r="AK5182" s="21"/>
      <c r="AM5182" s="26" t="s">
        <v>38</v>
      </c>
    </row>
    <row r="5183" spans="34:39" x14ac:dyDescent="0.35">
      <c r="AH5183" s="21"/>
      <c r="AI5183" s="21"/>
      <c r="AJ5183" s="21"/>
      <c r="AK5183" s="21"/>
      <c r="AM5183" s="26" t="s">
        <v>38</v>
      </c>
    </row>
    <row r="5184" spans="34:39" x14ac:dyDescent="0.35">
      <c r="AH5184" s="21"/>
      <c r="AI5184" s="21"/>
      <c r="AJ5184" s="21"/>
      <c r="AK5184" s="21"/>
      <c r="AM5184" s="26" t="s">
        <v>38</v>
      </c>
    </row>
    <row r="5185" spans="34:39" x14ac:dyDescent="0.35">
      <c r="AH5185" s="21"/>
      <c r="AI5185" s="21"/>
      <c r="AJ5185" s="21"/>
      <c r="AK5185" s="21"/>
      <c r="AM5185" s="26" t="s">
        <v>38</v>
      </c>
    </row>
    <row r="5186" spans="34:39" x14ac:dyDescent="0.35">
      <c r="AH5186" s="21"/>
      <c r="AI5186" s="21"/>
      <c r="AJ5186" s="21"/>
      <c r="AK5186" s="21"/>
      <c r="AM5186" s="26" t="s">
        <v>38</v>
      </c>
    </row>
    <row r="5187" spans="34:39" x14ac:dyDescent="0.35">
      <c r="AH5187" s="21"/>
      <c r="AI5187" s="21"/>
      <c r="AJ5187" s="21"/>
      <c r="AK5187" s="21"/>
      <c r="AM5187" s="26" t="s">
        <v>38</v>
      </c>
    </row>
    <row r="5188" spans="34:39" x14ac:dyDescent="0.35">
      <c r="AH5188" s="21"/>
      <c r="AI5188" s="21"/>
      <c r="AJ5188" s="21"/>
      <c r="AK5188" s="21"/>
      <c r="AM5188" s="26" t="s">
        <v>38</v>
      </c>
    </row>
    <row r="5189" spans="34:39" x14ac:dyDescent="0.35">
      <c r="AH5189" s="21"/>
      <c r="AI5189" s="21"/>
      <c r="AJ5189" s="21"/>
      <c r="AK5189" s="21"/>
      <c r="AM5189" s="26" t="s">
        <v>38</v>
      </c>
    </row>
    <row r="5190" spans="34:39" x14ac:dyDescent="0.35">
      <c r="AH5190" s="21"/>
      <c r="AI5190" s="21"/>
      <c r="AJ5190" s="21"/>
      <c r="AK5190" s="21"/>
      <c r="AM5190" s="26" t="s">
        <v>38</v>
      </c>
    </row>
    <row r="5191" spans="34:39" x14ac:dyDescent="0.35">
      <c r="AH5191" s="21"/>
      <c r="AI5191" s="21"/>
      <c r="AJ5191" s="21"/>
      <c r="AK5191" s="21"/>
      <c r="AM5191" s="26" t="s">
        <v>38</v>
      </c>
    </row>
    <row r="5192" spans="34:39" x14ac:dyDescent="0.35">
      <c r="AH5192" s="21"/>
      <c r="AI5192" s="21"/>
      <c r="AJ5192" s="21"/>
      <c r="AK5192" s="21"/>
      <c r="AM5192" s="26" t="s">
        <v>38</v>
      </c>
    </row>
    <row r="5193" spans="34:39" x14ac:dyDescent="0.35">
      <c r="AH5193" s="21"/>
      <c r="AI5193" s="21"/>
      <c r="AJ5193" s="21"/>
      <c r="AK5193" s="21"/>
      <c r="AM5193" s="26" t="s">
        <v>38</v>
      </c>
    </row>
    <row r="5194" spans="34:39" x14ac:dyDescent="0.35">
      <c r="AH5194" s="21"/>
      <c r="AI5194" s="21"/>
      <c r="AJ5194" s="21"/>
      <c r="AK5194" s="21"/>
      <c r="AM5194" s="26" t="s">
        <v>38</v>
      </c>
    </row>
    <row r="5195" spans="34:39" x14ac:dyDescent="0.35">
      <c r="AH5195" s="21"/>
      <c r="AI5195" s="21"/>
      <c r="AJ5195" s="21"/>
      <c r="AK5195" s="21"/>
      <c r="AM5195" s="26" t="s">
        <v>38</v>
      </c>
    </row>
    <row r="5196" spans="34:39" x14ac:dyDescent="0.35">
      <c r="AH5196" s="21"/>
      <c r="AI5196" s="21"/>
      <c r="AJ5196" s="21"/>
      <c r="AK5196" s="21"/>
      <c r="AM5196" s="26" t="s">
        <v>38</v>
      </c>
    </row>
    <row r="5197" spans="34:39" x14ac:dyDescent="0.35">
      <c r="AH5197" s="21"/>
      <c r="AI5197" s="21"/>
      <c r="AJ5197" s="21"/>
      <c r="AK5197" s="21"/>
      <c r="AM5197" s="26" t="s">
        <v>38</v>
      </c>
    </row>
    <row r="5198" spans="34:39" x14ac:dyDescent="0.35">
      <c r="AH5198" s="21"/>
      <c r="AI5198" s="21"/>
      <c r="AJ5198" s="21"/>
      <c r="AK5198" s="21"/>
      <c r="AM5198" s="26" t="s">
        <v>38</v>
      </c>
    </row>
    <row r="5199" spans="34:39" x14ac:dyDescent="0.35">
      <c r="AH5199" s="21"/>
      <c r="AI5199" s="21"/>
      <c r="AJ5199" s="21"/>
      <c r="AK5199" s="21"/>
      <c r="AM5199" s="26" t="s">
        <v>38</v>
      </c>
    </row>
    <row r="5200" spans="34:39" x14ac:dyDescent="0.35">
      <c r="AH5200" s="21"/>
      <c r="AI5200" s="21"/>
      <c r="AJ5200" s="21"/>
      <c r="AK5200" s="21"/>
      <c r="AM5200" s="26" t="s">
        <v>38</v>
      </c>
    </row>
    <row r="5201" spans="34:39" x14ac:dyDescent="0.35">
      <c r="AH5201" s="21"/>
      <c r="AI5201" s="21"/>
      <c r="AJ5201" s="21"/>
      <c r="AK5201" s="21"/>
      <c r="AM5201" s="26" t="s">
        <v>38</v>
      </c>
    </row>
    <row r="5202" spans="34:39" x14ac:dyDescent="0.35">
      <c r="AH5202" s="21"/>
      <c r="AI5202" s="21"/>
      <c r="AJ5202" s="21"/>
      <c r="AK5202" s="21"/>
      <c r="AM5202" s="26" t="s">
        <v>38</v>
      </c>
    </row>
    <row r="5203" spans="34:39" x14ac:dyDescent="0.35">
      <c r="AH5203" s="21"/>
      <c r="AI5203" s="21"/>
      <c r="AJ5203" s="21"/>
      <c r="AK5203" s="21"/>
      <c r="AM5203" s="26" t="s">
        <v>38</v>
      </c>
    </row>
    <row r="5204" spans="34:39" x14ac:dyDescent="0.35">
      <c r="AH5204" s="21"/>
      <c r="AI5204" s="21"/>
      <c r="AJ5204" s="21"/>
      <c r="AK5204" s="21"/>
      <c r="AM5204" s="26" t="s">
        <v>38</v>
      </c>
    </row>
    <row r="5205" spans="34:39" x14ac:dyDescent="0.35">
      <c r="AH5205" s="21"/>
      <c r="AI5205" s="21"/>
      <c r="AJ5205" s="21"/>
      <c r="AK5205" s="21"/>
      <c r="AM5205" s="26" t="s">
        <v>38</v>
      </c>
    </row>
    <row r="5206" spans="34:39" x14ac:dyDescent="0.35">
      <c r="AH5206" s="21"/>
      <c r="AI5206" s="21"/>
      <c r="AJ5206" s="21"/>
      <c r="AK5206" s="21"/>
      <c r="AM5206" s="26" t="s">
        <v>38</v>
      </c>
    </row>
    <row r="5207" spans="34:39" x14ac:dyDescent="0.35">
      <c r="AH5207" s="21"/>
      <c r="AI5207" s="21"/>
      <c r="AJ5207" s="21"/>
      <c r="AK5207" s="21"/>
      <c r="AM5207" s="26" t="s">
        <v>38</v>
      </c>
    </row>
    <row r="5208" spans="34:39" x14ac:dyDescent="0.35">
      <c r="AH5208" s="21"/>
      <c r="AI5208" s="21"/>
      <c r="AJ5208" s="21"/>
      <c r="AK5208" s="21"/>
      <c r="AM5208" s="26" t="s">
        <v>38</v>
      </c>
    </row>
    <row r="5209" spans="34:39" x14ac:dyDescent="0.35">
      <c r="AH5209" s="21"/>
      <c r="AI5209" s="21"/>
      <c r="AJ5209" s="21"/>
      <c r="AK5209" s="21"/>
      <c r="AM5209" s="26" t="s">
        <v>38</v>
      </c>
    </row>
    <row r="5210" spans="34:39" x14ac:dyDescent="0.35">
      <c r="AH5210" s="21"/>
      <c r="AI5210" s="21"/>
      <c r="AJ5210" s="21"/>
      <c r="AK5210" s="21"/>
      <c r="AM5210" s="26" t="s">
        <v>38</v>
      </c>
    </row>
    <row r="5211" spans="34:39" x14ac:dyDescent="0.35">
      <c r="AH5211" s="21"/>
      <c r="AI5211" s="21"/>
      <c r="AJ5211" s="21"/>
      <c r="AK5211" s="21"/>
      <c r="AM5211" s="26" t="s">
        <v>38</v>
      </c>
    </row>
    <row r="5212" spans="34:39" x14ac:dyDescent="0.35">
      <c r="AH5212" s="21"/>
      <c r="AI5212" s="21"/>
      <c r="AJ5212" s="21"/>
      <c r="AK5212" s="21"/>
      <c r="AM5212" s="26" t="s">
        <v>38</v>
      </c>
    </row>
    <row r="5213" spans="34:39" x14ac:dyDescent="0.35">
      <c r="AH5213" s="21"/>
      <c r="AI5213" s="21"/>
      <c r="AJ5213" s="21"/>
      <c r="AK5213" s="21"/>
      <c r="AM5213" s="26" t="s">
        <v>38</v>
      </c>
    </row>
    <row r="5214" spans="34:39" x14ac:dyDescent="0.35">
      <c r="AH5214" s="21"/>
      <c r="AI5214" s="21"/>
      <c r="AJ5214" s="21"/>
      <c r="AK5214" s="21"/>
      <c r="AM5214" s="26" t="s">
        <v>38</v>
      </c>
    </row>
    <row r="5215" spans="34:39" x14ac:dyDescent="0.35">
      <c r="AH5215" s="21"/>
      <c r="AI5215" s="21"/>
      <c r="AJ5215" s="21"/>
      <c r="AK5215" s="21"/>
      <c r="AM5215" s="26" t="s">
        <v>38</v>
      </c>
    </row>
    <row r="5216" spans="34:39" x14ac:dyDescent="0.35">
      <c r="AH5216" s="21"/>
      <c r="AI5216" s="21"/>
      <c r="AJ5216" s="21"/>
      <c r="AK5216" s="21"/>
      <c r="AM5216" s="26" t="s">
        <v>38</v>
      </c>
    </row>
    <row r="5217" spans="34:39" x14ac:dyDescent="0.35">
      <c r="AH5217" s="21"/>
      <c r="AI5217" s="21"/>
      <c r="AJ5217" s="21"/>
      <c r="AK5217" s="21"/>
      <c r="AM5217" s="26" t="s">
        <v>38</v>
      </c>
    </row>
    <row r="5218" spans="34:39" x14ac:dyDescent="0.35">
      <c r="AH5218" s="21"/>
      <c r="AI5218" s="21"/>
      <c r="AJ5218" s="21"/>
      <c r="AK5218" s="21"/>
      <c r="AM5218" s="26" t="s">
        <v>38</v>
      </c>
    </row>
    <row r="5219" spans="34:39" x14ac:dyDescent="0.35">
      <c r="AH5219" s="21"/>
      <c r="AI5219" s="21"/>
      <c r="AJ5219" s="21"/>
      <c r="AK5219" s="21"/>
      <c r="AM5219" s="26" t="s">
        <v>38</v>
      </c>
    </row>
    <row r="5220" spans="34:39" x14ac:dyDescent="0.35">
      <c r="AH5220" s="21"/>
      <c r="AI5220" s="21"/>
      <c r="AJ5220" s="21"/>
      <c r="AK5220" s="21"/>
      <c r="AM5220" s="26" t="s">
        <v>38</v>
      </c>
    </row>
    <row r="5221" spans="34:39" x14ac:dyDescent="0.35">
      <c r="AH5221" s="21"/>
      <c r="AI5221" s="21"/>
      <c r="AJ5221" s="21"/>
      <c r="AK5221" s="21"/>
      <c r="AM5221" s="26" t="s">
        <v>38</v>
      </c>
    </row>
    <row r="5222" spans="34:39" x14ac:dyDescent="0.35">
      <c r="AH5222" s="21"/>
      <c r="AI5222" s="21"/>
      <c r="AJ5222" s="21"/>
      <c r="AK5222" s="21"/>
      <c r="AM5222" s="26" t="s">
        <v>38</v>
      </c>
    </row>
    <row r="5223" spans="34:39" x14ac:dyDescent="0.35">
      <c r="AH5223" s="21"/>
      <c r="AI5223" s="21"/>
      <c r="AJ5223" s="21"/>
      <c r="AK5223" s="21"/>
      <c r="AM5223" s="26" t="s">
        <v>38</v>
      </c>
    </row>
    <row r="5224" spans="34:39" x14ac:dyDescent="0.35">
      <c r="AH5224" s="21"/>
      <c r="AI5224" s="21"/>
      <c r="AJ5224" s="21"/>
      <c r="AK5224" s="21"/>
      <c r="AM5224" s="26" t="s">
        <v>38</v>
      </c>
    </row>
    <row r="5225" spans="34:39" x14ac:dyDescent="0.35">
      <c r="AH5225" s="21"/>
      <c r="AI5225" s="21"/>
      <c r="AJ5225" s="21"/>
      <c r="AK5225" s="21"/>
      <c r="AM5225" s="26" t="s">
        <v>38</v>
      </c>
    </row>
    <row r="5226" spans="34:39" x14ac:dyDescent="0.35">
      <c r="AH5226" s="21"/>
      <c r="AI5226" s="21"/>
      <c r="AJ5226" s="21"/>
      <c r="AK5226" s="21"/>
      <c r="AM5226" s="26" t="s">
        <v>38</v>
      </c>
    </row>
    <row r="5227" spans="34:39" x14ac:dyDescent="0.35">
      <c r="AH5227" s="21"/>
      <c r="AI5227" s="21"/>
      <c r="AJ5227" s="21"/>
      <c r="AK5227" s="21"/>
      <c r="AM5227" s="26" t="s">
        <v>38</v>
      </c>
    </row>
    <row r="5228" spans="34:39" x14ac:dyDescent="0.35">
      <c r="AH5228" s="21"/>
      <c r="AI5228" s="21"/>
      <c r="AJ5228" s="21"/>
      <c r="AK5228" s="21"/>
      <c r="AM5228" s="26" t="s">
        <v>38</v>
      </c>
    </row>
    <row r="5229" spans="34:39" x14ac:dyDescent="0.35">
      <c r="AH5229" s="21"/>
      <c r="AI5229" s="21"/>
      <c r="AJ5229" s="21"/>
      <c r="AK5229" s="21"/>
      <c r="AM5229" s="26" t="s">
        <v>38</v>
      </c>
    </row>
    <row r="5230" spans="34:39" x14ac:dyDescent="0.35">
      <c r="AH5230" s="21"/>
      <c r="AI5230" s="21"/>
      <c r="AJ5230" s="21"/>
      <c r="AK5230" s="21"/>
      <c r="AM5230" s="26" t="s">
        <v>38</v>
      </c>
    </row>
    <row r="5231" spans="34:39" x14ac:dyDescent="0.35">
      <c r="AH5231" s="21"/>
      <c r="AI5231" s="21"/>
      <c r="AJ5231" s="21"/>
      <c r="AK5231" s="21"/>
      <c r="AM5231" s="26" t="s">
        <v>38</v>
      </c>
    </row>
    <row r="5232" spans="34:39" x14ac:dyDescent="0.35">
      <c r="AH5232" s="21"/>
      <c r="AI5232" s="21"/>
      <c r="AJ5232" s="21"/>
      <c r="AK5232" s="21"/>
      <c r="AM5232" s="26" t="s">
        <v>38</v>
      </c>
    </row>
    <row r="5233" spans="34:39" x14ac:dyDescent="0.35">
      <c r="AH5233" s="21"/>
      <c r="AI5233" s="21"/>
      <c r="AJ5233" s="21"/>
      <c r="AK5233" s="21"/>
      <c r="AM5233" s="26" t="s">
        <v>38</v>
      </c>
    </row>
    <row r="5234" spans="34:39" x14ac:dyDescent="0.35">
      <c r="AH5234" s="21"/>
      <c r="AI5234" s="21"/>
      <c r="AJ5234" s="21"/>
      <c r="AK5234" s="21"/>
      <c r="AM5234" s="26" t="s">
        <v>38</v>
      </c>
    </row>
    <row r="5235" spans="34:39" x14ac:dyDescent="0.35">
      <c r="AH5235" s="21"/>
      <c r="AI5235" s="21"/>
      <c r="AJ5235" s="21"/>
      <c r="AK5235" s="21"/>
      <c r="AM5235" s="26" t="s">
        <v>38</v>
      </c>
    </row>
    <row r="5236" spans="34:39" x14ac:dyDescent="0.35">
      <c r="AH5236" s="21"/>
      <c r="AI5236" s="21"/>
      <c r="AJ5236" s="21"/>
      <c r="AK5236" s="21"/>
      <c r="AM5236" s="26" t="s">
        <v>38</v>
      </c>
    </row>
    <row r="5237" spans="34:39" x14ac:dyDescent="0.35">
      <c r="AH5237" s="21"/>
      <c r="AI5237" s="21"/>
      <c r="AJ5237" s="21"/>
      <c r="AK5237" s="21"/>
      <c r="AM5237" s="26" t="s">
        <v>38</v>
      </c>
    </row>
    <row r="5238" spans="34:39" x14ac:dyDescent="0.35">
      <c r="AH5238" s="21"/>
      <c r="AI5238" s="21"/>
      <c r="AJ5238" s="21"/>
      <c r="AK5238" s="21"/>
      <c r="AM5238" s="26" t="s">
        <v>38</v>
      </c>
    </row>
    <row r="5239" spans="34:39" x14ac:dyDescent="0.35">
      <c r="AH5239" s="21"/>
      <c r="AI5239" s="21"/>
      <c r="AJ5239" s="21"/>
      <c r="AK5239" s="21"/>
      <c r="AM5239" s="26" t="s">
        <v>38</v>
      </c>
    </row>
    <row r="5240" spans="34:39" x14ac:dyDescent="0.35">
      <c r="AH5240" s="21"/>
      <c r="AI5240" s="21"/>
      <c r="AJ5240" s="21"/>
      <c r="AK5240" s="21"/>
      <c r="AM5240" s="26" t="s">
        <v>38</v>
      </c>
    </row>
    <row r="5241" spans="34:39" x14ac:dyDescent="0.35">
      <c r="AH5241" s="21"/>
      <c r="AI5241" s="21"/>
      <c r="AJ5241" s="21"/>
      <c r="AK5241" s="21"/>
      <c r="AM5241" s="26" t="s">
        <v>38</v>
      </c>
    </row>
    <row r="5242" spans="34:39" x14ac:dyDescent="0.35">
      <c r="AH5242" s="21"/>
      <c r="AI5242" s="21"/>
      <c r="AJ5242" s="21"/>
      <c r="AK5242" s="21"/>
      <c r="AM5242" s="26" t="s">
        <v>38</v>
      </c>
    </row>
    <row r="5243" spans="34:39" x14ac:dyDescent="0.35">
      <c r="AH5243" s="21"/>
      <c r="AI5243" s="21"/>
      <c r="AJ5243" s="21"/>
      <c r="AK5243" s="21"/>
      <c r="AM5243" s="26" t="s">
        <v>38</v>
      </c>
    </row>
    <row r="5244" spans="34:39" x14ac:dyDescent="0.35">
      <c r="AH5244" s="21"/>
      <c r="AI5244" s="21"/>
      <c r="AJ5244" s="21"/>
      <c r="AK5244" s="21"/>
      <c r="AM5244" s="26" t="s">
        <v>38</v>
      </c>
    </row>
    <row r="5245" spans="34:39" x14ac:dyDescent="0.35">
      <c r="AH5245" s="21"/>
      <c r="AI5245" s="21"/>
      <c r="AJ5245" s="21"/>
      <c r="AK5245" s="21"/>
      <c r="AM5245" s="26" t="s">
        <v>38</v>
      </c>
    </row>
    <row r="5246" spans="34:39" x14ac:dyDescent="0.35">
      <c r="AH5246" s="21"/>
      <c r="AI5246" s="21"/>
      <c r="AJ5246" s="21"/>
      <c r="AK5246" s="21"/>
      <c r="AM5246" s="26" t="s">
        <v>38</v>
      </c>
    </row>
    <row r="5247" spans="34:39" x14ac:dyDescent="0.35">
      <c r="AH5247" s="21"/>
      <c r="AI5247" s="21"/>
      <c r="AJ5247" s="21"/>
      <c r="AK5247" s="21"/>
      <c r="AM5247" s="26" t="s">
        <v>38</v>
      </c>
    </row>
    <row r="5248" spans="34:39" x14ac:dyDescent="0.35">
      <c r="AH5248" s="21"/>
      <c r="AI5248" s="21"/>
      <c r="AJ5248" s="21"/>
      <c r="AK5248" s="21"/>
      <c r="AM5248" s="26" t="s">
        <v>38</v>
      </c>
    </row>
    <row r="5249" spans="34:39" x14ac:dyDescent="0.35">
      <c r="AH5249" s="21"/>
      <c r="AI5249" s="21"/>
      <c r="AJ5249" s="21"/>
      <c r="AK5249" s="21"/>
      <c r="AM5249" s="26" t="s">
        <v>38</v>
      </c>
    </row>
    <row r="5250" spans="34:39" x14ac:dyDescent="0.35">
      <c r="AH5250" s="21"/>
      <c r="AI5250" s="21"/>
      <c r="AJ5250" s="21"/>
      <c r="AK5250" s="21"/>
      <c r="AM5250" s="26" t="s">
        <v>38</v>
      </c>
    </row>
    <row r="5251" spans="34:39" x14ac:dyDescent="0.35">
      <c r="AH5251" s="21"/>
      <c r="AI5251" s="21"/>
      <c r="AJ5251" s="21"/>
      <c r="AK5251" s="21"/>
      <c r="AM5251" s="26" t="s">
        <v>38</v>
      </c>
    </row>
    <row r="5252" spans="34:39" x14ac:dyDescent="0.35">
      <c r="AH5252" s="21"/>
      <c r="AI5252" s="21"/>
      <c r="AJ5252" s="21"/>
      <c r="AK5252" s="21"/>
      <c r="AM5252" s="26" t="s">
        <v>38</v>
      </c>
    </row>
    <row r="5253" spans="34:39" x14ac:dyDescent="0.35">
      <c r="AH5253" s="21"/>
      <c r="AI5253" s="21"/>
      <c r="AJ5253" s="21"/>
      <c r="AK5253" s="21"/>
      <c r="AM5253" s="26" t="s">
        <v>38</v>
      </c>
    </row>
    <row r="5254" spans="34:39" x14ac:dyDescent="0.35">
      <c r="AH5254" s="21"/>
      <c r="AI5254" s="21"/>
      <c r="AJ5254" s="21"/>
      <c r="AK5254" s="21"/>
      <c r="AM5254" s="26" t="s">
        <v>38</v>
      </c>
    </row>
    <row r="5255" spans="34:39" x14ac:dyDescent="0.35">
      <c r="AH5255" s="21"/>
      <c r="AI5255" s="21"/>
      <c r="AJ5255" s="21"/>
      <c r="AK5255" s="21"/>
      <c r="AM5255" s="26" t="s">
        <v>38</v>
      </c>
    </row>
    <row r="5256" spans="34:39" x14ac:dyDescent="0.35">
      <c r="AH5256" s="21"/>
      <c r="AI5256" s="21"/>
      <c r="AJ5256" s="21"/>
      <c r="AK5256" s="21"/>
      <c r="AM5256" s="26" t="s">
        <v>38</v>
      </c>
    </row>
    <row r="5257" spans="34:39" x14ac:dyDescent="0.35">
      <c r="AH5257" s="21"/>
      <c r="AI5257" s="21"/>
      <c r="AJ5257" s="21"/>
      <c r="AK5257" s="21"/>
      <c r="AM5257" s="26" t="s">
        <v>38</v>
      </c>
    </row>
    <row r="5258" spans="34:39" x14ac:dyDescent="0.35">
      <c r="AH5258" s="21"/>
      <c r="AI5258" s="21"/>
      <c r="AJ5258" s="21"/>
      <c r="AK5258" s="21"/>
      <c r="AM5258" s="26" t="s">
        <v>38</v>
      </c>
    </row>
    <row r="5259" spans="34:39" x14ac:dyDescent="0.35">
      <c r="AH5259" s="21"/>
      <c r="AI5259" s="21"/>
      <c r="AJ5259" s="21"/>
      <c r="AK5259" s="21"/>
      <c r="AM5259" s="26" t="s">
        <v>38</v>
      </c>
    </row>
    <row r="5260" spans="34:39" x14ac:dyDescent="0.35">
      <c r="AH5260" s="21"/>
      <c r="AI5260" s="21"/>
      <c r="AJ5260" s="21"/>
      <c r="AK5260" s="21"/>
      <c r="AM5260" s="26" t="s">
        <v>38</v>
      </c>
    </row>
    <row r="5261" spans="34:39" x14ac:dyDescent="0.35">
      <c r="AH5261" s="21"/>
      <c r="AI5261" s="21"/>
      <c r="AJ5261" s="21"/>
      <c r="AK5261" s="21"/>
      <c r="AM5261" s="26" t="s">
        <v>38</v>
      </c>
    </row>
    <row r="5262" spans="34:39" x14ac:dyDescent="0.35">
      <c r="AH5262" s="21"/>
      <c r="AI5262" s="21"/>
      <c r="AJ5262" s="21"/>
      <c r="AK5262" s="21"/>
      <c r="AM5262" s="26" t="s">
        <v>38</v>
      </c>
    </row>
    <row r="5263" spans="34:39" x14ac:dyDescent="0.35">
      <c r="AH5263" s="21"/>
      <c r="AI5263" s="21"/>
      <c r="AJ5263" s="21"/>
      <c r="AK5263" s="21"/>
      <c r="AM5263" s="26" t="s">
        <v>38</v>
      </c>
    </row>
    <row r="5264" spans="34:39" x14ac:dyDescent="0.35">
      <c r="AH5264" s="21"/>
      <c r="AI5264" s="21"/>
      <c r="AJ5264" s="21"/>
      <c r="AK5264" s="21"/>
      <c r="AM5264" s="26" t="s">
        <v>38</v>
      </c>
    </row>
    <row r="5265" spans="34:39" x14ac:dyDescent="0.35">
      <c r="AH5265" s="21"/>
      <c r="AI5265" s="21"/>
      <c r="AJ5265" s="21"/>
      <c r="AK5265" s="21"/>
      <c r="AM5265" s="26" t="s">
        <v>38</v>
      </c>
    </row>
    <row r="5266" spans="34:39" x14ac:dyDescent="0.35">
      <c r="AH5266" s="21"/>
      <c r="AI5266" s="21"/>
      <c r="AJ5266" s="21"/>
      <c r="AK5266" s="21"/>
      <c r="AM5266" s="26" t="s">
        <v>38</v>
      </c>
    </row>
    <row r="5267" spans="34:39" x14ac:dyDescent="0.35">
      <c r="AH5267" s="21"/>
      <c r="AI5267" s="21"/>
      <c r="AJ5267" s="21"/>
      <c r="AK5267" s="21"/>
      <c r="AM5267" s="26" t="s">
        <v>38</v>
      </c>
    </row>
    <row r="5268" spans="34:39" x14ac:dyDescent="0.35">
      <c r="AH5268" s="21"/>
      <c r="AI5268" s="21"/>
      <c r="AJ5268" s="21"/>
      <c r="AK5268" s="21"/>
      <c r="AM5268" s="26" t="s">
        <v>38</v>
      </c>
    </row>
    <row r="5269" spans="34:39" x14ac:dyDescent="0.35">
      <c r="AH5269" s="21"/>
      <c r="AI5269" s="21"/>
      <c r="AJ5269" s="21"/>
      <c r="AK5269" s="21"/>
      <c r="AM5269" s="26" t="s">
        <v>38</v>
      </c>
    </row>
    <row r="5270" spans="34:39" x14ac:dyDescent="0.35">
      <c r="AH5270" s="21"/>
      <c r="AI5270" s="21"/>
      <c r="AJ5270" s="21"/>
      <c r="AK5270" s="21"/>
      <c r="AM5270" s="26" t="s">
        <v>38</v>
      </c>
    </row>
    <row r="5271" spans="34:39" x14ac:dyDescent="0.35">
      <c r="AH5271" s="21"/>
      <c r="AI5271" s="21"/>
      <c r="AJ5271" s="21"/>
      <c r="AK5271" s="21"/>
      <c r="AM5271" s="26" t="s">
        <v>38</v>
      </c>
    </row>
    <row r="5272" spans="34:39" x14ac:dyDescent="0.35">
      <c r="AH5272" s="21"/>
      <c r="AI5272" s="21"/>
      <c r="AJ5272" s="21"/>
      <c r="AK5272" s="21"/>
      <c r="AM5272" s="26" t="s">
        <v>38</v>
      </c>
    </row>
    <row r="5273" spans="34:39" x14ac:dyDescent="0.35">
      <c r="AH5273" s="21"/>
      <c r="AI5273" s="21"/>
      <c r="AJ5273" s="21"/>
      <c r="AK5273" s="21"/>
      <c r="AM5273" s="26" t="s">
        <v>38</v>
      </c>
    </row>
    <row r="5274" spans="34:39" x14ac:dyDescent="0.35">
      <c r="AH5274" s="21"/>
      <c r="AI5274" s="21"/>
      <c r="AJ5274" s="21"/>
      <c r="AK5274" s="21"/>
      <c r="AM5274" s="26" t="s">
        <v>38</v>
      </c>
    </row>
    <row r="5275" spans="34:39" x14ac:dyDescent="0.35">
      <c r="AH5275" s="21"/>
      <c r="AI5275" s="21"/>
      <c r="AJ5275" s="21"/>
      <c r="AK5275" s="21"/>
      <c r="AM5275" s="26" t="s">
        <v>38</v>
      </c>
    </row>
    <row r="5276" spans="34:39" x14ac:dyDescent="0.35">
      <c r="AH5276" s="21"/>
      <c r="AI5276" s="21"/>
      <c r="AJ5276" s="21"/>
      <c r="AK5276" s="21"/>
      <c r="AM5276" s="26" t="s">
        <v>38</v>
      </c>
    </row>
    <row r="5277" spans="34:39" x14ac:dyDescent="0.35">
      <c r="AH5277" s="21"/>
      <c r="AI5277" s="21"/>
      <c r="AJ5277" s="21"/>
      <c r="AK5277" s="21"/>
      <c r="AM5277" s="26" t="s">
        <v>38</v>
      </c>
    </row>
    <row r="5278" spans="34:39" x14ac:dyDescent="0.35">
      <c r="AH5278" s="21"/>
      <c r="AI5278" s="21"/>
      <c r="AJ5278" s="21"/>
      <c r="AK5278" s="21"/>
      <c r="AM5278" s="26" t="s">
        <v>38</v>
      </c>
    </row>
    <row r="5279" spans="34:39" x14ac:dyDescent="0.35">
      <c r="AH5279" s="21"/>
      <c r="AI5279" s="21"/>
      <c r="AJ5279" s="21"/>
      <c r="AK5279" s="21"/>
      <c r="AM5279" s="26" t="s">
        <v>38</v>
      </c>
    </row>
    <row r="5280" spans="34:39" x14ac:dyDescent="0.35">
      <c r="AH5280" s="21"/>
      <c r="AI5280" s="21"/>
      <c r="AJ5280" s="21"/>
      <c r="AK5280" s="21"/>
      <c r="AM5280" s="26" t="s">
        <v>38</v>
      </c>
    </row>
    <row r="5281" spans="34:39" x14ac:dyDescent="0.35">
      <c r="AH5281" s="21"/>
      <c r="AI5281" s="21"/>
      <c r="AJ5281" s="21"/>
      <c r="AK5281" s="21"/>
      <c r="AM5281" s="26" t="s">
        <v>38</v>
      </c>
    </row>
    <row r="5282" spans="34:39" x14ac:dyDescent="0.35">
      <c r="AH5282" s="21"/>
      <c r="AI5282" s="21"/>
      <c r="AJ5282" s="21"/>
      <c r="AK5282" s="21"/>
      <c r="AM5282" s="26" t="s">
        <v>38</v>
      </c>
    </row>
    <row r="5283" spans="34:39" x14ac:dyDescent="0.35">
      <c r="AH5283" s="21"/>
      <c r="AI5283" s="21"/>
      <c r="AJ5283" s="21"/>
      <c r="AK5283" s="21"/>
      <c r="AM5283" s="26" t="s">
        <v>38</v>
      </c>
    </row>
    <row r="5284" spans="34:39" x14ac:dyDescent="0.35">
      <c r="AH5284" s="21"/>
      <c r="AI5284" s="21"/>
      <c r="AJ5284" s="21"/>
      <c r="AK5284" s="21"/>
      <c r="AM5284" s="26" t="s">
        <v>38</v>
      </c>
    </row>
    <row r="5285" spans="34:39" x14ac:dyDescent="0.35">
      <c r="AH5285" s="21"/>
      <c r="AI5285" s="21"/>
      <c r="AJ5285" s="21"/>
      <c r="AK5285" s="21"/>
      <c r="AM5285" s="26" t="s">
        <v>38</v>
      </c>
    </row>
    <row r="5286" spans="34:39" x14ac:dyDescent="0.35">
      <c r="AH5286" s="21"/>
      <c r="AI5286" s="21"/>
      <c r="AJ5286" s="21"/>
      <c r="AK5286" s="21"/>
      <c r="AM5286" s="26" t="s">
        <v>38</v>
      </c>
    </row>
    <row r="5287" spans="34:39" x14ac:dyDescent="0.35">
      <c r="AH5287" s="21"/>
      <c r="AI5287" s="21"/>
      <c r="AJ5287" s="21"/>
      <c r="AK5287" s="21"/>
      <c r="AM5287" s="26" t="s">
        <v>38</v>
      </c>
    </row>
    <row r="5288" spans="34:39" x14ac:dyDescent="0.35">
      <c r="AH5288" s="21"/>
      <c r="AI5288" s="21"/>
      <c r="AJ5288" s="21"/>
      <c r="AK5288" s="21"/>
      <c r="AM5288" s="26" t="s">
        <v>38</v>
      </c>
    </row>
    <row r="5289" spans="34:39" x14ac:dyDescent="0.35">
      <c r="AH5289" s="21"/>
      <c r="AI5289" s="21"/>
      <c r="AJ5289" s="21"/>
      <c r="AK5289" s="21"/>
      <c r="AM5289" s="26" t="s">
        <v>38</v>
      </c>
    </row>
    <row r="5290" spans="34:39" x14ac:dyDescent="0.35">
      <c r="AH5290" s="21"/>
      <c r="AI5290" s="21"/>
      <c r="AJ5290" s="21"/>
      <c r="AK5290" s="21"/>
      <c r="AM5290" s="26" t="s">
        <v>38</v>
      </c>
    </row>
    <row r="5291" spans="34:39" x14ac:dyDescent="0.35">
      <c r="AH5291" s="21"/>
      <c r="AI5291" s="21"/>
      <c r="AJ5291" s="21"/>
      <c r="AK5291" s="21"/>
      <c r="AM5291" s="26" t="s">
        <v>38</v>
      </c>
    </row>
    <row r="5292" spans="34:39" x14ac:dyDescent="0.35">
      <c r="AH5292" s="21"/>
      <c r="AI5292" s="21"/>
      <c r="AJ5292" s="21"/>
      <c r="AK5292" s="21"/>
      <c r="AM5292" s="26" t="s">
        <v>38</v>
      </c>
    </row>
    <row r="5293" spans="34:39" x14ac:dyDescent="0.35">
      <c r="AH5293" s="21"/>
      <c r="AI5293" s="21"/>
      <c r="AJ5293" s="21"/>
      <c r="AK5293" s="21"/>
      <c r="AM5293" s="26" t="s">
        <v>38</v>
      </c>
    </row>
    <row r="5294" spans="34:39" x14ac:dyDescent="0.35">
      <c r="AH5294" s="21"/>
      <c r="AI5294" s="21"/>
      <c r="AJ5294" s="21"/>
      <c r="AK5294" s="21"/>
      <c r="AM5294" s="26" t="s">
        <v>38</v>
      </c>
    </row>
    <row r="5295" spans="34:39" x14ac:dyDescent="0.35">
      <c r="AH5295" s="21"/>
      <c r="AI5295" s="21"/>
      <c r="AJ5295" s="21"/>
      <c r="AK5295" s="21"/>
      <c r="AM5295" s="26" t="s">
        <v>38</v>
      </c>
    </row>
    <row r="5296" spans="34:39" x14ac:dyDescent="0.35">
      <c r="AH5296" s="21"/>
      <c r="AI5296" s="21"/>
      <c r="AJ5296" s="21"/>
      <c r="AK5296" s="21"/>
      <c r="AM5296" s="26" t="s">
        <v>38</v>
      </c>
    </row>
    <row r="5297" spans="34:39" x14ac:dyDescent="0.35">
      <c r="AH5297" s="21"/>
      <c r="AI5297" s="21"/>
      <c r="AJ5297" s="21"/>
      <c r="AK5297" s="21"/>
      <c r="AM5297" s="26" t="s">
        <v>38</v>
      </c>
    </row>
    <row r="5298" spans="34:39" x14ac:dyDescent="0.35">
      <c r="AH5298" s="21"/>
      <c r="AI5298" s="21"/>
      <c r="AJ5298" s="21"/>
      <c r="AK5298" s="21"/>
      <c r="AM5298" s="26" t="s">
        <v>38</v>
      </c>
    </row>
    <row r="5299" spans="34:39" x14ac:dyDescent="0.35">
      <c r="AH5299" s="21"/>
      <c r="AI5299" s="21"/>
      <c r="AJ5299" s="21"/>
      <c r="AK5299" s="21"/>
      <c r="AM5299" s="26" t="s">
        <v>38</v>
      </c>
    </row>
    <row r="5300" spans="34:39" x14ac:dyDescent="0.35">
      <c r="AH5300" s="21"/>
      <c r="AI5300" s="21"/>
      <c r="AJ5300" s="21"/>
      <c r="AK5300" s="21"/>
      <c r="AM5300" s="26" t="s">
        <v>38</v>
      </c>
    </row>
    <row r="5301" spans="34:39" x14ac:dyDescent="0.35">
      <c r="AH5301" s="21"/>
      <c r="AI5301" s="21"/>
      <c r="AJ5301" s="21"/>
      <c r="AK5301" s="21"/>
      <c r="AM5301" s="26" t="s">
        <v>38</v>
      </c>
    </row>
    <row r="5302" spans="34:39" x14ac:dyDescent="0.35">
      <c r="AH5302" s="21"/>
      <c r="AI5302" s="21"/>
      <c r="AJ5302" s="21"/>
      <c r="AK5302" s="21"/>
      <c r="AM5302" s="26" t="s">
        <v>38</v>
      </c>
    </row>
    <row r="5303" spans="34:39" x14ac:dyDescent="0.35">
      <c r="AH5303" s="21"/>
      <c r="AI5303" s="21"/>
      <c r="AJ5303" s="21"/>
      <c r="AK5303" s="21"/>
      <c r="AM5303" s="26" t="s">
        <v>38</v>
      </c>
    </row>
    <row r="5304" spans="34:39" x14ac:dyDescent="0.35">
      <c r="AH5304" s="21"/>
      <c r="AI5304" s="21"/>
      <c r="AJ5304" s="21"/>
      <c r="AK5304" s="21"/>
      <c r="AM5304" s="26" t="s">
        <v>38</v>
      </c>
    </row>
    <row r="5305" spans="34:39" x14ac:dyDescent="0.35">
      <c r="AH5305" s="21"/>
      <c r="AI5305" s="21"/>
      <c r="AJ5305" s="21"/>
      <c r="AK5305" s="21"/>
      <c r="AM5305" s="26" t="s">
        <v>38</v>
      </c>
    </row>
    <row r="5306" spans="34:39" x14ac:dyDescent="0.35">
      <c r="AH5306" s="21"/>
      <c r="AI5306" s="21"/>
      <c r="AJ5306" s="21"/>
      <c r="AK5306" s="21"/>
      <c r="AM5306" s="26" t="s">
        <v>38</v>
      </c>
    </row>
    <row r="5307" spans="34:39" x14ac:dyDescent="0.35">
      <c r="AH5307" s="21"/>
      <c r="AI5307" s="21"/>
      <c r="AJ5307" s="21"/>
      <c r="AK5307" s="21"/>
      <c r="AM5307" s="26" t="s">
        <v>38</v>
      </c>
    </row>
    <row r="5308" spans="34:39" x14ac:dyDescent="0.35">
      <c r="AH5308" s="21"/>
      <c r="AI5308" s="21"/>
      <c r="AJ5308" s="21"/>
      <c r="AK5308" s="21"/>
      <c r="AM5308" s="26" t="s">
        <v>38</v>
      </c>
    </row>
    <row r="5309" spans="34:39" x14ac:dyDescent="0.35">
      <c r="AH5309" s="21"/>
      <c r="AI5309" s="21"/>
      <c r="AJ5309" s="21"/>
      <c r="AK5309" s="21"/>
      <c r="AM5309" s="26" t="s">
        <v>38</v>
      </c>
    </row>
    <row r="5310" spans="34:39" x14ac:dyDescent="0.35">
      <c r="AH5310" s="21"/>
      <c r="AI5310" s="21"/>
      <c r="AJ5310" s="21"/>
      <c r="AK5310" s="21"/>
      <c r="AM5310" s="26" t="s">
        <v>38</v>
      </c>
    </row>
    <row r="5311" spans="34:39" x14ac:dyDescent="0.35">
      <c r="AH5311" s="21"/>
      <c r="AI5311" s="21"/>
      <c r="AJ5311" s="21"/>
      <c r="AK5311" s="21"/>
      <c r="AM5311" s="26" t="s">
        <v>38</v>
      </c>
    </row>
    <row r="5312" spans="34:39" x14ac:dyDescent="0.35">
      <c r="AH5312" s="21"/>
      <c r="AI5312" s="21"/>
      <c r="AJ5312" s="21"/>
      <c r="AK5312" s="21"/>
      <c r="AM5312" s="26" t="s">
        <v>38</v>
      </c>
    </row>
    <row r="5313" spans="34:39" x14ac:dyDescent="0.35">
      <c r="AH5313" s="21"/>
      <c r="AI5313" s="21"/>
      <c r="AJ5313" s="21"/>
      <c r="AK5313" s="21"/>
      <c r="AM5313" s="26" t="s">
        <v>38</v>
      </c>
    </row>
    <row r="5314" spans="34:39" x14ac:dyDescent="0.35">
      <c r="AH5314" s="21"/>
      <c r="AI5314" s="21"/>
      <c r="AJ5314" s="21"/>
      <c r="AK5314" s="21"/>
      <c r="AM5314" s="26" t="s">
        <v>38</v>
      </c>
    </row>
    <row r="5315" spans="34:39" x14ac:dyDescent="0.35">
      <c r="AH5315" s="21"/>
      <c r="AI5315" s="21"/>
      <c r="AJ5315" s="21"/>
      <c r="AK5315" s="21"/>
      <c r="AM5315" s="26" t="s">
        <v>38</v>
      </c>
    </row>
    <row r="5316" spans="34:39" x14ac:dyDescent="0.35">
      <c r="AH5316" s="21"/>
      <c r="AI5316" s="21"/>
      <c r="AJ5316" s="21"/>
      <c r="AK5316" s="21"/>
      <c r="AM5316" s="26" t="s">
        <v>38</v>
      </c>
    </row>
    <row r="5317" spans="34:39" x14ac:dyDescent="0.35">
      <c r="AH5317" s="21"/>
      <c r="AI5317" s="21"/>
      <c r="AJ5317" s="21"/>
      <c r="AK5317" s="21"/>
      <c r="AM5317" s="26" t="s">
        <v>38</v>
      </c>
    </row>
    <row r="5318" spans="34:39" x14ac:dyDescent="0.35">
      <c r="AH5318" s="21"/>
      <c r="AI5318" s="21"/>
      <c r="AJ5318" s="21"/>
      <c r="AK5318" s="21"/>
      <c r="AM5318" s="26" t="s">
        <v>38</v>
      </c>
    </row>
    <row r="5319" spans="34:39" x14ac:dyDescent="0.35">
      <c r="AH5319" s="21"/>
      <c r="AI5319" s="21"/>
      <c r="AJ5319" s="21"/>
      <c r="AK5319" s="21"/>
      <c r="AM5319" s="26" t="s">
        <v>38</v>
      </c>
    </row>
    <row r="5320" spans="34:39" x14ac:dyDescent="0.35">
      <c r="AH5320" s="21"/>
      <c r="AI5320" s="21"/>
      <c r="AJ5320" s="21"/>
      <c r="AK5320" s="21"/>
      <c r="AM5320" s="26" t="s">
        <v>38</v>
      </c>
    </row>
    <row r="5321" spans="34:39" x14ac:dyDescent="0.35">
      <c r="AH5321" s="21"/>
      <c r="AI5321" s="21"/>
      <c r="AJ5321" s="21"/>
      <c r="AK5321" s="21"/>
      <c r="AM5321" s="26" t="s">
        <v>38</v>
      </c>
    </row>
    <row r="5322" spans="34:39" x14ac:dyDescent="0.35">
      <c r="AH5322" s="21"/>
      <c r="AI5322" s="21"/>
      <c r="AJ5322" s="21"/>
      <c r="AK5322" s="21"/>
      <c r="AM5322" s="26" t="s">
        <v>38</v>
      </c>
    </row>
    <row r="5323" spans="34:39" x14ac:dyDescent="0.35">
      <c r="AH5323" s="21"/>
      <c r="AI5323" s="21"/>
      <c r="AJ5323" s="21"/>
      <c r="AK5323" s="21"/>
      <c r="AM5323" s="26" t="s">
        <v>38</v>
      </c>
    </row>
    <row r="5324" spans="34:39" x14ac:dyDescent="0.35">
      <c r="AH5324" s="21"/>
      <c r="AI5324" s="21"/>
      <c r="AJ5324" s="21"/>
      <c r="AK5324" s="21"/>
      <c r="AM5324" s="26" t="s">
        <v>38</v>
      </c>
    </row>
    <row r="5325" spans="34:39" x14ac:dyDescent="0.35">
      <c r="AH5325" s="21"/>
      <c r="AI5325" s="21"/>
      <c r="AJ5325" s="21"/>
      <c r="AK5325" s="21"/>
      <c r="AM5325" s="26" t="s">
        <v>38</v>
      </c>
    </row>
    <row r="5326" spans="34:39" x14ac:dyDescent="0.35">
      <c r="AH5326" s="21"/>
      <c r="AI5326" s="21"/>
      <c r="AJ5326" s="21"/>
      <c r="AK5326" s="21"/>
      <c r="AM5326" s="26" t="s">
        <v>38</v>
      </c>
    </row>
    <row r="5327" spans="34:39" x14ac:dyDescent="0.35">
      <c r="AH5327" s="21"/>
      <c r="AI5327" s="21"/>
      <c r="AJ5327" s="21"/>
      <c r="AK5327" s="21"/>
      <c r="AM5327" s="26" t="s">
        <v>38</v>
      </c>
    </row>
    <row r="5328" spans="34:39" x14ac:dyDescent="0.35">
      <c r="AH5328" s="21"/>
      <c r="AI5328" s="21"/>
      <c r="AJ5328" s="21"/>
      <c r="AK5328" s="21"/>
      <c r="AM5328" s="26" t="s">
        <v>38</v>
      </c>
    </row>
    <row r="5329" spans="34:39" x14ac:dyDescent="0.35">
      <c r="AH5329" s="21"/>
      <c r="AI5329" s="21"/>
      <c r="AJ5329" s="21"/>
      <c r="AK5329" s="21"/>
      <c r="AM5329" s="26" t="s">
        <v>38</v>
      </c>
    </row>
    <row r="5330" spans="34:39" x14ac:dyDescent="0.35">
      <c r="AH5330" s="21"/>
      <c r="AI5330" s="21"/>
      <c r="AJ5330" s="21"/>
      <c r="AK5330" s="21"/>
      <c r="AM5330" s="26" t="s">
        <v>38</v>
      </c>
    </row>
    <row r="5331" spans="34:39" x14ac:dyDescent="0.35">
      <c r="AH5331" s="21"/>
      <c r="AI5331" s="21"/>
      <c r="AJ5331" s="21"/>
      <c r="AK5331" s="21"/>
      <c r="AM5331" s="26" t="s">
        <v>38</v>
      </c>
    </row>
    <row r="5332" spans="34:39" x14ac:dyDescent="0.35">
      <c r="AH5332" s="21"/>
      <c r="AI5332" s="21"/>
      <c r="AJ5332" s="21"/>
      <c r="AK5332" s="21"/>
      <c r="AM5332" s="26" t="s">
        <v>38</v>
      </c>
    </row>
    <row r="5333" spans="34:39" x14ac:dyDescent="0.35">
      <c r="AH5333" s="21"/>
      <c r="AI5333" s="21"/>
      <c r="AJ5333" s="21"/>
      <c r="AK5333" s="21"/>
      <c r="AM5333" s="26" t="s">
        <v>38</v>
      </c>
    </row>
    <row r="5334" spans="34:39" x14ac:dyDescent="0.35">
      <c r="AH5334" s="21"/>
      <c r="AI5334" s="21"/>
      <c r="AJ5334" s="21"/>
      <c r="AK5334" s="21"/>
      <c r="AM5334" s="26" t="s">
        <v>38</v>
      </c>
    </row>
    <row r="5335" spans="34:39" x14ac:dyDescent="0.35">
      <c r="AH5335" s="21"/>
      <c r="AI5335" s="21"/>
      <c r="AJ5335" s="21"/>
      <c r="AK5335" s="21"/>
      <c r="AM5335" s="26" t="s">
        <v>38</v>
      </c>
    </row>
    <row r="5336" spans="34:39" x14ac:dyDescent="0.35">
      <c r="AH5336" s="21"/>
      <c r="AI5336" s="21"/>
      <c r="AJ5336" s="21"/>
      <c r="AK5336" s="21"/>
      <c r="AM5336" s="26" t="s">
        <v>38</v>
      </c>
    </row>
    <row r="5337" spans="34:39" x14ac:dyDescent="0.35">
      <c r="AH5337" s="21"/>
      <c r="AI5337" s="21"/>
      <c r="AJ5337" s="21"/>
      <c r="AK5337" s="21"/>
      <c r="AM5337" s="26" t="s">
        <v>38</v>
      </c>
    </row>
    <row r="5338" spans="34:39" x14ac:dyDescent="0.35">
      <c r="AH5338" s="21"/>
      <c r="AI5338" s="21"/>
      <c r="AJ5338" s="21"/>
      <c r="AK5338" s="21"/>
      <c r="AM5338" s="26" t="s">
        <v>38</v>
      </c>
    </row>
    <row r="5339" spans="34:39" x14ac:dyDescent="0.35">
      <c r="AH5339" s="21"/>
      <c r="AI5339" s="21"/>
      <c r="AJ5339" s="21"/>
      <c r="AK5339" s="21"/>
      <c r="AM5339" s="26" t="s">
        <v>38</v>
      </c>
    </row>
    <row r="5340" spans="34:39" x14ac:dyDescent="0.35">
      <c r="AH5340" s="21"/>
      <c r="AI5340" s="21"/>
      <c r="AJ5340" s="21"/>
      <c r="AK5340" s="21"/>
      <c r="AM5340" s="26" t="s">
        <v>38</v>
      </c>
    </row>
    <row r="5341" spans="34:39" x14ac:dyDescent="0.35">
      <c r="AH5341" s="21"/>
      <c r="AI5341" s="21"/>
      <c r="AJ5341" s="21"/>
      <c r="AK5341" s="21"/>
      <c r="AM5341" s="26" t="s">
        <v>38</v>
      </c>
    </row>
    <row r="5342" spans="34:39" x14ac:dyDescent="0.35">
      <c r="AH5342" s="21"/>
      <c r="AI5342" s="21"/>
      <c r="AJ5342" s="21"/>
      <c r="AK5342" s="21"/>
      <c r="AM5342" s="26" t="s">
        <v>38</v>
      </c>
    </row>
    <row r="5343" spans="34:39" x14ac:dyDescent="0.35">
      <c r="AH5343" s="21"/>
      <c r="AI5343" s="21"/>
      <c r="AJ5343" s="21"/>
      <c r="AK5343" s="21"/>
      <c r="AM5343" s="26" t="s">
        <v>38</v>
      </c>
    </row>
    <row r="5344" spans="34:39" x14ac:dyDescent="0.35">
      <c r="AH5344" s="21"/>
      <c r="AI5344" s="21"/>
      <c r="AJ5344" s="21"/>
      <c r="AK5344" s="21"/>
      <c r="AM5344" s="26" t="s">
        <v>38</v>
      </c>
    </row>
    <row r="5345" spans="34:39" x14ac:dyDescent="0.35">
      <c r="AH5345" s="21"/>
      <c r="AI5345" s="21"/>
      <c r="AJ5345" s="21"/>
      <c r="AK5345" s="21"/>
      <c r="AM5345" s="26" t="s">
        <v>38</v>
      </c>
    </row>
    <row r="5346" spans="34:39" x14ac:dyDescent="0.35">
      <c r="AH5346" s="21"/>
      <c r="AI5346" s="21"/>
      <c r="AJ5346" s="21"/>
      <c r="AK5346" s="21"/>
      <c r="AM5346" s="26" t="s">
        <v>38</v>
      </c>
    </row>
    <row r="5347" spans="34:39" x14ac:dyDescent="0.35">
      <c r="AH5347" s="21"/>
      <c r="AI5347" s="21"/>
      <c r="AJ5347" s="21"/>
      <c r="AK5347" s="21"/>
      <c r="AM5347" s="26" t="s">
        <v>38</v>
      </c>
    </row>
    <row r="5348" spans="34:39" x14ac:dyDescent="0.35">
      <c r="AH5348" s="21"/>
      <c r="AI5348" s="21"/>
      <c r="AJ5348" s="21"/>
      <c r="AK5348" s="21"/>
      <c r="AM5348" s="26" t="s">
        <v>38</v>
      </c>
    </row>
    <row r="5349" spans="34:39" x14ac:dyDescent="0.35">
      <c r="AH5349" s="21"/>
      <c r="AI5349" s="21"/>
      <c r="AJ5349" s="21"/>
      <c r="AK5349" s="21"/>
      <c r="AM5349" s="26" t="s">
        <v>38</v>
      </c>
    </row>
    <row r="5350" spans="34:39" x14ac:dyDescent="0.35">
      <c r="AH5350" s="21"/>
      <c r="AI5350" s="21"/>
      <c r="AJ5350" s="21"/>
      <c r="AK5350" s="21"/>
      <c r="AM5350" s="26" t="s">
        <v>38</v>
      </c>
    </row>
    <row r="5351" spans="34:39" x14ac:dyDescent="0.35">
      <c r="AH5351" s="21"/>
      <c r="AI5351" s="21"/>
      <c r="AJ5351" s="21"/>
      <c r="AK5351" s="21"/>
      <c r="AM5351" s="26" t="s">
        <v>38</v>
      </c>
    </row>
    <row r="5352" spans="34:39" x14ac:dyDescent="0.35">
      <c r="AH5352" s="21"/>
      <c r="AI5352" s="21"/>
      <c r="AJ5352" s="21"/>
      <c r="AK5352" s="21"/>
      <c r="AM5352" s="26" t="s">
        <v>38</v>
      </c>
    </row>
    <row r="5353" spans="34:39" x14ac:dyDescent="0.35">
      <c r="AH5353" s="21"/>
      <c r="AI5353" s="21"/>
      <c r="AJ5353" s="21"/>
      <c r="AK5353" s="21"/>
      <c r="AM5353" s="26" t="s">
        <v>38</v>
      </c>
    </row>
    <row r="5354" spans="34:39" x14ac:dyDescent="0.35">
      <c r="AH5354" s="21"/>
      <c r="AI5354" s="21"/>
      <c r="AJ5354" s="21"/>
      <c r="AK5354" s="21"/>
      <c r="AM5354" s="26" t="s">
        <v>38</v>
      </c>
    </row>
    <row r="5355" spans="34:39" x14ac:dyDescent="0.35">
      <c r="AH5355" s="21"/>
      <c r="AI5355" s="21"/>
      <c r="AJ5355" s="21"/>
      <c r="AK5355" s="21"/>
      <c r="AM5355" s="26" t="s">
        <v>38</v>
      </c>
    </row>
    <row r="5356" spans="34:39" x14ac:dyDescent="0.35">
      <c r="AH5356" s="21"/>
      <c r="AI5356" s="21"/>
      <c r="AJ5356" s="21"/>
      <c r="AK5356" s="21"/>
      <c r="AM5356" s="26" t="s">
        <v>38</v>
      </c>
    </row>
    <row r="5357" spans="34:39" x14ac:dyDescent="0.35">
      <c r="AH5357" s="21"/>
      <c r="AI5357" s="21"/>
      <c r="AJ5357" s="21"/>
      <c r="AK5357" s="21"/>
      <c r="AM5357" s="26" t="s">
        <v>38</v>
      </c>
    </row>
    <row r="5358" spans="34:39" x14ac:dyDescent="0.35">
      <c r="AH5358" s="21"/>
      <c r="AI5358" s="21"/>
      <c r="AJ5358" s="21"/>
      <c r="AK5358" s="21"/>
      <c r="AM5358" s="26" t="s">
        <v>38</v>
      </c>
    </row>
    <row r="5359" spans="34:39" x14ac:dyDescent="0.35">
      <c r="AH5359" s="21"/>
      <c r="AI5359" s="21"/>
      <c r="AJ5359" s="21"/>
      <c r="AK5359" s="21"/>
      <c r="AM5359" s="26" t="s">
        <v>38</v>
      </c>
    </row>
    <row r="5360" spans="34:39" x14ac:dyDescent="0.35">
      <c r="AH5360" s="21"/>
      <c r="AI5360" s="21"/>
      <c r="AJ5360" s="21"/>
      <c r="AK5360" s="21"/>
      <c r="AM5360" s="26" t="s">
        <v>38</v>
      </c>
    </row>
    <row r="5361" spans="34:39" x14ac:dyDescent="0.35">
      <c r="AH5361" s="21"/>
      <c r="AI5361" s="21"/>
      <c r="AJ5361" s="21"/>
      <c r="AK5361" s="21"/>
      <c r="AM5361" s="26" t="s">
        <v>38</v>
      </c>
    </row>
    <row r="5362" spans="34:39" x14ac:dyDescent="0.35">
      <c r="AH5362" s="21"/>
      <c r="AI5362" s="21"/>
      <c r="AJ5362" s="21"/>
      <c r="AK5362" s="21"/>
      <c r="AM5362" s="26" t="s">
        <v>38</v>
      </c>
    </row>
    <row r="5363" spans="34:39" x14ac:dyDescent="0.35">
      <c r="AH5363" s="21"/>
      <c r="AI5363" s="21"/>
      <c r="AJ5363" s="21"/>
      <c r="AK5363" s="21"/>
      <c r="AM5363" s="26" t="s">
        <v>38</v>
      </c>
    </row>
    <row r="5364" spans="34:39" x14ac:dyDescent="0.35">
      <c r="AH5364" s="21"/>
      <c r="AI5364" s="21"/>
      <c r="AJ5364" s="21"/>
      <c r="AK5364" s="21"/>
      <c r="AM5364" s="26" t="s">
        <v>38</v>
      </c>
    </row>
    <row r="5365" spans="34:39" x14ac:dyDescent="0.35">
      <c r="AH5365" s="21"/>
      <c r="AI5365" s="21"/>
      <c r="AJ5365" s="21"/>
      <c r="AK5365" s="21"/>
      <c r="AM5365" s="26" t="s">
        <v>38</v>
      </c>
    </row>
    <row r="5366" spans="34:39" x14ac:dyDescent="0.35">
      <c r="AH5366" s="21"/>
      <c r="AI5366" s="21"/>
      <c r="AJ5366" s="21"/>
      <c r="AK5366" s="21"/>
      <c r="AM5366" s="26" t="s">
        <v>38</v>
      </c>
    </row>
    <row r="5367" spans="34:39" x14ac:dyDescent="0.35">
      <c r="AH5367" s="21"/>
      <c r="AI5367" s="21"/>
      <c r="AJ5367" s="21"/>
      <c r="AK5367" s="21"/>
      <c r="AM5367" s="26" t="s">
        <v>38</v>
      </c>
    </row>
    <row r="5368" spans="34:39" x14ac:dyDescent="0.35">
      <c r="AH5368" s="21"/>
      <c r="AI5368" s="21"/>
      <c r="AJ5368" s="21"/>
      <c r="AK5368" s="21"/>
      <c r="AM5368" s="26" t="s">
        <v>38</v>
      </c>
    </row>
    <row r="5369" spans="34:39" x14ac:dyDescent="0.35">
      <c r="AH5369" s="21"/>
      <c r="AI5369" s="21"/>
      <c r="AJ5369" s="21"/>
      <c r="AK5369" s="21"/>
      <c r="AM5369" s="26" t="s">
        <v>38</v>
      </c>
    </row>
    <row r="5370" spans="34:39" x14ac:dyDescent="0.35">
      <c r="AH5370" s="21"/>
      <c r="AI5370" s="21"/>
      <c r="AJ5370" s="21"/>
      <c r="AK5370" s="21"/>
      <c r="AM5370" s="26" t="s">
        <v>38</v>
      </c>
    </row>
    <row r="5371" spans="34:39" x14ac:dyDescent="0.35">
      <c r="AH5371" s="21"/>
      <c r="AI5371" s="21"/>
      <c r="AJ5371" s="21"/>
      <c r="AK5371" s="21"/>
      <c r="AM5371" s="26" t="s">
        <v>38</v>
      </c>
    </row>
    <row r="5372" spans="34:39" x14ac:dyDescent="0.35">
      <c r="AH5372" s="21"/>
      <c r="AI5372" s="21"/>
      <c r="AJ5372" s="21"/>
      <c r="AK5372" s="21"/>
      <c r="AM5372" s="26" t="s">
        <v>38</v>
      </c>
    </row>
    <row r="5373" spans="34:39" x14ac:dyDescent="0.35">
      <c r="AH5373" s="21"/>
      <c r="AI5373" s="21"/>
      <c r="AJ5373" s="21"/>
      <c r="AK5373" s="21"/>
      <c r="AM5373" s="26" t="s">
        <v>38</v>
      </c>
    </row>
    <row r="5374" spans="34:39" x14ac:dyDescent="0.35">
      <c r="AH5374" s="21"/>
      <c r="AI5374" s="21"/>
      <c r="AJ5374" s="21"/>
      <c r="AK5374" s="21"/>
      <c r="AM5374" s="26" t="s">
        <v>38</v>
      </c>
    </row>
    <row r="5375" spans="34:39" x14ac:dyDescent="0.35">
      <c r="AH5375" s="21"/>
      <c r="AI5375" s="21"/>
      <c r="AJ5375" s="21"/>
      <c r="AK5375" s="21"/>
      <c r="AM5375" s="26" t="s">
        <v>38</v>
      </c>
    </row>
    <row r="5376" spans="34:39" x14ac:dyDescent="0.35">
      <c r="AH5376" s="21"/>
      <c r="AI5376" s="21"/>
      <c r="AJ5376" s="21"/>
      <c r="AK5376" s="21"/>
      <c r="AM5376" s="26" t="s">
        <v>38</v>
      </c>
    </row>
    <row r="5377" spans="34:39" x14ac:dyDescent="0.35">
      <c r="AH5377" s="21"/>
      <c r="AI5377" s="21"/>
      <c r="AJ5377" s="21"/>
      <c r="AK5377" s="21"/>
      <c r="AM5377" s="26" t="s">
        <v>38</v>
      </c>
    </row>
    <row r="5378" spans="34:39" x14ac:dyDescent="0.35">
      <c r="AH5378" s="21"/>
      <c r="AI5378" s="21"/>
      <c r="AJ5378" s="21"/>
      <c r="AK5378" s="21"/>
      <c r="AM5378" s="26" t="s">
        <v>38</v>
      </c>
    </row>
    <row r="5379" spans="34:39" x14ac:dyDescent="0.35">
      <c r="AH5379" s="21"/>
      <c r="AI5379" s="21"/>
      <c r="AJ5379" s="21"/>
      <c r="AK5379" s="21"/>
      <c r="AM5379" s="26" t="s">
        <v>38</v>
      </c>
    </row>
    <row r="5380" spans="34:39" x14ac:dyDescent="0.35">
      <c r="AH5380" s="21"/>
      <c r="AI5380" s="21"/>
      <c r="AJ5380" s="21"/>
      <c r="AK5380" s="21"/>
      <c r="AM5380" s="26" t="s">
        <v>38</v>
      </c>
    </row>
    <row r="5381" spans="34:39" x14ac:dyDescent="0.35">
      <c r="AH5381" s="21"/>
      <c r="AI5381" s="21"/>
      <c r="AJ5381" s="21"/>
      <c r="AK5381" s="21"/>
      <c r="AM5381" s="26" t="s">
        <v>38</v>
      </c>
    </row>
    <row r="5382" spans="34:39" x14ac:dyDescent="0.35">
      <c r="AH5382" s="21"/>
      <c r="AI5382" s="21"/>
      <c r="AJ5382" s="21"/>
      <c r="AK5382" s="21"/>
      <c r="AM5382" s="26" t="s">
        <v>38</v>
      </c>
    </row>
    <row r="5383" spans="34:39" x14ac:dyDescent="0.35">
      <c r="AH5383" s="21"/>
      <c r="AI5383" s="21"/>
      <c r="AJ5383" s="21"/>
      <c r="AK5383" s="21"/>
      <c r="AM5383" s="26" t="s">
        <v>38</v>
      </c>
    </row>
    <row r="5384" spans="34:39" x14ac:dyDescent="0.35">
      <c r="AH5384" s="21"/>
      <c r="AI5384" s="21"/>
      <c r="AJ5384" s="21"/>
      <c r="AK5384" s="21"/>
      <c r="AM5384" s="26" t="s">
        <v>38</v>
      </c>
    </row>
    <row r="5385" spans="34:39" x14ac:dyDescent="0.35">
      <c r="AH5385" s="21"/>
      <c r="AI5385" s="21"/>
      <c r="AJ5385" s="21"/>
      <c r="AK5385" s="21"/>
      <c r="AM5385" s="26" t="s">
        <v>38</v>
      </c>
    </row>
    <row r="5386" spans="34:39" x14ac:dyDescent="0.35">
      <c r="AH5386" s="21"/>
      <c r="AI5386" s="21"/>
      <c r="AJ5386" s="21"/>
      <c r="AK5386" s="21"/>
      <c r="AM5386" s="26" t="s">
        <v>38</v>
      </c>
    </row>
    <row r="5387" spans="34:39" x14ac:dyDescent="0.35">
      <c r="AH5387" s="21"/>
      <c r="AI5387" s="21"/>
      <c r="AJ5387" s="21"/>
      <c r="AK5387" s="21"/>
      <c r="AM5387" s="26" t="s">
        <v>38</v>
      </c>
    </row>
    <row r="5388" spans="34:39" x14ac:dyDescent="0.35">
      <c r="AH5388" s="21"/>
      <c r="AI5388" s="21"/>
      <c r="AJ5388" s="21"/>
      <c r="AK5388" s="21"/>
      <c r="AM5388" s="26" t="s">
        <v>38</v>
      </c>
    </row>
    <row r="5389" spans="34:39" x14ac:dyDescent="0.35">
      <c r="AH5389" s="21"/>
      <c r="AI5389" s="21"/>
      <c r="AJ5389" s="21"/>
      <c r="AK5389" s="21"/>
      <c r="AM5389" s="26" t="s">
        <v>38</v>
      </c>
    </row>
    <row r="5390" spans="34:39" x14ac:dyDescent="0.35">
      <c r="AH5390" s="21"/>
      <c r="AI5390" s="21"/>
      <c r="AJ5390" s="21"/>
      <c r="AK5390" s="21"/>
      <c r="AM5390" s="26" t="s">
        <v>38</v>
      </c>
    </row>
    <row r="5391" spans="34:39" x14ac:dyDescent="0.35">
      <c r="AH5391" s="21"/>
      <c r="AI5391" s="21"/>
      <c r="AJ5391" s="21"/>
      <c r="AK5391" s="21"/>
      <c r="AM5391" s="26" t="s">
        <v>38</v>
      </c>
    </row>
    <row r="5392" spans="34:39" x14ac:dyDescent="0.35">
      <c r="AH5392" s="21"/>
      <c r="AI5392" s="21"/>
      <c r="AJ5392" s="21"/>
      <c r="AK5392" s="21"/>
      <c r="AM5392" s="26" t="s">
        <v>38</v>
      </c>
    </row>
    <row r="5393" spans="34:39" x14ac:dyDescent="0.35">
      <c r="AH5393" s="21"/>
      <c r="AI5393" s="21"/>
      <c r="AJ5393" s="21"/>
      <c r="AK5393" s="21"/>
      <c r="AM5393" s="26" t="s">
        <v>38</v>
      </c>
    </row>
    <row r="5394" spans="34:39" x14ac:dyDescent="0.35">
      <c r="AH5394" s="21"/>
      <c r="AI5394" s="21"/>
      <c r="AJ5394" s="21"/>
      <c r="AK5394" s="21"/>
      <c r="AM5394" s="26" t="s">
        <v>38</v>
      </c>
    </row>
    <row r="5395" spans="34:39" x14ac:dyDescent="0.35">
      <c r="AH5395" s="21"/>
      <c r="AI5395" s="21"/>
      <c r="AJ5395" s="21"/>
      <c r="AK5395" s="21"/>
      <c r="AM5395" s="26" t="s">
        <v>38</v>
      </c>
    </row>
    <row r="5396" spans="34:39" x14ac:dyDescent="0.35">
      <c r="AH5396" s="21"/>
      <c r="AI5396" s="21"/>
      <c r="AJ5396" s="21"/>
      <c r="AK5396" s="21"/>
      <c r="AM5396" s="26" t="s">
        <v>38</v>
      </c>
    </row>
    <row r="5397" spans="34:39" x14ac:dyDescent="0.35">
      <c r="AH5397" s="21"/>
      <c r="AI5397" s="21"/>
      <c r="AJ5397" s="21"/>
      <c r="AK5397" s="21"/>
      <c r="AM5397" s="26" t="s">
        <v>38</v>
      </c>
    </row>
    <row r="5398" spans="34:39" x14ac:dyDescent="0.35">
      <c r="AH5398" s="21"/>
      <c r="AI5398" s="21"/>
      <c r="AJ5398" s="21"/>
      <c r="AK5398" s="21"/>
      <c r="AM5398" s="26" t="s">
        <v>38</v>
      </c>
    </row>
    <row r="5399" spans="34:39" x14ac:dyDescent="0.35">
      <c r="AH5399" s="21"/>
      <c r="AI5399" s="21"/>
      <c r="AJ5399" s="21"/>
      <c r="AK5399" s="21"/>
      <c r="AM5399" s="26" t="s">
        <v>38</v>
      </c>
    </row>
    <row r="5400" spans="34:39" x14ac:dyDescent="0.35">
      <c r="AH5400" s="21"/>
      <c r="AI5400" s="21"/>
      <c r="AJ5400" s="21"/>
      <c r="AK5400" s="21"/>
      <c r="AM5400" s="26" t="s">
        <v>38</v>
      </c>
    </row>
    <row r="5401" spans="34:39" x14ac:dyDescent="0.35">
      <c r="AH5401" s="21"/>
      <c r="AI5401" s="21"/>
      <c r="AJ5401" s="21"/>
      <c r="AK5401" s="21"/>
      <c r="AM5401" s="26" t="s">
        <v>38</v>
      </c>
    </row>
    <row r="5402" spans="34:39" x14ac:dyDescent="0.35">
      <c r="AH5402" s="21"/>
      <c r="AI5402" s="21"/>
      <c r="AJ5402" s="21"/>
      <c r="AK5402" s="21"/>
      <c r="AM5402" s="26" t="s">
        <v>38</v>
      </c>
    </row>
    <row r="5403" spans="34:39" x14ac:dyDescent="0.35">
      <c r="AH5403" s="21"/>
      <c r="AI5403" s="21"/>
      <c r="AJ5403" s="21"/>
      <c r="AK5403" s="21"/>
      <c r="AM5403" s="26" t="s">
        <v>38</v>
      </c>
    </row>
    <row r="5404" spans="34:39" x14ac:dyDescent="0.35">
      <c r="AH5404" s="21"/>
      <c r="AI5404" s="21"/>
      <c r="AJ5404" s="21"/>
      <c r="AK5404" s="21"/>
      <c r="AM5404" s="26" t="s">
        <v>38</v>
      </c>
    </row>
    <row r="5405" spans="34:39" x14ac:dyDescent="0.35">
      <c r="AH5405" s="21"/>
      <c r="AI5405" s="21"/>
      <c r="AJ5405" s="21"/>
      <c r="AK5405" s="21"/>
      <c r="AM5405" s="26" t="s">
        <v>38</v>
      </c>
    </row>
    <row r="5406" spans="34:39" x14ac:dyDescent="0.35">
      <c r="AH5406" s="21"/>
      <c r="AI5406" s="21"/>
      <c r="AJ5406" s="21"/>
      <c r="AK5406" s="21"/>
      <c r="AM5406" s="26" t="s">
        <v>38</v>
      </c>
    </row>
    <row r="5407" spans="34:39" x14ac:dyDescent="0.35">
      <c r="AH5407" s="21"/>
      <c r="AI5407" s="21"/>
      <c r="AJ5407" s="21"/>
      <c r="AK5407" s="21"/>
      <c r="AM5407" s="26" t="s">
        <v>38</v>
      </c>
    </row>
    <row r="5408" spans="34:39" x14ac:dyDescent="0.35">
      <c r="AH5408" s="21"/>
      <c r="AI5408" s="21"/>
      <c r="AJ5408" s="21"/>
      <c r="AK5408" s="21"/>
      <c r="AM5408" s="26" t="s">
        <v>38</v>
      </c>
    </row>
    <row r="5409" spans="34:39" x14ac:dyDescent="0.35">
      <c r="AH5409" s="21"/>
      <c r="AI5409" s="21"/>
      <c r="AJ5409" s="21"/>
      <c r="AK5409" s="21"/>
      <c r="AM5409" s="26" t="s">
        <v>38</v>
      </c>
    </row>
    <row r="5410" spans="34:39" x14ac:dyDescent="0.35">
      <c r="AH5410" s="21"/>
      <c r="AI5410" s="21"/>
      <c r="AJ5410" s="21"/>
      <c r="AK5410" s="21"/>
      <c r="AM5410" s="26" t="s">
        <v>38</v>
      </c>
    </row>
    <row r="5411" spans="34:39" x14ac:dyDescent="0.35">
      <c r="AH5411" s="21"/>
      <c r="AI5411" s="21"/>
      <c r="AJ5411" s="21"/>
      <c r="AK5411" s="21"/>
      <c r="AM5411" s="26" t="s">
        <v>38</v>
      </c>
    </row>
    <row r="5412" spans="34:39" x14ac:dyDescent="0.35">
      <c r="AH5412" s="21"/>
      <c r="AI5412" s="21"/>
      <c r="AJ5412" s="21"/>
      <c r="AK5412" s="21"/>
      <c r="AM5412" s="26" t="s">
        <v>38</v>
      </c>
    </row>
    <row r="5413" spans="34:39" x14ac:dyDescent="0.35">
      <c r="AH5413" s="21"/>
      <c r="AI5413" s="21"/>
      <c r="AJ5413" s="21"/>
      <c r="AK5413" s="21"/>
      <c r="AM5413" s="26" t="s">
        <v>38</v>
      </c>
    </row>
    <row r="5414" spans="34:39" x14ac:dyDescent="0.35">
      <c r="AH5414" s="21"/>
      <c r="AI5414" s="21"/>
      <c r="AJ5414" s="21"/>
      <c r="AK5414" s="21"/>
      <c r="AM5414" s="26" t="s">
        <v>38</v>
      </c>
    </row>
    <row r="5415" spans="34:39" x14ac:dyDescent="0.35">
      <c r="AH5415" s="21"/>
      <c r="AI5415" s="21"/>
      <c r="AJ5415" s="21"/>
      <c r="AK5415" s="21"/>
      <c r="AM5415" s="26" t="s">
        <v>38</v>
      </c>
    </row>
    <row r="5416" spans="34:39" x14ac:dyDescent="0.35">
      <c r="AH5416" s="21"/>
      <c r="AI5416" s="21"/>
      <c r="AJ5416" s="21"/>
      <c r="AK5416" s="21"/>
      <c r="AM5416" s="26" t="s">
        <v>38</v>
      </c>
    </row>
    <row r="5417" spans="34:39" x14ac:dyDescent="0.35">
      <c r="AH5417" s="21"/>
      <c r="AI5417" s="21"/>
      <c r="AJ5417" s="21"/>
      <c r="AK5417" s="21"/>
      <c r="AM5417" s="26" t="s">
        <v>38</v>
      </c>
    </row>
    <row r="5418" spans="34:39" x14ac:dyDescent="0.35">
      <c r="AH5418" s="21"/>
      <c r="AI5418" s="21"/>
      <c r="AJ5418" s="21"/>
      <c r="AK5418" s="21"/>
      <c r="AM5418" s="26" t="s">
        <v>38</v>
      </c>
    </row>
    <row r="5419" spans="34:39" x14ac:dyDescent="0.35">
      <c r="AH5419" s="21"/>
      <c r="AI5419" s="21"/>
      <c r="AJ5419" s="21"/>
      <c r="AK5419" s="21"/>
      <c r="AM5419" s="26" t="s">
        <v>38</v>
      </c>
    </row>
    <row r="5420" spans="34:39" x14ac:dyDescent="0.35">
      <c r="AH5420" s="21"/>
      <c r="AI5420" s="21"/>
      <c r="AJ5420" s="21"/>
      <c r="AK5420" s="21"/>
      <c r="AM5420" s="26" t="s">
        <v>38</v>
      </c>
    </row>
    <row r="5421" spans="34:39" x14ac:dyDescent="0.35">
      <c r="AH5421" s="21"/>
      <c r="AI5421" s="21"/>
      <c r="AJ5421" s="21"/>
      <c r="AK5421" s="21"/>
      <c r="AM5421" s="26" t="s">
        <v>38</v>
      </c>
    </row>
    <row r="5422" spans="34:39" x14ac:dyDescent="0.35">
      <c r="AH5422" s="21"/>
      <c r="AI5422" s="21"/>
      <c r="AJ5422" s="21"/>
      <c r="AK5422" s="21"/>
      <c r="AM5422" s="26" t="s">
        <v>38</v>
      </c>
    </row>
    <row r="5423" spans="34:39" x14ac:dyDescent="0.35">
      <c r="AH5423" s="21"/>
      <c r="AI5423" s="21"/>
      <c r="AJ5423" s="21"/>
      <c r="AK5423" s="21"/>
      <c r="AM5423" s="26" t="s">
        <v>38</v>
      </c>
    </row>
    <row r="5424" spans="34:39" x14ac:dyDescent="0.35">
      <c r="AH5424" s="21"/>
      <c r="AI5424" s="21"/>
      <c r="AJ5424" s="21"/>
      <c r="AK5424" s="21"/>
      <c r="AM5424" s="26" t="s">
        <v>38</v>
      </c>
    </row>
    <row r="5425" spans="34:39" x14ac:dyDescent="0.35">
      <c r="AH5425" s="21"/>
      <c r="AI5425" s="21"/>
      <c r="AJ5425" s="21"/>
      <c r="AK5425" s="21"/>
      <c r="AM5425" s="26" t="s">
        <v>38</v>
      </c>
    </row>
    <row r="5426" spans="34:39" x14ac:dyDescent="0.35">
      <c r="AH5426" s="21"/>
      <c r="AI5426" s="21"/>
      <c r="AJ5426" s="21"/>
      <c r="AK5426" s="21"/>
      <c r="AM5426" s="26" t="s">
        <v>38</v>
      </c>
    </row>
    <row r="5427" spans="34:39" x14ac:dyDescent="0.35">
      <c r="AH5427" s="21"/>
      <c r="AI5427" s="21"/>
      <c r="AJ5427" s="21"/>
      <c r="AK5427" s="21"/>
      <c r="AM5427" s="26" t="s">
        <v>38</v>
      </c>
    </row>
    <row r="5428" spans="34:39" x14ac:dyDescent="0.35">
      <c r="AH5428" s="21"/>
      <c r="AI5428" s="21"/>
      <c r="AJ5428" s="21"/>
      <c r="AK5428" s="21"/>
      <c r="AM5428" s="26" t="s">
        <v>38</v>
      </c>
    </row>
    <row r="5429" spans="34:39" x14ac:dyDescent="0.35">
      <c r="AH5429" s="21"/>
      <c r="AI5429" s="21"/>
      <c r="AJ5429" s="21"/>
      <c r="AK5429" s="21"/>
      <c r="AM5429" s="26" t="s">
        <v>38</v>
      </c>
    </row>
    <row r="5430" spans="34:39" x14ac:dyDescent="0.35">
      <c r="AH5430" s="21"/>
      <c r="AI5430" s="21"/>
      <c r="AJ5430" s="21"/>
      <c r="AK5430" s="21"/>
      <c r="AM5430" s="26" t="s">
        <v>38</v>
      </c>
    </row>
    <row r="5431" spans="34:39" x14ac:dyDescent="0.35">
      <c r="AH5431" s="21"/>
      <c r="AI5431" s="21"/>
      <c r="AJ5431" s="21"/>
      <c r="AK5431" s="21"/>
      <c r="AM5431" s="26" t="s">
        <v>38</v>
      </c>
    </row>
    <row r="5432" spans="34:39" x14ac:dyDescent="0.35">
      <c r="AH5432" s="21"/>
      <c r="AI5432" s="21"/>
      <c r="AJ5432" s="21"/>
      <c r="AK5432" s="21"/>
      <c r="AM5432" s="26" t="s">
        <v>38</v>
      </c>
    </row>
    <row r="5433" spans="34:39" x14ac:dyDescent="0.35">
      <c r="AH5433" s="21"/>
      <c r="AI5433" s="21"/>
      <c r="AJ5433" s="21"/>
      <c r="AK5433" s="21"/>
      <c r="AM5433" s="26" t="s">
        <v>38</v>
      </c>
    </row>
    <row r="5434" spans="34:39" x14ac:dyDescent="0.35">
      <c r="AH5434" s="21"/>
      <c r="AI5434" s="21"/>
      <c r="AJ5434" s="21"/>
      <c r="AK5434" s="21"/>
      <c r="AM5434" s="26" t="s">
        <v>38</v>
      </c>
    </row>
    <row r="5435" spans="34:39" x14ac:dyDescent="0.35">
      <c r="AH5435" s="21"/>
      <c r="AI5435" s="21"/>
      <c r="AJ5435" s="21"/>
      <c r="AK5435" s="21"/>
      <c r="AM5435" s="26" t="s">
        <v>38</v>
      </c>
    </row>
    <row r="5436" spans="34:39" x14ac:dyDescent="0.35">
      <c r="AH5436" s="21"/>
      <c r="AI5436" s="21"/>
      <c r="AJ5436" s="21"/>
      <c r="AK5436" s="21"/>
      <c r="AM5436" s="26" t="s">
        <v>38</v>
      </c>
    </row>
    <row r="5437" spans="34:39" x14ac:dyDescent="0.35">
      <c r="AH5437" s="21"/>
      <c r="AI5437" s="21"/>
      <c r="AJ5437" s="21"/>
      <c r="AK5437" s="21"/>
      <c r="AM5437" s="26" t="s">
        <v>38</v>
      </c>
    </row>
    <row r="5438" spans="34:39" x14ac:dyDescent="0.35">
      <c r="AH5438" s="21"/>
      <c r="AI5438" s="21"/>
      <c r="AJ5438" s="21"/>
      <c r="AK5438" s="21"/>
      <c r="AM5438" s="26" t="s">
        <v>38</v>
      </c>
    </row>
    <row r="5439" spans="34:39" x14ac:dyDescent="0.35">
      <c r="AH5439" s="21"/>
      <c r="AI5439" s="21"/>
      <c r="AJ5439" s="21"/>
      <c r="AK5439" s="21"/>
      <c r="AM5439" s="26" t="s">
        <v>38</v>
      </c>
    </row>
    <row r="5440" spans="34:39" x14ac:dyDescent="0.35">
      <c r="AH5440" s="21"/>
      <c r="AI5440" s="21"/>
      <c r="AJ5440" s="21"/>
      <c r="AK5440" s="21"/>
      <c r="AM5440" s="26" t="s">
        <v>38</v>
      </c>
    </row>
    <row r="5441" spans="34:39" x14ac:dyDescent="0.35">
      <c r="AH5441" s="21"/>
      <c r="AI5441" s="21"/>
      <c r="AJ5441" s="21"/>
      <c r="AK5441" s="21"/>
      <c r="AM5441" s="26" t="s">
        <v>38</v>
      </c>
    </row>
    <row r="5442" spans="34:39" x14ac:dyDescent="0.35">
      <c r="AH5442" s="21"/>
      <c r="AI5442" s="21"/>
      <c r="AJ5442" s="21"/>
      <c r="AK5442" s="21"/>
      <c r="AM5442" s="26" t="s">
        <v>38</v>
      </c>
    </row>
    <row r="5443" spans="34:39" x14ac:dyDescent="0.35">
      <c r="AH5443" s="21"/>
      <c r="AI5443" s="21"/>
      <c r="AJ5443" s="21"/>
      <c r="AK5443" s="21"/>
      <c r="AM5443" s="26" t="s">
        <v>38</v>
      </c>
    </row>
    <row r="5444" spans="34:39" x14ac:dyDescent="0.35">
      <c r="AH5444" s="21"/>
      <c r="AI5444" s="21"/>
      <c r="AJ5444" s="21"/>
      <c r="AK5444" s="21"/>
      <c r="AM5444" s="26" t="s">
        <v>38</v>
      </c>
    </row>
    <row r="5445" spans="34:39" x14ac:dyDescent="0.35">
      <c r="AH5445" s="21"/>
      <c r="AI5445" s="21"/>
      <c r="AJ5445" s="21"/>
      <c r="AK5445" s="21"/>
      <c r="AM5445" s="26" t="s">
        <v>38</v>
      </c>
    </row>
    <row r="5446" spans="34:39" x14ac:dyDescent="0.35">
      <c r="AH5446" s="21"/>
      <c r="AI5446" s="21"/>
      <c r="AJ5446" s="21"/>
      <c r="AK5446" s="21"/>
      <c r="AM5446" s="26" t="s">
        <v>38</v>
      </c>
    </row>
    <row r="5447" spans="34:39" x14ac:dyDescent="0.35">
      <c r="AH5447" s="21"/>
      <c r="AI5447" s="21"/>
      <c r="AJ5447" s="21"/>
      <c r="AK5447" s="21"/>
      <c r="AM5447" s="26" t="s">
        <v>38</v>
      </c>
    </row>
    <row r="5448" spans="34:39" x14ac:dyDescent="0.35">
      <c r="AH5448" s="21"/>
      <c r="AI5448" s="21"/>
      <c r="AJ5448" s="21"/>
      <c r="AK5448" s="21"/>
      <c r="AM5448" s="26" t="s">
        <v>38</v>
      </c>
    </row>
    <row r="5449" spans="34:39" x14ac:dyDescent="0.35">
      <c r="AH5449" s="21"/>
      <c r="AI5449" s="21"/>
      <c r="AJ5449" s="21"/>
      <c r="AK5449" s="21"/>
      <c r="AM5449" s="26" t="s">
        <v>38</v>
      </c>
    </row>
    <row r="5450" spans="34:39" x14ac:dyDescent="0.35">
      <c r="AH5450" s="21"/>
      <c r="AI5450" s="21"/>
      <c r="AJ5450" s="21"/>
      <c r="AK5450" s="21"/>
      <c r="AM5450" s="26" t="s">
        <v>38</v>
      </c>
    </row>
    <row r="5451" spans="34:39" x14ac:dyDescent="0.35">
      <c r="AH5451" s="21"/>
      <c r="AI5451" s="21"/>
      <c r="AJ5451" s="21"/>
      <c r="AK5451" s="21"/>
      <c r="AM5451" s="26" t="s">
        <v>38</v>
      </c>
    </row>
    <row r="5452" spans="34:39" x14ac:dyDescent="0.35">
      <c r="AH5452" s="21"/>
      <c r="AI5452" s="21"/>
      <c r="AJ5452" s="21"/>
      <c r="AK5452" s="21"/>
      <c r="AM5452" s="26" t="s">
        <v>38</v>
      </c>
    </row>
    <row r="5453" spans="34:39" x14ac:dyDescent="0.35">
      <c r="AH5453" s="21"/>
      <c r="AI5453" s="21"/>
      <c r="AJ5453" s="21"/>
      <c r="AK5453" s="21"/>
      <c r="AM5453" s="26" t="s">
        <v>38</v>
      </c>
    </row>
    <row r="5454" spans="34:39" x14ac:dyDescent="0.35">
      <c r="AH5454" s="21"/>
      <c r="AI5454" s="21"/>
      <c r="AJ5454" s="21"/>
      <c r="AK5454" s="21"/>
      <c r="AM5454" s="26" t="s">
        <v>38</v>
      </c>
    </row>
    <row r="5455" spans="34:39" x14ac:dyDescent="0.35">
      <c r="AH5455" s="21"/>
      <c r="AI5455" s="21"/>
      <c r="AJ5455" s="21"/>
      <c r="AK5455" s="21"/>
      <c r="AM5455" s="26" t="s">
        <v>38</v>
      </c>
    </row>
    <row r="5456" spans="34:39" x14ac:dyDescent="0.35">
      <c r="AH5456" s="21"/>
      <c r="AI5456" s="21"/>
      <c r="AJ5456" s="21"/>
      <c r="AK5456" s="21"/>
      <c r="AM5456" s="26" t="s">
        <v>38</v>
      </c>
    </row>
    <row r="5457" spans="34:39" x14ac:dyDescent="0.35">
      <c r="AH5457" s="21"/>
      <c r="AI5457" s="21"/>
      <c r="AJ5457" s="21"/>
      <c r="AK5457" s="21"/>
      <c r="AM5457" s="26" t="s">
        <v>38</v>
      </c>
    </row>
    <row r="5458" spans="34:39" x14ac:dyDescent="0.35">
      <c r="AH5458" s="21"/>
      <c r="AI5458" s="21"/>
      <c r="AJ5458" s="21"/>
      <c r="AK5458" s="21"/>
      <c r="AM5458" s="26" t="s">
        <v>38</v>
      </c>
    </row>
    <row r="5459" spans="34:39" x14ac:dyDescent="0.35">
      <c r="AH5459" s="21"/>
      <c r="AI5459" s="21"/>
      <c r="AJ5459" s="21"/>
      <c r="AK5459" s="21"/>
      <c r="AM5459" s="26" t="s">
        <v>38</v>
      </c>
    </row>
    <row r="5460" spans="34:39" x14ac:dyDescent="0.35">
      <c r="AH5460" s="21"/>
      <c r="AI5460" s="21"/>
      <c r="AJ5460" s="21"/>
      <c r="AK5460" s="21"/>
      <c r="AM5460" s="26" t="s">
        <v>38</v>
      </c>
    </row>
    <row r="5461" spans="34:39" x14ac:dyDescent="0.35">
      <c r="AH5461" s="21"/>
      <c r="AI5461" s="21"/>
      <c r="AJ5461" s="21"/>
      <c r="AK5461" s="21"/>
      <c r="AM5461" s="26" t="s">
        <v>38</v>
      </c>
    </row>
    <row r="5462" spans="34:39" x14ac:dyDescent="0.35">
      <c r="AH5462" s="21"/>
      <c r="AI5462" s="21"/>
      <c r="AJ5462" s="21"/>
      <c r="AK5462" s="21"/>
      <c r="AM5462" s="26" t="s">
        <v>38</v>
      </c>
    </row>
    <row r="5463" spans="34:39" x14ac:dyDescent="0.35">
      <c r="AH5463" s="21"/>
      <c r="AI5463" s="21"/>
      <c r="AJ5463" s="21"/>
      <c r="AK5463" s="21"/>
      <c r="AM5463" s="26" t="s">
        <v>38</v>
      </c>
    </row>
    <row r="5464" spans="34:39" x14ac:dyDescent="0.35">
      <c r="AH5464" s="21"/>
      <c r="AI5464" s="21"/>
      <c r="AJ5464" s="21"/>
      <c r="AK5464" s="21"/>
      <c r="AM5464" s="26" t="s">
        <v>38</v>
      </c>
    </row>
    <row r="5465" spans="34:39" x14ac:dyDescent="0.35">
      <c r="AH5465" s="21"/>
      <c r="AI5465" s="21"/>
      <c r="AJ5465" s="21"/>
      <c r="AK5465" s="21"/>
      <c r="AM5465" s="26" t="s">
        <v>38</v>
      </c>
    </row>
    <row r="5466" spans="34:39" x14ac:dyDescent="0.35">
      <c r="AH5466" s="21"/>
      <c r="AI5466" s="21"/>
      <c r="AJ5466" s="21"/>
      <c r="AK5466" s="21"/>
      <c r="AM5466" s="26" t="s">
        <v>38</v>
      </c>
    </row>
    <row r="5467" spans="34:39" x14ac:dyDescent="0.35">
      <c r="AH5467" s="21"/>
      <c r="AI5467" s="21"/>
      <c r="AJ5467" s="21"/>
      <c r="AK5467" s="21"/>
      <c r="AM5467" s="26" t="s">
        <v>38</v>
      </c>
    </row>
    <row r="5468" spans="34:39" x14ac:dyDescent="0.35">
      <c r="AH5468" s="21"/>
      <c r="AI5468" s="21"/>
      <c r="AJ5468" s="21"/>
      <c r="AK5468" s="21"/>
      <c r="AM5468" s="26" t="s">
        <v>38</v>
      </c>
    </row>
    <row r="5469" spans="34:39" x14ac:dyDescent="0.35">
      <c r="AH5469" s="21"/>
      <c r="AI5469" s="21"/>
      <c r="AJ5469" s="21"/>
      <c r="AK5469" s="21"/>
      <c r="AM5469" s="26" t="s">
        <v>38</v>
      </c>
    </row>
    <row r="5470" spans="34:39" x14ac:dyDescent="0.35">
      <c r="AH5470" s="21"/>
      <c r="AI5470" s="21"/>
      <c r="AJ5470" s="21"/>
      <c r="AK5470" s="21"/>
      <c r="AM5470" s="26" t="s">
        <v>38</v>
      </c>
    </row>
    <row r="5471" spans="34:39" x14ac:dyDescent="0.35">
      <c r="AH5471" s="21"/>
      <c r="AI5471" s="21"/>
      <c r="AJ5471" s="21"/>
      <c r="AK5471" s="21"/>
      <c r="AM5471" s="26" t="s">
        <v>38</v>
      </c>
    </row>
    <row r="5472" spans="34:39" x14ac:dyDescent="0.35">
      <c r="AH5472" s="21"/>
      <c r="AI5472" s="21"/>
      <c r="AJ5472" s="21"/>
      <c r="AK5472" s="21"/>
      <c r="AM5472" s="26" t="s">
        <v>38</v>
      </c>
    </row>
    <row r="5473" spans="34:39" x14ac:dyDescent="0.35">
      <c r="AH5473" s="21"/>
      <c r="AI5473" s="21"/>
      <c r="AJ5473" s="21"/>
      <c r="AK5473" s="21"/>
      <c r="AM5473" s="26" t="s">
        <v>38</v>
      </c>
    </row>
    <row r="5474" spans="34:39" x14ac:dyDescent="0.35">
      <c r="AH5474" s="21"/>
      <c r="AI5474" s="21"/>
      <c r="AJ5474" s="21"/>
      <c r="AK5474" s="21"/>
      <c r="AM5474" s="26" t="s">
        <v>38</v>
      </c>
    </row>
    <row r="5475" spans="34:39" x14ac:dyDescent="0.35">
      <c r="AH5475" s="21"/>
      <c r="AI5475" s="21"/>
      <c r="AJ5475" s="21"/>
      <c r="AK5475" s="21"/>
      <c r="AM5475" s="26" t="s">
        <v>38</v>
      </c>
    </row>
    <row r="5476" spans="34:39" x14ac:dyDescent="0.35">
      <c r="AH5476" s="21"/>
      <c r="AI5476" s="21"/>
      <c r="AJ5476" s="21"/>
      <c r="AK5476" s="21"/>
      <c r="AM5476" s="26" t="s">
        <v>38</v>
      </c>
    </row>
    <row r="5477" spans="34:39" x14ac:dyDescent="0.35">
      <c r="AH5477" s="21"/>
      <c r="AI5477" s="21"/>
      <c r="AJ5477" s="21"/>
      <c r="AK5477" s="21"/>
      <c r="AM5477" s="26" t="s">
        <v>38</v>
      </c>
    </row>
    <row r="5478" spans="34:39" x14ac:dyDescent="0.35">
      <c r="AH5478" s="21"/>
      <c r="AI5478" s="21"/>
      <c r="AJ5478" s="21"/>
      <c r="AK5478" s="21"/>
      <c r="AM5478" s="26" t="s">
        <v>38</v>
      </c>
    </row>
    <row r="5479" spans="34:39" x14ac:dyDescent="0.35">
      <c r="AH5479" s="21"/>
      <c r="AI5479" s="21"/>
      <c r="AJ5479" s="21"/>
      <c r="AK5479" s="21"/>
      <c r="AM5479" s="26" t="s">
        <v>38</v>
      </c>
    </row>
    <row r="5480" spans="34:39" x14ac:dyDescent="0.35">
      <c r="AH5480" s="21"/>
      <c r="AI5480" s="21"/>
      <c r="AJ5480" s="21"/>
      <c r="AK5480" s="21"/>
      <c r="AM5480" s="26" t="s">
        <v>38</v>
      </c>
    </row>
    <row r="5481" spans="34:39" x14ac:dyDescent="0.35">
      <c r="AH5481" s="21"/>
      <c r="AI5481" s="21"/>
      <c r="AJ5481" s="21"/>
      <c r="AK5481" s="21"/>
      <c r="AM5481" s="26" t="s">
        <v>38</v>
      </c>
    </row>
    <row r="5482" spans="34:39" x14ac:dyDescent="0.35">
      <c r="AH5482" s="21"/>
      <c r="AI5482" s="21"/>
      <c r="AJ5482" s="21"/>
      <c r="AK5482" s="21"/>
      <c r="AM5482" s="26" t="s">
        <v>38</v>
      </c>
    </row>
    <row r="5483" spans="34:39" x14ac:dyDescent="0.35">
      <c r="AH5483" s="21"/>
      <c r="AI5483" s="21"/>
      <c r="AJ5483" s="21"/>
      <c r="AK5483" s="21"/>
      <c r="AM5483" s="26" t="s">
        <v>38</v>
      </c>
    </row>
    <row r="5484" spans="34:39" x14ac:dyDescent="0.35">
      <c r="AH5484" s="21"/>
      <c r="AI5484" s="21"/>
      <c r="AJ5484" s="21"/>
      <c r="AK5484" s="21"/>
      <c r="AM5484" s="26" t="s">
        <v>38</v>
      </c>
    </row>
    <row r="5485" spans="34:39" x14ac:dyDescent="0.35">
      <c r="AH5485" s="21"/>
      <c r="AI5485" s="21"/>
      <c r="AJ5485" s="21"/>
      <c r="AK5485" s="21"/>
      <c r="AM5485" s="26" t="s">
        <v>38</v>
      </c>
    </row>
    <row r="5486" spans="34:39" x14ac:dyDescent="0.35">
      <c r="AH5486" s="21"/>
      <c r="AI5486" s="21"/>
      <c r="AJ5486" s="21"/>
      <c r="AK5486" s="21"/>
      <c r="AM5486" s="26" t="s">
        <v>38</v>
      </c>
    </row>
    <row r="5487" spans="34:39" x14ac:dyDescent="0.35">
      <c r="AH5487" s="21"/>
      <c r="AI5487" s="21"/>
      <c r="AJ5487" s="21"/>
      <c r="AK5487" s="21"/>
      <c r="AM5487" s="26" t="s">
        <v>38</v>
      </c>
    </row>
    <row r="5488" spans="34:39" x14ac:dyDescent="0.35">
      <c r="AH5488" s="21"/>
      <c r="AI5488" s="21"/>
      <c r="AJ5488" s="21"/>
      <c r="AK5488" s="21"/>
      <c r="AM5488" s="26" t="s">
        <v>38</v>
      </c>
    </row>
    <row r="5489" spans="34:39" x14ac:dyDescent="0.35">
      <c r="AH5489" s="21"/>
      <c r="AI5489" s="21"/>
      <c r="AJ5489" s="21"/>
      <c r="AK5489" s="21"/>
      <c r="AM5489" s="26" t="s">
        <v>38</v>
      </c>
    </row>
    <row r="5490" spans="34:39" x14ac:dyDescent="0.35">
      <c r="AH5490" s="21"/>
      <c r="AI5490" s="21"/>
      <c r="AJ5490" s="21"/>
      <c r="AK5490" s="21"/>
      <c r="AM5490" s="26" t="s">
        <v>38</v>
      </c>
    </row>
    <row r="5491" spans="34:39" x14ac:dyDescent="0.35">
      <c r="AH5491" s="21"/>
      <c r="AI5491" s="21"/>
      <c r="AJ5491" s="21"/>
      <c r="AK5491" s="21"/>
      <c r="AM5491" s="26" t="s">
        <v>38</v>
      </c>
    </row>
    <row r="5492" spans="34:39" x14ac:dyDescent="0.35">
      <c r="AH5492" s="21"/>
      <c r="AI5492" s="21"/>
      <c r="AJ5492" s="21"/>
      <c r="AK5492" s="21"/>
      <c r="AM5492" s="26" t="s">
        <v>38</v>
      </c>
    </row>
    <row r="5493" spans="34:39" x14ac:dyDescent="0.35">
      <c r="AH5493" s="21"/>
      <c r="AI5493" s="21"/>
      <c r="AJ5493" s="21"/>
      <c r="AK5493" s="21"/>
      <c r="AM5493" s="26" t="s">
        <v>38</v>
      </c>
    </row>
    <row r="5494" spans="34:39" x14ac:dyDescent="0.35">
      <c r="AH5494" s="21"/>
      <c r="AI5494" s="21"/>
      <c r="AJ5494" s="21"/>
      <c r="AK5494" s="21"/>
      <c r="AM5494" s="26" t="s">
        <v>38</v>
      </c>
    </row>
    <row r="5495" spans="34:39" x14ac:dyDescent="0.35">
      <c r="AH5495" s="21"/>
      <c r="AI5495" s="21"/>
      <c r="AJ5495" s="21"/>
      <c r="AK5495" s="21"/>
      <c r="AM5495" s="26" t="s">
        <v>38</v>
      </c>
    </row>
    <row r="5496" spans="34:39" x14ac:dyDescent="0.35">
      <c r="AH5496" s="21"/>
      <c r="AI5496" s="21"/>
      <c r="AJ5496" s="21"/>
      <c r="AK5496" s="21"/>
      <c r="AM5496" s="26" t="s">
        <v>38</v>
      </c>
    </row>
    <row r="5497" spans="34:39" x14ac:dyDescent="0.35">
      <c r="AH5497" s="21"/>
      <c r="AI5497" s="21"/>
      <c r="AJ5497" s="21"/>
      <c r="AK5497" s="21"/>
      <c r="AM5497" s="26" t="s">
        <v>38</v>
      </c>
    </row>
    <row r="5498" spans="34:39" x14ac:dyDescent="0.35">
      <c r="AH5498" s="21"/>
      <c r="AI5498" s="21"/>
      <c r="AJ5498" s="21"/>
      <c r="AK5498" s="21"/>
      <c r="AM5498" s="26" t="s">
        <v>38</v>
      </c>
    </row>
    <row r="5499" spans="34:39" x14ac:dyDescent="0.35">
      <c r="AH5499" s="21"/>
      <c r="AI5499" s="21"/>
      <c r="AJ5499" s="21"/>
      <c r="AK5499" s="21"/>
      <c r="AM5499" s="26" t="s">
        <v>38</v>
      </c>
    </row>
    <row r="5500" spans="34:39" x14ac:dyDescent="0.35">
      <c r="AH5500" s="21"/>
      <c r="AI5500" s="21"/>
      <c r="AJ5500" s="21"/>
      <c r="AK5500" s="21"/>
      <c r="AM5500" s="26" t="s">
        <v>38</v>
      </c>
    </row>
    <row r="5501" spans="34:39" x14ac:dyDescent="0.35">
      <c r="AH5501" s="21"/>
      <c r="AI5501" s="21"/>
      <c r="AJ5501" s="21"/>
      <c r="AK5501" s="21"/>
      <c r="AM5501" s="26" t="s">
        <v>38</v>
      </c>
    </row>
    <row r="5502" spans="34:39" x14ac:dyDescent="0.35">
      <c r="AH5502" s="21"/>
      <c r="AI5502" s="21"/>
      <c r="AJ5502" s="21"/>
      <c r="AK5502" s="21"/>
      <c r="AM5502" s="26" t="s">
        <v>38</v>
      </c>
    </row>
    <row r="5503" spans="34:39" x14ac:dyDescent="0.35">
      <c r="AH5503" s="21"/>
      <c r="AI5503" s="21"/>
      <c r="AJ5503" s="21"/>
      <c r="AK5503" s="21"/>
      <c r="AM5503" s="26" t="s">
        <v>38</v>
      </c>
    </row>
    <row r="5504" spans="34:39" x14ac:dyDescent="0.35">
      <c r="AH5504" s="21"/>
      <c r="AI5504" s="21"/>
      <c r="AJ5504" s="21"/>
      <c r="AK5504" s="21"/>
      <c r="AM5504" s="26" t="s">
        <v>38</v>
      </c>
    </row>
    <row r="5505" spans="34:39" x14ac:dyDescent="0.35">
      <c r="AH5505" s="21"/>
      <c r="AI5505" s="21"/>
      <c r="AJ5505" s="21"/>
      <c r="AK5505" s="21"/>
      <c r="AM5505" s="26" t="s">
        <v>38</v>
      </c>
    </row>
    <row r="5506" spans="34:39" x14ac:dyDescent="0.35">
      <c r="AH5506" s="21"/>
      <c r="AI5506" s="21"/>
      <c r="AJ5506" s="21"/>
      <c r="AK5506" s="21"/>
      <c r="AM5506" s="26" t="s">
        <v>38</v>
      </c>
    </row>
    <row r="5507" spans="34:39" x14ac:dyDescent="0.35">
      <c r="AH5507" s="21"/>
      <c r="AI5507" s="21"/>
      <c r="AJ5507" s="21"/>
      <c r="AK5507" s="21"/>
      <c r="AM5507" s="26" t="s">
        <v>38</v>
      </c>
    </row>
    <row r="5508" spans="34:39" x14ac:dyDescent="0.35">
      <c r="AH5508" s="21"/>
      <c r="AI5508" s="21"/>
      <c r="AJ5508" s="21"/>
      <c r="AK5508" s="21"/>
      <c r="AM5508" s="26" t="s">
        <v>38</v>
      </c>
    </row>
    <row r="5509" spans="34:39" x14ac:dyDescent="0.35">
      <c r="AH5509" s="21"/>
      <c r="AI5509" s="21"/>
      <c r="AJ5509" s="21"/>
      <c r="AK5509" s="21"/>
      <c r="AM5509" s="26" t="s">
        <v>38</v>
      </c>
    </row>
    <row r="5510" spans="34:39" x14ac:dyDescent="0.35">
      <c r="AH5510" s="21"/>
      <c r="AI5510" s="21"/>
      <c r="AJ5510" s="21"/>
      <c r="AK5510" s="21"/>
      <c r="AM5510" s="26" t="s">
        <v>38</v>
      </c>
    </row>
    <row r="5511" spans="34:39" x14ac:dyDescent="0.35">
      <c r="AH5511" s="21"/>
      <c r="AI5511" s="21"/>
      <c r="AJ5511" s="21"/>
      <c r="AK5511" s="21"/>
      <c r="AM5511" s="26" t="s">
        <v>38</v>
      </c>
    </row>
    <row r="5512" spans="34:39" x14ac:dyDescent="0.35">
      <c r="AH5512" s="21"/>
      <c r="AI5512" s="21"/>
      <c r="AJ5512" s="21"/>
      <c r="AK5512" s="21"/>
      <c r="AM5512" s="26" t="s">
        <v>38</v>
      </c>
    </row>
    <row r="5513" spans="34:39" x14ac:dyDescent="0.35">
      <c r="AH5513" s="21"/>
      <c r="AI5513" s="21"/>
      <c r="AJ5513" s="21"/>
      <c r="AK5513" s="21"/>
      <c r="AM5513" s="26" t="s">
        <v>38</v>
      </c>
    </row>
    <row r="5514" spans="34:39" x14ac:dyDescent="0.35">
      <c r="AH5514" s="21"/>
      <c r="AI5514" s="21"/>
      <c r="AJ5514" s="21"/>
      <c r="AK5514" s="21"/>
      <c r="AM5514" s="26" t="s">
        <v>38</v>
      </c>
    </row>
    <row r="5515" spans="34:39" x14ac:dyDescent="0.35">
      <c r="AH5515" s="21"/>
      <c r="AI5515" s="21"/>
      <c r="AJ5515" s="21"/>
      <c r="AK5515" s="21"/>
      <c r="AM5515" s="26" t="s">
        <v>38</v>
      </c>
    </row>
    <row r="5516" spans="34:39" x14ac:dyDescent="0.35">
      <c r="AH5516" s="21"/>
      <c r="AI5516" s="21"/>
      <c r="AJ5516" s="21"/>
      <c r="AK5516" s="21"/>
      <c r="AM5516" s="26" t="s">
        <v>38</v>
      </c>
    </row>
    <row r="5517" spans="34:39" x14ac:dyDescent="0.35">
      <c r="AH5517" s="21"/>
      <c r="AI5517" s="21"/>
      <c r="AJ5517" s="21"/>
      <c r="AK5517" s="21"/>
      <c r="AM5517" s="26" t="s">
        <v>38</v>
      </c>
    </row>
    <row r="5518" spans="34:39" x14ac:dyDescent="0.35">
      <c r="AH5518" s="21"/>
      <c r="AI5518" s="21"/>
      <c r="AJ5518" s="21"/>
      <c r="AK5518" s="21"/>
      <c r="AM5518" s="26" t="s">
        <v>38</v>
      </c>
    </row>
    <row r="5519" spans="34:39" x14ac:dyDescent="0.35">
      <c r="AH5519" s="21"/>
      <c r="AI5519" s="21"/>
      <c r="AJ5519" s="21"/>
      <c r="AK5519" s="21"/>
      <c r="AM5519" s="26" t="s">
        <v>38</v>
      </c>
    </row>
    <row r="5520" spans="34:39" x14ac:dyDescent="0.35">
      <c r="AH5520" s="21"/>
      <c r="AI5520" s="21"/>
      <c r="AJ5520" s="21"/>
      <c r="AK5520" s="21"/>
      <c r="AM5520" s="26" t="s">
        <v>38</v>
      </c>
    </row>
    <row r="5521" spans="34:39" x14ac:dyDescent="0.35">
      <c r="AH5521" s="21"/>
      <c r="AI5521" s="21"/>
      <c r="AJ5521" s="21"/>
      <c r="AK5521" s="21"/>
      <c r="AM5521" s="26" t="s">
        <v>38</v>
      </c>
    </row>
    <row r="5522" spans="34:39" x14ac:dyDescent="0.35">
      <c r="AH5522" s="21"/>
      <c r="AI5522" s="21"/>
      <c r="AJ5522" s="21"/>
      <c r="AK5522" s="21"/>
      <c r="AM5522" s="26" t="s">
        <v>38</v>
      </c>
    </row>
    <row r="5523" spans="34:39" x14ac:dyDescent="0.35">
      <c r="AH5523" s="21"/>
      <c r="AI5523" s="21"/>
      <c r="AJ5523" s="21"/>
      <c r="AK5523" s="21"/>
      <c r="AM5523" s="26" t="s">
        <v>38</v>
      </c>
    </row>
    <row r="5524" spans="34:39" x14ac:dyDescent="0.35">
      <c r="AH5524" s="21"/>
      <c r="AI5524" s="21"/>
      <c r="AJ5524" s="21"/>
      <c r="AK5524" s="21"/>
      <c r="AM5524" s="26" t="s">
        <v>38</v>
      </c>
    </row>
    <row r="5525" spans="34:39" x14ac:dyDescent="0.35">
      <c r="AH5525" s="21"/>
      <c r="AI5525" s="21"/>
      <c r="AJ5525" s="21"/>
      <c r="AK5525" s="21"/>
      <c r="AM5525" s="26" t="s">
        <v>38</v>
      </c>
    </row>
    <row r="5526" spans="34:39" x14ac:dyDescent="0.35">
      <c r="AH5526" s="21"/>
      <c r="AI5526" s="21"/>
      <c r="AJ5526" s="21"/>
      <c r="AK5526" s="21"/>
      <c r="AM5526" s="26" t="s">
        <v>38</v>
      </c>
    </row>
    <row r="5527" spans="34:39" x14ac:dyDescent="0.35">
      <c r="AH5527" s="21"/>
      <c r="AI5527" s="21"/>
      <c r="AJ5527" s="21"/>
      <c r="AK5527" s="21"/>
      <c r="AM5527" s="26" t="s">
        <v>38</v>
      </c>
    </row>
    <row r="5528" spans="34:39" x14ac:dyDescent="0.35">
      <c r="AH5528" s="21"/>
      <c r="AI5528" s="21"/>
      <c r="AJ5528" s="21"/>
      <c r="AK5528" s="21"/>
      <c r="AM5528" s="26" t="s">
        <v>38</v>
      </c>
    </row>
    <row r="5529" spans="34:39" x14ac:dyDescent="0.35">
      <c r="AH5529" s="21"/>
      <c r="AI5529" s="21"/>
      <c r="AJ5529" s="21"/>
      <c r="AK5529" s="21"/>
      <c r="AM5529" s="26" t="s">
        <v>38</v>
      </c>
    </row>
    <row r="5530" spans="34:39" x14ac:dyDescent="0.35">
      <c r="AH5530" s="21"/>
      <c r="AI5530" s="21"/>
      <c r="AJ5530" s="21"/>
      <c r="AK5530" s="21"/>
      <c r="AM5530" s="26" t="s">
        <v>38</v>
      </c>
    </row>
    <row r="5531" spans="34:39" x14ac:dyDescent="0.35">
      <c r="AH5531" s="21"/>
      <c r="AI5531" s="21"/>
      <c r="AJ5531" s="21"/>
      <c r="AK5531" s="21"/>
      <c r="AM5531" s="26" t="s">
        <v>38</v>
      </c>
    </row>
    <row r="5532" spans="34:39" x14ac:dyDescent="0.35">
      <c r="AH5532" s="21"/>
      <c r="AI5532" s="21"/>
      <c r="AJ5532" s="21"/>
      <c r="AK5532" s="21"/>
      <c r="AM5532" s="26" t="s">
        <v>38</v>
      </c>
    </row>
    <row r="5533" spans="34:39" x14ac:dyDescent="0.35">
      <c r="AH5533" s="21"/>
      <c r="AI5533" s="21"/>
      <c r="AJ5533" s="21"/>
      <c r="AK5533" s="21"/>
      <c r="AM5533" s="26" t="s">
        <v>38</v>
      </c>
    </row>
    <row r="5534" spans="34:39" x14ac:dyDescent="0.35">
      <c r="AH5534" s="21"/>
      <c r="AI5534" s="21"/>
      <c r="AJ5534" s="21"/>
      <c r="AK5534" s="21"/>
      <c r="AM5534" s="26" t="s">
        <v>38</v>
      </c>
    </row>
    <row r="5535" spans="34:39" x14ac:dyDescent="0.35">
      <c r="AH5535" s="21"/>
      <c r="AI5535" s="21"/>
      <c r="AJ5535" s="21"/>
      <c r="AK5535" s="21"/>
      <c r="AM5535" s="26" t="s">
        <v>38</v>
      </c>
    </row>
    <row r="5536" spans="34:39" x14ac:dyDescent="0.35">
      <c r="AH5536" s="21"/>
      <c r="AI5536" s="21"/>
      <c r="AJ5536" s="21"/>
      <c r="AK5536" s="21"/>
      <c r="AM5536" s="26" t="s">
        <v>38</v>
      </c>
    </row>
    <row r="5537" spans="34:39" x14ac:dyDescent="0.35">
      <c r="AH5537" s="21"/>
      <c r="AI5537" s="21"/>
      <c r="AJ5537" s="21"/>
      <c r="AK5537" s="21"/>
      <c r="AM5537" s="26" t="s">
        <v>38</v>
      </c>
    </row>
    <row r="5538" spans="34:39" x14ac:dyDescent="0.35">
      <c r="AH5538" s="21"/>
      <c r="AI5538" s="21"/>
      <c r="AJ5538" s="21"/>
      <c r="AK5538" s="21"/>
      <c r="AM5538" s="26" t="s">
        <v>38</v>
      </c>
    </row>
    <row r="5539" spans="34:39" x14ac:dyDescent="0.35">
      <c r="AH5539" s="21"/>
      <c r="AI5539" s="21"/>
      <c r="AJ5539" s="21"/>
      <c r="AK5539" s="21"/>
      <c r="AM5539" s="26" t="s">
        <v>38</v>
      </c>
    </row>
    <row r="5540" spans="34:39" x14ac:dyDescent="0.35">
      <c r="AH5540" s="21"/>
      <c r="AI5540" s="21"/>
      <c r="AJ5540" s="21"/>
      <c r="AK5540" s="21"/>
      <c r="AM5540" s="26" t="s">
        <v>38</v>
      </c>
    </row>
    <row r="5541" spans="34:39" x14ac:dyDescent="0.35">
      <c r="AH5541" s="21"/>
      <c r="AI5541" s="21"/>
      <c r="AJ5541" s="21"/>
      <c r="AK5541" s="21"/>
      <c r="AM5541" s="26" t="s">
        <v>38</v>
      </c>
    </row>
    <row r="5542" spans="34:39" x14ac:dyDescent="0.35">
      <c r="AH5542" s="21"/>
      <c r="AI5542" s="21"/>
      <c r="AJ5542" s="21"/>
      <c r="AK5542" s="21"/>
      <c r="AM5542" s="26" t="s">
        <v>38</v>
      </c>
    </row>
    <row r="5543" spans="34:39" x14ac:dyDescent="0.35">
      <c r="AH5543" s="21"/>
      <c r="AI5543" s="21"/>
      <c r="AJ5543" s="21"/>
      <c r="AK5543" s="21"/>
      <c r="AM5543" s="26" t="s">
        <v>38</v>
      </c>
    </row>
    <row r="5544" spans="34:39" x14ac:dyDescent="0.35">
      <c r="AH5544" s="21"/>
      <c r="AI5544" s="21"/>
      <c r="AJ5544" s="21"/>
      <c r="AK5544" s="21"/>
      <c r="AM5544" s="26" t="s">
        <v>38</v>
      </c>
    </row>
    <row r="5545" spans="34:39" x14ac:dyDescent="0.35">
      <c r="AH5545" s="21"/>
      <c r="AI5545" s="21"/>
      <c r="AJ5545" s="21"/>
      <c r="AK5545" s="21"/>
      <c r="AM5545" s="26" t="s">
        <v>38</v>
      </c>
    </row>
    <row r="5546" spans="34:39" x14ac:dyDescent="0.35">
      <c r="AH5546" s="21"/>
      <c r="AI5546" s="21"/>
      <c r="AJ5546" s="21"/>
      <c r="AK5546" s="21"/>
      <c r="AM5546" s="26" t="s">
        <v>38</v>
      </c>
    </row>
    <row r="5547" spans="34:39" x14ac:dyDescent="0.35">
      <c r="AH5547" s="21"/>
      <c r="AI5547" s="21"/>
      <c r="AJ5547" s="21"/>
      <c r="AK5547" s="21"/>
      <c r="AM5547" s="26" t="s">
        <v>38</v>
      </c>
    </row>
    <row r="5548" spans="34:39" x14ac:dyDescent="0.35">
      <c r="AH5548" s="21"/>
      <c r="AI5548" s="21"/>
      <c r="AJ5548" s="21"/>
      <c r="AK5548" s="21"/>
      <c r="AM5548" s="26" t="s">
        <v>38</v>
      </c>
    </row>
    <row r="5549" spans="34:39" x14ac:dyDescent="0.35">
      <c r="AH5549" s="21"/>
      <c r="AI5549" s="21"/>
      <c r="AJ5549" s="21"/>
      <c r="AK5549" s="21"/>
      <c r="AM5549" s="26" t="s">
        <v>38</v>
      </c>
    </row>
    <row r="5550" spans="34:39" x14ac:dyDescent="0.35">
      <c r="AH5550" s="21"/>
      <c r="AI5550" s="21"/>
      <c r="AJ5550" s="21"/>
      <c r="AK5550" s="21"/>
      <c r="AM5550" s="26" t="s">
        <v>38</v>
      </c>
    </row>
    <row r="5551" spans="34:39" x14ac:dyDescent="0.35">
      <c r="AH5551" s="21"/>
      <c r="AI5551" s="21"/>
      <c r="AJ5551" s="21"/>
      <c r="AK5551" s="21"/>
      <c r="AM5551" s="26" t="s">
        <v>38</v>
      </c>
    </row>
    <row r="5552" spans="34:39" x14ac:dyDescent="0.35">
      <c r="AH5552" s="21"/>
      <c r="AI5552" s="21"/>
      <c r="AJ5552" s="21"/>
      <c r="AK5552" s="21"/>
      <c r="AM5552" s="26" t="s">
        <v>38</v>
      </c>
    </row>
    <row r="5553" spans="34:39" x14ac:dyDescent="0.35">
      <c r="AH5553" s="21"/>
      <c r="AI5553" s="21"/>
      <c r="AJ5553" s="21"/>
      <c r="AK5553" s="21"/>
      <c r="AM5553" s="26" t="s">
        <v>38</v>
      </c>
    </row>
    <row r="5554" spans="34:39" x14ac:dyDescent="0.35">
      <c r="AH5554" s="21"/>
      <c r="AI5554" s="21"/>
      <c r="AJ5554" s="21"/>
      <c r="AK5554" s="21"/>
      <c r="AM5554" s="26" t="s">
        <v>38</v>
      </c>
    </row>
    <row r="5555" spans="34:39" x14ac:dyDescent="0.35">
      <c r="AH5555" s="21"/>
      <c r="AI5555" s="21"/>
      <c r="AJ5555" s="21"/>
      <c r="AK5555" s="21"/>
      <c r="AM5555" s="26" t="s">
        <v>38</v>
      </c>
    </row>
    <row r="5556" spans="34:39" x14ac:dyDescent="0.35">
      <c r="AH5556" s="21"/>
      <c r="AI5556" s="21"/>
      <c r="AJ5556" s="21"/>
      <c r="AK5556" s="21"/>
      <c r="AM5556" s="26" t="s">
        <v>38</v>
      </c>
    </row>
    <row r="5557" spans="34:39" x14ac:dyDescent="0.35">
      <c r="AH5557" s="21"/>
      <c r="AI5557" s="21"/>
      <c r="AJ5557" s="21"/>
      <c r="AK5557" s="21"/>
      <c r="AM5557" s="26" t="s">
        <v>38</v>
      </c>
    </row>
    <row r="5558" spans="34:39" x14ac:dyDescent="0.35">
      <c r="AH5558" s="21"/>
      <c r="AI5558" s="21"/>
      <c r="AJ5558" s="21"/>
      <c r="AK5558" s="21"/>
      <c r="AM5558" s="26" t="s">
        <v>38</v>
      </c>
    </row>
    <row r="5559" spans="34:39" x14ac:dyDescent="0.35">
      <c r="AH5559" s="21"/>
      <c r="AI5559" s="21"/>
      <c r="AJ5559" s="21"/>
      <c r="AK5559" s="21"/>
      <c r="AM5559" s="26" t="s">
        <v>38</v>
      </c>
    </row>
    <row r="5560" spans="34:39" x14ac:dyDescent="0.35">
      <c r="AH5560" s="21"/>
      <c r="AI5560" s="21"/>
      <c r="AJ5560" s="21"/>
      <c r="AK5560" s="21"/>
      <c r="AM5560" s="26" t="s">
        <v>38</v>
      </c>
    </row>
    <row r="5561" spans="34:39" x14ac:dyDescent="0.35">
      <c r="AH5561" s="21"/>
      <c r="AI5561" s="21"/>
      <c r="AJ5561" s="21"/>
      <c r="AK5561" s="21"/>
      <c r="AM5561" s="26" t="s">
        <v>38</v>
      </c>
    </row>
    <row r="5562" spans="34:39" x14ac:dyDescent="0.35">
      <c r="AH5562" s="21"/>
      <c r="AI5562" s="21"/>
      <c r="AJ5562" s="21"/>
      <c r="AK5562" s="21"/>
      <c r="AM5562" s="26" t="s">
        <v>38</v>
      </c>
    </row>
    <row r="5563" spans="34:39" x14ac:dyDescent="0.35">
      <c r="AH5563" s="21"/>
      <c r="AI5563" s="21"/>
      <c r="AJ5563" s="21"/>
      <c r="AK5563" s="21"/>
      <c r="AM5563" s="26" t="s">
        <v>38</v>
      </c>
    </row>
    <row r="5564" spans="34:39" x14ac:dyDescent="0.35">
      <c r="AH5564" s="21"/>
      <c r="AI5564" s="21"/>
      <c r="AJ5564" s="21"/>
      <c r="AK5564" s="21"/>
      <c r="AM5564" s="26" t="s">
        <v>38</v>
      </c>
    </row>
    <row r="5565" spans="34:39" x14ac:dyDescent="0.35">
      <c r="AH5565" s="21"/>
      <c r="AI5565" s="21"/>
      <c r="AJ5565" s="21"/>
      <c r="AK5565" s="21"/>
      <c r="AM5565" s="26" t="s">
        <v>38</v>
      </c>
    </row>
    <row r="5566" spans="34:39" x14ac:dyDescent="0.35">
      <c r="AH5566" s="21"/>
      <c r="AI5566" s="21"/>
      <c r="AJ5566" s="21"/>
      <c r="AK5566" s="21"/>
      <c r="AM5566" s="26" t="s">
        <v>38</v>
      </c>
    </row>
    <row r="5567" spans="34:39" x14ac:dyDescent="0.35">
      <c r="AH5567" s="21"/>
      <c r="AI5567" s="21"/>
      <c r="AJ5567" s="21"/>
      <c r="AK5567" s="21"/>
      <c r="AM5567" s="26" t="s">
        <v>38</v>
      </c>
    </row>
    <row r="5568" spans="34:39" x14ac:dyDescent="0.35">
      <c r="AH5568" s="21"/>
      <c r="AI5568" s="21"/>
      <c r="AJ5568" s="21"/>
      <c r="AK5568" s="21"/>
      <c r="AM5568" s="26" t="s">
        <v>38</v>
      </c>
    </row>
    <row r="5569" spans="34:39" x14ac:dyDescent="0.35">
      <c r="AH5569" s="21"/>
      <c r="AI5569" s="21"/>
      <c r="AJ5569" s="21"/>
      <c r="AK5569" s="21"/>
      <c r="AM5569" s="26" t="s">
        <v>38</v>
      </c>
    </row>
    <row r="5570" spans="34:39" x14ac:dyDescent="0.35">
      <c r="AH5570" s="21"/>
      <c r="AI5570" s="21"/>
      <c r="AJ5570" s="21"/>
      <c r="AK5570" s="21"/>
      <c r="AM5570" s="26" t="s">
        <v>38</v>
      </c>
    </row>
    <row r="5571" spans="34:39" x14ac:dyDescent="0.35">
      <c r="AH5571" s="21"/>
      <c r="AI5571" s="21"/>
      <c r="AJ5571" s="21"/>
      <c r="AK5571" s="21"/>
      <c r="AM5571" s="26" t="s">
        <v>38</v>
      </c>
    </row>
    <row r="5572" spans="34:39" x14ac:dyDescent="0.35">
      <c r="AH5572" s="21"/>
      <c r="AI5572" s="21"/>
      <c r="AJ5572" s="21"/>
      <c r="AK5572" s="21"/>
      <c r="AM5572" s="26" t="s">
        <v>38</v>
      </c>
    </row>
    <row r="5573" spans="34:39" x14ac:dyDescent="0.35">
      <c r="AH5573" s="21"/>
      <c r="AI5573" s="21"/>
      <c r="AJ5573" s="21"/>
      <c r="AK5573" s="21"/>
      <c r="AM5573" s="26" t="s">
        <v>38</v>
      </c>
    </row>
    <row r="5574" spans="34:39" x14ac:dyDescent="0.35">
      <c r="AH5574" s="21"/>
      <c r="AI5574" s="21"/>
      <c r="AJ5574" s="21"/>
      <c r="AK5574" s="21"/>
      <c r="AM5574" s="26" t="s">
        <v>38</v>
      </c>
    </row>
    <row r="5575" spans="34:39" x14ac:dyDescent="0.35">
      <c r="AH5575" s="21"/>
      <c r="AI5575" s="21"/>
      <c r="AJ5575" s="21"/>
      <c r="AK5575" s="21"/>
      <c r="AM5575" s="26" t="s">
        <v>38</v>
      </c>
    </row>
    <row r="5576" spans="34:39" x14ac:dyDescent="0.35">
      <c r="AH5576" s="21"/>
      <c r="AI5576" s="21"/>
      <c r="AJ5576" s="21"/>
      <c r="AK5576" s="21"/>
      <c r="AM5576" s="26" t="s">
        <v>38</v>
      </c>
    </row>
    <row r="5577" spans="34:39" x14ac:dyDescent="0.35">
      <c r="AH5577" s="21"/>
      <c r="AI5577" s="21"/>
      <c r="AJ5577" s="21"/>
      <c r="AK5577" s="21"/>
      <c r="AM5577" s="26" t="s">
        <v>38</v>
      </c>
    </row>
    <row r="5578" spans="34:39" x14ac:dyDescent="0.35">
      <c r="AH5578" s="21"/>
      <c r="AI5578" s="21"/>
      <c r="AJ5578" s="21"/>
      <c r="AK5578" s="21"/>
      <c r="AM5578" s="26" t="s">
        <v>38</v>
      </c>
    </row>
    <row r="5579" spans="34:39" x14ac:dyDescent="0.35">
      <c r="AH5579" s="21"/>
      <c r="AI5579" s="21"/>
      <c r="AJ5579" s="21"/>
      <c r="AK5579" s="21"/>
      <c r="AM5579" s="26" t="s">
        <v>38</v>
      </c>
    </row>
    <row r="5580" spans="34:39" x14ac:dyDescent="0.35">
      <c r="AH5580" s="21"/>
      <c r="AI5580" s="21"/>
      <c r="AJ5580" s="21"/>
      <c r="AK5580" s="21"/>
      <c r="AM5580" s="26" t="s">
        <v>38</v>
      </c>
    </row>
    <row r="5581" spans="34:39" x14ac:dyDescent="0.35">
      <c r="AH5581" s="21"/>
      <c r="AI5581" s="21"/>
      <c r="AJ5581" s="21"/>
      <c r="AK5581" s="21"/>
      <c r="AM5581" s="26" t="s">
        <v>38</v>
      </c>
    </row>
    <row r="5582" spans="34:39" x14ac:dyDescent="0.35">
      <c r="AH5582" s="21"/>
      <c r="AI5582" s="21"/>
      <c r="AJ5582" s="21"/>
      <c r="AK5582" s="21"/>
      <c r="AM5582" s="26" t="s">
        <v>38</v>
      </c>
    </row>
    <row r="5583" spans="34:39" x14ac:dyDescent="0.35">
      <c r="AH5583" s="21"/>
      <c r="AI5583" s="21"/>
      <c r="AJ5583" s="21"/>
      <c r="AK5583" s="21"/>
      <c r="AM5583" s="26" t="s">
        <v>38</v>
      </c>
    </row>
    <row r="5584" spans="34:39" x14ac:dyDescent="0.35">
      <c r="AH5584" s="21"/>
      <c r="AI5584" s="21"/>
      <c r="AJ5584" s="21"/>
      <c r="AK5584" s="21"/>
      <c r="AM5584" s="26" t="s">
        <v>38</v>
      </c>
    </row>
    <row r="5585" spans="34:39" x14ac:dyDescent="0.35">
      <c r="AH5585" s="21"/>
      <c r="AI5585" s="21"/>
      <c r="AJ5585" s="21"/>
      <c r="AK5585" s="21"/>
      <c r="AM5585" s="26" t="s">
        <v>38</v>
      </c>
    </row>
    <row r="5586" spans="34:39" x14ac:dyDescent="0.35">
      <c r="AH5586" s="21"/>
      <c r="AI5586" s="21"/>
      <c r="AJ5586" s="21"/>
      <c r="AK5586" s="21"/>
      <c r="AM5586" s="26" t="s">
        <v>38</v>
      </c>
    </row>
    <row r="5587" spans="34:39" x14ac:dyDescent="0.35">
      <c r="AH5587" s="21"/>
      <c r="AI5587" s="21"/>
      <c r="AJ5587" s="21"/>
      <c r="AK5587" s="21"/>
      <c r="AM5587" s="26" t="s">
        <v>38</v>
      </c>
    </row>
    <row r="5588" spans="34:39" x14ac:dyDescent="0.35">
      <c r="AH5588" s="21"/>
      <c r="AI5588" s="21"/>
      <c r="AJ5588" s="21"/>
      <c r="AK5588" s="21"/>
      <c r="AM5588" s="26" t="s">
        <v>38</v>
      </c>
    </row>
    <row r="5589" spans="34:39" x14ac:dyDescent="0.35">
      <c r="AH5589" s="21"/>
      <c r="AI5589" s="21"/>
      <c r="AJ5589" s="21"/>
      <c r="AK5589" s="21"/>
      <c r="AM5589" s="26" t="s">
        <v>38</v>
      </c>
    </row>
    <row r="5590" spans="34:39" x14ac:dyDescent="0.35">
      <c r="AH5590" s="21"/>
      <c r="AI5590" s="21"/>
      <c r="AJ5590" s="21"/>
      <c r="AK5590" s="21"/>
      <c r="AM5590" s="26" t="s">
        <v>38</v>
      </c>
    </row>
    <row r="5591" spans="34:39" x14ac:dyDescent="0.35">
      <c r="AH5591" s="21"/>
      <c r="AI5591" s="21"/>
      <c r="AJ5591" s="21"/>
      <c r="AK5591" s="21"/>
      <c r="AM5591" s="26" t="s">
        <v>38</v>
      </c>
    </row>
    <row r="5592" spans="34:39" x14ac:dyDescent="0.35">
      <c r="AH5592" s="21"/>
      <c r="AI5592" s="21"/>
      <c r="AJ5592" s="21"/>
      <c r="AK5592" s="21"/>
      <c r="AM5592" s="26" t="s">
        <v>38</v>
      </c>
    </row>
    <row r="5593" spans="34:39" x14ac:dyDescent="0.35">
      <c r="AH5593" s="21"/>
      <c r="AI5593" s="21"/>
      <c r="AJ5593" s="21"/>
      <c r="AK5593" s="21"/>
      <c r="AM5593" s="26" t="s">
        <v>38</v>
      </c>
    </row>
    <row r="5594" spans="34:39" x14ac:dyDescent="0.35">
      <c r="AH5594" s="21"/>
      <c r="AI5594" s="21"/>
      <c r="AJ5594" s="21"/>
      <c r="AK5594" s="21"/>
      <c r="AM5594" s="26" t="s">
        <v>38</v>
      </c>
    </row>
    <row r="5595" spans="34:39" x14ac:dyDescent="0.35">
      <c r="AH5595" s="21"/>
      <c r="AI5595" s="21"/>
      <c r="AJ5595" s="21"/>
      <c r="AK5595" s="21"/>
      <c r="AM5595" s="26" t="s">
        <v>38</v>
      </c>
    </row>
    <row r="5596" spans="34:39" x14ac:dyDescent="0.35">
      <c r="AH5596" s="21"/>
      <c r="AI5596" s="21"/>
      <c r="AJ5596" s="21"/>
      <c r="AK5596" s="21"/>
      <c r="AM5596" s="26" t="s">
        <v>38</v>
      </c>
    </row>
    <row r="5597" spans="34:39" x14ac:dyDescent="0.35">
      <c r="AH5597" s="21"/>
      <c r="AI5597" s="21"/>
      <c r="AJ5597" s="21"/>
      <c r="AK5597" s="21"/>
      <c r="AM5597" s="26" t="s">
        <v>38</v>
      </c>
    </row>
    <row r="5598" spans="34:39" x14ac:dyDescent="0.35">
      <c r="AH5598" s="21"/>
      <c r="AI5598" s="21"/>
      <c r="AJ5598" s="21"/>
      <c r="AK5598" s="21"/>
      <c r="AM5598" s="26" t="s">
        <v>38</v>
      </c>
    </row>
    <row r="5599" spans="34:39" x14ac:dyDescent="0.35">
      <c r="AH5599" s="21"/>
      <c r="AI5599" s="21"/>
      <c r="AJ5599" s="21"/>
      <c r="AK5599" s="21"/>
      <c r="AM5599" s="26" t="s">
        <v>38</v>
      </c>
    </row>
    <row r="5600" spans="34:39" x14ac:dyDescent="0.35">
      <c r="AH5600" s="21"/>
      <c r="AI5600" s="21"/>
      <c r="AJ5600" s="21"/>
      <c r="AK5600" s="21"/>
      <c r="AM5600" s="26" t="s">
        <v>38</v>
      </c>
    </row>
    <row r="5601" spans="34:39" x14ac:dyDescent="0.35">
      <c r="AH5601" s="21"/>
      <c r="AI5601" s="21"/>
      <c r="AJ5601" s="21"/>
      <c r="AK5601" s="21"/>
      <c r="AM5601" s="26" t="s">
        <v>38</v>
      </c>
    </row>
    <row r="5602" spans="34:39" x14ac:dyDescent="0.35">
      <c r="AH5602" s="21"/>
      <c r="AI5602" s="21"/>
      <c r="AJ5602" s="21"/>
      <c r="AK5602" s="21"/>
      <c r="AM5602" s="26" t="s">
        <v>38</v>
      </c>
    </row>
    <row r="5603" spans="34:39" x14ac:dyDescent="0.35">
      <c r="AH5603" s="21"/>
      <c r="AI5603" s="21"/>
      <c r="AJ5603" s="21"/>
      <c r="AK5603" s="21"/>
      <c r="AM5603" s="26" t="s">
        <v>38</v>
      </c>
    </row>
    <row r="5604" spans="34:39" x14ac:dyDescent="0.35">
      <c r="AH5604" s="21"/>
      <c r="AI5604" s="21"/>
      <c r="AJ5604" s="21"/>
      <c r="AK5604" s="21"/>
      <c r="AM5604" s="26" t="s">
        <v>38</v>
      </c>
    </row>
    <row r="5605" spans="34:39" x14ac:dyDescent="0.35">
      <c r="AH5605" s="21"/>
      <c r="AI5605" s="21"/>
      <c r="AJ5605" s="21"/>
      <c r="AK5605" s="21"/>
      <c r="AM5605" s="26" t="s">
        <v>38</v>
      </c>
    </row>
    <row r="5606" spans="34:39" x14ac:dyDescent="0.35">
      <c r="AH5606" s="21"/>
      <c r="AI5606" s="21"/>
      <c r="AJ5606" s="21"/>
      <c r="AK5606" s="21"/>
      <c r="AM5606" s="26" t="s">
        <v>38</v>
      </c>
    </row>
    <row r="5607" spans="34:39" x14ac:dyDescent="0.35">
      <c r="AH5607" s="21"/>
      <c r="AI5607" s="21"/>
      <c r="AJ5607" s="21"/>
      <c r="AK5607" s="21"/>
      <c r="AM5607" s="26" t="s">
        <v>38</v>
      </c>
    </row>
    <row r="5608" spans="34:39" x14ac:dyDescent="0.35">
      <c r="AH5608" s="21"/>
      <c r="AI5608" s="21"/>
      <c r="AJ5608" s="21"/>
      <c r="AK5608" s="21"/>
      <c r="AM5608" s="26" t="s">
        <v>38</v>
      </c>
    </row>
    <row r="5609" spans="34:39" x14ac:dyDescent="0.35">
      <c r="AH5609" s="21"/>
      <c r="AI5609" s="21"/>
      <c r="AJ5609" s="21"/>
      <c r="AK5609" s="21"/>
      <c r="AM5609" s="26" t="s">
        <v>38</v>
      </c>
    </row>
    <row r="5610" spans="34:39" x14ac:dyDescent="0.35">
      <c r="AH5610" s="21"/>
      <c r="AI5610" s="21"/>
      <c r="AJ5610" s="21"/>
      <c r="AK5610" s="21"/>
      <c r="AM5610" s="26" t="s">
        <v>38</v>
      </c>
    </row>
    <row r="5611" spans="34:39" x14ac:dyDescent="0.35">
      <c r="AH5611" s="21"/>
      <c r="AI5611" s="21"/>
      <c r="AJ5611" s="21"/>
      <c r="AK5611" s="21"/>
      <c r="AM5611" s="26" t="s">
        <v>38</v>
      </c>
    </row>
    <row r="5612" spans="34:39" x14ac:dyDescent="0.35">
      <c r="AH5612" s="21"/>
      <c r="AI5612" s="21"/>
      <c r="AJ5612" s="21"/>
      <c r="AK5612" s="21"/>
      <c r="AM5612" s="26" t="s">
        <v>38</v>
      </c>
    </row>
    <row r="5613" spans="34:39" x14ac:dyDescent="0.35">
      <c r="AH5613" s="21"/>
      <c r="AI5613" s="21"/>
      <c r="AJ5613" s="21"/>
      <c r="AK5613" s="21"/>
      <c r="AM5613" s="26" t="s">
        <v>38</v>
      </c>
    </row>
    <row r="5614" spans="34:39" x14ac:dyDescent="0.35">
      <c r="AH5614" s="21"/>
      <c r="AI5614" s="21"/>
      <c r="AJ5614" s="21"/>
      <c r="AK5614" s="21"/>
      <c r="AM5614" s="26" t="s">
        <v>38</v>
      </c>
    </row>
    <row r="5615" spans="34:39" x14ac:dyDescent="0.35">
      <c r="AH5615" s="21"/>
      <c r="AI5615" s="21"/>
      <c r="AJ5615" s="21"/>
      <c r="AK5615" s="21"/>
      <c r="AM5615" s="26" t="s">
        <v>38</v>
      </c>
    </row>
    <row r="5616" spans="34:39" x14ac:dyDescent="0.35">
      <c r="AH5616" s="21"/>
      <c r="AI5616" s="21"/>
      <c r="AJ5616" s="21"/>
      <c r="AK5616" s="21"/>
      <c r="AM5616" s="26" t="s">
        <v>38</v>
      </c>
    </row>
    <row r="5617" spans="34:39" x14ac:dyDescent="0.35">
      <c r="AH5617" s="21"/>
      <c r="AI5617" s="21"/>
      <c r="AJ5617" s="21"/>
      <c r="AK5617" s="21"/>
      <c r="AM5617" s="26" t="s">
        <v>38</v>
      </c>
    </row>
    <row r="5618" spans="34:39" x14ac:dyDescent="0.35">
      <c r="AH5618" s="21"/>
      <c r="AI5618" s="21"/>
      <c r="AJ5618" s="21"/>
      <c r="AK5618" s="21"/>
      <c r="AM5618" s="26" t="s">
        <v>38</v>
      </c>
    </row>
    <row r="5619" spans="34:39" x14ac:dyDescent="0.35">
      <c r="AH5619" s="21"/>
      <c r="AI5619" s="21"/>
      <c r="AJ5619" s="21"/>
      <c r="AK5619" s="21"/>
      <c r="AM5619" s="26" t="s">
        <v>38</v>
      </c>
    </row>
    <row r="5620" spans="34:39" x14ac:dyDescent="0.35">
      <c r="AH5620" s="21"/>
      <c r="AI5620" s="21"/>
      <c r="AJ5620" s="21"/>
      <c r="AK5620" s="21"/>
      <c r="AM5620" s="26" t="s">
        <v>38</v>
      </c>
    </row>
    <row r="5621" spans="34:39" x14ac:dyDescent="0.35">
      <c r="AH5621" s="21"/>
      <c r="AI5621" s="21"/>
      <c r="AJ5621" s="21"/>
      <c r="AK5621" s="21"/>
      <c r="AM5621" s="26" t="s">
        <v>38</v>
      </c>
    </row>
    <row r="5622" spans="34:39" x14ac:dyDescent="0.35">
      <c r="AH5622" s="21"/>
      <c r="AI5622" s="21"/>
      <c r="AJ5622" s="21"/>
      <c r="AK5622" s="21"/>
      <c r="AM5622" s="26" t="s">
        <v>38</v>
      </c>
    </row>
    <row r="5623" spans="34:39" x14ac:dyDescent="0.35">
      <c r="AH5623" s="21"/>
      <c r="AI5623" s="21"/>
      <c r="AJ5623" s="21"/>
      <c r="AK5623" s="21"/>
      <c r="AM5623" s="26" t="s">
        <v>38</v>
      </c>
    </row>
    <row r="5624" spans="34:39" x14ac:dyDescent="0.35">
      <c r="AH5624" s="21"/>
      <c r="AI5624" s="21"/>
      <c r="AJ5624" s="21"/>
      <c r="AK5624" s="21"/>
      <c r="AM5624" s="26" t="s">
        <v>38</v>
      </c>
    </row>
    <row r="5625" spans="34:39" x14ac:dyDescent="0.35">
      <c r="AH5625" s="21"/>
      <c r="AI5625" s="21"/>
      <c r="AJ5625" s="21"/>
      <c r="AK5625" s="21"/>
      <c r="AM5625" s="26" t="s">
        <v>38</v>
      </c>
    </row>
    <row r="5626" spans="34:39" x14ac:dyDescent="0.35">
      <c r="AH5626" s="21"/>
      <c r="AI5626" s="21"/>
      <c r="AJ5626" s="21"/>
      <c r="AK5626" s="21"/>
      <c r="AM5626" s="26" t="s">
        <v>38</v>
      </c>
    </row>
    <row r="5627" spans="34:39" x14ac:dyDescent="0.35">
      <c r="AH5627" s="21"/>
      <c r="AI5627" s="21"/>
      <c r="AJ5627" s="21"/>
      <c r="AK5627" s="21"/>
      <c r="AM5627" s="26" t="s">
        <v>38</v>
      </c>
    </row>
    <row r="5628" spans="34:39" x14ac:dyDescent="0.35">
      <c r="AH5628" s="21"/>
      <c r="AI5628" s="21"/>
      <c r="AJ5628" s="21"/>
      <c r="AK5628" s="21"/>
      <c r="AM5628" s="26" t="s">
        <v>38</v>
      </c>
    </row>
    <row r="5629" spans="34:39" x14ac:dyDescent="0.35">
      <c r="AH5629" s="21"/>
      <c r="AI5629" s="21"/>
      <c r="AJ5629" s="21"/>
      <c r="AK5629" s="21"/>
      <c r="AM5629" s="26" t="s">
        <v>38</v>
      </c>
    </row>
    <row r="5630" spans="34:39" x14ac:dyDescent="0.35">
      <c r="AH5630" s="21"/>
      <c r="AI5630" s="21"/>
      <c r="AJ5630" s="21"/>
      <c r="AK5630" s="21"/>
      <c r="AM5630" s="26" t="s">
        <v>38</v>
      </c>
    </row>
    <row r="5631" spans="34:39" x14ac:dyDescent="0.35">
      <c r="AH5631" s="21"/>
      <c r="AI5631" s="21"/>
      <c r="AJ5631" s="21"/>
      <c r="AK5631" s="21"/>
      <c r="AM5631" s="26" t="s">
        <v>38</v>
      </c>
    </row>
    <row r="5632" spans="34:39" x14ac:dyDescent="0.35">
      <c r="AH5632" s="21"/>
      <c r="AI5632" s="21"/>
      <c r="AJ5632" s="21"/>
      <c r="AK5632" s="21"/>
      <c r="AM5632" s="26" t="s">
        <v>38</v>
      </c>
    </row>
    <row r="5633" spans="34:39" x14ac:dyDescent="0.35">
      <c r="AH5633" s="21"/>
      <c r="AI5633" s="21"/>
      <c r="AJ5633" s="21"/>
      <c r="AK5633" s="21"/>
      <c r="AM5633" s="26" t="s">
        <v>38</v>
      </c>
    </row>
    <row r="5634" spans="34:39" x14ac:dyDescent="0.35">
      <c r="AH5634" s="21"/>
      <c r="AI5634" s="21"/>
      <c r="AJ5634" s="21"/>
      <c r="AK5634" s="21"/>
      <c r="AM5634" s="26" t="s">
        <v>38</v>
      </c>
    </row>
    <row r="5635" spans="34:39" x14ac:dyDescent="0.35">
      <c r="AH5635" s="21"/>
      <c r="AI5635" s="21"/>
      <c r="AJ5635" s="21"/>
      <c r="AK5635" s="21"/>
      <c r="AM5635" s="26" t="s">
        <v>38</v>
      </c>
    </row>
    <row r="5636" spans="34:39" x14ac:dyDescent="0.35">
      <c r="AH5636" s="21"/>
      <c r="AI5636" s="21"/>
      <c r="AJ5636" s="21"/>
      <c r="AK5636" s="21"/>
      <c r="AM5636" s="26" t="s">
        <v>38</v>
      </c>
    </row>
    <row r="5637" spans="34:39" x14ac:dyDescent="0.35">
      <c r="AH5637" s="21"/>
      <c r="AI5637" s="21"/>
      <c r="AJ5637" s="21"/>
      <c r="AK5637" s="21"/>
      <c r="AM5637" s="26" t="s">
        <v>38</v>
      </c>
    </row>
    <row r="5638" spans="34:39" x14ac:dyDescent="0.35">
      <c r="AH5638" s="21"/>
      <c r="AI5638" s="21"/>
      <c r="AJ5638" s="21"/>
      <c r="AK5638" s="21"/>
      <c r="AM5638" s="26" t="s">
        <v>38</v>
      </c>
    </row>
    <row r="5639" spans="34:39" x14ac:dyDescent="0.35">
      <c r="AH5639" s="21"/>
      <c r="AI5639" s="21"/>
      <c r="AJ5639" s="21"/>
      <c r="AK5639" s="21"/>
      <c r="AM5639" s="26" t="s">
        <v>38</v>
      </c>
    </row>
    <row r="5640" spans="34:39" x14ac:dyDescent="0.35">
      <c r="AH5640" s="21"/>
      <c r="AI5640" s="21"/>
      <c r="AJ5640" s="21"/>
      <c r="AK5640" s="21"/>
      <c r="AM5640" s="26" t="s">
        <v>38</v>
      </c>
    </row>
    <row r="5641" spans="34:39" x14ac:dyDescent="0.35">
      <c r="AH5641" s="21"/>
      <c r="AI5641" s="21"/>
      <c r="AJ5641" s="21"/>
      <c r="AK5641" s="21"/>
      <c r="AM5641" s="26" t="s">
        <v>38</v>
      </c>
    </row>
    <row r="5642" spans="34:39" x14ac:dyDescent="0.35">
      <c r="AH5642" s="21"/>
      <c r="AI5642" s="21"/>
      <c r="AJ5642" s="21"/>
      <c r="AK5642" s="21"/>
      <c r="AM5642" s="26" t="s">
        <v>38</v>
      </c>
    </row>
    <row r="5643" spans="34:39" x14ac:dyDescent="0.35">
      <c r="AH5643" s="21"/>
      <c r="AI5643" s="21"/>
      <c r="AJ5643" s="21"/>
      <c r="AK5643" s="21"/>
      <c r="AM5643" s="26" t="s">
        <v>38</v>
      </c>
    </row>
    <row r="5644" spans="34:39" x14ac:dyDescent="0.35">
      <c r="AH5644" s="21"/>
      <c r="AI5644" s="21"/>
      <c r="AJ5644" s="21"/>
      <c r="AK5644" s="21"/>
      <c r="AM5644" s="26" t="s">
        <v>38</v>
      </c>
    </row>
    <row r="5645" spans="34:39" x14ac:dyDescent="0.35">
      <c r="AH5645" s="21"/>
      <c r="AI5645" s="21"/>
      <c r="AJ5645" s="21"/>
      <c r="AK5645" s="21"/>
      <c r="AM5645" s="26" t="s">
        <v>38</v>
      </c>
    </row>
    <row r="5646" spans="34:39" x14ac:dyDescent="0.35">
      <c r="AH5646" s="21"/>
      <c r="AI5646" s="21"/>
      <c r="AJ5646" s="21"/>
      <c r="AK5646" s="21"/>
      <c r="AM5646" s="26" t="s">
        <v>38</v>
      </c>
    </row>
    <row r="5647" spans="34:39" x14ac:dyDescent="0.35">
      <c r="AH5647" s="21"/>
      <c r="AI5647" s="21"/>
      <c r="AJ5647" s="21"/>
      <c r="AK5647" s="21"/>
      <c r="AM5647" s="26" t="s">
        <v>38</v>
      </c>
    </row>
    <row r="5648" spans="34:39" x14ac:dyDescent="0.35">
      <c r="AH5648" s="21"/>
      <c r="AI5648" s="21"/>
      <c r="AJ5648" s="21"/>
      <c r="AK5648" s="21"/>
      <c r="AM5648" s="26" t="s">
        <v>38</v>
      </c>
    </row>
    <row r="5649" spans="34:39" x14ac:dyDescent="0.35">
      <c r="AH5649" s="21"/>
      <c r="AI5649" s="21"/>
      <c r="AJ5649" s="21"/>
      <c r="AK5649" s="21"/>
      <c r="AM5649" s="26" t="s">
        <v>38</v>
      </c>
    </row>
    <row r="5650" spans="34:39" x14ac:dyDescent="0.35">
      <c r="AH5650" s="21"/>
      <c r="AI5650" s="21"/>
      <c r="AJ5650" s="21"/>
      <c r="AK5650" s="21"/>
      <c r="AM5650" s="26" t="s">
        <v>38</v>
      </c>
    </row>
    <row r="5651" spans="34:39" x14ac:dyDescent="0.35">
      <c r="AH5651" s="21"/>
      <c r="AI5651" s="21"/>
      <c r="AJ5651" s="21"/>
      <c r="AK5651" s="21"/>
      <c r="AM5651" s="26" t="s">
        <v>38</v>
      </c>
    </row>
    <row r="5652" spans="34:39" x14ac:dyDescent="0.35">
      <c r="AH5652" s="21"/>
      <c r="AI5652" s="21"/>
      <c r="AJ5652" s="21"/>
      <c r="AK5652" s="21"/>
      <c r="AM5652" s="26" t="s">
        <v>38</v>
      </c>
    </row>
    <row r="5653" spans="34:39" x14ac:dyDescent="0.35">
      <c r="AH5653" s="21"/>
      <c r="AI5653" s="21"/>
      <c r="AJ5653" s="21"/>
      <c r="AK5653" s="21"/>
      <c r="AM5653" s="26" t="s">
        <v>38</v>
      </c>
    </row>
    <row r="5654" spans="34:39" x14ac:dyDescent="0.35">
      <c r="AH5654" s="21"/>
      <c r="AI5654" s="21"/>
      <c r="AJ5654" s="21"/>
      <c r="AK5654" s="21"/>
      <c r="AM5654" s="26" t="s">
        <v>38</v>
      </c>
    </row>
    <row r="5655" spans="34:39" x14ac:dyDescent="0.35">
      <c r="AH5655" s="21"/>
      <c r="AI5655" s="21"/>
      <c r="AJ5655" s="21"/>
      <c r="AK5655" s="21"/>
      <c r="AM5655" s="26" t="s">
        <v>38</v>
      </c>
    </row>
    <row r="5656" spans="34:39" x14ac:dyDescent="0.35">
      <c r="AH5656" s="21"/>
      <c r="AI5656" s="21"/>
      <c r="AJ5656" s="21"/>
      <c r="AK5656" s="21"/>
      <c r="AM5656" s="26" t="s">
        <v>38</v>
      </c>
    </row>
    <row r="5657" spans="34:39" x14ac:dyDescent="0.35">
      <c r="AH5657" s="21"/>
      <c r="AI5657" s="21"/>
      <c r="AJ5657" s="21"/>
      <c r="AK5657" s="21"/>
      <c r="AM5657" s="26" t="s">
        <v>38</v>
      </c>
    </row>
    <row r="5658" spans="34:39" x14ac:dyDescent="0.35">
      <c r="AH5658" s="21"/>
      <c r="AI5658" s="21"/>
      <c r="AJ5658" s="21"/>
      <c r="AK5658" s="21"/>
      <c r="AM5658" s="26" t="s">
        <v>38</v>
      </c>
    </row>
    <row r="5659" spans="34:39" x14ac:dyDescent="0.35">
      <c r="AH5659" s="21"/>
      <c r="AI5659" s="21"/>
      <c r="AJ5659" s="21"/>
      <c r="AK5659" s="21"/>
      <c r="AM5659" s="26" t="s">
        <v>38</v>
      </c>
    </row>
    <row r="5660" spans="34:39" x14ac:dyDescent="0.35">
      <c r="AH5660" s="21"/>
      <c r="AI5660" s="21"/>
      <c r="AJ5660" s="21"/>
      <c r="AK5660" s="21"/>
      <c r="AM5660" s="26" t="s">
        <v>38</v>
      </c>
    </row>
    <row r="5661" spans="34:39" x14ac:dyDescent="0.35">
      <c r="AH5661" s="21"/>
      <c r="AI5661" s="21"/>
      <c r="AJ5661" s="21"/>
      <c r="AK5661" s="21"/>
      <c r="AM5661" s="26" t="s">
        <v>38</v>
      </c>
    </row>
    <row r="5662" spans="34:39" x14ac:dyDescent="0.35">
      <c r="AH5662" s="21"/>
      <c r="AI5662" s="21"/>
      <c r="AJ5662" s="21"/>
      <c r="AK5662" s="21"/>
      <c r="AM5662" s="26" t="s">
        <v>38</v>
      </c>
    </row>
    <row r="5663" spans="34:39" x14ac:dyDescent="0.35">
      <c r="AH5663" s="21"/>
      <c r="AI5663" s="21"/>
      <c r="AJ5663" s="21"/>
      <c r="AK5663" s="21"/>
      <c r="AM5663" s="26" t="s">
        <v>38</v>
      </c>
    </row>
    <row r="5664" spans="34:39" x14ac:dyDescent="0.35">
      <c r="AH5664" s="21"/>
      <c r="AI5664" s="21"/>
      <c r="AJ5664" s="21"/>
      <c r="AK5664" s="21"/>
      <c r="AM5664" s="26" t="s">
        <v>38</v>
      </c>
    </row>
    <row r="5665" spans="34:39" x14ac:dyDescent="0.35">
      <c r="AH5665" s="21"/>
      <c r="AI5665" s="21"/>
      <c r="AJ5665" s="21"/>
      <c r="AK5665" s="21"/>
      <c r="AM5665" s="26" t="s">
        <v>38</v>
      </c>
    </row>
    <row r="5666" spans="34:39" x14ac:dyDescent="0.35">
      <c r="AH5666" s="21"/>
      <c r="AI5666" s="21"/>
      <c r="AJ5666" s="21"/>
      <c r="AK5666" s="21"/>
      <c r="AM5666" s="26" t="s">
        <v>38</v>
      </c>
    </row>
    <row r="5667" spans="34:39" x14ac:dyDescent="0.35">
      <c r="AH5667" s="21"/>
      <c r="AI5667" s="21"/>
      <c r="AJ5667" s="21"/>
      <c r="AK5667" s="21"/>
      <c r="AM5667" s="26" t="s">
        <v>38</v>
      </c>
    </row>
    <row r="5668" spans="34:39" x14ac:dyDescent="0.35">
      <c r="AH5668" s="21"/>
      <c r="AI5668" s="21"/>
      <c r="AJ5668" s="21"/>
      <c r="AK5668" s="21"/>
      <c r="AM5668" s="26" t="s">
        <v>38</v>
      </c>
    </row>
    <row r="5669" spans="34:39" x14ac:dyDescent="0.35">
      <c r="AH5669" s="21"/>
      <c r="AI5669" s="21"/>
      <c r="AJ5669" s="21"/>
      <c r="AK5669" s="21"/>
      <c r="AM5669" s="26" t="s">
        <v>38</v>
      </c>
    </row>
    <row r="5670" spans="34:39" x14ac:dyDescent="0.35">
      <c r="AH5670" s="21"/>
      <c r="AI5670" s="21"/>
      <c r="AJ5670" s="21"/>
      <c r="AK5670" s="21"/>
      <c r="AM5670" s="26" t="s">
        <v>38</v>
      </c>
    </row>
    <row r="5671" spans="34:39" x14ac:dyDescent="0.35">
      <c r="AH5671" s="21"/>
      <c r="AI5671" s="21"/>
      <c r="AJ5671" s="21"/>
      <c r="AK5671" s="21"/>
      <c r="AM5671" s="26" t="s">
        <v>38</v>
      </c>
    </row>
    <row r="5672" spans="34:39" x14ac:dyDescent="0.35">
      <c r="AH5672" s="21"/>
      <c r="AI5672" s="21"/>
      <c r="AJ5672" s="21"/>
      <c r="AK5672" s="21"/>
      <c r="AM5672" s="26" t="s">
        <v>38</v>
      </c>
    </row>
    <row r="5673" spans="34:39" x14ac:dyDescent="0.35">
      <c r="AH5673" s="21"/>
      <c r="AI5673" s="21"/>
      <c r="AJ5673" s="21"/>
      <c r="AK5673" s="21"/>
      <c r="AM5673" s="26" t="s">
        <v>38</v>
      </c>
    </row>
    <row r="5674" spans="34:39" x14ac:dyDescent="0.35">
      <c r="AH5674" s="21"/>
      <c r="AI5674" s="21"/>
      <c r="AJ5674" s="21"/>
      <c r="AK5674" s="21"/>
      <c r="AM5674" s="26" t="s">
        <v>38</v>
      </c>
    </row>
    <row r="5675" spans="34:39" x14ac:dyDescent="0.35">
      <c r="AH5675" s="21"/>
      <c r="AI5675" s="21"/>
      <c r="AJ5675" s="21"/>
      <c r="AK5675" s="21"/>
      <c r="AM5675" s="26" t="s">
        <v>38</v>
      </c>
    </row>
    <row r="5676" spans="34:39" x14ac:dyDescent="0.35">
      <c r="AH5676" s="21"/>
      <c r="AI5676" s="21"/>
      <c r="AJ5676" s="21"/>
      <c r="AK5676" s="21"/>
      <c r="AM5676" s="26" t="s">
        <v>38</v>
      </c>
    </row>
    <row r="5677" spans="34:39" x14ac:dyDescent="0.35">
      <c r="AH5677" s="21"/>
      <c r="AI5677" s="21"/>
      <c r="AJ5677" s="21"/>
      <c r="AK5677" s="21"/>
      <c r="AM5677" s="26" t="s">
        <v>38</v>
      </c>
    </row>
    <row r="5678" spans="34:39" x14ac:dyDescent="0.35">
      <c r="AH5678" s="21"/>
      <c r="AI5678" s="21"/>
      <c r="AJ5678" s="21"/>
      <c r="AK5678" s="21"/>
      <c r="AM5678" s="26" t="s">
        <v>38</v>
      </c>
    </row>
    <row r="5679" spans="34:39" x14ac:dyDescent="0.35">
      <c r="AH5679" s="21"/>
      <c r="AI5679" s="21"/>
      <c r="AJ5679" s="21"/>
      <c r="AK5679" s="21"/>
      <c r="AM5679" s="26" t="s">
        <v>38</v>
      </c>
    </row>
    <row r="5680" spans="34:39" x14ac:dyDescent="0.35">
      <c r="AH5680" s="21"/>
      <c r="AI5680" s="21"/>
      <c r="AJ5680" s="21"/>
      <c r="AK5680" s="21"/>
      <c r="AM5680" s="26" t="s">
        <v>38</v>
      </c>
    </row>
    <row r="5681" spans="34:39" x14ac:dyDescent="0.35">
      <c r="AH5681" s="21"/>
      <c r="AI5681" s="21"/>
      <c r="AJ5681" s="21"/>
      <c r="AK5681" s="21"/>
      <c r="AM5681" s="26" t="s">
        <v>38</v>
      </c>
    </row>
    <row r="5682" spans="34:39" x14ac:dyDescent="0.35">
      <c r="AH5682" s="21"/>
      <c r="AI5682" s="21"/>
      <c r="AJ5682" s="21"/>
      <c r="AK5682" s="21"/>
      <c r="AM5682" s="26" t="s">
        <v>38</v>
      </c>
    </row>
    <row r="5683" spans="34:39" x14ac:dyDescent="0.35">
      <c r="AH5683" s="21"/>
      <c r="AI5683" s="21"/>
      <c r="AJ5683" s="21"/>
      <c r="AK5683" s="21"/>
      <c r="AM5683" s="26" t="s">
        <v>38</v>
      </c>
    </row>
    <row r="5684" spans="34:39" x14ac:dyDescent="0.35">
      <c r="AH5684" s="21"/>
      <c r="AI5684" s="21"/>
      <c r="AJ5684" s="21"/>
      <c r="AK5684" s="21"/>
      <c r="AM5684" s="26" t="s">
        <v>38</v>
      </c>
    </row>
    <row r="5685" spans="34:39" x14ac:dyDescent="0.35">
      <c r="AH5685" s="21"/>
      <c r="AI5685" s="21"/>
      <c r="AJ5685" s="21"/>
      <c r="AK5685" s="21"/>
      <c r="AM5685" s="26" t="s">
        <v>38</v>
      </c>
    </row>
    <row r="5686" spans="34:39" x14ac:dyDescent="0.35">
      <c r="AH5686" s="21"/>
      <c r="AI5686" s="21"/>
      <c r="AJ5686" s="21"/>
      <c r="AK5686" s="21"/>
      <c r="AM5686" s="26" t="s">
        <v>38</v>
      </c>
    </row>
    <row r="5687" spans="34:39" x14ac:dyDescent="0.35">
      <c r="AH5687" s="21"/>
      <c r="AI5687" s="21"/>
      <c r="AJ5687" s="21"/>
      <c r="AK5687" s="21"/>
      <c r="AM5687" s="26" t="s">
        <v>38</v>
      </c>
    </row>
    <row r="5688" spans="34:39" x14ac:dyDescent="0.35">
      <c r="AH5688" s="21"/>
      <c r="AI5688" s="21"/>
      <c r="AJ5688" s="21"/>
      <c r="AK5688" s="21"/>
      <c r="AM5688" s="26" t="s">
        <v>38</v>
      </c>
    </row>
    <row r="5689" spans="34:39" x14ac:dyDescent="0.35">
      <c r="AH5689" s="21"/>
      <c r="AI5689" s="21"/>
      <c r="AJ5689" s="21"/>
      <c r="AK5689" s="21"/>
      <c r="AM5689" s="26" t="s">
        <v>38</v>
      </c>
    </row>
    <row r="5690" spans="34:39" x14ac:dyDescent="0.35">
      <c r="AH5690" s="21"/>
      <c r="AI5690" s="21"/>
      <c r="AJ5690" s="21"/>
      <c r="AK5690" s="21"/>
      <c r="AM5690" s="26" t="s">
        <v>38</v>
      </c>
    </row>
    <row r="5691" spans="34:39" x14ac:dyDescent="0.35">
      <c r="AH5691" s="21"/>
      <c r="AI5691" s="21"/>
      <c r="AJ5691" s="21"/>
      <c r="AK5691" s="21"/>
      <c r="AM5691" s="26" t="s">
        <v>38</v>
      </c>
    </row>
    <row r="5692" spans="34:39" x14ac:dyDescent="0.35">
      <c r="AH5692" s="21"/>
      <c r="AI5692" s="21"/>
      <c r="AJ5692" s="21"/>
      <c r="AK5692" s="21"/>
      <c r="AM5692" s="26" t="s">
        <v>38</v>
      </c>
    </row>
    <row r="5693" spans="34:39" x14ac:dyDescent="0.35">
      <c r="AH5693" s="21"/>
      <c r="AI5693" s="21"/>
      <c r="AJ5693" s="21"/>
      <c r="AK5693" s="21"/>
      <c r="AM5693" s="26" t="s">
        <v>38</v>
      </c>
    </row>
    <row r="5694" spans="34:39" x14ac:dyDescent="0.35">
      <c r="AH5694" s="21"/>
      <c r="AI5694" s="21"/>
      <c r="AJ5694" s="21"/>
      <c r="AK5694" s="21"/>
      <c r="AM5694" s="26" t="s">
        <v>38</v>
      </c>
    </row>
    <row r="5695" spans="34:39" x14ac:dyDescent="0.35">
      <c r="AH5695" s="21"/>
      <c r="AI5695" s="21"/>
      <c r="AJ5695" s="21"/>
      <c r="AK5695" s="21"/>
      <c r="AM5695" s="26" t="s">
        <v>38</v>
      </c>
    </row>
    <row r="5696" spans="34:39" x14ac:dyDescent="0.35">
      <c r="AH5696" s="21"/>
      <c r="AI5696" s="21"/>
      <c r="AJ5696" s="21"/>
      <c r="AK5696" s="21"/>
      <c r="AM5696" s="26" t="s">
        <v>38</v>
      </c>
    </row>
    <row r="5697" spans="34:39" x14ac:dyDescent="0.35">
      <c r="AH5697" s="21"/>
      <c r="AI5697" s="21"/>
      <c r="AJ5697" s="21"/>
      <c r="AK5697" s="21"/>
      <c r="AM5697" s="26" t="s">
        <v>38</v>
      </c>
    </row>
    <row r="5698" spans="34:39" x14ac:dyDescent="0.35">
      <c r="AH5698" s="21"/>
      <c r="AI5698" s="21"/>
      <c r="AJ5698" s="21"/>
      <c r="AK5698" s="21"/>
      <c r="AM5698" s="26" t="s">
        <v>38</v>
      </c>
    </row>
    <row r="5699" spans="34:39" x14ac:dyDescent="0.35">
      <c r="AH5699" s="21"/>
      <c r="AI5699" s="21"/>
      <c r="AJ5699" s="21"/>
      <c r="AK5699" s="21"/>
      <c r="AM5699" s="26" t="s">
        <v>38</v>
      </c>
    </row>
    <row r="5700" spans="34:39" x14ac:dyDescent="0.35">
      <c r="AH5700" s="21"/>
      <c r="AI5700" s="21"/>
      <c r="AJ5700" s="21"/>
      <c r="AK5700" s="21"/>
      <c r="AM5700" s="26" t="s">
        <v>38</v>
      </c>
    </row>
    <row r="5701" spans="34:39" x14ac:dyDescent="0.35">
      <c r="AH5701" s="21"/>
      <c r="AI5701" s="21"/>
      <c r="AJ5701" s="21"/>
      <c r="AK5701" s="21"/>
      <c r="AM5701" s="26" t="s">
        <v>38</v>
      </c>
    </row>
    <row r="5702" spans="34:39" x14ac:dyDescent="0.35">
      <c r="AH5702" s="21"/>
      <c r="AI5702" s="21"/>
      <c r="AJ5702" s="21"/>
      <c r="AK5702" s="21"/>
      <c r="AM5702" s="26" t="s">
        <v>38</v>
      </c>
    </row>
    <row r="5703" spans="34:39" x14ac:dyDescent="0.35">
      <c r="AH5703" s="21"/>
      <c r="AI5703" s="21"/>
      <c r="AJ5703" s="21"/>
      <c r="AK5703" s="21"/>
      <c r="AM5703" s="26" t="s">
        <v>38</v>
      </c>
    </row>
    <row r="5704" spans="34:39" x14ac:dyDescent="0.35">
      <c r="AH5704" s="21"/>
      <c r="AI5704" s="21"/>
      <c r="AJ5704" s="21"/>
      <c r="AK5704" s="21"/>
      <c r="AM5704" s="26" t="s">
        <v>38</v>
      </c>
    </row>
    <row r="5705" spans="34:39" x14ac:dyDescent="0.35">
      <c r="AH5705" s="21"/>
      <c r="AI5705" s="21"/>
      <c r="AJ5705" s="21"/>
      <c r="AK5705" s="21"/>
      <c r="AM5705" s="26" t="s">
        <v>38</v>
      </c>
    </row>
    <row r="5706" spans="34:39" x14ac:dyDescent="0.35">
      <c r="AH5706" s="21"/>
      <c r="AI5706" s="21"/>
      <c r="AJ5706" s="21"/>
      <c r="AK5706" s="21"/>
      <c r="AM5706" s="26" t="s">
        <v>38</v>
      </c>
    </row>
    <row r="5707" spans="34:39" x14ac:dyDescent="0.35">
      <c r="AH5707" s="21"/>
      <c r="AI5707" s="21"/>
      <c r="AJ5707" s="21"/>
      <c r="AK5707" s="21"/>
      <c r="AM5707" s="26" t="s">
        <v>38</v>
      </c>
    </row>
    <row r="5708" spans="34:39" x14ac:dyDescent="0.35">
      <c r="AH5708" s="21"/>
      <c r="AI5708" s="21"/>
      <c r="AJ5708" s="21"/>
      <c r="AK5708" s="21"/>
      <c r="AM5708" s="26" t="s">
        <v>38</v>
      </c>
    </row>
    <row r="5709" spans="34:39" x14ac:dyDescent="0.35">
      <c r="AH5709" s="21"/>
      <c r="AI5709" s="21"/>
      <c r="AJ5709" s="21"/>
      <c r="AK5709" s="21"/>
      <c r="AM5709" s="26" t="s">
        <v>38</v>
      </c>
    </row>
    <row r="5710" spans="34:39" x14ac:dyDescent="0.35">
      <c r="AH5710" s="21"/>
      <c r="AI5710" s="21"/>
      <c r="AJ5710" s="21"/>
      <c r="AK5710" s="21"/>
      <c r="AM5710" s="26" t="s">
        <v>38</v>
      </c>
    </row>
    <row r="5711" spans="34:39" x14ac:dyDescent="0.35">
      <c r="AH5711" s="21"/>
      <c r="AI5711" s="21"/>
      <c r="AJ5711" s="21"/>
      <c r="AK5711" s="21"/>
      <c r="AM5711" s="26" t="s">
        <v>38</v>
      </c>
    </row>
    <row r="5712" spans="34:39" x14ac:dyDescent="0.35">
      <c r="AH5712" s="21"/>
      <c r="AI5712" s="21"/>
      <c r="AJ5712" s="21"/>
      <c r="AK5712" s="21"/>
      <c r="AM5712" s="26" t="s">
        <v>38</v>
      </c>
    </row>
    <row r="5713" spans="34:39" x14ac:dyDescent="0.35">
      <c r="AH5713" s="21"/>
      <c r="AI5713" s="21"/>
      <c r="AJ5713" s="21"/>
      <c r="AK5713" s="21"/>
      <c r="AM5713" s="26" t="s">
        <v>38</v>
      </c>
    </row>
    <row r="5714" spans="34:39" x14ac:dyDescent="0.35">
      <c r="AH5714" s="21"/>
      <c r="AI5714" s="21"/>
      <c r="AJ5714" s="21"/>
      <c r="AK5714" s="21"/>
      <c r="AM5714" s="26" t="s">
        <v>38</v>
      </c>
    </row>
    <row r="5715" spans="34:39" x14ac:dyDescent="0.35">
      <c r="AH5715" s="21"/>
      <c r="AI5715" s="21"/>
      <c r="AJ5715" s="21"/>
      <c r="AK5715" s="21"/>
      <c r="AM5715" s="26" t="s">
        <v>38</v>
      </c>
    </row>
    <row r="5716" spans="34:39" x14ac:dyDescent="0.35">
      <c r="AH5716" s="21"/>
      <c r="AI5716" s="21"/>
      <c r="AJ5716" s="21"/>
      <c r="AK5716" s="21"/>
      <c r="AM5716" s="26" t="s">
        <v>38</v>
      </c>
    </row>
    <row r="5717" spans="34:39" x14ac:dyDescent="0.35">
      <c r="AH5717" s="21"/>
      <c r="AI5717" s="21"/>
      <c r="AJ5717" s="21"/>
      <c r="AK5717" s="21"/>
      <c r="AM5717" s="26" t="s">
        <v>38</v>
      </c>
    </row>
    <row r="5718" spans="34:39" x14ac:dyDescent="0.35">
      <c r="AH5718" s="21"/>
      <c r="AI5718" s="21"/>
      <c r="AJ5718" s="21"/>
      <c r="AK5718" s="21"/>
      <c r="AM5718" s="26" t="s">
        <v>38</v>
      </c>
    </row>
    <row r="5719" spans="34:39" x14ac:dyDescent="0.35">
      <c r="AH5719" s="21"/>
      <c r="AI5719" s="21"/>
      <c r="AJ5719" s="21"/>
      <c r="AK5719" s="21"/>
      <c r="AM5719" s="26" t="s">
        <v>38</v>
      </c>
    </row>
    <row r="5720" spans="34:39" x14ac:dyDescent="0.35">
      <c r="AH5720" s="21"/>
      <c r="AI5720" s="21"/>
      <c r="AJ5720" s="21"/>
      <c r="AK5720" s="21"/>
      <c r="AM5720" s="26" t="s">
        <v>38</v>
      </c>
    </row>
    <row r="5721" spans="34:39" x14ac:dyDescent="0.35">
      <c r="AH5721" s="21"/>
      <c r="AI5721" s="21"/>
      <c r="AJ5721" s="21"/>
      <c r="AK5721" s="21"/>
      <c r="AM5721" s="26" t="s">
        <v>38</v>
      </c>
    </row>
    <row r="5722" spans="34:39" x14ac:dyDescent="0.35">
      <c r="AH5722" s="21"/>
      <c r="AI5722" s="21"/>
      <c r="AJ5722" s="21"/>
      <c r="AK5722" s="21"/>
      <c r="AM5722" s="26" t="s">
        <v>38</v>
      </c>
    </row>
    <row r="5723" spans="34:39" x14ac:dyDescent="0.35">
      <c r="AH5723" s="21"/>
      <c r="AI5723" s="21"/>
      <c r="AJ5723" s="21"/>
      <c r="AK5723" s="21"/>
      <c r="AM5723" s="26" t="s">
        <v>38</v>
      </c>
    </row>
    <row r="5724" spans="34:39" x14ac:dyDescent="0.35">
      <c r="AH5724" s="21"/>
      <c r="AI5724" s="21"/>
      <c r="AJ5724" s="21"/>
      <c r="AK5724" s="21"/>
      <c r="AM5724" s="26" t="s">
        <v>38</v>
      </c>
    </row>
    <row r="5725" spans="34:39" x14ac:dyDescent="0.35">
      <c r="AH5725" s="21"/>
      <c r="AI5725" s="21"/>
      <c r="AJ5725" s="21"/>
      <c r="AK5725" s="21"/>
      <c r="AM5725" s="26" t="s">
        <v>38</v>
      </c>
    </row>
    <row r="5726" spans="34:39" x14ac:dyDescent="0.35">
      <c r="AH5726" s="21"/>
      <c r="AI5726" s="21"/>
      <c r="AJ5726" s="21"/>
      <c r="AK5726" s="21"/>
      <c r="AM5726" s="26" t="s">
        <v>38</v>
      </c>
    </row>
    <row r="5727" spans="34:39" x14ac:dyDescent="0.35">
      <c r="AH5727" s="21"/>
      <c r="AI5727" s="21"/>
      <c r="AJ5727" s="21"/>
      <c r="AK5727" s="21"/>
      <c r="AM5727" s="26" t="s">
        <v>38</v>
      </c>
    </row>
    <row r="5728" spans="34:39" x14ac:dyDescent="0.35">
      <c r="AH5728" s="21"/>
      <c r="AI5728" s="21"/>
      <c r="AJ5728" s="21"/>
      <c r="AK5728" s="21"/>
      <c r="AM5728" s="26" t="s">
        <v>38</v>
      </c>
    </row>
    <row r="5729" spans="34:39" x14ac:dyDescent="0.35">
      <c r="AH5729" s="21"/>
      <c r="AI5729" s="21"/>
      <c r="AJ5729" s="21"/>
      <c r="AK5729" s="21"/>
      <c r="AM5729" s="26" t="s">
        <v>38</v>
      </c>
    </row>
    <row r="5730" spans="34:39" x14ac:dyDescent="0.35">
      <c r="AH5730" s="21"/>
      <c r="AI5730" s="21"/>
      <c r="AJ5730" s="21"/>
      <c r="AK5730" s="21"/>
      <c r="AM5730" s="26" t="s">
        <v>38</v>
      </c>
    </row>
    <row r="5731" spans="34:39" x14ac:dyDescent="0.35">
      <c r="AH5731" s="21"/>
      <c r="AI5731" s="21"/>
      <c r="AJ5731" s="21"/>
      <c r="AK5731" s="21"/>
      <c r="AM5731" s="26" t="s">
        <v>38</v>
      </c>
    </row>
    <row r="5732" spans="34:39" x14ac:dyDescent="0.35">
      <c r="AH5732" s="21"/>
      <c r="AI5732" s="21"/>
      <c r="AJ5732" s="21"/>
      <c r="AK5732" s="21"/>
      <c r="AM5732" s="26" t="s">
        <v>38</v>
      </c>
    </row>
    <row r="5733" spans="34:39" x14ac:dyDescent="0.35">
      <c r="AH5733" s="21"/>
      <c r="AI5733" s="21"/>
      <c r="AJ5733" s="21"/>
      <c r="AK5733" s="21"/>
      <c r="AM5733" s="26" t="s">
        <v>38</v>
      </c>
    </row>
    <row r="5734" spans="34:39" x14ac:dyDescent="0.35">
      <c r="AH5734" s="21"/>
      <c r="AI5734" s="21"/>
      <c r="AJ5734" s="21"/>
      <c r="AK5734" s="21"/>
      <c r="AM5734" s="26" t="s">
        <v>38</v>
      </c>
    </row>
    <row r="5735" spans="34:39" x14ac:dyDescent="0.35">
      <c r="AH5735" s="21"/>
      <c r="AI5735" s="21"/>
      <c r="AJ5735" s="21"/>
      <c r="AK5735" s="21"/>
      <c r="AM5735" s="26" t="s">
        <v>38</v>
      </c>
    </row>
    <row r="5736" spans="34:39" x14ac:dyDescent="0.35">
      <c r="AH5736" s="21"/>
      <c r="AI5736" s="21"/>
      <c r="AJ5736" s="21"/>
      <c r="AK5736" s="21"/>
      <c r="AM5736" s="26" t="s">
        <v>38</v>
      </c>
    </row>
    <row r="5737" spans="34:39" x14ac:dyDescent="0.35">
      <c r="AH5737" s="21"/>
      <c r="AI5737" s="21"/>
      <c r="AJ5737" s="21"/>
      <c r="AK5737" s="21"/>
      <c r="AM5737" s="26" t="s">
        <v>38</v>
      </c>
    </row>
    <row r="5738" spans="34:39" x14ac:dyDescent="0.35">
      <c r="AH5738" s="21"/>
      <c r="AI5738" s="21"/>
      <c r="AJ5738" s="21"/>
      <c r="AK5738" s="21"/>
      <c r="AM5738" s="26" t="s">
        <v>38</v>
      </c>
    </row>
    <row r="5739" spans="34:39" x14ac:dyDescent="0.35">
      <c r="AH5739" s="21"/>
      <c r="AI5739" s="21"/>
      <c r="AJ5739" s="21"/>
      <c r="AK5739" s="21"/>
      <c r="AM5739" s="26" t="s">
        <v>38</v>
      </c>
    </row>
    <row r="5740" spans="34:39" x14ac:dyDescent="0.35">
      <c r="AH5740" s="21"/>
      <c r="AI5740" s="21"/>
      <c r="AJ5740" s="21"/>
      <c r="AK5740" s="21"/>
      <c r="AM5740" s="26" t="s">
        <v>38</v>
      </c>
    </row>
    <row r="5741" spans="34:39" x14ac:dyDescent="0.35">
      <c r="AH5741" s="21"/>
      <c r="AI5741" s="21"/>
      <c r="AJ5741" s="21"/>
      <c r="AK5741" s="21"/>
      <c r="AM5741" s="26" t="s">
        <v>38</v>
      </c>
    </row>
    <row r="5742" spans="34:39" x14ac:dyDescent="0.35">
      <c r="AH5742" s="21"/>
      <c r="AI5742" s="21"/>
      <c r="AJ5742" s="21"/>
      <c r="AK5742" s="21"/>
      <c r="AM5742" s="26" t="s">
        <v>38</v>
      </c>
    </row>
    <row r="5743" spans="34:39" x14ac:dyDescent="0.35">
      <c r="AH5743" s="21"/>
      <c r="AI5743" s="21"/>
      <c r="AJ5743" s="21"/>
      <c r="AK5743" s="21"/>
      <c r="AM5743" s="26" t="s">
        <v>38</v>
      </c>
    </row>
    <row r="5744" spans="34:39" x14ac:dyDescent="0.35">
      <c r="AH5744" s="21"/>
      <c r="AI5744" s="21"/>
      <c r="AJ5744" s="21"/>
      <c r="AK5744" s="21"/>
      <c r="AM5744" s="26" t="s">
        <v>38</v>
      </c>
    </row>
    <row r="5745" spans="34:39" x14ac:dyDescent="0.35">
      <c r="AH5745" s="21"/>
      <c r="AI5745" s="21"/>
      <c r="AJ5745" s="21"/>
      <c r="AK5745" s="21"/>
      <c r="AM5745" s="26" t="s">
        <v>38</v>
      </c>
    </row>
    <row r="5746" spans="34:39" x14ac:dyDescent="0.35">
      <c r="AH5746" s="21"/>
      <c r="AI5746" s="21"/>
      <c r="AJ5746" s="21"/>
      <c r="AK5746" s="21"/>
      <c r="AM5746" s="26" t="s">
        <v>38</v>
      </c>
    </row>
    <row r="5747" spans="34:39" x14ac:dyDescent="0.35">
      <c r="AH5747" s="21"/>
      <c r="AI5747" s="21"/>
      <c r="AJ5747" s="21"/>
      <c r="AK5747" s="21"/>
      <c r="AM5747" s="26" t="s">
        <v>38</v>
      </c>
    </row>
    <row r="5748" spans="34:39" x14ac:dyDescent="0.35">
      <c r="AH5748" s="21"/>
      <c r="AI5748" s="21"/>
      <c r="AJ5748" s="21"/>
      <c r="AK5748" s="21"/>
      <c r="AM5748" s="26" t="s">
        <v>38</v>
      </c>
    </row>
    <row r="5749" spans="34:39" x14ac:dyDescent="0.35">
      <c r="AH5749" s="21"/>
      <c r="AI5749" s="21"/>
      <c r="AJ5749" s="21"/>
      <c r="AK5749" s="21"/>
      <c r="AM5749" s="26" t="s">
        <v>38</v>
      </c>
    </row>
    <row r="5750" spans="34:39" x14ac:dyDescent="0.35">
      <c r="AH5750" s="21"/>
      <c r="AI5750" s="21"/>
      <c r="AJ5750" s="21"/>
      <c r="AK5750" s="21"/>
      <c r="AM5750" s="26" t="s">
        <v>38</v>
      </c>
    </row>
    <row r="5751" spans="34:39" x14ac:dyDescent="0.35">
      <c r="AH5751" s="21"/>
      <c r="AI5751" s="21"/>
      <c r="AJ5751" s="21"/>
      <c r="AK5751" s="21"/>
      <c r="AM5751" s="26" t="s">
        <v>38</v>
      </c>
    </row>
    <row r="5752" spans="34:39" x14ac:dyDescent="0.35">
      <c r="AH5752" s="21"/>
      <c r="AI5752" s="21"/>
      <c r="AJ5752" s="21"/>
      <c r="AK5752" s="21"/>
      <c r="AM5752" s="26" t="s">
        <v>38</v>
      </c>
    </row>
    <row r="5753" spans="34:39" x14ac:dyDescent="0.35">
      <c r="AH5753" s="21"/>
      <c r="AI5753" s="21"/>
      <c r="AJ5753" s="21"/>
      <c r="AK5753" s="21"/>
      <c r="AM5753" s="26" t="s">
        <v>38</v>
      </c>
    </row>
    <row r="5754" spans="34:39" x14ac:dyDescent="0.35">
      <c r="AH5754" s="21"/>
      <c r="AI5754" s="21"/>
      <c r="AJ5754" s="21"/>
      <c r="AK5754" s="21"/>
      <c r="AM5754" s="26" t="s">
        <v>38</v>
      </c>
    </row>
    <row r="5755" spans="34:39" x14ac:dyDescent="0.35">
      <c r="AH5755" s="21"/>
      <c r="AI5755" s="21"/>
      <c r="AJ5755" s="21"/>
      <c r="AK5755" s="21"/>
      <c r="AM5755" s="26" t="s">
        <v>38</v>
      </c>
    </row>
    <row r="5756" spans="34:39" x14ac:dyDescent="0.35">
      <c r="AH5756" s="21"/>
      <c r="AI5756" s="21"/>
      <c r="AJ5756" s="21"/>
      <c r="AK5756" s="21"/>
      <c r="AM5756" s="26" t="s">
        <v>38</v>
      </c>
    </row>
    <row r="5757" spans="34:39" x14ac:dyDescent="0.35">
      <c r="AH5757" s="21"/>
      <c r="AI5757" s="21"/>
      <c r="AJ5757" s="21"/>
      <c r="AK5757" s="21"/>
      <c r="AM5757" s="26" t="s">
        <v>38</v>
      </c>
    </row>
    <row r="5758" spans="34:39" x14ac:dyDescent="0.35">
      <c r="AH5758" s="21"/>
      <c r="AI5758" s="21"/>
      <c r="AJ5758" s="21"/>
      <c r="AK5758" s="21"/>
      <c r="AM5758" s="26" t="s">
        <v>38</v>
      </c>
    </row>
    <row r="5759" spans="34:39" x14ac:dyDescent="0.35">
      <c r="AH5759" s="21"/>
      <c r="AI5759" s="21"/>
      <c r="AJ5759" s="21"/>
      <c r="AK5759" s="21"/>
      <c r="AM5759" s="26" t="s">
        <v>38</v>
      </c>
    </row>
    <row r="5760" spans="34:39" x14ac:dyDescent="0.35">
      <c r="AH5760" s="21"/>
      <c r="AI5760" s="21"/>
      <c r="AJ5760" s="21"/>
      <c r="AK5760" s="21"/>
      <c r="AM5760" s="26" t="s">
        <v>38</v>
      </c>
    </row>
    <row r="5761" spans="34:39" x14ac:dyDescent="0.35">
      <c r="AH5761" s="21"/>
      <c r="AI5761" s="21"/>
      <c r="AJ5761" s="21"/>
      <c r="AK5761" s="21"/>
      <c r="AM5761" s="26" t="s">
        <v>38</v>
      </c>
    </row>
    <row r="5762" spans="34:39" x14ac:dyDescent="0.35">
      <c r="AH5762" s="21"/>
      <c r="AI5762" s="21"/>
      <c r="AJ5762" s="21"/>
      <c r="AK5762" s="21"/>
      <c r="AM5762" s="26" t="s">
        <v>38</v>
      </c>
    </row>
    <row r="5763" spans="34:39" x14ac:dyDescent="0.35">
      <c r="AH5763" s="21"/>
      <c r="AI5763" s="21"/>
      <c r="AJ5763" s="21"/>
      <c r="AK5763" s="21"/>
      <c r="AM5763" s="26" t="s">
        <v>38</v>
      </c>
    </row>
    <row r="5764" spans="34:39" x14ac:dyDescent="0.35">
      <c r="AH5764" s="21"/>
      <c r="AI5764" s="21"/>
      <c r="AJ5764" s="21"/>
      <c r="AK5764" s="21"/>
      <c r="AM5764" s="26" t="s">
        <v>38</v>
      </c>
    </row>
    <row r="5765" spans="34:39" x14ac:dyDescent="0.35">
      <c r="AH5765" s="21"/>
      <c r="AI5765" s="21"/>
      <c r="AJ5765" s="21"/>
      <c r="AK5765" s="21"/>
      <c r="AM5765" s="26" t="s">
        <v>38</v>
      </c>
    </row>
    <row r="5766" spans="34:39" x14ac:dyDescent="0.35">
      <c r="AH5766" s="21"/>
      <c r="AI5766" s="21"/>
      <c r="AJ5766" s="21"/>
      <c r="AK5766" s="21"/>
      <c r="AM5766" s="26" t="s">
        <v>38</v>
      </c>
    </row>
    <row r="5767" spans="34:39" x14ac:dyDescent="0.35">
      <c r="AH5767" s="21"/>
      <c r="AI5767" s="21"/>
      <c r="AJ5767" s="21"/>
      <c r="AK5767" s="21"/>
      <c r="AM5767" s="26" t="s">
        <v>38</v>
      </c>
    </row>
    <row r="5768" spans="34:39" x14ac:dyDescent="0.35">
      <c r="AH5768" s="21"/>
      <c r="AI5768" s="21"/>
      <c r="AJ5768" s="21"/>
      <c r="AK5768" s="21"/>
      <c r="AM5768" s="26" t="s">
        <v>38</v>
      </c>
    </row>
    <row r="5769" spans="34:39" x14ac:dyDescent="0.35">
      <c r="AH5769" s="21"/>
      <c r="AI5769" s="21"/>
      <c r="AJ5769" s="21"/>
      <c r="AK5769" s="21"/>
      <c r="AM5769" s="26" t="s">
        <v>38</v>
      </c>
    </row>
    <row r="5770" spans="34:39" x14ac:dyDescent="0.35">
      <c r="AH5770" s="21"/>
      <c r="AI5770" s="21"/>
      <c r="AJ5770" s="21"/>
      <c r="AK5770" s="21"/>
      <c r="AM5770" s="26" t="s">
        <v>38</v>
      </c>
    </row>
    <row r="5771" spans="34:39" x14ac:dyDescent="0.35">
      <c r="AH5771" s="21"/>
      <c r="AI5771" s="21"/>
      <c r="AJ5771" s="21"/>
      <c r="AK5771" s="21"/>
      <c r="AM5771" s="26" t="s">
        <v>38</v>
      </c>
    </row>
    <row r="5772" spans="34:39" x14ac:dyDescent="0.35">
      <c r="AH5772" s="21"/>
      <c r="AI5772" s="21"/>
      <c r="AJ5772" s="21"/>
      <c r="AK5772" s="21"/>
      <c r="AM5772" s="26" t="s">
        <v>38</v>
      </c>
    </row>
    <row r="5773" spans="34:39" x14ac:dyDescent="0.35">
      <c r="AH5773" s="21"/>
      <c r="AI5773" s="21"/>
      <c r="AJ5773" s="21"/>
      <c r="AK5773" s="21"/>
      <c r="AM5773" s="26" t="s">
        <v>38</v>
      </c>
    </row>
    <row r="5774" spans="34:39" x14ac:dyDescent="0.35">
      <c r="AH5774" s="21"/>
      <c r="AI5774" s="21"/>
      <c r="AJ5774" s="21"/>
      <c r="AK5774" s="21"/>
      <c r="AM5774" s="26" t="s">
        <v>38</v>
      </c>
    </row>
    <row r="5775" spans="34:39" x14ac:dyDescent="0.35">
      <c r="AH5775" s="21"/>
      <c r="AI5775" s="21"/>
      <c r="AJ5775" s="21"/>
      <c r="AK5775" s="21"/>
      <c r="AM5775" s="26" t="s">
        <v>38</v>
      </c>
    </row>
    <row r="5776" spans="34:39" x14ac:dyDescent="0.35">
      <c r="AH5776" s="21"/>
      <c r="AI5776" s="21"/>
      <c r="AJ5776" s="21"/>
      <c r="AK5776" s="21"/>
      <c r="AM5776" s="26" t="s">
        <v>38</v>
      </c>
    </row>
    <row r="5777" spans="34:39" x14ac:dyDescent="0.35">
      <c r="AH5777" s="21"/>
      <c r="AI5777" s="21"/>
      <c r="AJ5777" s="21"/>
      <c r="AK5777" s="21"/>
      <c r="AM5777" s="26" t="s">
        <v>38</v>
      </c>
    </row>
    <row r="5778" spans="34:39" x14ac:dyDescent="0.35">
      <c r="AH5778" s="21"/>
      <c r="AI5778" s="21"/>
      <c r="AJ5778" s="21"/>
      <c r="AK5778" s="21"/>
      <c r="AM5778" s="26" t="s">
        <v>38</v>
      </c>
    </row>
    <row r="5779" spans="34:39" x14ac:dyDescent="0.35">
      <c r="AH5779" s="21"/>
      <c r="AI5779" s="21"/>
      <c r="AJ5779" s="21"/>
      <c r="AK5779" s="21"/>
      <c r="AM5779" s="26" t="s">
        <v>38</v>
      </c>
    </row>
    <row r="5780" spans="34:39" x14ac:dyDescent="0.35">
      <c r="AH5780" s="21"/>
      <c r="AI5780" s="21"/>
      <c r="AJ5780" s="21"/>
      <c r="AK5780" s="21"/>
      <c r="AM5780" s="26" t="s">
        <v>38</v>
      </c>
    </row>
    <row r="5781" spans="34:39" x14ac:dyDescent="0.35">
      <c r="AH5781" s="21"/>
      <c r="AI5781" s="21"/>
      <c r="AJ5781" s="21"/>
      <c r="AK5781" s="21"/>
      <c r="AM5781" s="26" t="s">
        <v>38</v>
      </c>
    </row>
    <row r="5782" spans="34:39" x14ac:dyDescent="0.35">
      <c r="AH5782" s="21"/>
      <c r="AI5782" s="21"/>
      <c r="AJ5782" s="21"/>
      <c r="AK5782" s="21"/>
      <c r="AM5782" s="26" t="s">
        <v>38</v>
      </c>
    </row>
    <row r="5783" spans="34:39" x14ac:dyDescent="0.35">
      <c r="AH5783" s="21"/>
      <c r="AI5783" s="21"/>
      <c r="AJ5783" s="21"/>
      <c r="AK5783" s="21"/>
      <c r="AM5783" s="26" t="s">
        <v>38</v>
      </c>
    </row>
    <row r="5784" spans="34:39" x14ac:dyDescent="0.35">
      <c r="AH5784" s="21"/>
      <c r="AI5784" s="21"/>
      <c r="AJ5784" s="21"/>
      <c r="AK5784" s="21"/>
      <c r="AM5784" s="26" t="s">
        <v>38</v>
      </c>
    </row>
    <row r="5785" spans="34:39" x14ac:dyDescent="0.35">
      <c r="AH5785" s="21"/>
      <c r="AI5785" s="21"/>
      <c r="AJ5785" s="21"/>
      <c r="AK5785" s="21"/>
      <c r="AM5785" s="26" t="s">
        <v>38</v>
      </c>
    </row>
    <row r="5786" spans="34:39" x14ac:dyDescent="0.35">
      <c r="AH5786" s="21"/>
      <c r="AI5786" s="21"/>
      <c r="AJ5786" s="21"/>
      <c r="AK5786" s="21"/>
      <c r="AM5786" s="26" t="s">
        <v>38</v>
      </c>
    </row>
    <row r="5787" spans="34:39" x14ac:dyDescent="0.35">
      <c r="AH5787" s="21"/>
      <c r="AI5787" s="21"/>
      <c r="AJ5787" s="21"/>
      <c r="AK5787" s="21"/>
      <c r="AM5787" s="26" t="s">
        <v>38</v>
      </c>
    </row>
    <row r="5788" spans="34:39" x14ac:dyDescent="0.35">
      <c r="AH5788" s="21"/>
      <c r="AI5788" s="21"/>
      <c r="AJ5788" s="21"/>
      <c r="AK5788" s="21"/>
      <c r="AM5788" s="26" t="s">
        <v>38</v>
      </c>
    </row>
    <row r="5789" spans="34:39" x14ac:dyDescent="0.35">
      <c r="AH5789" s="21"/>
      <c r="AI5789" s="21"/>
      <c r="AJ5789" s="21"/>
      <c r="AK5789" s="21"/>
      <c r="AM5789" s="26" t="s">
        <v>38</v>
      </c>
    </row>
    <row r="5790" spans="34:39" x14ac:dyDescent="0.35">
      <c r="AH5790" s="21"/>
      <c r="AI5790" s="21"/>
      <c r="AJ5790" s="21"/>
      <c r="AK5790" s="21"/>
      <c r="AM5790" s="26" t="s">
        <v>38</v>
      </c>
    </row>
    <row r="5791" spans="34:39" x14ac:dyDescent="0.35">
      <c r="AH5791" s="21"/>
      <c r="AI5791" s="21"/>
      <c r="AJ5791" s="21"/>
      <c r="AK5791" s="21"/>
      <c r="AM5791" s="26" t="s">
        <v>38</v>
      </c>
    </row>
    <row r="5792" spans="34:39" x14ac:dyDescent="0.35">
      <c r="AH5792" s="21"/>
      <c r="AI5792" s="21"/>
      <c r="AJ5792" s="21"/>
      <c r="AK5792" s="21"/>
      <c r="AM5792" s="26" t="s">
        <v>38</v>
      </c>
    </row>
    <row r="5793" spans="34:39" x14ac:dyDescent="0.35">
      <c r="AH5793" s="21"/>
      <c r="AI5793" s="21"/>
      <c r="AJ5793" s="21"/>
      <c r="AK5793" s="21"/>
      <c r="AM5793" s="26" t="s">
        <v>38</v>
      </c>
    </row>
    <row r="5794" spans="34:39" x14ac:dyDescent="0.35">
      <c r="AH5794" s="21"/>
      <c r="AI5794" s="21"/>
      <c r="AJ5794" s="21"/>
      <c r="AK5794" s="21"/>
      <c r="AM5794" s="26" t="s">
        <v>38</v>
      </c>
    </row>
    <row r="5795" spans="34:39" x14ac:dyDescent="0.35">
      <c r="AH5795" s="21"/>
      <c r="AI5795" s="21"/>
      <c r="AJ5795" s="21"/>
      <c r="AK5795" s="21"/>
      <c r="AM5795" s="26" t="s">
        <v>38</v>
      </c>
    </row>
    <row r="5796" spans="34:39" x14ac:dyDescent="0.35">
      <c r="AH5796" s="21"/>
      <c r="AI5796" s="21"/>
      <c r="AJ5796" s="21"/>
      <c r="AK5796" s="21"/>
      <c r="AM5796" s="26" t="s">
        <v>38</v>
      </c>
    </row>
    <row r="5797" spans="34:39" x14ac:dyDescent="0.35">
      <c r="AH5797" s="21"/>
      <c r="AI5797" s="21"/>
      <c r="AJ5797" s="21"/>
      <c r="AK5797" s="21"/>
      <c r="AM5797" s="26" t="s">
        <v>38</v>
      </c>
    </row>
    <row r="5798" spans="34:39" x14ac:dyDescent="0.35">
      <c r="AH5798" s="21"/>
      <c r="AI5798" s="21"/>
      <c r="AJ5798" s="21"/>
      <c r="AK5798" s="21"/>
      <c r="AM5798" s="26" t="s">
        <v>38</v>
      </c>
    </row>
    <row r="5799" spans="34:39" x14ac:dyDescent="0.35">
      <c r="AH5799" s="21"/>
      <c r="AI5799" s="21"/>
      <c r="AJ5799" s="21"/>
      <c r="AK5799" s="21"/>
      <c r="AM5799" s="26" t="s">
        <v>38</v>
      </c>
    </row>
    <row r="5800" spans="34:39" x14ac:dyDescent="0.35">
      <c r="AH5800" s="21"/>
      <c r="AI5800" s="21"/>
      <c r="AJ5800" s="21"/>
      <c r="AK5800" s="21"/>
      <c r="AM5800" s="26" t="s">
        <v>38</v>
      </c>
    </row>
    <row r="5801" spans="34:39" x14ac:dyDescent="0.35">
      <c r="AH5801" s="21"/>
      <c r="AI5801" s="21"/>
      <c r="AJ5801" s="21"/>
      <c r="AK5801" s="21"/>
      <c r="AM5801" s="26" t="s">
        <v>38</v>
      </c>
    </row>
    <row r="5802" spans="34:39" x14ac:dyDescent="0.35">
      <c r="AH5802" s="21"/>
      <c r="AI5802" s="21"/>
      <c r="AJ5802" s="21"/>
      <c r="AK5802" s="21"/>
      <c r="AM5802" s="26" t="s">
        <v>38</v>
      </c>
    </row>
    <row r="5803" spans="34:39" x14ac:dyDescent="0.35">
      <c r="AH5803" s="21"/>
      <c r="AI5803" s="21"/>
      <c r="AJ5803" s="21"/>
      <c r="AK5803" s="21"/>
      <c r="AM5803" s="26" t="s">
        <v>38</v>
      </c>
    </row>
    <row r="5804" spans="34:39" x14ac:dyDescent="0.35">
      <c r="AH5804" s="21"/>
      <c r="AI5804" s="21"/>
      <c r="AJ5804" s="21"/>
      <c r="AK5804" s="21"/>
      <c r="AM5804" s="26" t="s">
        <v>38</v>
      </c>
    </row>
    <row r="5805" spans="34:39" x14ac:dyDescent="0.35">
      <c r="AH5805" s="21"/>
      <c r="AI5805" s="21"/>
      <c r="AJ5805" s="21"/>
      <c r="AK5805" s="21"/>
      <c r="AM5805" s="26" t="s">
        <v>38</v>
      </c>
    </row>
    <row r="5806" spans="34:39" x14ac:dyDescent="0.35">
      <c r="AH5806" s="21"/>
      <c r="AI5806" s="21"/>
      <c r="AJ5806" s="21"/>
      <c r="AK5806" s="21"/>
      <c r="AM5806" s="26" t="s">
        <v>38</v>
      </c>
    </row>
    <row r="5807" spans="34:39" x14ac:dyDescent="0.35">
      <c r="AH5807" s="21"/>
      <c r="AI5807" s="21"/>
      <c r="AJ5807" s="21"/>
      <c r="AK5807" s="21"/>
      <c r="AM5807" s="26" t="s">
        <v>38</v>
      </c>
    </row>
    <row r="5808" spans="34:39" x14ac:dyDescent="0.35">
      <c r="AH5808" s="21"/>
      <c r="AI5808" s="21"/>
      <c r="AJ5808" s="21"/>
      <c r="AK5808" s="21"/>
      <c r="AM5808" s="26" t="s">
        <v>38</v>
      </c>
    </row>
    <row r="5809" spans="34:39" x14ac:dyDescent="0.35">
      <c r="AH5809" s="21"/>
      <c r="AI5809" s="21"/>
      <c r="AJ5809" s="21"/>
      <c r="AK5809" s="21"/>
      <c r="AM5809" s="26" t="s">
        <v>38</v>
      </c>
    </row>
    <row r="5810" spans="34:39" x14ac:dyDescent="0.35">
      <c r="AH5810" s="21"/>
      <c r="AI5810" s="21"/>
      <c r="AJ5810" s="21"/>
      <c r="AK5810" s="21"/>
      <c r="AM5810" s="26" t="s">
        <v>38</v>
      </c>
    </row>
    <row r="5811" spans="34:39" x14ac:dyDescent="0.35">
      <c r="AH5811" s="21"/>
      <c r="AI5811" s="21"/>
      <c r="AJ5811" s="21"/>
      <c r="AK5811" s="21"/>
      <c r="AM5811" s="26" t="s">
        <v>38</v>
      </c>
    </row>
    <row r="5812" spans="34:39" x14ac:dyDescent="0.35">
      <c r="AH5812" s="21"/>
      <c r="AI5812" s="21"/>
      <c r="AJ5812" s="21"/>
      <c r="AK5812" s="21"/>
      <c r="AM5812" s="26" t="s">
        <v>38</v>
      </c>
    </row>
    <row r="5813" spans="34:39" x14ac:dyDescent="0.35">
      <c r="AH5813" s="21"/>
      <c r="AI5813" s="21"/>
      <c r="AJ5813" s="21"/>
      <c r="AK5813" s="21"/>
      <c r="AM5813" s="26" t="s">
        <v>38</v>
      </c>
    </row>
    <row r="5814" spans="34:39" x14ac:dyDescent="0.35">
      <c r="AH5814" s="21"/>
      <c r="AI5814" s="21"/>
      <c r="AJ5814" s="21"/>
      <c r="AK5814" s="21"/>
      <c r="AM5814" s="26" t="s">
        <v>38</v>
      </c>
    </row>
    <row r="5815" spans="34:39" x14ac:dyDescent="0.35">
      <c r="AH5815" s="21"/>
      <c r="AI5815" s="21"/>
      <c r="AJ5815" s="21"/>
      <c r="AK5815" s="21"/>
      <c r="AM5815" s="26" t="s">
        <v>38</v>
      </c>
    </row>
    <row r="5816" spans="34:39" x14ac:dyDescent="0.35">
      <c r="AH5816" s="21"/>
      <c r="AI5816" s="21"/>
      <c r="AJ5816" s="21"/>
      <c r="AK5816" s="21"/>
      <c r="AM5816" s="26" t="s">
        <v>38</v>
      </c>
    </row>
    <row r="5817" spans="34:39" x14ac:dyDescent="0.35">
      <c r="AH5817" s="21"/>
      <c r="AI5817" s="21"/>
      <c r="AJ5817" s="21"/>
      <c r="AK5817" s="21"/>
      <c r="AM5817" s="26" t="s">
        <v>38</v>
      </c>
    </row>
    <row r="5818" spans="34:39" x14ac:dyDescent="0.35">
      <c r="AH5818" s="21"/>
      <c r="AI5818" s="21"/>
      <c r="AJ5818" s="21"/>
      <c r="AK5818" s="21"/>
      <c r="AM5818" s="26" t="s">
        <v>38</v>
      </c>
    </row>
    <row r="5819" spans="34:39" x14ac:dyDescent="0.35">
      <c r="AH5819" s="21"/>
      <c r="AI5819" s="21"/>
      <c r="AJ5819" s="21"/>
      <c r="AK5819" s="21"/>
      <c r="AM5819" s="26" t="s">
        <v>38</v>
      </c>
    </row>
    <row r="5820" spans="34:39" x14ac:dyDescent="0.35">
      <c r="AH5820" s="21"/>
      <c r="AI5820" s="21"/>
      <c r="AJ5820" s="21"/>
      <c r="AK5820" s="21"/>
      <c r="AM5820" s="26" t="s">
        <v>38</v>
      </c>
    </row>
    <row r="5821" spans="34:39" x14ac:dyDescent="0.35">
      <c r="AH5821" s="21"/>
      <c r="AI5821" s="21"/>
      <c r="AJ5821" s="21"/>
      <c r="AK5821" s="21"/>
      <c r="AM5821" s="26" t="s">
        <v>38</v>
      </c>
    </row>
    <row r="5822" spans="34:39" x14ac:dyDescent="0.35">
      <c r="AH5822" s="21"/>
      <c r="AI5822" s="21"/>
      <c r="AJ5822" s="21"/>
      <c r="AK5822" s="21"/>
      <c r="AM5822" s="26" t="s">
        <v>38</v>
      </c>
    </row>
    <row r="5823" spans="34:39" x14ac:dyDescent="0.35">
      <c r="AH5823" s="21"/>
      <c r="AI5823" s="21"/>
      <c r="AJ5823" s="21"/>
      <c r="AK5823" s="21"/>
      <c r="AM5823" s="26" t="s">
        <v>38</v>
      </c>
    </row>
    <row r="5824" spans="34:39" x14ac:dyDescent="0.35">
      <c r="AH5824" s="21"/>
      <c r="AI5824" s="21"/>
      <c r="AJ5824" s="21"/>
      <c r="AK5824" s="21"/>
      <c r="AM5824" s="26" t="s">
        <v>38</v>
      </c>
    </row>
    <row r="5825" spans="34:39" x14ac:dyDescent="0.35">
      <c r="AH5825" s="21"/>
      <c r="AI5825" s="21"/>
      <c r="AJ5825" s="21"/>
      <c r="AK5825" s="21"/>
      <c r="AM5825" s="26" t="s">
        <v>38</v>
      </c>
    </row>
    <row r="5826" spans="34:39" x14ac:dyDescent="0.35">
      <c r="AH5826" s="21"/>
      <c r="AI5826" s="21"/>
      <c r="AJ5826" s="21"/>
      <c r="AK5826" s="21"/>
      <c r="AM5826" s="26" t="s">
        <v>38</v>
      </c>
    </row>
    <row r="5827" spans="34:39" x14ac:dyDescent="0.35">
      <c r="AH5827" s="21"/>
      <c r="AI5827" s="21"/>
      <c r="AJ5827" s="21"/>
      <c r="AK5827" s="21"/>
      <c r="AM5827" s="26" t="s">
        <v>38</v>
      </c>
    </row>
    <row r="5828" spans="34:39" x14ac:dyDescent="0.35">
      <c r="AH5828" s="21"/>
      <c r="AI5828" s="21"/>
      <c r="AJ5828" s="21"/>
      <c r="AK5828" s="21"/>
      <c r="AM5828" s="26" t="s">
        <v>38</v>
      </c>
    </row>
    <row r="5829" spans="34:39" x14ac:dyDescent="0.35">
      <c r="AH5829" s="21"/>
      <c r="AI5829" s="21"/>
      <c r="AJ5829" s="21"/>
      <c r="AK5829" s="21"/>
      <c r="AM5829" s="26" t="s">
        <v>38</v>
      </c>
    </row>
    <row r="5830" spans="34:39" x14ac:dyDescent="0.35">
      <c r="AH5830" s="21"/>
      <c r="AI5830" s="21"/>
      <c r="AJ5830" s="21"/>
      <c r="AK5830" s="21"/>
      <c r="AM5830" s="26" t="s">
        <v>38</v>
      </c>
    </row>
    <row r="5831" spans="34:39" x14ac:dyDescent="0.35">
      <c r="AH5831" s="21"/>
      <c r="AI5831" s="21"/>
      <c r="AJ5831" s="21"/>
      <c r="AK5831" s="21"/>
      <c r="AM5831" s="26" t="s">
        <v>38</v>
      </c>
    </row>
    <row r="5832" spans="34:39" x14ac:dyDescent="0.35">
      <c r="AH5832" s="21"/>
      <c r="AI5832" s="21"/>
      <c r="AJ5832" s="21"/>
      <c r="AK5832" s="21"/>
      <c r="AM5832" s="26" t="s">
        <v>38</v>
      </c>
    </row>
    <row r="5833" spans="34:39" x14ac:dyDescent="0.35">
      <c r="AH5833" s="21"/>
      <c r="AI5833" s="21"/>
      <c r="AJ5833" s="21"/>
      <c r="AK5833" s="21"/>
      <c r="AM5833" s="26" t="s">
        <v>38</v>
      </c>
    </row>
    <row r="5834" spans="34:39" x14ac:dyDescent="0.35">
      <c r="AH5834" s="21"/>
      <c r="AI5834" s="21"/>
      <c r="AJ5834" s="21"/>
      <c r="AK5834" s="21"/>
      <c r="AM5834" s="26" t="s">
        <v>38</v>
      </c>
    </row>
    <row r="5835" spans="34:39" x14ac:dyDescent="0.35">
      <c r="AH5835" s="21"/>
      <c r="AI5835" s="21"/>
      <c r="AJ5835" s="21"/>
      <c r="AK5835" s="21"/>
      <c r="AM5835" s="26" t="s">
        <v>38</v>
      </c>
    </row>
    <row r="5836" spans="34:39" x14ac:dyDescent="0.35">
      <c r="AH5836" s="21"/>
      <c r="AI5836" s="21"/>
      <c r="AJ5836" s="21"/>
      <c r="AK5836" s="21"/>
      <c r="AM5836" s="26" t="s">
        <v>38</v>
      </c>
    </row>
    <row r="5837" spans="34:39" x14ac:dyDescent="0.35">
      <c r="AH5837" s="21"/>
      <c r="AI5837" s="21"/>
      <c r="AJ5837" s="21"/>
      <c r="AK5837" s="21"/>
      <c r="AM5837" s="26" t="s">
        <v>38</v>
      </c>
    </row>
    <row r="5838" spans="34:39" x14ac:dyDescent="0.35">
      <c r="AH5838" s="21"/>
      <c r="AI5838" s="21"/>
      <c r="AJ5838" s="21"/>
      <c r="AK5838" s="21"/>
      <c r="AM5838" s="26" t="s">
        <v>38</v>
      </c>
    </row>
    <row r="5839" spans="34:39" x14ac:dyDescent="0.35">
      <c r="AH5839" s="21"/>
      <c r="AI5839" s="21"/>
      <c r="AJ5839" s="21"/>
      <c r="AK5839" s="21"/>
      <c r="AM5839" s="26" t="s">
        <v>38</v>
      </c>
    </row>
    <row r="5840" spans="34:39" x14ac:dyDescent="0.35">
      <c r="AH5840" s="21"/>
      <c r="AI5840" s="21"/>
      <c r="AJ5840" s="21"/>
      <c r="AK5840" s="21"/>
      <c r="AM5840" s="26" t="s">
        <v>38</v>
      </c>
    </row>
    <row r="5841" spans="34:39" x14ac:dyDescent="0.35">
      <c r="AH5841" s="21"/>
      <c r="AI5841" s="21"/>
      <c r="AJ5841" s="21"/>
      <c r="AK5841" s="21"/>
      <c r="AM5841" s="26" t="s">
        <v>38</v>
      </c>
    </row>
    <row r="5842" spans="34:39" x14ac:dyDescent="0.35">
      <c r="AH5842" s="21"/>
      <c r="AI5842" s="21"/>
      <c r="AJ5842" s="21"/>
      <c r="AK5842" s="21"/>
      <c r="AM5842" s="26" t="s">
        <v>38</v>
      </c>
    </row>
    <row r="5843" spans="34:39" x14ac:dyDescent="0.35">
      <c r="AH5843" s="21"/>
      <c r="AI5843" s="21"/>
      <c r="AJ5843" s="21"/>
      <c r="AK5843" s="21"/>
      <c r="AM5843" s="26" t="s">
        <v>38</v>
      </c>
    </row>
    <row r="5844" spans="34:39" x14ac:dyDescent="0.35">
      <c r="AH5844" s="21"/>
      <c r="AI5844" s="21"/>
      <c r="AJ5844" s="21"/>
      <c r="AK5844" s="21"/>
      <c r="AM5844" s="26" t="s">
        <v>38</v>
      </c>
    </row>
    <row r="5845" spans="34:39" x14ac:dyDescent="0.35">
      <c r="AH5845" s="21"/>
      <c r="AI5845" s="21"/>
      <c r="AJ5845" s="21"/>
      <c r="AK5845" s="21"/>
      <c r="AM5845" s="26" t="s">
        <v>38</v>
      </c>
    </row>
    <row r="5846" spans="34:39" x14ac:dyDescent="0.35">
      <c r="AH5846" s="21"/>
      <c r="AI5846" s="21"/>
      <c r="AJ5846" s="21"/>
      <c r="AK5846" s="21"/>
      <c r="AM5846" s="26" t="s">
        <v>38</v>
      </c>
    </row>
    <row r="5847" spans="34:39" x14ac:dyDescent="0.35">
      <c r="AH5847" s="21"/>
      <c r="AI5847" s="21"/>
      <c r="AJ5847" s="21"/>
      <c r="AK5847" s="21"/>
      <c r="AM5847" s="26" t="s">
        <v>38</v>
      </c>
    </row>
    <row r="5848" spans="34:39" x14ac:dyDescent="0.35">
      <c r="AH5848" s="21"/>
      <c r="AI5848" s="21"/>
      <c r="AJ5848" s="21"/>
      <c r="AK5848" s="21"/>
      <c r="AM5848" s="26" t="s">
        <v>38</v>
      </c>
    </row>
    <row r="5849" spans="34:39" x14ac:dyDescent="0.35">
      <c r="AH5849" s="21"/>
      <c r="AI5849" s="21"/>
      <c r="AJ5849" s="21"/>
      <c r="AK5849" s="21"/>
      <c r="AM5849" s="26" t="s">
        <v>38</v>
      </c>
    </row>
    <row r="5850" spans="34:39" x14ac:dyDescent="0.35">
      <c r="AH5850" s="21"/>
      <c r="AI5850" s="21"/>
      <c r="AJ5850" s="21"/>
      <c r="AK5850" s="21"/>
      <c r="AM5850" s="26" t="s">
        <v>38</v>
      </c>
    </row>
    <row r="5851" spans="34:39" x14ac:dyDescent="0.35">
      <c r="AH5851" s="21"/>
      <c r="AI5851" s="21"/>
      <c r="AJ5851" s="21"/>
      <c r="AK5851" s="21"/>
      <c r="AM5851" s="26" t="s">
        <v>38</v>
      </c>
    </row>
    <row r="5852" spans="34:39" x14ac:dyDescent="0.35">
      <c r="AH5852" s="21"/>
      <c r="AI5852" s="21"/>
      <c r="AJ5852" s="21"/>
      <c r="AK5852" s="21"/>
      <c r="AM5852" s="26" t="s">
        <v>38</v>
      </c>
    </row>
    <row r="5853" spans="34:39" x14ac:dyDescent="0.35">
      <c r="AH5853" s="21"/>
      <c r="AI5853" s="21"/>
      <c r="AJ5853" s="21"/>
      <c r="AK5853" s="21"/>
      <c r="AM5853" s="26" t="s">
        <v>38</v>
      </c>
    </row>
    <row r="5854" spans="34:39" x14ac:dyDescent="0.35">
      <c r="AH5854" s="21"/>
      <c r="AI5854" s="21"/>
      <c r="AJ5854" s="21"/>
      <c r="AK5854" s="21"/>
      <c r="AM5854" s="26" t="s">
        <v>38</v>
      </c>
    </row>
    <row r="5855" spans="34:39" x14ac:dyDescent="0.35">
      <c r="AH5855" s="21"/>
      <c r="AI5855" s="21"/>
      <c r="AJ5855" s="21"/>
      <c r="AK5855" s="21"/>
      <c r="AM5855" s="26" t="s">
        <v>38</v>
      </c>
    </row>
    <row r="5856" spans="34:39" x14ac:dyDescent="0.35">
      <c r="AH5856" s="21"/>
      <c r="AI5856" s="21"/>
      <c r="AJ5856" s="21"/>
      <c r="AK5856" s="21"/>
      <c r="AM5856" s="26" t="s">
        <v>38</v>
      </c>
    </row>
    <row r="5857" spans="34:39" x14ac:dyDescent="0.35">
      <c r="AH5857" s="21"/>
      <c r="AI5857" s="21"/>
      <c r="AJ5857" s="21"/>
      <c r="AK5857" s="21"/>
      <c r="AM5857" s="26" t="s">
        <v>38</v>
      </c>
    </row>
    <row r="5858" spans="34:39" x14ac:dyDescent="0.35">
      <c r="AH5858" s="21"/>
      <c r="AI5858" s="21"/>
      <c r="AJ5858" s="21"/>
      <c r="AK5858" s="21"/>
      <c r="AM5858" s="26" t="s">
        <v>38</v>
      </c>
    </row>
    <row r="5859" spans="34:39" x14ac:dyDescent="0.35">
      <c r="AH5859" s="21"/>
      <c r="AI5859" s="21"/>
      <c r="AJ5859" s="21"/>
      <c r="AK5859" s="21"/>
      <c r="AM5859" s="26" t="s">
        <v>38</v>
      </c>
    </row>
    <row r="5860" spans="34:39" x14ac:dyDescent="0.35">
      <c r="AH5860" s="21"/>
      <c r="AI5860" s="21"/>
      <c r="AJ5860" s="21"/>
      <c r="AK5860" s="21"/>
      <c r="AM5860" s="26" t="s">
        <v>38</v>
      </c>
    </row>
    <row r="5861" spans="34:39" x14ac:dyDescent="0.35">
      <c r="AH5861" s="21"/>
      <c r="AI5861" s="21"/>
      <c r="AJ5861" s="21"/>
      <c r="AK5861" s="21"/>
      <c r="AM5861" s="26" t="s">
        <v>38</v>
      </c>
    </row>
    <row r="5862" spans="34:39" x14ac:dyDescent="0.35">
      <c r="AH5862" s="21"/>
      <c r="AI5862" s="21"/>
      <c r="AJ5862" s="21"/>
      <c r="AK5862" s="21"/>
      <c r="AM5862" s="26" t="s">
        <v>38</v>
      </c>
    </row>
    <row r="5863" spans="34:39" x14ac:dyDescent="0.35">
      <c r="AH5863" s="21"/>
      <c r="AI5863" s="21"/>
      <c r="AJ5863" s="21"/>
      <c r="AK5863" s="21"/>
      <c r="AM5863" s="26" t="s">
        <v>38</v>
      </c>
    </row>
    <row r="5864" spans="34:39" x14ac:dyDescent="0.35">
      <c r="AH5864" s="21"/>
      <c r="AI5864" s="21"/>
      <c r="AJ5864" s="21"/>
      <c r="AK5864" s="21"/>
      <c r="AM5864" s="26" t="s">
        <v>38</v>
      </c>
    </row>
    <row r="5865" spans="34:39" x14ac:dyDescent="0.35">
      <c r="AH5865" s="21"/>
      <c r="AI5865" s="21"/>
      <c r="AJ5865" s="21"/>
      <c r="AK5865" s="21"/>
      <c r="AM5865" s="26" t="s">
        <v>38</v>
      </c>
    </row>
    <row r="5866" spans="34:39" x14ac:dyDescent="0.35">
      <c r="AH5866" s="21"/>
      <c r="AI5866" s="21"/>
      <c r="AJ5866" s="21"/>
      <c r="AK5866" s="21"/>
      <c r="AM5866" s="26" t="s">
        <v>38</v>
      </c>
    </row>
    <row r="5867" spans="34:39" x14ac:dyDescent="0.35">
      <c r="AH5867" s="21"/>
      <c r="AI5867" s="21"/>
      <c r="AJ5867" s="21"/>
      <c r="AK5867" s="21"/>
      <c r="AM5867" s="26" t="s">
        <v>38</v>
      </c>
    </row>
    <row r="5868" spans="34:39" x14ac:dyDescent="0.35">
      <c r="AH5868" s="21"/>
      <c r="AI5868" s="21"/>
      <c r="AJ5868" s="21"/>
      <c r="AK5868" s="21"/>
      <c r="AM5868" s="26" t="s">
        <v>38</v>
      </c>
    </row>
    <row r="5869" spans="34:39" x14ac:dyDescent="0.35">
      <c r="AH5869" s="21"/>
      <c r="AI5869" s="21"/>
      <c r="AJ5869" s="21"/>
      <c r="AK5869" s="21"/>
      <c r="AM5869" s="26" t="s">
        <v>38</v>
      </c>
    </row>
    <row r="5870" spans="34:39" x14ac:dyDescent="0.35">
      <c r="AH5870" s="21"/>
      <c r="AI5870" s="21"/>
      <c r="AJ5870" s="21"/>
      <c r="AK5870" s="21"/>
      <c r="AM5870" s="26" t="s">
        <v>38</v>
      </c>
    </row>
    <row r="5871" spans="34:39" x14ac:dyDescent="0.35">
      <c r="AH5871" s="21"/>
      <c r="AI5871" s="21"/>
      <c r="AJ5871" s="21"/>
      <c r="AK5871" s="21"/>
      <c r="AM5871" s="26" t="s">
        <v>38</v>
      </c>
    </row>
    <row r="5872" spans="34:39" x14ac:dyDescent="0.35">
      <c r="AH5872" s="21"/>
      <c r="AI5872" s="21"/>
      <c r="AJ5872" s="21"/>
      <c r="AK5872" s="21"/>
      <c r="AM5872" s="26" t="s">
        <v>38</v>
      </c>
    </row>
    <row r="5873" spans="34:39" x14ac:dyDescent="0.35">
      <c r="AH5873" s="21"/>
      <c r="AI5873" s="21"/>
      <c r="AJ5873" s="21"/>
      <c r="AK5873" s="21"/>
      <c r="AM5873" s="26" t="s">
        <v>38</v>
      </c>
    </row>
    <row r="5874" spans="34:39" x14ac:dyDescent="0.35">
      <c r="AH5874" s="21"/>
      <c r="AI5874" s="21"/>
      <c r="AJ5874" s="21"/>
      <c r="AK5874" s="21"/>
      <c r="AM5874" s="26" t="s">
        <v>38</v>
      </c>
    </row>
    <row r="5875" spans="34:39" x14ac:dyDescent="0.35">
      <c r="AH5875" s="21"/>
      <c r="AI5875" s="21"/>
      <c r="AJ5875" s="21"/>
      <c r="AK5875" s="21"/>
      <c r="AM5875" s="26" t="s">
        <v>38</v>
      </c>
    </row>
    <row r="5876" spans="34:39" x14ac:dyDescent="0.35">
      <c r="AH5876" s="21"/>
      <c r="AI5876" s="21"/>
      <c r="AJ5876" s="21"/>
      <c r="AK5876" s="21"/>
      <c r="AM5876" s="26" t="s">
        <v>38</v>
      </c>
    </row>
    <row r="5877" spans="34:39" x14ac:dyDescent="0.35">
      <c r="AH5877" s="21"/>
      <c r="AI5877" s="21"/>
      <c r="AJ5877" s="21"/>
      <c r="AK5877" s="21"/>
      <c r="AM5877" s="26" t="s">
        <v>38</v>
      </c>
    </row>
    <row r="5878" spans="34:39" x14ac:dyDescent="0.35">
      <c r="AH5878" s="21"/>
      <c r="AI5878" s="21"/>
      <c r="AJ5878" s="21"/>
      <c r="AK5878" s="21"/>
      <c r="AM5878" s="26" t="s">
        <v>38</v>
      </c>
    </row>
    <row r="5879" spans="34:39" x14ac:dyDescent="0.35">
      <c r="AH5879" s="21"/>
      <c r="AI5879" s="21"/>
      <c r="AJ5879" s="21"/>
      <c r="AK5879" s="21"/>
      <c r="AM5879" s="26" t="s">
        <v>38</v>
      </c>
    </row>
    <row r="5880" spans="34:39" x14ac:dyDescent="0.35">
      <c r="AH5880" s="21"/>
      <c r="AI5880" s="21"/>
      <c r="AJ5880" s="21"/>
      <c r="AK5880" s="21"/>
      <c r="AM5880" s="26" t="s">
        <v>38</v>
      </c>
    </row>
    <row r="5881" spans="34:39" x14ac:dyDescent="0.35">
      <c r="AH5881" s="21"/>
      <c r="AI5881" s="21"/>
      <c r="AJ5881" s="21"/>
      <c r="AK5881" s="21"/>
      <c r="AM5881" s="26" t="s">
        <v>38</v>
      </c>
    </row>
    <row r="5882" spans="34:39" x14ac:dyDescent="0.35">
      <c r="AH5882" s="21"/>
      <c r="AI5882" s="21"/>
      <c r="AJ5882" s="21"/>
      <c r="AK5882" s="21"/>
      <c r="AM5882" s="26" t="s">
        <v>38</v>
      </c>
    </row>
    <row r="5883" spans="34:39" x14ac:dyDescent="0.35">
      <c r="AH5883" s="21"/>
      <c r="AI5883" s="21"/>
      <c r="AJ5883" s="21"/>
      <c r="AK5883" s="21"/>
      <c r="AM5883" s="26" t="s">
        <v>38</v>
      </c>
    </row>
    <row r="5884" spans="34:39" x14ac:dyDescent="0.35">
      <c r="AH5884" s="21"/>
      <c r="AI5884" s="21"/>
      <c r="AJ5884" s="21"/>
      <c r="AK5884" s="21"/>
      <c r="AM5884" s="26" t="s">
        <v>38</v>
      </c>
    </row>
    <row r="5885" spans="34:39" x14ac:dyDescent="0.35">
      <c r="AH5885" s="21"/>
      <c r="AI5885" s="21"/>
      <c r="AJ5885" s="21"/>
      <c r="AK5885" s="21"/>
      <c r="AM5885" s="26" t="s">
        <v>38</v>
      </c>
    </row>
    <row r="5886" spans="34:39" x14ac:dyDescent="0.35">
      <c r="AH5886" s="21"/>
      <c r="AI5886" s="21"/>
      <c r="AJ5886" s="21"/>
      <c r="AK5886" s="21"/>
      <c r="AM5886" s="26" t="s">
        <v>38</v>
      </c>
    </row>
    <row r="5887" spans="34:39" x14ac:dyDescent="0.35">
      <c r="AH5887" s="21"/>
      <c r="AI5887" s="21"/>
      <c r="AJ5887" s="21"/>
      <c r="AK5887" s="21"/>
      <c r="AM5887" s="26" t="s">
        <v>38</v>
      </c>
    </row>
    <row r="5888" spans="34:39" x14ac:dyDescent="0.35">
      <c r="AH5888" s="21"/>
      <c r="AI5888" s="21"/>
      <c r="AJ5888" s="21"/>
      <c r="AK5888" s="21"/>
      <c r="AM5888" s="26" t="s">
        <v>38</v>
      </c>
    </row>
    <row r="5889" spans="34:39" x14ac:dyDescent="0.35">
      <c r="AH5889" s="21"/>
      <c r="AI5889" s="21"/>
      <c r="AJ5889" s="21"/>
      <c r="AK5889" s="21"/>
      <c r="AM5889" s="26" t="s">
        <v>38</v>
      </c>
    </row>
    <row r="5890" spans="34:39" x14ac:dyDescent="0.35">
      <c r="AH5890" s="21"/>
      <c r="AI5890" s="21"/>
      <c r="AJ5890" s="21"/>
      <c r="AK5890" s="21"/>
      <c r="AM5890" s="26" t="s">
        <v>38</v>
      </c>
    </row>
    <row r="5891" spans="34:39" x14ac:dyDescent="0.35">
      <c r="AH5891" s="21"/>
      <c r="AI5891" s="21"/>
      <c r="AJ5891" s="21"/>
      <c r="AK5891" s="21"/>
      <c r="AM5891" s="26" t="s">
        <v>38</v>
      </c>
    </row>
    <row r="5892" spans="34:39" x14ac:dyDescent="0.35">
      <c r="AH5892" s="21"/>
      <c r="AI5892" s="21"/>
      <c r="AJ5892" s="21"/>
      <c r="AK5892" s="21"/>
      <c r="AM5892" s="26" t="s">
        <v>38</v>
      </c>
    </row>
    <row r="5893" spans="34:39" x14ac:dyDescent="0.35">
      <c r="AH5893" s="21"/>
      <c r="AI5893" s="21"/>
      <c r="AJ5893" s="21"/>
      <c r="AK5893" s="21"/>
      <c r="AM5893" s="26" t="s">
        <v>38</v>
      </c>
    </row>
    <row r="5894" spans="34:39" x14ac:dyDescent="0.35">
      <c r="AH5894" s="21"/>
      <c r="AI5894" s="21"/>
      <c r="AJ5894" s="21"/>
      <c r="AK5894" s="21"/>
      <c r="AM5894" s="26" t="s">
        <v>38</v>
      </c>
    </row>
    <row r="5895" spans="34:39" x14ac:dyDescent="0.35">
      <c r="AH5895" s="21"/>
      <c r="AI5895" s="21"/>
      <c r="AJ5895" s="21"/>
      <c r="AK5895" s="21"/>
      <c r="AM5895" s="26" t="s">
        <v>38</v>
      </c>
    </row>
    <row r="5896" spans="34:39" x14ac:dyDescent="0.35">
      <c r="AH5896" s="21"/>
      <c r="AI5896" s="21"/>
      <c r="AJ5896" s="21"/>
      <c r="AK5896" s="21"/>
      <c r="AM5896" s="26" t="s">
        <v>38</v>
      </c>
    </row>
    <row r="5897" spans="34:39" x14ac:dyDescent="0.35">
      <c r="AH5897" s="21"/>
      <c r="AI5897" s="21"/>
      <c r="AJ5897" s="21"/>
      <c r="AK5897" s="21"/>
      <c r="AM5897" s="26" t="s">
        <v>38</v>
      </c>
    </row>
    <row r="5898" spans="34:39" x14ac:dyDescent="0.35">
      <c r="AH5898" s="21"/>
      <c r="AI5898" s="21"/>
      <c r="AJ5898" s="21"/>
      <c r="AK5898" s="21"/>
      <c r="AM5898" s="26" t="s">
        <v>38</v>
      </c>
    </row>
    <row r="5899" spans="34:39" x14ac:dyDescent="0.35">
      <c r="AH5899" s="21"/>
      <c r="AI5899" s="21"/>
      <c r="AJ5899" s="21"/>
      <c r="AK5899" s="21"/>
      <c r="AM5899" s="26" t="s">
        <v>38</v>
      </c>
    </row>
    <row r="5900" spans="34:39" x14ac:dyDescent="0.35">
      <c r="AH5900" s="21"/>
      <c r="AI5900" s="21"/>
      <c r="AJ5900" s="21"/>
      <c r="AK5900" s="21"/>
      <c r="AM5900" s="26" t="s">
        <v>38</v>
      </c>
    </row>
    <row r="5901" spans="34:39" x14ac:dyDescent="0.35">
      <c r="AH5901" s="21"/>
      <c r="AI5901" s="21"/>
      <c r="AJ5901" s="21"/>
      <c r="AK5901" s="21"/>
      <c r="AM5901" s="26" t="s">
        <v>38</v>
      </c>
    </row>
    <row r="5902" spans="34:39" x14ac:dyDescent="0.35">
      <c r="AH5902" s="21"/>
      <c r="AI5902" s="21"/>
      <c r="AJ5902" s="21"/>
      <c r="AK5902" s="21"/>
      <c r="AM5902" s="26" t="s">
        <v>38</v>
      </c>
    </row>
    <row r="5903" spans="34:39" x14ac:dyDescent="0.35">
      <c r="AH5903" s="21"/>
      <c r="AI5903" s="21"/>
      <c r="AJ5903" s="21"/>
      <c r="AK5903" s="21"/>
      <c r="AM5903" s="26" t="s">
        <v>38</v>
      </c>
    </row>
    <row r="5904" spans="34:39" x14ac:dyDescent="0.35">
      <c r="AH5904" s="21"/>
      <c r="AI5904" s="21"/>
      <c r="AJ5904" s="21"/>
      <c r="AK5904" s="21"/>
      <c r="AM5904" s="26" t="s">
        <v>38</v>
      </c>
    </row>
    <row r="5905" spans="34:39" x14ac:dyDescent="0.35">
      <c r="AH5905" s="21"/>
      <c r="AI5905" s="21"/>
      <c r="AJ5905" s="21"/>
      <c r="AK5905" s="21"/>
      <c r="AM5905" s="26" t="s">
        <v>38</v>
      </c>
    </row>
    <row r="5906" spans="34:39" x14ac:dyDescent="0.35">
      <c r="AH5906" s="21"/>
      <c r="AI5906" s="21"/>
      <c r="AJ5906" s="21"/>
      <c r="AK5906" s="21"/>
      <c r="AM5906" s="26" t="s">
        <v>38</v>
      </c>
    </row>
    <row r="5907" spans="34:39" x14ac:dyDescent="0.35">
      <c r="AH5907" s="21"/>
      <c r="AI5907" s="21"/>
      <c r="AJ5907" s="21"/>
      <c r="AK5907" s="21"/>
      <c r="AM5907" s="26" t="s">
        <v>38</v>
      </c>
    </row>
    <row r="5908" spans="34:39" x14ac:dyDescent="0.35">
      <c r="AH5908" s="21"/>
      <c r="AI5908" s="21"/>
      <c r="AJ5908" s="21"/>
      <c r="AK5908" s="21"/>
      <c r="AM5908" s="26" t="s">
        <v>38</v>
      </c>
    </row>
    <row r="5909" spans="34:39" x14ac:dyDescent="0.35">
      <c r="AH5909" s="21"/>
      <c r="AI5909" s="21"/>
      <c r="AJ5909" s="21"/>
      <c r="AK5909" s="21"/>
      <c r="AM5909" s="26" t="s">
        <v>38</v>
      </c>
    </row>
    <row r="5910" spans="34:39" x14ac:dyDescent="0.35">
      <c r="AH5910" s="21"/>
      <c r="AI5910" s="21"/>
      <c r="AJ5910" s="21"/>
      <c r="AK5910" s="21"/>
      <c r="AM5910" s="26" t="s">
        <v>38</v>
      </c>
    </row>
    <row r="5911" spans="34:39" x14ac:dyDescent="0.35">
      <c r="AH5911" s="21"/>
      <c r="AI5911" s="21"/>
      <c r="AJ5911" s="21"/>
      <c r="AK5911" s="21"/>
      <c r="AM5911" s="26" t="s">
        <v>38</v>
      </c>
    </row>
    <row r="5912" spans="34:39" x14ac:dyDescent="0.35">
      <c r="AH5912" s="21"/>
      <c r="AI5912" s="21"/>
      <c r="AJ5912" s="21"/>
      <c r="AK5912" s="21"/>
      <c r="AM5912" s="26" t="s">
        <v>38</v>
      </c>
    </row>
    <row r="5913" spans="34:39" x14ac:dyDescent="0.35">
      <c r="AH5913" s="21"/>
      <c r="AI5913" s="21"/>
      <c r="AJ5913" s="21"/>
      <c r="AK5913" s="21"/>
      <c r="AM5913" s="26" t="s">
        <v>38</v>
      </c>
    </row>
    <row r="5914" spans="34:39" x14ac:dyDescent="0.35">
      <c r="AH5914" s="21"/>
      <c r="AI5914" s="21"/>
      <c r="AJ5914" s="21"/>
      <c r="AK5914" s="21"/>
      <c r="AM5914" s="26" t="s">
        <v>38</v>
      </c>
    </row>
    <row r="5915" spans="34:39" x14ac:dyDescent="0.35">
      <c r="AH5915" s="21"/>
      <c r="AI5915" s="21"/>
      <c r="AJ5915" s="21"/>
      <c r="AK5915" s="21"/>
      <c r="AM5915" s="26" t="s">
        <v>38</v>
      </c>
    </row>
    <row r="5916" spans="34:39" x14ac:dyDescent="0.35">
      <c r="AH5916" s="21"/>
      <c r="AI5916" s="21"/>
      <c r="AJ5916" s="21"/>
      <c r="AK5916" s="21"/>
      <c r="AM5916" s="26" t="s">
        <v>38</v>
      </c>
    </row>
    <row r="5917" spans="34:39" x14ac:dyDescent="0.35">
      <c r="AH5917" s="21"/>
      <c r="AI5917" s="21"/>
      <c r="AJ5917" s="21"/>
      <c r="AK5917" s="21"/>
      <c r="AM5917" s="26" t="s">
        <v>38</v>
      </c>
    </row>
    <row r="5918" spans="34:39" x14ac:dyDescent="0.35">
      <c r="AH5918" s="21"/>
      <c r="AI5918" s="21"/>
      <c r="AJ5918" s="21"/>
      <c r="AK5918" s="21"/>
      <c r="AM5918" s="26" t="s">
        <v>38</v>
      </c>
    </row>
    <row r="5919" spans="34:39" x14ac:dyDescent="0.35">
      <c r="AH5919" s="21"/>
      <c r="AI5919" s="21"/>
      <c r="AJ5919" s="21"/>
      <c r="AK5919" s="21"/>
      <c r="AM5919" s="26" t="s">
        <v>38</v>
      </c>
    </row>
    <row r="5920" spans="34:39" x14ac:dyDescent="0.35">
      <c r="AH5920" s="21"/>
      <c r="AI5920" s="21"/>
      <c r="AJ5920" s="21"/>
      <c r="AK5920" s="21"/>
      <c r="AM5920" s="26" t="s">
        <v>38</v>
      </c>
    </row>
    <row r="5921" spans="34:39" x14ac:dyDescent="0.35">
      <c r="AH5921" s="21"/>
      <c r="AI5921" s="21"/>
      <c r="AJ5921" s="21"/>
      <c r="AK5921" s="21"/>
      <c r="AM5921" s="26" t="s">
        <v>38</v>
      </c>
    </row>
    <row r="5922" spans="34:39" x14ac:dyDescent="0.35">
      <c r="AH5922" s="21"/>
      <c r="AI5922" s="21"/>
      <c r="AJ5922" s="21"/>
      <c r="AK5922" s="21"/>
      <c r="AM5922" s="26" t="s">
        <v>38</v>
      </c>
    </row>
    <row r="5923" spans="34:39" x14ac:dyDescent="0.35">
      <c r="AH5923" s="21"/>
      <c r="AI5923" s="21"/>
      <c r="AJ5923" s="21"/>
      <c r="AK5923" s="21"/>
      <c r="AM5923" s="26" t="s">
        <v>38</v>
      </c>
    </row>
    <row r="5924" spans="34:39" x14ac:dyDescent="0.35">
      <c r="AH5924" s="21"/>
      <c r="AI5924" s="21"/>
      <c r="AJ5924" s="21"/>
      <c r="AK5924" s="21"/>
      <c r="AM5924" s="26" t="s">
        <v>38</v>
      </c>
    </row>
    <row r="5925" spans="34:39" x14ac:dyDescent="0.35">
      <c r="AH5925" s="21"/>
      <c r="AI5925" s="21"/>
      <c r="AJ5925" s="21"/>
      <c r="AK5925" s="21"/>
      <c r="AM5925" s="26" t="s">
        <v>38</v>
      </c>
    </row>
    <row r="5926" spans="34:39" x14ac:dyDescent="0.35">
      <c r="AH5926" s="21"/>
      <c r="AI5926" s="21"/>
      <c r="AJ5926" s="21"/>
      <c r="AK5926" s="21"/>
      <c r="AM5926" s="26" t="s">
        <v>38</v>
      </c>
    </row>
    <row r="5927" spans="34:39" x14ac:dyDescent="0.35">
      <c r="AH5927" s="21"/>
      <c r="AI5927" s="21"/>
      <c r="AJ5927" s="21"/>
      <c r="AK5927" s="21"/>
      <c r="AM5927" s="26" t="s">
        <v>38</v>
      </c>
    </row>
    <row r="5928" spans="34:39" x14ac:dyDescent="0.35">
      <c r="AH5928" s="21"/>
      <c r="AI5928" s="21"/>
      <c r="AJ5928" s="21"/>
      <c r="AK5928" s="21"/>
      <c r="AM5928" s="26" t="s">
        <v>38</v>
      </c>
    </row>
    <row r="5929" spans="34:39" x14ac:dyDescent="0.35">
      <c r="AH5929" s="21"/>
      <c r="AI5929" s="21"/>
      <c r="AJ5929" s="21"/>
      <c r="AK5929" s="21"/>
      <c r="AM5929" s="26" t="s">
        <v>38</v>
      </c>
    </row>
    <row r="5930" spans="34:39" x14ac:dyDescent="0.35">
      <c r="AH5930" s="21"/>
      <c r="AI5930" s="21"/>
      <c r="AJ5930" s="21"/>
      <c r="AK5930" s="21"/>
      <c r="AM5930" s="26" t="s">
        <v>38</v>
      </c>
    </row>
    <row r="5931" spans="34:39" x14ac:dyDescent="0.35">
      <c r="AH5931" s="21"/>
      <c r="AI5931" s="21"/>
      <c r="AJ5931" s="21"/>
      <c r="AK5931" s="21"/>
      <c r="AM5931" s="26" t="s">
        <v>38</v>
      </c>
    </row>
    <row r="5932" spans="34:39" x14ac:dyDescent="0.35">
      <c r="AH5932" s="21"/>
      <c r="AI5932" s="21"/>
      <c r="AJ5932" s="21"/>
      <c r="AK5932" s="21"/>
      <c r="AM5932" s="26" t="s">
        <v>38</v>
      </c>
    </row>
    <row r="5933" spans="34:39" x14ac:dyDescent="0.35">
      <c r="AH5933" s="21"/>
      <c r="AI5933" s="21"/>
      <c r="AJ5933" s="21"/>
      <c r="AK5933" s="21"/>
      <c r="AM5933" s="26" t="s">
        <v>38</v>
      </c>
    </row>
    <row r="5934" spans="34:39" x14ac:dyDescent="0.35">
      <c r="AH5934" s="21"/>
      <c r="AI5934" s="21"/>
      <c r="AJ5934" s="21"/>
      <c r="AK5934" s="21"/>
      <c r="AM5934" s="26" t="s">
        <v>38</v>
      </c>
    </row>
    <row r="5935" spans="34:39" x14ac:dyDescent="0.35">
      <c r="AH5935" s="21"/>
      <c r="AI5935" s="21"/>
      <c r="AJ5935" s="21"/>
      <c r="AK5935" s="21"/>
      <c r="AM5935" s="26" t="s">
        <v>38</v>
      </c>
    </row>
    <row r="5936" spans="34:39" x14ac:dyDescent="0.35">
      <c r="AH5936" s="21"/>
      <c r="AI5936" s="21"/>
      <c r="AJ5936" s="21"/>
      <c r="AK5936" s="21"/>
      <c r="AM5936" s="26" t="s">
        <v>38</v>
      </c>
    </row>
    <row r="5937" spans="34:39" x14ac:dyDescent="0.35">
      <c r="AH5937" s="21"/>
      <c r="AI5937" s="21"/>
      <c r="AJ5937" s="21"/>
      <c r="AK5937" s="21"/>
      <c r="AM5937" s="26" t="s">
        <v>38</v>
      </c>
    </row>
    <row r="5938" spans="34:39" x14ac:dyDescent="0.35">
      <c r="AH5938" s="21"/>
      <c r="AI5938" s="21"/>
      <c r="AJ5938" s="21"/>
      <c r="AK5938" s="21"/>
      <c r="AM5938" s="26" t="s">
        <v>38</v>
      </c>
    </row>
    <row r="5939" spans="34:39" x14ac:dyDescent="0.35">
      <c r="AH5939" s="21"/>
      <c r="AI5939" s="21"/>
      <c r="AJ5939" s="21"/>
      <c r="AK5939" s="21"/>
      <c r="AM5939" s="26" t="s">
        <v>38</v>
      </c>
    </row>
    <row r="5940" spans="34:39" x14ac:dyDescent="0.35">
      <c r="AH5940" s="21"/>
      <c r="AI5940" s="21"/>
      <c r="AJ5940" s="21"/>
      <c r="AK5940" s="21"/>
      <c r="AM5940" s="26" t="s">
        <v>38</v>
      </c>
    </row>
    <row r="5941" spans="34:39" x14ac:dyDescent="0.35">
      <c r="AH5941" s="21"/>
      <c r="AI5941" s="21"/>
      <c r="AJ5941" s="21"/>
      <c r="AK5941" s="21"/>
      <c r="AM5941" s="26" t="s">
        <v>38</v>
      </c>
    </row>
    <row r="5942" spans="34:39" x14ac:dyDescent="0.35">
      <c r="AH5942" s="21"/>
      <c r="AI5942" s="21"/>
      <c r="AJ5942" s="21"/>
      <c r="AK5942" s="21"/>
      <c r="AM5942" s="26" t="s">
        <v>38</v>
      </c>
    </row>
    <row r="5943" spans="34:39" x14ac:dyDescent="0.35">
      <c r="AH5943" s="21"/>
      <c r="AI5943" s="21"/>
      <c r="AJ5943" s="21"/>
      <c r="AK5943" s="21"/>
      <c r="AM5943" s="26" t="s">
        <v>38</v>
      </c>
    </row>
    <row r="5944" spans="34:39" x14ac:dyDescent="0.35">
      <c r="AH5944" s="21"/>
      <c r="AI5944" s="21"/>
      <c r="AJ5944" s="21"/>
      <c r="AK5944" s="21"/>
      <c r="AM5944" s="26" t="s">
        <v>38</v>
      </c>
    </row>
    <row r="5945" spans="34:39" x14ac:dyDescent="0.35">
      <c r="AH5945" s="21"/>
      <c r="AI5945" s="21"/>
      <c r="AJ5945" s="21"/>
      <c r="AK5945" s="21"/>
      <c r="AM5945" s="26" t="s">
        <v>38</v>
      </c>
    </row>
    <row r="5946" spans="34:39" x14ac:dyDescent="0.35">
      <c r="AH5946" s="21"/>
      <c r="AI5946" s="21"/>
      <c r="AJ5946" s="21"/>
      <c r="AK5946" s="21"/>
      <c r="AM5946" s="26" t="s">
        <v>38</v>
      </c>
    </row>
    <row r="5947" spans="34:39" x14ac:dyDescent="0.35">
      <c r="AH5947" s="21"/>
      <c r="AI5947" s="21"/>
      <c r="AJ5947" s="21"/>
      <c r="AK5947" s="21"/>
      <c r="AM5947" s="26" t="s">
        <v>38</v>
      </c>
    </row>
    <row r="5948" spans="34:39" x14ac:dyDescent="0.35">
      <c r="AH5948" s="21"/>
      <c r="AI5948" s="21"/>
      <c r="AJ5948" s="21"/>
      <c r="AK5948" s="21"/>
      <c r="AM5948" s="26" t="s">
        <v>38</v>
      </c>
    </row>
    <row r="5949" spans="34:39" x14ac:dyDescent="0.35">
      <c r="AH5949" s="21"/>
      <c r="AI5949" s="21"/>
      <c r="AJ5949" s="21"/>
      <c r="AK5949" s="21"/>
      <c r="AM5949" s="26" t="s">
        <v>38</v>
      </c>
    </row>
    <row r="5950" spans="34:39" x14ac:dyDescent="0.35">
      <c r="AH5950" s="21"/>
      <c r="AI5950" s="21"/>
      <c r="AJ5950" s="21"/>
      <c r="AK5950" s="21"/>
      <c r="AM5950" s="26" t="s">
        <v>38</v>
      </c>
    </row>
    <row r="5951" spans="34:39" x14ac:dyDescent="0.35">
      <c r="AH5951" s="21"/>
      <c r="AI5951" s="21"/>
      <c r="AJ5951" s="21"/>
      <c r="AK5951" s="21"/>
      <c r="AM5951" s="26" t="s">
        <v>38</v>
      </c>
    </row>
    <row r="5952" spans="34:39" x14ac:dyDescent="0.35">
      <c r="AH5952" s="21"/>
      <c r="AI5952" s="21"/>
      <c r="AJ5952" s="21"/>
      <c r="AK5952" s="21"/>
      <c r="AM5952" s="26" t="s">
        <v>38</v>
      </c>
    </row>
    <row r="5953" spans="34:39" x14ac:dyDescent="0.35">
      <c r="AH5953" s="21"/>
      <c r="AI5953" s="21"/>
      <c r="AJ5953" s="21"/>
      <c r="AK5953" s="21"/>
      <c r="AM5953" s="26" t="s">
        <v>38</v>
      </c>
    </row>
    <row r="5954" spans="34:39" x14ac:dyDescent="0.35">
      <c r="AH5954" s="21"/>
      <c r="AI5954" s="21"/>
      <c r="AJ5954" s="21"/>
      <c r="AK5954" s="21"/>
      <c r="AM5954" s="26" t="s">
        <v>38</v>
      </c>
    </row>
    <row r="5955" spans="34:39" x14ac:dyDescent="0.35">
      <c r="AH5955" s="21"/>
      <c r="AI5955" s="21"/>
      <c r="AJ5955" s="21"/>
      <c r="AK5955" s="21"/>
      <c r="AM5955" s="26" t="s">
        <v>38</v>
      </c>
    </row>
    <row r="5956" spans="34:39" x14ac:dyDescent="0.35">
      <c r="AH5956" s="21"/>
      <c r="AI5956" s="21"/>
      <c r="AJ5956" s="21"/>
      <c r="AK5956" s="21"/>
      <c r="AM5956" s="26" t="s">
        <v>38</v>
      </c>
    </row>
    <row r="5957" spans="34:39" x14ac:dyDescent="0.35">
      <c r="AH5957" s="21"/>
      <c r="AI5957" s="21"/>
      <c r="AJ5957" s="21"/>
      <c r="AK5957" s="21"/>
      <c r="AM5957" s="26" t="s">
        <v>38</v>
      </c>
    </row>
    <row r="5958" spans="34:39" x14ac:dyDescent="0.35">
      <c r="AH5958" s="21"/>
      <c r="AI5958" s="21"/>
      <c r="AJ5958" s="21"/>
      <c r="AK5958" s="21"/>
      <c r="AM5958" s="26" t="s">
        <v>38</v>
      </c>
    </row>
    <row r="5959" spans="34:39" x14ac:dyDescent="0.35">
      <c r="AH5959" s="21"/>
      <c r="AI5959" s="21"/>
      <c r="AJ5959" s="21"/>
      <c r="AK5959" s="21"/>
      <c r="AM5959" s="26" t="s">
        <v>38</v>
      </c>
    </row>
    <row r="5960" spans="34:39" x14ac:dyDescent="0.35">
      <c r="AH5960" s="21"/>
      <c r="AI5960" s="21"/>
      <c r="AJ5960" s="21"/>
      <c r="AK5960" s="21"/>
      <c r="AM5960" s="26" t="s">
        <v>38</v>
      </c>
    </row>
    <row r="5961" spans="34:39" x14ac:dyDescent="0.35">
      <c r="AH5961" s="21"/>
      <c r="AI5961" s="21"/>
      <c r="AJ5961" s="21"/>
      <c r="AK5961" s="21"/>
      <c r="AM5961" s="26" t="s">
        <v>38</v>
      </c>
    </row>
    <row r="5962" spans="34:39" x14ac:dyDescent="0.35">
      <c r="AH5962" s="21"/>
      <c r="AI5962" s="21"/>
      <c r="AJ5962" s="21"/>
      <c r="AK5962" s="21"/>
      <c r="AM5962" s="26" t="s">
        <v>38</v>
      </c>
    </row>
    <row r="5963" spans="34:39" x14ac:dyDescent="0.35">
      <c r="AH5963" s="21"/>
      <c r="AI5963" s="21"/>
      <c r="AJ5963" s="21"/>
      <c r="AK5963" s="21"/>
      <c r="AM5963" s="26" t="s">
        <v>38</v>
      </c>
    </row>
    <row r="5964" spans="34:39" x14ac:dyDescent="0.35">
      <c r="AH5964" s="21"/>
      <c r="AI5964" s="21"/>
      <c r="AJ5964" s="21"/>
      <c r="AK5964" s="21"/>
      <c r="AM5964" s="26" t="s">
        <v>38</v>
      </c>
    </row>
    <row r="5965" spans="34:39" x14ac:dyDescent="0.35">
      <c r="AH5965" s="21"/>
      <c r="AI5965" s="21"/>
      <c r="AJ5965" s="21"/>
      <c r="AK5965" s="21"/>
      <c r="AM5965" s="26" t="s">
        <v>38</v>
      </c>
    </row>
    <row r="5966" spans="34:39" x14ac:dyDescent="0.35">
      <c r="AH5966" s="21"/>
      <c r="AI5966" s="21"/>
      <c r="AJ5966" s="21"/>
      <c r="AK5966" s="21"/>
      <c r="AM5966" s="26" t="s">
        <v>38</v>
      </c>
    </row>
    <row r="5967" spans="34:39" x14ac:dyDescent="0.35">
      <c r="AH5967" s="21"/>
      <c r="AI5967" s="21"/>
      <c r="AJ5967" s="21"/>
      <c r="AK5967" s="21"/>
      <c r="AM5967" s="26" t="s">
        <v>38</v>
      </c>
    </row>
    <row r="5968" spans="34:39" x14ac:dyDescent="0.35">
      <c r="AH5968" s="21"/>
      <c r="AI5968" s="21"/>
      <c r="AJ5968" s="21"/>
      <c r="AK5968" s="21"/>
      <c r="AM5968" s="26" t="s">
        <v>38</v>
      </c>
    </row>
    <row r="5969" spans="34:39" x14ac:dyDescent="0.35">
      <c r="AH5969" s="21"/>
      <c r="AI5969" s="21"/>
      <c r="AJ5969" s="21"/>
      <c r="AK5969" s="21"/>
      <c r="AM5969" s="26" t="s">
        <v>38</v>
      </c>
    </row>
    <row r="5970" spans="34:39" x14ac:dyDescent="0.35">
      <c r="AH5970" s="21"/>
      <c r="AI5970" s="21"/>
      <c r="AJ5970" s="21"/>
      <c r="AK5970" s="21"/>
      <c r="AM5970" s="26" t="s">
        <v>38</v>
      </c>
    </row>
    <row r="5971" spans="34:39" x14ac:dyDescent="0.35">
      <c r="AH5971" s="21"/>
      <c r="AI5971" s="21"/>
      <c r="AJ5971" s="21"/>
      <c r="AK5971" s="21"/>
      <c r="AM5971" s="26" t="s">
        <v>38</v>
      </c>
    </row>
    <row r="5972" spans="34:39" x14ac:dyDescent="0.35">
      <c r="AH5972" s="21"/>
      <c r="AI5972" s="21"/>
      <c r="AJ5972" s="21"/>
      <c r="AK5972" s="21"/>
      <c r="AM5972" s="26" t="s">
        <v>38</v>
      </c>
    </row>
    <row r="5973" spans="34:39" x14ac:dyDescent="0.35">
      <c r="AH5973" s="21"/>
      <c r="AI5973" s="21"/>
      <c r="AJ5973" s="21"/>
      <c r="AK5973" s="21"/>
      <c r="AM5973" s="26" t="s">
        <v>38</v>
      </c>
    </row>
    <row r="5974" spans="34:39" x14ac:dyDescent="0.35">
      <c r="AH5974" s="21"/>
      <c r="AI5974" s="21"/>
      <c r="AJ5974" s="21"/>
      <c r="AK5974" s="21"/>
      <c r="AM5974" s="26" t="s">
        <v>38</v>
      </c>
    </row>
    <row r="5975" spans="34:39" x14ac:dyDescent="0.35">
      <c r="AH5975" s="21"/>
      <c r="AI5975" s="21"/>
      <c r="AJ5975" s="21"/>
      <c r="AK5975" s="21"/>
      <c r="AM5975" s="26" t="s">
        <v>38</v>
      </c>
    </row>
    <row r="5976" spans="34:39" x14ac:dyDescent="0.35">
      <c r="AH5976" s="21"/>
      <c r="AI5976" s="21"/>
      <c r="AJ5976" s="21"/>
      <c r="AK5976" s="21"/>
      <c r="AM5976" s="26" t="s">
        <v>38</v>
      </c>
    </row>
    <row r="5977" spans="34:39" x14ac:dyDescent="0.35">
      <c r="AH5977" s="21"/>
      <c r="AI5977" s="21"/>
      <c r="AJ5977" s="21"/>
      <c r="AK5977" s="21"/>
      <c r="AM5977" s="26" t="s">
        <v>38</v>
      </c>
    </row>
    <row r="5978" spans="34:39" x14ac:dyDescent="0.35">
      <c r="AH5978" s="21"/>
      <c r="AI5978" s="21"/>
      <c r="AJ5978" s="21"/>
      <c r="AK5978" s="21"/>
      <c r="AM5978" s="26" t="s">
        <v>38</v>
      </c>
    </row>
    <row r="5979" spans="34:39" x14ac:dyDescent="0.35">
      <c r="AH5979" s="21"/>
      <c r="AI5979" s="21"/>
      <c r="AJ5979" s="21"/>
      <c r="AK5979" s="21"/>
      <c r="AM5979" s="26" t="s">
        <v>38</v>
      </c>
    </row>
    <row r="5980" spans="34:39" x14ac:dyDescent="0.35">
      <c r="AH5980" s="21"/>
      <c r="AI5980" s="21"/>
      <c r="AJ5980" s="21"/>
      <c r="AK5980" s="21"/>
      <c r="AM5980" s="26" t="s">
        <v>38</v>
      </c>
    </row>
    <row r="5981" spans="34:39" x14ac:dyDescent="0.35">
      <c r="AH5981" s="21"/>
      <c r="AI5981" s="21"/>
      <c r="AJ5981" s="21"/>
      <c r="AK5981" s="21"/>
      <c r="AM5981" s="26" t="s">
        <v>38</v>
      </c>
    </row>
    <row r="5982" spans="34:39" x14ac:dyDescent="0.35">
      <c r="AH5982" s="21"/>
      <c r="AI5982" s="21"/>
      <c r="AJ5982" s="21"/>
      <c r="AK5982" s="21"/>
      <c r="AM5982" s="26" t="s">
        <v>38</v>
      </c>
    </row>
    <row r="5983" spans="34:39" x14ac:dyDescent="0.35">
      <c r="AH5983" s="21"/>
      <c r="AI5983" s="21"/>
      <c r="AJ5983" s="21"/>
      <c r="AK5983" s="21"/>
      <c r="AM5983" s="26" t="s">
        <v>38</v>
      </c>
    </row>
    <row r="5984" spans="34:39" x14ac:dyDescent="0.35">
      <c r="AH5984" s="21"/>
      <c r="AI5984" s="21"/>
      <c r="AJ5984" s="21"/>
      <c r="AK5984" s="21"/>
      <c r="AM5984" s="26" t="s">
        <v>38</v>
      </c>
    </row>
    <row r="5985" spans="34:39" x14ac:dyDescent="0.35">
      <c r="AH5985" s="21"/>
      <c r="AI5985" s="21"/>
      <c r="AJ5985" s="21"/>
      <c r="AK5985" s="21"/>
      <c r="AM5985" s="26" t="s">
        <v>38</v>
      </c>
    </row>
    <row r="5986" spans="34:39" x14ac:dyDescent="0.35">
      <c r="AH5986" s="21"/>
      <c r="AI5986" s="21"/>
      <c r="AJ5986" s="21"/>
      <c r="AK5986" s="21"/>
      <c r="AM5986" s="26" t="s">
        <v>38</v>
      </c>
    </row>
    <row r="5987" spans="34:39" x14ac:dyDescent="0.35">
      <c r="AH5987" s="21"/>
      <c r="AI5987" s="21"/>
      <c r="AJ5987" s="21"/>
      <c r="AK5987" s="21"/>
      <c r="AM5987" s="26" t="s">
        <v>38</v>
      </c>
    </row>
    <row r="5988" spans="34:39" x14ac:dyDescent="0.35">
      <c r="AH5988" s="21"/>
      <c r="AI5988" s="21"/>
      <c r="AJ5988" s="21"/>
      <c r="AK5988" s="21"/>
      <c r="AM5988" s="26" t="s">
        <v>38</v>
      </c>
    </row>
    <row r="5989" spans="34:39" x14ac:dyDescent="0.35">
      <c r="AH5989" s="21"/>
      <c r="AI5989" s="21"/>
      <c r="AJ5989" s="21"/>
      <c r="AK5989" s="21"/>
      <c r="AM5989" s="26" t="s">
        <v>38</v>
      </c>
    </row>
    <row r="5990" spans="34:39" x14ac:dyDescent="0.35">
      <c r="AH5990" s="21"/>
      <c r="AI5990" s="21"/>
      <c r="AJ5990" s="21"/>
      <c r="AK5990" s="21"/>
      <c r="AM5990" s="26" t="s">
        <v>38</v>
      </c>
    </row>
    <row r="5991" spans="34:39" x14ac:dyDescent="0.35">
      <c r="AH5991" s="21"/>
      <c r="AI5991" s="21"/>
      <c r="AJ5991" s="21"/>
      <c r="AK5991" s="21"/>
      <c r="AM5991" s="26" t="s">
        <v>38</v>
      </c>
    </row>
    <row r="5992" spans="34:39" x14ac:dyDescent="0.35">
      <c r="AH5992" s="21"/>
      <c r="AI5992" s="21"/>
      <c r="AJ5992" s="21"/>
      <c r="AK5992" s="21"/>
      <c r="AM5992" s="26" t="s">
        <v>38</v>
      </c>
    </row>
    <row r="5993" spans="34:39" x14ac:dyDescent="0.35">
      <c r="AH5993" s="21"/>
      <c r="AI5993" s="21"/>
      <c r="AJ5993" s="21"/>
      <c r="AK5993" s="21"/>
      <c r="AM5993" s="26" t="s">
        <v>38</v>
      </c>
    </row>
    <row r="5994" spans="34:39" x14ac:dyDescent="0.35">
      <c r="AH5994" s="21"/>
      <c r="AI5994" s="21"/>
      <c r="AJ5994" s="21"/>
      <c r="AK5994" s="21"/>
      <c r="AM5994" s="26" t="s">
        <v>38</v>
      </c>
    </row>
    <row r="5995" spans="34:39" x14ac:dyDescent="0.35">
      <c r="AH5995" s="21"/>
      <c r="AI5995" s="21"/>
      <c r="AJ5995" s="21"/>
      <c r="AK5995" s="21"/>
      <c r="AM5995" s="26" t="s">
        <v>38</v>
      </c>
    </row>
    <row r="5996" spans="34:39" x14ac:dyDescent="0.35">
      <c r="AH5996" s="21"/>
      <c r="AI5996" s="21"/>
      <c r="AJ5996" s="21"/>
      <c r="AK5996" s="21"/>
      <c r="AM5996" s="26" t="s">
        <v>38</v>
      </c>
    </row>
    <row r="5997" spans="34:39" x14ac:dyDescent="0.35">
      <c r="AH5997" s="21"/>
      <c r="AI5997" s="21"/>
      <c r="AJ5997" s="21"/>
      <c r="AK5997" s="21"/>
      <c r="AM5997" s="26" t="s">
        <v>38</v>
      </c>
    </row>
    <row r="5998" spans="34:39" x14ac:dyDescent="0.35">
      <c r="AH5998" s="21"/>
      <c r="AI5998" s="21"/>
      <c r="AJ5998" s="21"/>
      <c r="AK5998" s="21"/>
      <c r="AM5998" s="26" t="s">
        <v>38</v>
      </c>
    </row>
    <row r="5999" spans="34:39" x14ac:dyDescent="0.35">
      <c r="AH5999" s="21"/>
      <c r="AI5999" s="21"/>
      <c r="AJ5999" s="21"/>
      <c r="AK5999" s="21"/>
      <c r="AM5999" s="26" t="s">
        <v>38</v>
      </c>
    </row>
    <row r="6000" spans="34:39" x14ac:dyDescent="0.35">
      <c r="AH6000" s="21"/>
      <c r="AI6000" s="21"/>
      <c r="AJ6000" s="21"/>
      <c r="AK6000" s="21"/>
      <c r="AM6000" s="26" t="s">
        <v>38</v>
      </c>
    </row>
    <row r="6001" spans="34:39" x14ac:dyDescent="0.35">
      <c r="AH6001" s="21"/>
      <c r="AI6001" s="21"/>
      <c r="AJ6001" s="21"/>
      <c r="AK6001" s="21"/>
      <c r="AM6001" s="26" t="s">
        <v>38</v>
      </c>
    </row>
    <row r="6002" spans="34:39" x14ac:dyDescent="0.35">
      <c r="AH6002" s="21"/>
      <c r="AI6002" s="21"/>
      <c r="AJ6002" s="21"/>
      <c r="AK6002" s="21"/>
      <c r="AM6002" s="26" t="s">
        <v>38</v>
      </c>
    </row>
    <row r="6003" spans="34:39" x14ac:dyDescent="0.35">
      <c r="AH6003" s="21"/>
      <c r="AI6003" s="21"/>
      <c r="AJ6003" s="21"/>
      <c r="AK6003" s="21"/>
      <c r="AM6003" s="26" t="s">
        <v>38</v>
      </c>
    </row>
    <row r="6004" spans="34:39" x14ac:dyDescent="0.35">
      <c r="AH6004" s="21"/>
      <c r="AI6004" s="21"/>
      <c r="AJ6004" s="21"/>
      <c r="AK6004" s="21"/>
      <c r="AM6004" s="26" t="s">
        <v>38</v>
      </c>
    </row>
    <row r="6005" spans="34:39" x14ac:dyDescent="0.35">
      <c r="AH6005" s="21"/>
      <c r="AI6005" s="21"/>
      <c r="AJ6005" s="21"/>
      <c r="AK6005" s="21"/>
      <c r="AM6005" s="26" t="s">
        <v>38</v>
      </c>
    </row>
    <row r="6006" spans="34:39" x14ac:dyDescent="0.35">
      <c r="AH6006" s="21"/>
      <c r="AI6006" s="21"/>
      <c r="AJ6006" s="21"/>
      <c r="AK6006" s="21"/>
      <c r="AM6006" s="26" t="s">
        <v>38</v>
      </c>
    </row>
    <row r="6007" spans="34:39" x14ac:dyDescent="0.35">
      <c r="AH6007" s="21"/>
      <c r="AI6007" s="21"/>
      <c r="AJ6007" s="21"/>
      <c r="AK6007" s="21"/>
      <c r="AM6007" s="26" t="s">
        <v>38</v>
      </c>
    </row>
    <row r="6008" spans="34:39" x14ac:dyDescent="0.35">
      <c r="AH6008" s="21"/>
      <c r="AI6008" s="21"/>
      <c r="AJ6008" s="21"/>
      <c r="AK6008" s="21"/>
      <c r="AM6008" s="26" t="s">
        <v>38</v>
      </c>
    </row>
    <row r="6009" spans="34:39" x14ac:dyDescent="0.35">
      <c r="AH6009" s="21"/>
      <c r="AI6009" s="21"/>
      <c r="AJ6009" s="21"/>
      <c r="AK6009" s="21"/>
      <c r="AM6009" s="26" t="s">
        <v>38</v>
      </c>
    </row>
    <row r="6010" spans="34:39" x14ac:dyDescent="0.35">
      <c r="AH6010" s="21"/>
      <c r="AI6010" s="21"/>
      <c r="AJ6010" s="21"/>
      <c r="AK6010" s="21"/>
      <c r="AM6010" s="26" t="s">
        <v>38</v>
      </c>
    </row>
    <row r="6011" spans="34:39" x14ac:dyDescent="0.35">
      <c r="AH6011" s="21"/>
      <c r="AI6011" s="21"/>
      <c r="AJ6011" s="21"/>
      <c r="AK6011" s="21"/>
      <c r="AM6011" s="26" t="s">
        <v>38</v>
      </c>
    </row>
    <row r="6012" spans="34:39" x14ac:dyDescent="0.35">
      <c r="AH6012" s="21"/>
      <c r="AI6012" s="21"/>
      <c r="AJ6012" s="21"/>
      <c r="AK6012" s="21"/>
      <c r="AM6012" s="26" t="s">
        <v>38</v>
      </c>
    </row>
    <row r="6013" spans="34:39" x14ac:dyDescent="0.35">
      <c r="AH6013" s="21"/>
      <c r="AI6013" s="21"/>
      <c r="AJ6013" s="21"/>
      <c r="AK6013" s="21"/>
      <c r="AM6013" s="26" t="s">
        <v>38</v>
      </c>
    </row>
    <row r="6014" spans="34:39" x14ac:dyDescent="0.35">
      <c r="AH6014" s="21"/>
      <c r="AI6014" s="21"/>
      <c r="AJ6014" s="21"/>
      <c r="AK6014" s="21"/>
      <c r="AM6014" s="26" t="s">
        <v>38</v>
      </c>
    </row>
    <row r="6015" spans="34:39" x14ac:dyDescent="0.35">
      <c r="AH6015" s="21"/>
      <c r="AI6015" s="21"/>
      <c r="AJ6015" s="21"/>
      <c r="AK6015" s="21"/>
      <c r="AM6015" s="26" t="s">
        <v>38</v>
      </c>
    </row>
    <row r="6016" spans="34:39" x14ac:dyDescent="0.35">
      <c r="AH6016" s="21"/>
      <c r="AI6016" s="21"/>
      <c r="AJ6016" s="21"/>
      <c r="AK6016" s="21"/>
      <c r="AM6016" s="26" t="s">
        <v>38</v>
      </c>
    </row>
    <row r="6017" spans="34:39" x14ac:dyDescent="0.35">
      <c r="AH6017" s="21"/>
      <c r="AI6017" s="21"/>
      <c r="AJ6017" s="21"/>
      <c r="AK6017" s="21"/>
      <c r="AM6017" s="26" t="s">
        <v>38</v>
      </c>
    </row>
    <row r="6018" spans="34:39" x14ac:dyDescent="0.35">
      <c r="AH6018" s="21"/>
      <c r="AI6018" s="21"/>
      <c r="AJ6018" s="21"/>
      <c r="AK6018" s="21"/>
      <c r="AM6018" s="26" t="s">
        <v>38</v>
      </c>
    </row>
    <row r="6019" spans="34:39" x14ac:dyDescent="0.35">
      <c r="AH6019" s="21"/>
      <c r="AI6019" s="21"/>
      <c r="AJ6019" s="21"/>
      <c r="AK6019" s="21"/>
      <c r="AM6019" s="26" t="s">
        <v>38</v>
      </c>
    </row>
    <row r="6020" spans="34:39" x14ac:dyDescent="0.35">
      <c r="AH6020" s="21"/>
      <c r="AI6020" s="21"/>
      <c r="AJ6020" s="21"/>
      <c r="AK6020" s="21"/>
      <c r="AM6020" s="26" t="s">
        <v>38</v>
      </c>
    </row>
    <row r="6021" spans="34:39" x14ac:dyDescent="0.35">
      <c r="AH6021" s="21"/>
      <c r="AI6021" s="21"/>
      <c r="AJ6021" s="21"/>
      <c r="AK6021" s="21"/>
      <c r="AM6021" s="26" t="s">
        <v>38</v>
      </c>
    </row>
    <row r="6022" spans="34:39" x14ac:dyDescent="0.35">
      <c r="AH6022" s="21"/>
      <c r="AI6022" s="21"/>
      <c r="AJ6022" s="21"/>
      <c r="AK6022" s="21"/>
      <c r="AM6022" s="26" t="s">
        <v>38</v>
      </c>
    </row>
    <row r="6023" spans="34:39" x14ac:dyDescent="0.35">
      <c r="AH6023" s="21"/>
      <c r="AI6023" s="21"/>
      <c r="AJ6023" s="21"/>
      <c r="AK6023" s="21"/>
      <c r="AM6023" s="26" t="s">
        <v>38</v>
      </c>
    </row>
    <row r="6024" spans="34:39" x14ac:dyDescent="0.35">
      <c r="AH6024" s="21"/>
      <c r="AI6024" s="21"/>
      <c r="AJ6024" s="21"/>
      <c r="AK6024" s="21"/>
      <c r="AM6024" s="26" t="s">
        <v>38</v>
      </c>
    </row>
    <row r="6025" spans="34:39" x14ac:dyDescent="0.35">
      <c r="AH6025" s="21"/>
      <c r="AI6025" s="21"/>
      <c r="AJ6025" s="21"/>
      <c r="AK6025" s="21"/>
      <c r="AM6025" s="26" t="s">
        <v>38</v>
      </c>
    </row>
    <row r="6026" spans="34:39" x14ac:dyDescent="0.35">
      <c r="AH6026" s="21"/>
      <c r="AI6026" s="21"/>
      <c r="AJ6026" s="21"/>
      <c r="AK6026" s="21"/>
      <c r="AM6026" s="26" t="s">
        <v>38</v>
      </c>
    </row>
    <row r="6027" spans="34:39" x14ac:dyDescent="0.35">
      <c r="AH6027" s="21"/>
      <c r="AI6027" s="21"/>
      <c r="AJ6027" s="21"/>
      <c r="AK6027" s="21"/>
      <c r="AM6027" s="26" t="s">
        <v>38</v>
      </c>
    </row>
    <row r="6028" spans="34:39" x14ac:dyDescent="0.35">
      <c r="AH6028" s="21"/>
      <c r="AI6028" s="21"/>
      <c r="AJ6028" s="21"/>
      <c r="AK6028" s="21"/>
      <c r="AM6028" s="26" t="s">
        <v>38</v>
      </c>
    </row>
    <row r="6029" spans="34:39" x14ac:dyDescent="0.35">
      <c r="AH6029" s="21"/>
      <c r="AI6029" s="21"/>
      <c r="AJ6029" s="21"/>
      <c r="AK6029" s="21"/>
      <c r="AM6029" s="26" t="s">
        <v>38</v>
      </c>
    </row>
    <row r="6030" spans="34:39" x14ac:dyDescent="0.35">
      <c r="AH6030" s="21"/>
      <c r="AI6030" s="21"/>
      <c r="AJ6030" s="21"/>
      <c r="AK6030" s="21"/>
      <c r="AM6030" s="26" t="s">
        <v>38</v>
      </c>
    </row>
    <row r="6031" spans="34:39" x14ac:dyDescent="0.35">
      <c r="AH6031" s="21"/>
      <c r="AI6031" s="21"/>
      <c r="AJ6031" s="21"/>
      <c r="AK6031" s="21"/>
      <c r="AM6031" s="26" t="s">
        <v>38</v>
      </c>
    </row>
    <row r="6032" spans="34:39" x14ac:dyDescent="0.35">
      <c r="AH6032" s="21"/>
      <c r="AI6032" s="21"/>
      <c r="AJ6032" s="21"/>
      <c r="AK6032" s="21"/>
      <c r="AM6032" s="26" t="s">
        <v>38</v>
      </c>
    </row>
    <row r="6033" spans="34:39" x14ac:dyDescent="0.35">
      <c r="AH6033" s="21"/>
      <c r="AI6033" s="21"/>
      <c r="AJ6033" s="21"/>
      <c r="AK6033" s="21"/>
      <c r="AM6033" s="26" t="s">
        <v>38</v>
      </c>
    </row>
    <row r="6034" spans="34:39" x14ac:dyDescent="0.35">
      <c r="AH6034" s="21"/>
      <c r="AI6034" s="21"/>
      <c r="AJ6034" s="21"/>
      <c r="AK6034" s="21"/>
      <c r="AM6034" s="26" t="s">
        <v>38</v>
      </c>
    </row>
    <row r="6035" spans="34:39" x14ac:dyDescent="0.35">
      <c r="AH6035" s="21"/>
      <c r="AI6035" s="21"/>
      <c r="AJ6035" s="21"/>
      <c r="AK6035" s="21"/>
      <c r="AM6035" s="26" t="s">
        <v>38</v>
      </c>
    </row>
    <row r="6036" spans="34:39" x14ac:dyDescent="0.35">
      <c r="AH6036" s="21"/>
      <c r="AI6036" s="21"/>
      <c r="AJ6036" s="21"/>
      <c r="AK6036" s="21"/>
      <c r="AM6036" s="26" t="s">
        <v>38</v>
      </c>
    </row>
    <row r="6037" spans="34:39" x14ac:dyDescent="0.35">
      <c r="AH6037" s="21"/>
      <c r="AI6037" s="21"/>
      <c r="AJ6037" s="21"/>
      <c r="AK6037" s="21"/>
      <c r="AM6037" s="26" t="s">
        <v>38</v>
      </c>
    </row>
    <row r="6038" spans="34:39" x14ac:dyDescent="0.35">
      <c r="AH6038" s="21"/>
      <c r="AI6038" s="21"/>
      <c r="AJ6038" s="21"/>
      <c r="AK6038" s="21"/>
      <c r="AM6038" s="26" t="s">
        <v>38</v>
      </c>
    </row>
    <row r="6039" spans="34:39" x14ac:dyDescent="0.35">
      <c r="AH6039" s="21"/>
      <c r="AI6039" s="21"/>
      <c r="AJ6039" s="21"/>
      <c r="AK6039" s="21"/>
      <c r="AM6039" s="26" t="s">
        <v>38</v>
      </c>
    </row>
    <row r="6040" spans="34:39" x14ac:dyDescent="0.35">
      <c r="AH6040" s="21"/>
      <c r="AI6040" s="21"/>
      <c r="AJ6040" s="21"/>
      <c r="AK6040" s="21"/>
      <c r="AM6040" s="26" t="s">
        <v>38</v>
      </c>
    </row>
    <row r="6041" spans="34:39" x14ac:dyDescent="0.35">
      <c r="AH6041" s="21"/>
      <c r="AI6041" s="21"/>
      <c r="AJ6041" s="21"/>
      <c r="AK6041" s="21"/>
      <c r="AM6041" s="26" t="s">
        <v>38</v>
      </c>
    </row>
    <row r="6042" spans="34:39" x14ac:dyDescent="0.35">
      <c r="AH6042" s="21"/>
      <c r="AI6042" s="21"/>
      <c r="AJ6042" s="21"/>
      <c r="AK6042" s="21"/>
      <c r="AM6042" s="26" t="s">
        <v>38</v>
      </c>
    </row>
    <row r="6043" spans="34:39" x14ac:dyDescent="0.35">
      <c r="AH6043" s="21"/>
      <c r="AI6043" s="21"/>
      <c r="AJ6043" s="21"/>
      <c r="AK6043" s="21"/>
      <c r="AM6043" s="26" t="s">
        <v>38</v>
      </c>
    </row>
    <row r="6044" spans="34:39" x14ac:dyDescent="0.35">
      <c r="AH6044" s="21"/>
      <c r="AI6044" s="21"/>
      <c r="AJ6044" s="21"/>
      <c r="AK6044" s="21"/>
      <c r="AM6044" s="26" t="s">
        <v>38</v>
      </c>
    </row>
    <row r="6045" spans="34:39" x14ac:dyDescent="0.35">
      <c r="AH6045" s="21"/>
      <c r="AI6045" s="21"/>
      <c r="AJ6045" s="21"/>
      <c r="AK6045" s="21"/>
      <c r="AM6045" s="26" t="s">
        <v>38</v>
      </c>
    </row>
    <row r="6046" spans="34:39" x14ac:dyDescent="0.35">
      <c r="AH6046" s="21"/>
      <c r="AI6046" s="21"/>
      <c r="AJ6046" s="21"/>
      <c r="AK6046" s="21"/>
      <c r="AM6046" s="26" t="s">
        <v>38</v>
      </c>
    </row>
    <row r="6047" spans="34:39" x14ac:dyDescent="0.35">
      <c r="AH6047" s="21"/>
      <c r="AI6047" s="21"/>
      <c r="AJ6047" s="21"/>
      <c r="AK6047" s="21"/>
      <c r="AM6047" s="26" t="s">
        <v>38</v>
      </c>
    </row>
    <row r="6048" spans="34:39" x14ac:dyDescent="0.35">
      <c r="AH6048" s="21"/>
      <c r="AI6048" s="21"/>
      <c r="AJ6048" s="21"/>
      <c r="AK6048" s="21"/>
      <c r="AM6048" s="26" t="s">
        <v>38</v>
      </c>
    </row>
    <row r="6049" spans="34:39" x14ac:dyDescent="0.35">
      <c r="AH6049" s="21"/>
      <c r="AI6049" s="21"/>
      <c r="AJ6049" s="21"/>
      <c r="AK6049" s="21"/>
      <c r="AM6049" s="26" t="s">
        <v>38</v>
      </c>
    </row>
    <row r="6050" spans="34:39" x14ac:dyDescent="0.35">
      <c r="AH6050" s="21"/>
      <c r="AI6050" s="21"/>
      <c r="AJ6050" s="21"/>
      <c r="AK6050" s="21"/>
      <c r="AM6050" s="26" t="s">
        <v>38</v>
      </c>
    </row>
    <row r="6051" spans="34:39" x14ac:dyDescent="0.35">
      <c r="AH6051" s="21"/>
      <c r="AI6051" s="21"/>
      <c r="AJ6051" s="21"/>
      <c r="AK6051" s="21"/>
      <c r="AM6051" s="26" t="s">
        <v>38</v>
      </c>
    </row>
    <row r="6052" spans="34:39" x14ac:dyDescent="0.35">
      <c r="AH6052" s="21"/>
      <c r="AI6052" s="21"/>
      <c r="AJ6052" s="21"/>
      <c r="AK6052" s="21"/>
      <c r="AM6052" s="26" t="s">
        <v>38</v>
      </c>
    </row>
    <row r="6053" spans="34:39" x14ac:dyDescent="0.35">
      <c r="AH6053" s="21"/>
      <c r="AI6053" s="21"/>
      <c r="AJ6053" s="21"/>
      <c r="AK6053" s="21"/>
      <c r="AM6053" s="26" t="s">
        <v>38</v>
      </c>
    </row>
    <row r="6054" spans="34:39" x14ac:dyDescent="0.35">
      <c r="AH6054" s="21"/>
      <c r="AI6054" s="21"/>
      <c r="AJ6054" s="21"/>
      <c r="AK6054" s="21"/>
      <c r="AM6054" s="26" t="s">
        <v>38</v>
      </c>
    </row>
    <row r="6055" spans="34:39" x14ac:dyDescent="0.35">
      <c r="AH6055" s="21"/>
      <c r="AI6055" s="21"/>
      <c r="AJ6055" s="21"/>
      <c r="AK6055" s="21"/>
      <c r="AM6055" s="26" t="s">
        <v>38</v>
      </c>
    </row>
    <row r="6056" spans="34:39" x14ac:dyDescent="0.35">
      <c r="AH6056" s="21"/>
      <c r="AI6056" s="21"/>
      <c r="AJ6056" s="21"/>
      <c r="AK6056" s="21"/>
      <c r="AM6056" s="26" t="s">
        <v>38</v>
      </c>
    </row>
    <row r="6057" spans="34:39" x14ac:dyDescent="0.35">
      <c r="AH6057" s="21"/>
      <c r="AI6057" s="21"/>
      <c r="AJ6057" s="21"/>
      <c r="AK6057" s="21"/>
      <c r="AM6057" s="26" t="s">
        <v>38</v>
      </c>
    </row>
    <row r="6058" spans="34:39" x14ac:dyDescent="0.35">
      <c r="AH6058" s="21"/>
      <c r="AI6058" s="21"/>
      <c r="AJ6058" s="21"/>
      <c r="AK6058" s="21"/>
      <c r="AM6058" s="26" t="s">
        <v>38</v>
      </c>
    </row>
    <row r="6059" spans="34:39" x14ac:dyDescent="0.35">
      <c r="AH6059" s="21"/>
      <c r="AI6059" s="21"/>
      <c r="AJ6059" s="21"/>
      <c r="AK6059" s="21"/>
      <c r="AM6059" s="26" t="s">
        <v>38</v>
      </c>
    </row>
    <row r="6060" spans="34:39" x14ac:dyDescent="0.35">
      <c r="AH6060" s="21"/>
      <c r="AI6060" s="21"/>
      <c r="AJ6060" s="21"/>
      <c r="AK6060" s="21"/>
      <c r="AM6060" s="26" t="s">
        <v>38</v>
      </c>
    </row>
    <row r="6061" spans="34:39" x14ac:dyDescent="0.35">
      <c r="AH6061" s="21"/>
      <c r="AI6061" s="21"/>
      <c r="AJ6061" s="21"/>
      <c r="AK6061" s="21"/>
      <c r="AM6061" s="26" t="s">
        <v>38</v>
      </c>
    </row>
    <row r="6062" spans="34:39" x14ac:dyDescent="0.35">
      <c r="AH6062" s="21"/>
      <c r="AI6062" s="21"/>
      <c r="AJ6062" s="21"/>
      <c r="AK6062" s="21"/>
      <c r="AM6062" s="26" t="s">
        <v>38</v>
      </c>
    </row>
    <row r="6063" spans="34:39" x14ac:dyDescent="0.35">
      <c r="AH6063" s="21"/>
      <c r="AI6063" s="21"/>
      <c r="AJ6063" s="21"/>
      <c r="AK6063" s="21"/>
      <c r="AM6063" s="26" t="s">
        <v>38</v>
      </c>
    </row>
    <row r="6064" spans="34:39" x14ac:dyDescent="0.35">
      <c r="AH6064" s="21"/>
      <c r="AI6064" s="21"/>
      <c r="AJ6064" s="21"/>
      <c r="AK6064" s="21"/>
      <c r="AM6064" s="26" t="s">
        <v>38</v>
      </c>
    </row>
    <row r="6065" spans="34:39" x14ac:dyDescent="0.35">
      <c r="AH6065" s="21"/>
      <c r="AI6065" s="21"/>
      <c r="AJ6065" s="21"/>
      <c r="AK6065" s="21"/>
      <c r="AM6065" s="26" t="s">
        <v>38</v>
      </c>
    </row>
    <row r="6066" spans="34:39" x14ac:dyDescent="0.35">
      <c r="AH6066" s="21"/>
      <c r="AI6066" s="21"/>
      <c r="AJ6066" s="21"/>
      <c r="AK6066" s="21"/>
      <c r="AM6066" s="26" t="s">
        <v>38</v>
      </c>
    </row>
    <row r="6067" spans="34:39" x14ac:dyDescent="0.35">
      <c r="AH6067" s="21"/>
      <c r="AI6067" s="21"/>
      <c r="AJ6067" s="21"/>
      <c r="AK6067" s="21"/>
      <c r="AM6067" s="26" t="s">
        <v>38</v>
      </c>
    </row>
    <row r="6068" spans="34:39" x14ac:dyDescent="0.35">
      <c r="AH6068" s="21"/>
      <c r="AI6068" s="21"/>
      <c r="AJ6068" s="21"/>
      <c r="AK6068" s="21"/>
      <c r="AM6068" s="26" t="s">
        <v>38</v>
      </c>
    </row>
    <row r="6069" spans="34:39" x14ac:dyDescent="0.35">
      <c r="AH6069" s="21"/>
      <c r="AI6069" s="21"/>
      <c r="AJ6069" s="21"/>
      <c r="AK6069" s="21"/>
      <c r="AM6069" s="26" t="s">
        <v>38</v>
      </c>
    </row>
    <row r="6070" spans="34:39" x14ac:dyDescent="0.35">
      <c r="AH6070" s="21"/>
      <c r="AI6070" s="21"/>
      <c r="AJ6070" s="21"/>
      <c r="AK6070" s="21"/>
      <c r="AM6070" s="26" t="s">
        <v>38</v>
      </c>
    </row>
    <row r="6071" spans="34:39" x14ac:dyDescent="0.35">
      <c r="AH6071" s="21"/>
      <c r="AI6071" s="21"/>
      <c r="AJ6071" s="21"/>
      <c r="AK6071" s="21"/>
      <c r="AM6071" s="26" t="s">
        <v>38</v>
      </c>
    </row>
    <row r="6072" spans="34:39" x14ac:dyDescent="0.35">
      <c r="AH6072" s="21"/>
      <c r="AI6072" s="21"/>
      <c r="AJ6072" s="21"/>
      <c r="AK6072" s="21"/>
      <c r="AM6072" s="26" t="s">
        <v>38</v>
      </c>
    </row>
    <row r="6073" spans="34:39" x14ac:dyDescent="0.35">
      <c r="AH6073" s="21"/>
      <c r="AI6073" s="21"/>
      <c r="AJ6073" s="21"/>
      <c r="AK6073" s="21"/>
      <c r="AM6073" s="26" t="s">
        <v>38</v>
      </c>
    </row>
    <row r="6074" spans="34:39" x14ac:dyDescent="0.35">
      <c r="AH6074" s="21"/>
      <c r="AI6074" s="21"/>
      <c r="AJ6074" s="21"/>
      <c r="AK6074" s="21"/>
      <c r="AM6074" s="26" t="s">
        <v>38</v>
      </c>
    </row>
    <row r="6075" spans="34:39" x14ac:dyDescent="0.35">
      <c r="AH6075" s="21"/>
      <c r="AI6075" s="21"/>
      <c r="AJ6075" s="21"/>
      <c r="AK6075" s="21"/>
      <c r="AM6075" s="26" t="s">
        <v>38</v>
      </c>
    </row>
    <row r="6076" spans="34:39" x14ac:dyDescent="0.35">
      <c r="AH6076" s="21"/>
      <c r="AI6076" s="21"/>
      <c r="AJ6076" s="21"/>
      <c r="AK6076" s="21"/>
      <c r="AM6076" s="26" t="s">
        <v>38</v>
      </c>
    </row>
    <row r="6077" spans="34:39" x14ac:dyDescent="0.35">
      <c r="AH6077" s="21"/>
      <c r="AI6077" s="21"/>
      <c r="AJ6077" s="21"/>
      <c r="AK6077" s="21"/>
      <c r="AM6077" s="26" t="s">
        <v>38</v>
      </c>
    </row>
    <row r="6078" spans="34:39" x14ac:dyDescent="0.35">
      <c r="AH6078" s="21"/>
      <c r="AI6078" s="21"/>
      <c r="AJ6078" s="21"/>
      <c r="AK6078" s="21"/>
      <c r="AM6078" s="26" t="s">
        <v>38</v>
      </c>
    </row>
    <row r="6079" spans="34:39" x14ac:dyDescent="0.35">
      <c r="AH6079" s="21"/>
      <c r="AI6079" s="21"/>
      <c r="AJ6079" s="21"/>
      <c r="AK6079" s="21"/>
      <c r="AM6079" s="26" t="s">
        <v>38</v>
      </c>
    </row>
    <row r="6080" spans="34:39" x14ac:dyDescent="0.35">
      <c r="AH6080" s="21"/>
      <c r="AI6080" s="21"/>
      <c r="AJ6080" s="21"/>
      <c r="AK6080" s="21"/>
      <c r="AM6080" s="26" t="s">
        <v>38</v>
      </c>
    </row>
    <row r="6081" spans="34:39" x14ac:dyDescent="0.35">
      <c r="AH6081" s="21"/>
      <c r="AI6081" s="21"/>
      <c r="AJ6081" s="21"/>
      <c r="AK6081" s="21"/>
      <c r="AM6081" s="26" t="s">
        <v>38</v>
      </c>
    </row>
    <row r="6082" spans="34:39" x14ac:dyDescent="0.35">
      <c r="AH6082" s="21"/>
      <c r="AI6082" s="21"/>
      <c r="AJ6082" s="21"/>
      <c r="AK6082" s="21"/>
      <c r="AM6082" s="26" t="s">
        <v>38</v>
      </c>
    </row>
    <row r="6083" spans="34:39" x14ac:dyDescent="0.35">
      <c r="AH6083" s="21"/>
      <c r="AI6083" s="21"/>
      <c r="AJ6083" s="21"/>
      <c r="AK6083" s="21"/>
      <c r="AM6083" s="26" t="s">
        <v>38</v>
      </c>
    </row>
    <row r="6084" spans="34:39" x14ac:dyDescent="0.35">
      <c r="AH6084" s="21"/>
      <c r="AI6084" s="21"/>
      <c r="AJ6084" s="21"/>
      <c r="AK6084" s="21"/>
      <c r="AM6084" s="26" t="s">
        <v>38</v>
      </c>
    </row>
    <row r="6085" spans="34:39" x14ac:dyDescent="0.35">
      <c r="AH6085" s="21"/>
      <c r="AI6085" s="21"/>
      <c r="AJ6085" s="21"/>
      <c r="AK6085" s="21"/>
      <c r="AM6085" s="26" t="s">
        <v>38</v>
      </c>
    </row>
    <row r="6086" spans="34:39" x14ac:dyDescent="0.35">
      <c r="AH6086" s="21"/>
      <c r="AI6086" s="21"/>
      <c r="AJ6086" s="21"/>
      <c r="AK6086" s="21"/>
      <c r="AM6086" s="26" t="s">
        <v>38</v>
      </c>
    </row>
    <row r="6087" spans="34:39" x14ac:dyDescent="0.35">
      <c r="AH6087" s="21"/>
      <c r="AI6087" s="21"/>
      <c r="AJ6087" s="21"/>
      <c r="AK6087" s="21"/>
      <c r="AM6087" s="26" t="s">
        <v>38</v>
      </c>
    </row>
    <row r="6088" spans="34:39" x14ac:dyDescent="0.35">
      <c r="AH6088" s="21"/>
      <c r="AI6088" s="21"/>
      <c r="AJ6088" s="21"/>
      <c r="AK6088" s="21"/>
      <c r="AM6088" s="26" t="s">
        <v>38</v>
      </c>
    </row>
    <row r="6089" spans="34:39" x14ac:dyDescent="0.35">
      <c r="AH6089" s="21"/>
      <c r="AI6089" s="21"/>
      <c r="AJ6089" s="21"/>
      <c r="AK6089" s="21"/>
      <c r="AM6089" s="26" t="s">
        <v>38</v>
      </c>
    </row>
    <row r="6090" spans="34:39" x14ac:dyDescent="0.35">
      <c r="AH6090" s="21"/>
      <c r="AI6090" s="21"/>
      <c r="AJ6090" s="21"/>
      <c r="AK6090" s="21"/>
      <c r="AM6090" s="26" t="s">
        <v>38</v>
      </c>
    </row>
    <row r="6091" spans="34:39" x14ac:dyDescent="0.35">
      <c r="AH6091" s="21"/>
      <c r="AI6091" s="21"/>
      <c r="AJ6091" s="21"/>
      <c r="AK6091" s="21"/>
      <c r="AM6091" s="26" t="s">
        <v>38</v>
      </c>
    </row>
    <row r="6092" spans="34:39" x14ac:dyDescent="0.35">
      <c r="AH6092" s="21"/>
      <c r="AI6092" s="21"/>
      <c r="AJ6092" s="21"/>
      <c r="AK6092" s="21"/>
      <c r="AM6092" s="26" t="s">
        <v>38</v>
      </c>
    </row>
    <row r="6093" spans="34:39" x14ac:dyDescent="0.35">
      <c r="AH6093" s="21"/>
      <c r="AI6093" s="21"/>
      <c r="AJ6093" s="21"/>
      <c r="AK6093" s="21"/>
      <c r="AM6093" s="26" t="s">
        <v>38</v>
      </c>
    </row>
    <row r="6094" spans="34:39" x14ac:dyDescent="0.35">
      <c r="AH6094" s="21"/>
      <c r="AI6094" s="21"/>
      <c r="AJ6094" s="21"/>
      <c r="AK6094" s="21"/>
      <c r="AM6094" s="26" t="s">
        <v>38</v>
      </c>
    </row>
    <row r="6095" spans="34:39" x14ac:dyDescent="0.35">
      <c r="AH6095" s="21"/>
      <c r="AI6095" s="21"/>
      <c r="AJ6095" s="21"/>
      <c r="AK6095" s="21"/>
      <c r="AM6095" s="26" t="s">
        <v>38</v>
      </c>
    </row>
    <row r="6096" spans="34:39" x14ac:dyDescent="0.35">
      <c r="AH6096" s="21"/>
      <c r="AI6096" s="21"/>
      <c r="AJ6096" s="21"/>
      <c r="AK6096" s="21"/>
      <c r="AM6096" s="26" t="s">
        <v>38</v>
      </c>
    </row>
    <row r="6097" spans="34:39" x14ac:dyDescent="0.35">
      <c r="AH6097" s="21"/>
      <c r="AI6097" s="21"/>
      <c r="AJ6097" s="21"/>
      <c r="AK6097" s="21"/>
      <c r="AM6097" s="26" t="s">
        <v>38</v>
      </c>
    </row>
    <row r="6098" spans="34:39" x14ac:dyDescent="0.35">
      <c r="AH6098" s="21"/>
      <c r="AI6098" s="21"/>
      <c r="AJ6098" s="21"/>
      <c r="AK6098" s="21"/>
      <c r="AM6098" s="26" t="s">
        <v>38</v>
      </c>
    </row>
    <row r="6099" spans="34:39" x14ac:dyDescent="0.35">
      <c r="AH6099" s="21"/>
      <c r="AI6099" s="21"/>
      <c r="AJ6099" s="21"/>
      <c r="AK6099" s="21"/>
      <c r="AM6099" s="26" t="s">
        <v>38</v>
      </c>
    </row>
    <row r="6100" spans="34:39" x14ac:dyDescent="0.35">
      <c r="AH6100" s="21"/>
      <c r="AI6100" s="21"/>
      <c r="AJ6100" s="21"/>
      <c r="AK6100" s="21"/>
      <c r="AM6100" s="26" t="s">
        <v>38</v>
      </c>
    </row>
    <row r="6101" spans="34:39" x14ac:dyDescent="0.35">
      <c r="AH6101" s="21"/>
      <c r="AI6101" s="21"/>
      <c r="AJ6101" s="21"/>
      <c r="AK6101" s="21"/>
      <c r="AM6101" s="26" t="s">
        <v>38</v>
      </c>
    </row>
    <row r="6102" spans="34:39" x14ac:dyDescent="0.35">
      <c r="AH6102" s="21"/>
      <c r="AI6102" s="21"/>
      <c r="AJ6102" s="21"/>
      <c r="AK6102" s="21"/>
      <c r="AM6102" s="26" t="s">
        <v>38</v>
      </c>
    </row>
    <row r="6103" spans="34:39" x14ac:dyDescent="0.35">
      <c r="AH6103" s="21"/>
      <c r="AI6103" s="21"/>
      <c r="AJ6103" s="21"/>
      <c r="AK6103" s="21"/>
      <c r="AM6103" s="26" t="s">
        <v>38</v>
      </c>
    </row>
    <row r="6104" spans="34:39" x14ac:dyDescent="0.35">
      <c r="AH6104" s="21"/>
      <c r="AI6104" s="21"/>
      <c r="AJ6104" s="21"/>
      <c r="AK6104" s="21"/>
      <c r="AM6104" s="26" t="s">
        <v>38</v>
      </c>
    </row>
    <row r="6105" spans="34:39" x14ac:dyDescent="0.35">
      <c r="AH6105" s="21"/>
      <c r="AI6105" s="21"/>
      <c r="AJ6105" s="21"/>
      <c r="AK6105" s="21"/>
      <c r="AM6105" s="26" t="s">
        <v>38</v>
      </c>
    </row>
    <row r="6106" spans="34:39" x14ac:dyDescent="0.35">
      <c r="AH6106" s="21"/>
      <c r="AI6106" s="21"/>
      <c r="AJ6106" s="21"/>
      <c r="AK6106" s="21"/>
      <c r="AM6106" s="26" t="s">
        <v>38</v>
      </c>
    </row>
    <row r="6107" spans="34:39" x14ac:dyDescent="0.35">
      <c r="AH6107" s="21"/>
      <c r="AI6107" s="21"/>
      <c r="AJ6107" s="21"/>
      <c r="AK6107" s="21"/>
      <c r="AM6107" s="26" t="s">
        <v>38</v>
      </c>
    </row>
    <row r="6108" spans="34:39" x14ac:dyDescent="0.35">
      <c r="AH6108" s="21"/>
      <c r="AI6108" s="21"/>
      <c r="AJ6108" s="21"/>
      <c r="AK6108" s="21"/>
      <c r="AM6108" s="26" t="s">
        <v>38</v>
      </c>
    </row>
    <row r="6109" spans="34:39" x14ac:dyDescent="0.35">
      <c r="AH6109" s="21"/>
      <c r="AI6109" s="21"/>
      <c r="AJ6109" s="21"/>
      <c r="AK6109" s="21"/>
      <c r="AM6109" s="26" t="s">
        <v>38</v>
      </c>
    </row>
    <row r="6110" spans="34:39" x14ac:dyDescent="0.35">
      <c r="AH6110" s="21"/>
      <c r="AI6110" s="21"/>
      <c r="AJ6110" s="21"/>
      <c r="AK6110" s="21"/>
      <c r="AM6110" s="26" t="s">
        <v>38</v>
      </c>
    </row>
    <row r="6111" spans="34:39" x14ac:dyDescent="0.35">
      <c r="AH6111" s="21"/>
      <c r="AI6111" s="21"/>
      <c r="AJ6111" s="21"/>
      <c r="AK6111" s="21"/>
      <c r="AM6111" s="26" t="s">
        <v>38</v>
      </c>
    </row>
    <row r="6112" spans="34:39" x14ac:dyDescent="0.35">
      <c r="AH6112" s="21"/>
      <c r="AI6112" s="21"/>
      <c r="AJ6112" s="21"/>
      <c r="AK6112" s="21"/>
      <c r="AM6112" s="26" t="s">
        <v>38</v>
      </c>
    </row>
    <row r="6113" spans="34:39" x14ac:dyDescent="0.35">
      <c r="AH6113" s="21"/>
      <c r="AI6113" s="21"/>
      <c r="AJ6113" s="21"/>
      <c r="AK6113" s="21"/>
      <c r="AM6113" s="26" t="s">
        <v>38</v>
      </c>
    </row>
    <row r="6114" spans="34:39" x14ac:dyDescent="0.35">
      <c r="AH6114" s="21"/>
      <c r="AI6114" s="21"/>
      <c r="AJ6114" s="21"/>
      <c r="AK6114" s="21"/>
      <c r="AM6114" s="26" t="s">
        <v>38</v>
      </c>
    </row>
    <row r="6115" spans="34:39" x14ac:dyDescent="0.35">
      <c r="AH6115" s="21"/>
      <c r="AI6115" s="21"/>
      <c r="AJ6115" s="21"/>
      <c r="AK6115" s="21"/>
      <c r="AM6115" s="26" t="s">
        <v>38</v>
      </c>
    </row>
    <row r="6116" spans="34:39" x14ac:dyDescent="0.35">
      <c r="AH6116" s="21"/>
      <c r="AI6116" s="21"/>
      <c r="AJ6116" s="21"/>
      <c r="AK6116" s="21"/>
      <c r="AM6116" s="26" t="s">
        <v>38</v>
      </c>
    </row>
    <row r="6117" spans="34:39" x14ac:dyDescent="0.35">
      <c r="AH6117" s="21"/>
      <c r="AI6117" s="21"/>
      <c r="AJ6117" s="21"/>
      <c r="AK6117" s="21"/>
      <c r="AM6117" s="26" t="s">
        <v>38</v>
      </c>
    </row>
    <row r="6118" spans="34:39" x14ac:dyDescent="0.35">
      <c r="AH6118" s="21"/>
      <c r="AI6118" s="21"/>
      <c r="AJ6118" s="21"/>
      <c r="AK6118" s="21"/>
      <c r="AM6118" s="26" t="s">
        <v>38</v>
      </c>
    </row>
    <row r="6119" spans="34:39" x14ac:dyDescent="0.35">
      <c r="AH6119" s="21"/>
      <c r="AI6119" s="21"/>
      <c r="AJ6119" s="21"/>
      <c r="AK6119" s="21"/>
      <c r="AM6119" s="26" t="s">
        <v>38</v>
      </c>
    </row>
    <row r="6120" spans="34:39" x14ac:dyDescent="0.35">
      <c r="AH6120" s="21"/>
      <c r="AI6120" s="21"/>
      <c r="AJ6120" s="21"/>
      <c r="AK6120" s="21"/>
      <c r="AM6120" s="26" t="s">
        <v>38</v>
      </c>
    </row>
    <row r="6121" spans="34:39" x14ac:dyDescent="0.35">
      <c r="AH6121" s="21"/>
      <c r="AI6121" s="21"/>
      <c r="AJ6121" s="21"/>
      <c r="AK6121" s="21"/>
      <c r="AM6121" s="26" t="s">
        <v>38</v>
      </c>
    </row>
    <row r="6122" spans="34:39" x14ac:dyDescent="0.35">
      <c r="AH6122" s="21"/>
      <c r="AI6122" s="21"/>
      <c r="AJ6122" s="21"/>
      <c r="AK6122" s="21"/>
      <c r="AM6122" s="26" t="s">
        <v>38</v>
      </c>
    </row>
    <row r="6123" spans="34:39" x14ac:dyDescent="0.35">
      <c r="AH6123" s="21"/>
      <c r="AI6123" s="21"/>
      <c r="AJ6123" s="21"/>
      <c r="AK6123" s="21"/>
      <c r="AM6123" s="26" t="s">
        <v>38</v>
      </c>
    </row>
    <row r="6124" spans="34:39" x14ac:dyDescent="0.35">
      <c r="AH6124" s="21"/>
      <c r="AI6124" s="21"/>
      <c r="AJ6124" s="21"/>
      <c r="AK6124" s="21"/>
      <c r="AM6124" s="26" t="s">
        <v>38</v>
      </c>
    </row>
    <row r="6125" spans="34:39" x14ac:dyDescent="0.35">
      <c r="AH6125" s="21"/>
      <c r="AI6125" s="21"/>
      <c r="AJ6125" s="21"/>
      <c r="AK6125" s="21"/>
      <c r="AM6125" s="26" t="s">
        <v>38</v>
      </c>
    </row>
    <row r="6126" spans="34:39" x14ac:dyDescent="0.35">
      <c r="AH6126" s="21"/>
      <c r="AI6126" s="21"/>
      <c r="AJ6126" s="21"/>
      <c r="AK6126" s="21"/>
      <c r="AM6126" s="26" t="s">
        <v>38</v>
      </c>
    </row>
    <row r="6127" spans="34:39" x14ac:dyDescent="0.35">
      <c r="AH6127" s="21"/>
      <c r="AI6127" s="21"/>
      <c r="AJ6127" s="21"/>
      <c r="AK6127" s="21"/>
      <c r="AM6127" s="26" t="s">
        <v>38</v>
      </c>
    </row>
    <row r="6128" spans="34:39" x14ac:dyDescent="0.35">
      <c r="AH6128" s="21"/>
      <c r="AI6128" s="21"/>
      <c r="AJ6128" s="21"/>
      <c r="AK6128" s="21"/>
      <c r="AM6128" s="26" t="s">
        <v>38</v>
      </c>
    </row>
    <row r="6129" spans="34:39" x14ac:dyDescent="0.35">
      <c r="AH6129" s="21"/>
      <c r="AI6129" s="21"/>
      <c r="AJ6129" s="21"/>
      <c r="AK6129" s="21"/>
      <c r="AM6129" s="26" t="s">
        <v>38</v>
      </c>
    </row>
    <row r="6130" spans="34:39" x14ac:dyDescent="0.35">
      <c r="AH6130" s="21"/>
      <c r="AI6130" s="21"/>
      <c r="AJ6130" s="21"/>
      <c r="AK6130" s="21"/>
      <c r="AM6130" s="26" t="s">
        <v>38</v>
      </c>
    </row>
    <row r="6131" spans="34:39" x14ac:dyDescent="0.35">
      <c r="AH6131" s="21"/>
      <c r="AI6131" s="21"/>
      <c r="AJ6131" s="21"/>
      <c r="AK6131" s="21"/>
      <c r="AM6131" s="26" t="s">
        <v>38</v>
      </c>
    </row>
    <row r="6132" spans="34:39" x14ac:dyDescent="0.35">
      <c r="AH6132" s="21"/>
      <c r="AI6132" s="21"/>
      <c r="AJ6132" s="21"/>
      <c r="AK6132" s="21"/>
      <c r="AM6132" s="26" t="s">
        <v>38</v>
      </c>
    </row>
    <row r="6133" spans="34:39" x14ac:dyDescent="0.35">
      <c r="AH6133" s="21"/>
      <c r="AI6133" s="21"/>
      <c r="AJ6133" s="21"/>
      <c r="AK6133" s="21"/>
      <c r="AM6133" s="26" t="s">
        <v>38</v>
      </c>
    </row>
    <row r="6134" spans="34:39" x14ac:dyDescent="0.35">
      <c r="AH6134" s="21"/>
      <c r="AI6134" s="21"/>
      <c r="AJ6134" s="21"/>
      <c r="AK6134" s="21"/>
      <c r="AM6134" s="26" t="s">
        <v>38</v>
      </c>
    </row>
    <row r="6135" spans="34:39" x14ac:dyDescent="0.35">
      <c r="AH6135" s="21"/>
      <c r="AI6135" s="21"/>
      <c r="AJ6135" s="21"/>
      <c r="AK6135" s="21"/>
      <c r="AM6135" s="26" t="s">
        <v>38</v>
      </c>
    </row>
    <row r="6136" spans="34:39" x14ac:dyDescent="0.35">
      <c r="AH6136" s="21"/>
      <c r="AI6136" s="21"/>
      <c r="AJ6136" s="21"/>
      <c r="AK6136" s="21"/>
      <c r="AM6136" s="26" t="s">
        <v>38</v>
      </c>
    </row>
    <row r="6137" spans="34:39" x14ac:dyDescent="0.35">
      <c r="AH6137" s="21"/>
      <c r="AI6137" s="21"/>
      <c r="AJ6137" s="21"/>
      <c r="AK6137" s="21"/>
      <c r="AM6137" s="26" t="s">
        <v>38</v>
      </c>
    </row>
    <row r="6138" spans="34:39" x14ac:dyDescent="0.35">
      <c r="AH6138" s="21"/>
      <c r="AI6138" s="21"/>
      <c r="AJ6138" s="21"/>
      <c r="AK6138" s="21"/>
      <c r="AM6138" s="26" t="s">
        <v>38</v>
      </c>
    </row>
    <row r="6139" spans="34:39" x14ac:dyDescent="0.35">
      <c r="AH6139" s="21"/>
      <c r="AI6139" s="21"/>
      <c r="AJ6139" s="21"/>
      <c r="AK6139" s="21"/>
      <c r="AM6139" s="26" t="s">
        <v>38</v>
      </c>
    </row>
    <row r="6140" spans="34:39" x14ac:dyDescent="0.35">
      <c r="AH6140" s="21"/>
      <c r="AI6140" s="21"/>
      <c r="AJ6140" s="21"/>
      <c r="AK6140" s="21"/>
      <c r="AM6140" s="26" t="s">
        <v>38</v>
      </c>
    </row>
    <row r="6141" spans="34:39" x14ac:dyDescent="0.35">
      <c r="AH6141" s="21"/>
      <c r="AI6141" s="21"/>
      <c r="AJ6141" s="21"/>
      <c r="AK6141" s="21"/>
      <c r="AM6141" s="26" t="s">
        <v>38</v>
      </c>
    </row>
    <row r="6142" spans="34:39" x14ac:dyDescent="0.35">
      <c r="AH6142" s="21"/>
      <c r="AI6142" s="21"/>
      <c r="AJ6142" s="21"/>
      <c r="AK6142" s="21"/>
      <c r="AM6142" s="26" t="s">
        <v>38</v>
      </c>
    </row>
    <row r="6143" spans="34:39" x14ac:dyDescent="0.35">
      <c r="AH6143" s="21"/>
      <c r="AI6143" s="21"/>
      <c r="AJ6143" s="21"/>
      <c r="AK6143" s="21"/>
      <c r="AM6143" s="26" t="s">
        <v>38</v>
      </c>
    </row>
    <row r="6144" spans="34:39" x14ac:dyDescent="0.35">
      <c r="AH6144" s="21"/>
      <c r="AI6144" s="21"/>
      <c r="AJ6144" s="21"/>
      <c r="AK6144" s="21"/>
      <c r="AM6144" s="26" t="s">
        <v>38</v>
      </c>
    </row>
    <row r="6145" spans="34:39" x14ac:dyDescent="0.35">
      <c r="AH6145" s="21"/>
      <c r="AI6145" s="21"/>
      <c r="AJ6145" s="21"/>
      <c r="AK6145" s="21"/>
      <c r="AM6145" s="26" t="s">
        <v>38</v>
      </c>
    </row>
    <row r="6146" spans="34:39" x14ac:dyDescent="0.35">
      <c r="AH6146" s="21"/>
      <c r="AI6146" s="21"/>
      <c r="AJ6146" s="21"/>
      <c r="AK6146" s="21"/>
      <c r="AM6146" s="26" t="s">
        <v>38</v>
      </c>
    </row>
    <row r="6147" spans="34:39" x14ac:dyDescent="0.35">
      <c r="AH6147" s="21"/>
      <c r="AI6147" s="21"/>
      <c r="AJ6147" s="21"/>
      <c r="AK6147" s="21"/>
      <c r="AM6147" s="26" t="s">
        <v>38</v>
      </c>
    </row>
    <row r="6148" spans="34:39" x14ac:dyDescent="0.35">
      <c r="AH6148" s="21"/>
      <c r="AI6148" s="21"/>
      <c r="AJ6148" s="21"/>
      <c r="AK6148" s="21"/>
      <c r="AM6148" s="26" t="s">
        <v>38</v>
      </c>
    </row>
    <row r="6149" spans="34:39" x14ac:dyDescent="0.35">
      <c r="AH6149" s="21"/>
      <c r="AI6149" s="21"/>
      <c r="AJ6149" s="21"/>
      <c r="AK6149" s="21"/>
      <c r="AM6149" s="26" t="s">
        <v>38</v>
      </c>
    </row>
    <row r="6150" spans="34:39" x14ac:dyDescent="0.35">
      <c r="AH6150" s="21"/>
      <c r="AI6150" s="21"/>
      <c r="AJ6150" s="21"/>
      <c r="AK6150" s="21"/>
      <c r="AM6150" s="26" t="s">
        <v>38</v>
      </c>
    </row>
    <row r="6151" spans="34:39" x14ac:dyDescent="0.35">
      <c r="AH6151" s="21"/>
      <c r="AI6151" s="21"/>
      <c r="AJ6151" s="21"/>
      <c r="AK6151" s="21"/>
      <c r="AM6151" s="26" t="s">
        <v>38</v>
      </c>
    </row>
    <row r="6152" spans="34:39" x14ac:dyDescent="0.35">
      <c r="AH6152" s="21"/>
      <c r="AI6152" s="21"/>
      <c r="AJ6152" s="21"/>
      <c r="AK6152" s="21"/>
      <c r="AM6152" s="26" t="s">
        <v>38</v>
      </c>
    </row>
    <row r="6153" spans="34:39" x14ac:dyDescent="0.35">
      <c r="AH6153" s="21"/>
      <c r="AI6153" s="21"/>
      <c r="AJ6153" s="21"/>
      <c r="AK6153" s="21"/>
      <c r="AM6153" s="26" t="s">
        <v>38</v>
      </c>
    </row>
    <row r="6154" spans="34:39" x14ac:dyDescent="0.35">
      <c r="AH6154" s="21"/>
      <c r="AI6154" s="21"/>
      <c r="AJ6154" s="21"/>
      <c r="AK6154" s="21"/>
      <c r="AM6154" s="26" t="s">
        <v>38</v>
      </c>
    </row>
    <row r="6155" spans="34:39" x14ac:dyDescent="0.35">
      <c r="AH6155" s="21"/>
      <c r="AI6155" s="21"/>
      <c r="AJ6155" s="21"/>
      <c r="AK6155" s="21"/>
      <c r="AM6155" s="26" t="s">
        <v>38</v>
      </c>
    </row>
    <row r="6156" spans="34:39" x14ac:dyDescent="0.35">
      <c r="AH6156" s="21"/>
      <c r="AI6156" s="21"/>
      <c r="AJ6156" s="21"/>
      <c r="AK6156" s="21"/>
      <c r="AM6156" s="26" t="s">
        <v>38</v>
      </c>
    </row>
    <row r="6157" spans="34:39" x14ac:dyDescent="0.35">
      <c r="AH6157" s="21"/>
      <c r="AI6157" s="21"/>
      <c r="AJ6157" s="21"/>
      <c r="AK6157" s="21"/>
      <c r="AM6157" s="26" t="s">
        <v>38</v>
      </c>
    </row>
    <row r="6158" spans="34:39" x14ac:dyDescent="0.35">
      <c r="AH6158" s="21"/>
      <c r="AI6158" s="21"/>
      <c r="AJ6158" s="21"/>
      <c r="AK6158" s="21"/>
      <c r="AM6158" s="26" t="s">
        <v>38</v>
      </c>
    </row>
    <row r="6159" spans="34:39" x14ac:dyDescent="0.35">
      <c r="AH6159" s="21"/>
      <c r="AI6159" s="21"/>
      <c r="AJ6159" s="21"/>
      <c r="AK6159" s="21"/>
      <c r="AM6159" s="26" t="s">
        <v>38</v>
      </c>
    </row>
    <row r="6160" spans="34:39" x14ac:dyDescent="0.35">
      <c r="AH6160" s="21"/>
      <c r="AI6160" s="21"/>
      <c r="AJ6160" s="21"/>
      <c r="AK6160" s="21"/>
      <c r="AM6160" s="26" t="s">
        <v>38</v>
      </c>
    </row>
    <row r="6161" spans="34:39" x14ac:dyDescent="0.35">
      <c r="AH6161" s="21"/>
      <c r="AI6161" s="21"/>
      <c r="AJ6161" s="21"/>
      <c r="AK6161" s="21"/>
      <c r="AM6161" s="26" t="s">
        <v>38</v>
      </c>
    </row>
    <row r="6162" spans="34:39" x14ac:dyDescent="0.35">
      <c r="AH6162" s="21"/>
      <c r="AI6162" s="21"/>
      <c r="AJ6162" s="21"/>
      <c r="AK6162" s="21"/>
      <c r="AM6162" s="26" t="s">
        <v>38</v>
      </c>
    </row>
    <row r="6163" spans="34:39" x14ac:dyDescent="0.35">
      <c r="AH6163" s="21"/>
      <c r="AI6163" s="21"/>
      <c r="AJ6163" s="21"/>
      <c r="AK6163" s="21"/>
      <c r="AM6163" s="26" t="s">
        <v>38</v>
      </c>
    </row>
    <row r="6164" spans="34:39" x14ac:dyDescent="0.35">
      <c r="AH6164" s="21"/>
      <c r="AI6164" s="21"/>
      <c r="AJ6164" s="21"/>
      <c r="AK6164" s="21"/>
      <c r="AM6164" s="26" t="s">
        <v>38</v>
      </c>
    </row>
    <row r="6165" spans="34:39" x14ac:dyDescent="0.35">
      <c r="AH6165" s="21"/>
      <c r="AI6165" s="21"/>
      <c r="AJ6165" s="21"/>
      <c r="AK6165" s="21"/>
      <c r="AM6165" s="26" t="s">
        <v>38</v>
      </c>
    </row>
    <row r="6166" spans="34:39" x14ac:dyDescent="0.35">
      <c r="AH6166" s="21"/>
      <c r="AI6166" s="21"/>
      <c r="AJ6166" s="21"/>
      <c r="AK6166" s="21"/>
      <c r="AM6166" s="26" t="s">
        <v>38</v>
      </c>
    </row>
    <row r="6167" spans="34:39" x14ac:dyDescent="0.35">
      <c r="AH6167" s="21"/>
      <c r="AI6167" s="21"/>
      <c r="AJ6167" s="21"/>
      <c r="AK6167" s="21"/>
      <c r="AM6167" s="26" t="s">
        <v>38</v>
      </c>
    </row>
    <row r="6168" spans="34:39" x14ac:dyDescent="0.35">
      <c r="AH6168" s="21"/>
      <c r="AI6168" s="21"/>
      <c r="AJ6168" s="21"/>
      <c r="AK6168" s="21"/>
      <c r="AM6168" s="26" t="s">
        <v>38</v>
      </c>
    </row>
    <row r="6169" spans="34:39" x14ac:dyDescent="0.35">
      <c r="AH6169" s="21"/>
      <c r="AI6169" s="21"/>
      <c r="AJ6169" s="21"/>
      <c r="AK6169" s="21"/>
      <c r="AM6169" s="26" t="s">
        <v>38</v>
      </c>
    </row>
    <row r="6170" spans="34:39" x14ac:dyDescent="0.35">
      <c r="AH6170" s="21"/>
      <c r="AI6170" s="21"/>
      <c r="AJ6170" s="21"/>
      <c r="AK6170" s="21"/>
      <c r="AM6170" s="26" t="s">
        <v>38</v>
      </c>
    </row>
    <row r="6171" spans="34:39" x14ac:dyDescent="0.35">
      <c r="AH6171" s="21"/>
      <c r="AI6171" s="21"/>
      <c r="AJ6171" s="21"/>
      <c r="AK6171" s="21"/>
      <c r="AM6171" s="26" t="s">
        <v>38</v>
      </c>
    </row>
    <row r="6172" spans="34:39" x14ac:dyDescent="0.35">
      <c r="AH6172" s="21"/>
      <c r="AI6172" s="21"/>
      <c r="AJ6172" s="21"/>
      <c r="AK6172" s="21"/>
      <c r="AM6172" s="26" t="s">
        <v>38</v>
      </c>
    </row>
    <row r="6173" spans="34:39" x14ac:dyDescent="0.35">
      <c r="AH6173" s="21"/>
      <c r="AI6173" s="21"/>
      <c r="AJ6173" s="21"/>
      <c r="AK6173" s="21"/>
      <c r="AM6173" s="26" t="s">
        <v>38</v>
      </c>
    </row>
    <row r="6174" spans="34:39" x14ac:dyDescent="0.35">
      <c r="AH6174" s="21"/>
      <c r="AI6174" s="21"/>
      <c r="AJ6174" s="21"/>
      <c r="AK6174" s="21"/>
      <c r="AM6174" s="26" t="s">
        <v>38</v>
      </c>
    </row>
    <row r="6175" spans="34:39" x14ac:dyDescent="0.35">
      <c r="AH6175" s="21"/>
      <c r="AI6175" s="21"/>
      <c r="AJ6175" s="21"/>
      <c r="AK6175" s="21"/>
      <c r="AM6175" s="26" t="s">
        <v>38</v>
      </c>
    </row>
    <row r="6176" spans="34:39" x14ac:dyDescent="0.35">
      <c r="AH6176" s="21"/>
      <c r="AI6176" s="21"/>
      <c r="AJ6176" s="21"/>
      <c r="AK6176" s="21"/>
      <c r="AM6176" s="26" t="s">
        <v>38</v>
      </c>
    </row>
    <row r="6177" spans="34:39" x14ac:dyDescent="0.35">
      <c r="AH6177" s="21"/>
      <c r="AI6177" s="21"/>
      <c r="AJ6177" s="21"/>
      <c r="AK6177" s="21"/>
      <c r="AM6177" s="26" t="s">
        <v>38</v>
      </c>
    </row>
    <row r="6178" spans="34:39" x14ac:dyDescent="0.35">
      <c r="AH6178" s="21"/>
      <c r="AI6178" s="21"/>
      <c r="AJ6178" s="21"/>
      <c r="AK6178" s="21"/>
      <c r="AM6178" s="26" t="s">
        <v>38</v>
      </c>
    </row>
    <row r="6179" spans="34:39" x14ac:dyDescent="0.35">
      <c r="AH6179" s="21"/>
      <c r="AI6179" s="21"/>
      <c r="AJ6179" s="21"/>
      <c r="AK6179" s="21"/>
      <c r="AM6179" s="26" t="s">
        <v>38</v>
      </c>
    </row>
    <row r="6180" spans="34:39" x14ac:dyDescent="0.35">
      <c r="AH6180" s="21"/>
      <c r="AI6180" s="21"/>
      <c r="AJ6180" s="21"/>
      <c r="AK6180" s="21"/>
      <c r="AM6180" s="26" t="s">
        <v>38</v>
      </c>
    </row>
    <row r="6181" spans="34:39" x14ac:dyDescent="0.35">
      <c r="AH6181" s="21"/>
      <c r="AI6181" s="21"/>
      <c r="AJ6181" s="21"/>
      <c r="AK6181" s="21"/>
      <c r="AM6181" s="26" t="s">
        <v>38</v>
      </c>
    </row>
    <row r="6182" spans="34:39" x14ac:dyDescent="0.35">
      <c r="AH6182" s="21"/>
      <c r="AI6182" s="21"/>
      <c r="AJ6182" s="21"/>
      <c r="AK6182" s="21"/>
      <c r="AM6182" s="26" t="s">
        <v>38</v>
      </c>
    </row>
    <row r="6183" spans="34:39" x14ac:dyDescent="0.35">
      <c r="AH6183" s="21"/>
      <c r="AI6183" s="21"/>
      <c r="AJ6183" s="21"/>
      <c r="AK6183" s="21"/>
      <c r="AM6183" s="26" t="s">
        <v>38</v>
      </c>
    </row>
    <row r="6184" spans="34:39" x14ac:dyDescent="0.35">
      <c r="AH6184" s="21"/>
      <c r="AI6184" s="21"/>
      <c r="AJ6184" s="21"/>
      <c r="AK6184" s="21"/>
      <c r="AM6184" s="26" t="s">
        <v>38</v>
      </c>
    </row>
    <row r="6185" spans="34:39" x14ac:dyDescent="0.35">
      <c r="AH6185" s="21"/>
      <c r="AI6185" s="21"/>
      <c r="AJ6185" s="21"/>
      <c r="AK6185" s="21"/>
      <c r="AM6185" s="26" t="s">
        <v>38</v>
      </c>
    </row>
    <row r="6186" spans="34:39" x14ac:dyDescent="0.35">
      <c r="AH6186" s="21"/>
      <c r="AI6186" s="21"/>
      <c r="AJ6186" s="21"/>
      <c r="AK6186" s="21"/>
      <c r="AM6186" s="26" t="s">
        <v>38</v>
      </c>
    </row>
    <row r="6187" spans="34:39" x14ac:dyDescent="0.35">
      <c r="AH6187" s="21"/>
      <c r="AI6187" s="21"/>
      <c r="AJ6187" s="21"/>
      <c r="AK6187" s="21"/>
      <c r="AM6187" s="26" t="s">
        <v>38</v>
      </c>
    </row>
    <row r="6188" spans="34:39" x14ac:dyDescent="0.35">
      <c r="AH6188" s="21"/>
      <c r="AI6188" s="21"/>
      <c r="AJ6188" s="21"/>
      <c r="AK6188" s="21"/>
      <c r="AM6188" s="26" t="s">
        <v>38</v>
      </c>
    </row>
    <row r="6189" spans="34:39" x14ac:dyDescent="0.35">
      <c r="AH6189" s="21"/>
      <c r="AI6189" s="21"/>
      <c r="AJ6189" s="21"/>
      <c r="AK6189" s="21"/>
      <c r="AM6189" s="26" t="s">
        <v>38</v>
      </c>
    </row>
    <row r="6190" spans="34:39" x14ac:dyDescent="0.35">
      <c r="AH6190" s="21"/>
      <c r="AI6190" s="21"/>
      <c r="AJ6190" s="21"/>
      <c r="AK6190" s="21"/>
      <c r="AM6190" s="26" t="s">
        <v>38</v>
      </c>
    </row>
    <row r="6191" spans="34:39" x14ac:dyDescent="0.35">
      <c r="AH6191" s="21"/>
      <c r="AI6191" s="21"/>
      <c r="AJ6191" s="21"/>
      <c r="AK6191" s="21"/>
      <c r="AM6191" s="26" t="s">
        <v>38</v>
      </c>
    </row>
    <row r="6192" spans="34:39" x14ac:dyDescent="0.35">
      <c r="AH6192" s="21"/>
      <c r="AI6192" s="21"/>
      <c r="AJ6192" s="21"/>
      <c r="AK6192" s="21"/>
      <c r="AM6192" s="26" t="s">
        <v>38</v>
      </c>
    </row>
    <row r="6193" spans="34:39" x14ac:dyDescent="0.35">
      <c r="AH6193" s="21"/>
      <c r="AI6193" s="21"/>
      <c r="AJ6193" s="21"/>
      <c r="AK6193" s="21"/>
      <c r="AM6193" s="26" t="s">
        <v>38</v>
      </c>
    </row>
    <row r="6194" spans="34:39" x14ac:dyDescent="0.35">
      <c r="AH6194" s="21"/>
      <c r="AI6194" s="21"/>
      <c r="AJ6194" s="21"/>
      <c r="AK6194" s="21"/>
      <c r="AM6194" s="26" t="s">
        <v>38</v>
      </c>
    </row>
    <row r="6195" spans="34:39" x14ac:dyDescent="0.35">
      <c r="AH6195" s="21"/>
      <c r="AI6195" s="21"/>
      <c r="AJ6195" s="21"/>
      <c r="AK6195" s="21"/>
      <c r="AM6195" s="26" t="s">
        <v>38</v>
      </c>
    </row>
    <row r="6196" spans="34:39" x14ac:dyDescent="0.35">
      <c r="AH6196" s="21"/>
      <c r="AI6196" s="21"/>
      <c r="AJ6196" s="21"/>
      <c r="AK6196" s="21"/>
      <c r="AM6196" s="26" t="s">
        <v>38</v>
      </c>
    </row>
    <row r="6197" spans="34:39" x14ac:dyDescent="0.35">
      <c r="AH6197" s="21"/>
      <c r="AI6197" s="21"/>
      <c r="AJ6197" s="21"/>
      <c r="AK6197" s="21"/>
      <c r="AM6197" s="26" t="s">
        <v>38</v>
      </c>
    </row>
    <row r="6198" spans="34:39" x14ac:dyDescent="0.35">
      <c r="AH6198" s="21"/>
      <c r="AI6198" s="21"/>
      <c r="AJ6198" s="21"/>
      <c r="AK6198" s="21"/>
      <c r="AM6198" s="26" t="s">
        <v>38</v>
      </c>
    </row>
    <row r="6199" spans="34:39" x14ac:dyDescent="0.35">
      <c r="AH6199" s="21"/>
      <c r="AI6199" s="21"/>
      <c r="AJ6199" s="21"/>
      <c r="AK6199" s="21"/>
      <c r="AM6199" s="26" t="s">
        <v>38</v>
      </c>
    </row>
    <row r="6200" spans="34:39" x14ac:dyDescent="0.35">
      <c r="AH6200" s="21"/>
      <c r="AI6200" s="21"/>
      <c r="AJ6200" s="21"/>
      <c r="AK6200" s="21"/>
      <c r="AM6200" s="26" t="s">
        <v>38</v>
      </c>
    </row>
    <row r="6201" spans="34:39" x14ac:dyDescent="0.35">
      <c r="AH6201" s="21"/>
      <c r="AI6201" s="21"/>
      <c r="AJ6201" s="21"/>
      <c r="AK6201" s="21"/>
      <c r="AM6201" s="26" t="s">
        <v>38</v>
      </c>
    </row>
    <row r="6202" spans="34:39" x14ac:dyDescent="0.35">
      <c r="AH6202" s="21"/>
      <c r="AI6202" s="21"/>
      <c r="AJ6202" s="21"/>
      <c r="AK6202" s="21"/>
      <c r="AM6202" s="26" t="s">
        <v>38</v>
      </c>
    </row>
    <row r="6203" spans="34:39" x14ac:dyDescent="0.35">
      <c r="AH6203" s="21"/>
      <c r="AI6203" s="21"/>
      <c r="AJ6203" s="21"/>
      <c r="AK6203" s="21"/>
      <c r="AM6203" s="26" t="s">
        <v>38</v>
      </c>
    </row>
    <row r="6204" spans="34:39" x14ac:dyDescent="0.35">
      <c r="AH6204" s="21"/>
      <c r="AI6204" s="21"/>
      <c r="AJ6204" s="21"/>
      <c r="AK6204" s="21"/>
      <c r="AM6204" s="26" t="s">
        <v>38</v>
      </c>
    </row>
    <row r="6205" spans="34:39" x14ac:dyDescent="0.35">
      <c r="AH6205" s="21"/>
      <c r="AI6205" s="21"/>
      <c r="AJ6205" s="21"/>
      <c r="AK6205" s="21"/>
      <c r="AM6205" s="26" t="s">
        <v>38</v>
      </c>
    </row>
    <row r="6206" spans="34:39" x14ac:dyDescent="0.35">
      <c r="AH6206" s="21"/>
      <c r="AI6206" s="21"/>
      <c r="AJ6206" s="21"/>
      <c r="AK6206" s="21"/>
      <c r="AM6206" s="26" t="s">
        <v>38</v>
      </c>
    </row>
    <row r="6207" spans="34:39" x14ac:dyDescent="0.35">
      <c r="AH6207" s="21"/>
      <c r="AI6207" s="21"/>
      <c r="AJ6207" s="21"/>
      <c r="AK6207" s="21"/>
      <c r="AM6207" s="26" t="s">
        <v>38</v>
      </c>
    </row>
    <row r="6208" spans="34:39" x14ac:dyDescent="0.35">
      <c r="AH6208" s="21"/>
      <c r="AI6208" s="21"/>
      <c r="AJ6208" s="21"/>
      <c r="AK6208" s="21"/>
      <c r="AM6208" s="26" t="s">
        <v>38</v>
      </c>
    </row>
    <row r="6209" spans="34:39" x14ac:dyDescent="0.35">
      <c r="AH6209" s="21"/>
      <c r="AI6209" s="21"/>
      <c r="AJ6209" s="21"/>
      <c r="AK6209" s="21"/>
      <c r="AM6209" s="26" t="s">
        <v>38</v>
      </c>
    </row>
    <row r="6210" spans="34:39" x14ac:dyDescent="0.35">
      <c r="AH6210" s="21"/>
      <c r="AI6210" s="21"/>
      <c r="AJ6210" s="21"/>
      <c r="AK6210" s="21"/>
      <c r="AM6210" s="26" t="s">
        <v>38</v>
      </c>
    </row>
    <row r="6211" spans="34:39" x14ac:dyDescent="0.35">
      <c r="AH6211" s="21"/>
      <c r="AI6211" s="21"/>
      <c r="AJ6211" s="21"/>
      <c r="AK6211" s="21"/>
      <c r="AM6211" s="26" t="s">
        <v>38</v>
      </c>
    </row>
    <row r="6212" spans="34:39" x14ac:dyDescent="0.35">
      <c r="AH6212" s="21"/>
      <c r="AI6212" s="21"/>
      <c r="AJ6212" s="21"/>
      <c r="AK6212" s="21"/>
      <c r="AM6212" s="26" t="s">
        <v>38</v>
      </c>
    </row>
    <row r="6213" spans="34:39" x14ac:dyDescent="0.35">
      <c r="AH6213" s="21"/>
      <c r="AI6213" s="21"/>
      <c r="AJ6213" s="21"/>
      <c r="AK6213" s="21"/>
      <c r="AM6213" s="26" t="s">
        <v>38</v>
      </c>
    </row>
    <row r="6214" spans="34:39" x14ac:dyDescent="0.35">
      <c r="AH6214" s="21"/>
      <c r="AI6214" s="21"/>
      <c r="AJ6214" s="21"/>
      <c r="AK6214" s="21"/>
      <c r="AM6214" s="26" t="s">
        <v>38</v>
      </c>
    </row>
    <row r="6215" spans="34:39" x14ac:dyDescent="0.35">
      <c r="AH6215" s="21"/>
      <c r="AI6215" s="21"/>
      <c r="AJ6215" s="21"/>
      <c r="AK6215" s="21"/>
      <c r="AM6215" s="26" t="s">
        <v>38</v>
      </c>
    </row>
    <row r="6216" spans="34:39" x14ac:dyDescent="0.35">
      <c r="AH6216" s="21"/>
      <c r="AI6216" s="21"/>
      <c r="AJ6216" s="21"/>
      <c r="AK6216" s="21"/>
      <c r="AM6216" s="26" t="s">
        <v>38</v>
      </c>
    </row>
    <row r="6217" spans="34:39" x14ac:dyDescent="0.35">
      <c r="AH6217" s="21"/>
      <c r="AI6217" s="21"/>
      <c r="AJ6217" s="21"/>
      <c r="AK6217" s="21"/>
      <c r="AM6217" s="26" t="s">
        <v>38</v>
      </c>
    </row>
    <row r="6218" spans="34:39" x14ac:dyDescent="0.35">
      <c r="AH6218" s="21"/>
      <c r="AI6218" s="21"/>
      <c r="AJ6218" s="21"/>
      <c r="AK6218" s="21"/>
      <c r="AM6218" s="26" t="s">
        <v>38</v>
      </c>
    </row>
    <row r="6219" spans="34:39" x14ac:dyDescent="0.35">
      <c r="AH6219" s="21"/>
      <c r="AI6219" s="21"/>
      <c r="AJ6219" s="21"/>
      <c r="AK6219" s="21"/>
      <c r="AM6219" s="26" t="s">
        <v>38</v>
      </c>
    </row>
    <row r="6220" spans="34:39" x14ac:dyDescent="0.35">
      <c r="AH6220" s="21"/>
      <c r="AI6220" s="21"/>
      <c r="AJ6220" s="21"/>
      <c r="AK6220" s="21"/>
      <c r="AM6220" s="26" t="s">
        <v>38</v>
      </c>
    </row>
    <row r="6221" spans="34:39" x14ac:dyDescent="0.35">
      <c r="AH6221" s="21"/>
      <c r="AI6221" s="21"/>
      <c r="AJ6221" s="21"/>
      <c r="AK6221" s="21"/>
      <c r="AM6221" s="26" t="s">
        <v>38</v>
      </c>
    </row>
    <row r="6222" spans="34:39" x14ac:dyDescent="0.35">
      <c r="AH6222" s="21"/>
      <c r="AI6222" s="21"/>
      <c r="AJ6222" s="21"/>
      <c r="AK6222" s="21"/>
      <c r="AM6222" s="26" t="s">
        <v>38</v>
      </c>
    </row>
    <row r="6223" spans="34:39" x14ac:dyDescent="0.35">
      <c r="AH6223" s="21"/>
      <c r="AI6223" s="21"/>
      <c r="AJ6223" s="21"/>
      <c r="AK6223" s="21"/>
      <c r="AM6223" s="26" t="s">
        <v>38</v>
      </c>
    </row>
    <row r="6224" spans="34:39" x14ac:dyDescent="0.35">
      <c r="AH6224" s="21"/>
      <c r="AI6224" s="21"/>
      <c r="AJ6224" s="21"/>
      <c r="AK6224" s="21"/>
      <c r="AM6224" s="26" t="s">
        <v>38</v>
      </c>
    </row>
    <row r="6225" spans="34:39" x14ac:dyDescent="0.35">
      <c r="AH6225" s="21"/>
      <c r="AI6225" s="21"/>
      <c r="AJ6225" s="21"/>
      <c r="AK6225" s="21"/>
      <c r="AM6225" s="26" t="s">
        <v>38</v>
      </c>
    </row>
    <row r="6226" spans="34:39" x14ac:dyDescent="0.35">
      <c r="AH6226" s="21"/>
      <c r="AI6226" s="21"/>
      <c r="AJ6226" s="21"/>
      <c r="AK6226" s="21"/>
      <c r="AM6226" s="26" t="s">
        <v>38</v>
      </c>
    </row>
    <row r="6227" spans="34:39" x14ac:dyDescent="0.35">
      <c r="AH6227" s="21"/>
      <c r="AI6227" s="21"/>
      <c r="AJ6227" s="21"/>
      <c r="AK6227" s="21"/>
      <c r="AM6227" s="26" t="s">
        <v>38</v>
      </c>
    </row>
    <row r="6228" spans="34:39" x14ac:dyDescent="0.35">
      <c r="AH6228" s="21"/>
      <c r="AI6228" s="21"/>
      <c r="AJ6228" s="21"/>
      <c r="AK6228" s="21"/>
      <c r="AM6228" s="26" t="s">
        <v>38</v>
      </c>
    </row>
    <row r="6229" spans="34:39" x14ac:dyDescent="0.35">
      <c r="AH6229" s="21"/>
      <c r="AI6229" s="21"/>
      <c r="AJ6229" s="21"/>
      <c r="AK6229" s="21"/>
      <c r="AM6229" s="26" t="s">
        <v>38</v>
      </c>
    </row>
    <row r="6230" spans="34:39" x14ac:dyDescent="0.35">
      <c r="AH6230" s="21"/>
      <c r="AI6230" s="21"/>
      <c r="AJ6230" s="21"/>
      <c r="AK6230" s="21"/>
      <c r="AM6230" s="26" t="s">
        <v>38</v>
      </c>
    </row>
    <row r="6231" spans="34:39" x14ac:dyDescent="0.35">
      <c r="AH6231" s="21"/>
      <c r="AI6231" s="21"/>
      <c r="AJ6231" s="21"/>
      <c r="AK6231" s="21"/>
      <c r="AM6231" s="26" t="s">
        <v>38</v>
      </c>
    </row>
    <row r="6232" spans="34:39" x14ac:dyDescent="0.35">
      <c r="AH6232" s="21"/>
      <c r="AI6232" s="21"/>
      <c r="AJ6232" s="21"/>
      <c r="AK6232" s="21"/>
      <c r="AM6232" s="26" t="s">
        <v>38</v>
      </c>
    </row>
    <row r="6233" spans="34:39" x14ac:dyDescent="0.35">
      <c r="AH6233" s="21"/>
      <c r="AI6233" s="21"/>
      <c r="AJ6233" s="21"/>
      <c r="AK6233" s="21"/>
      <c r="AM6233" s="26" t="s">
        <v>38</v>
      </c>
    </row>
    <row r="6234" spans="34:39" x14ac:dyDescent="0.35">
      <c r="AH6234" s="21"/>
      <c r="AI6234" s="21"/>
      <c r="AJ6234" s="21"/>
      <c r="AK6234" s="21"/>
      <c r="AM6234" s="26" t="s">
        <v>38</v>
      </c>
    </row>
    <row r="6235" spans="34:39" x14ac:dyDescent="0.35">
      <c r="AH6235" s="21"/>
      <c r="AI6235" s="21"/>
      <c r="AJ6235" s="21"/>
      <c r="AK6235" s="21"/>
      <c r="AM6235" s="26" t="s">
        <v>38</v>
      </c>
    </row>
    <row r="6236" spans="34:39" x14ac:dyDescent="0.35">
      <c r="AH6236" s="21"/>
      <c r="AI6236" s="21"/>
      <c r="AJ6236" s="21"/>
      <c r="AK6236" s="21"/>
      <c r="AM6236" s="26" t="s">
        <v>38</v>
      </c>
    </row>
    <row r="6237" spans="34:39" x14ac:dyDescent="0.35">
      <c r="AH6237" s="21"/>
      <c r="AI6237" s="21"/>
      <c r="AJ6237" s="21"/>
      <c r="AK6237" s="21"/>
      <c r="AM6237" s="26" t="s">
        <v>38</v>
      </c>
    </row>
    <row r="6238" spans="34:39" x14ac:dyDescent="0.35">
      <c r="AH6238" s="21"/>
      <c r="AI6238" s="21"/>
      <c r="AJ6238" s="21"/>
      <c r="AK6238" s="21"/>
      <c r="AM6238" s="26" t="s">
        <v>38</v>
      </c>
    </row>
    <row r="6239" spans="34:39" x14ac:dyDescent="0.35">
      <c r="AH6239" s="21"/>
      <c r="AI6239" s="21"/>
      <c r="AJ6239" s="21"/>
      <c r="AK6239" s="21"/>
      <c r="AM6239" s="26" t="s">
        <v>38</v>
      </c>
    </row>
    <row r="6240" spans="34:39" x14ac:dyDescent="0.35">
      <c r="AH6240" s="21"/>
      <c r="AI6240" s="21"/>
      <c r="AJ6240" s="21"/>
      <c r="AK6240" s="21"/>
      <c r="AM6240" s="26" t="s">
        <v>38</v>
      </c>
    </row>
    <row r="6241" spans="34:39" x14ac:dyDescent="0.35">
      <c r="AH6241" s="21"/>
      <c r="AI6241" s="21"/>
      <c r="AJ6241" s="21"/>
      <c r="AK6241" s="21"/>
      <c r="AM6241" s="26" t="s">
        <v>38</v>
      </c>
    </row>
    <row r="6242" spans="34:39" x14ac:dyDescent="0.35">
      <c r="AH6242" s="21"/>
      <c r="AI6242" s="21"/>
      <c r="AJ6242" s="21"/>
      <c r="AK6242" s="21"/>
      <c r="AM6242" s="26" t="s">
        <v>38</v>
      </c>
    </row>
    <row r="6243" spans="34:39" x14ac:dyDescent="0.35">
      <c r="AH6243" s="21"/>
      <c r="AI6243" s="21"/>
      <c r="AJ6243" s="21"/>
      <c r="AK6243" s="21"/>
      <c r="AM6243" s="26" t="s">
        <v>38</v>
      </c>
    </row>
    <row r="6244" spans="34:39" x14ac:dyDescent="0.35">
      <c r="AH6244" s="21"/>
      <c r="AI6244" s="21"/>
      <c r="AJ6244" s="21"/>
      <c r="AK6244" s="21"/>
      <c r="AM6244" s="26" t="s">
        <v>38</v>
      </c>
    </row>
    <row r="6245" spans="34:39" x14ac:dyDescent="0.35">
      <c r="AH6245" s="21"/>
      <c r="AI6245" s="21"/>
      <c r="AJ6245" s="21"/>
      <c r="AK6245" s="21"/>
      <c r="AM6245" s="26" t="s">
        <v>38</v>
      </c>
    </row>
    <row r="6246" spans="34:39" x14ac:dyDescent="0.35">
      <c r="AH6246" s="21"/>
      <c r="AI6246" s="21"/>
      <c r="AJ6246" s="21"/>
      <c r="AK6246" s="21"/>
      <c r="AM6246" s="26" t="s">
        <v>38</v>
      </c>
    </row>
    <row r="6247" spans="34:39" x14ac:dyDescent="0.35">
      <c r="AH6247" s="21"/>
      <c r="AI6247" s="21"/>
      <c r="AJ6247" s="21"/>
      <c r="AK6247" s="21"/>
      <c r="AM6247" s="26" t="s">
        <v>38</v>
      </c>
    </row>
    <row r="6248" spans="34:39" x14ac:dyDescent="0.35">
      <c r="AH6248" s="21"/>
      <c r="AI6248" s="21"/>
      <c r="AJ6248" s="21"/>
      <c r="AK6248" s="21"/>
      <c r="AM6248" s="26" t="s">
        <v>38</v>
      </c>
    </row>
    <row r="6249" spans="34:39" x14ac:dyDescent="0.35">
      <c r="AH6249" s="21"/>
      <c r="AI6249" s="21"/>
      <c r="AJ6249" s="21"/>
      <c r="AK6249" s="21"/>
      <c r="AM6249" s="26" t="s">
        <v>38</v>
      </c>
    </row>
    <row r="6250" spans="34:39" x14ac:dyDescent="0.35">
      <c r="AH6250" s="21"/>
      <c r="AI6250" s="21"/>
      <c r="AJ6250" s="21"/>
      <c r="AK6250" s="21"/>
      <c r="AM6250" s="26" t="s">
        <v>38</v>
      </c>
    </row>
    <row r="6251" spans="34:39" x14ac:dyDescent="0.35">
      <c r="AH6251" s="21"/>
      <c r="AI6251" s="21"/>
      <c r="AJ6251" s="21"/>
      <c r="AK6251" s="21"/>
      <c r="AM6251" s="26" t="s">
        <v>38</v>
      </c>
    </row>
    <row r="6252" spans="34:39" x14ac:dyDescent="0.35">
      <c r="AH6252" s="21"/>
      <c r="AI6252" s="21"/>
      <c r="AJ6252" s="21"/>
      <c r="AK6252" s="21"/>
      <c r="AM6252" s="26" t="s">
        <v>38</v>
      </c>
    </row>
    <row r="6253" spans="34:39" x14ac:dyDescent="0.35">
      <c r="AH6253" s="21"/>
      <c r="AI6253" s="21"/>
      <c r="AJ6253" s="21"/>
      <c r="AK6253" s="21"/>
      <c r="AM6253" s="26" t="s">
        <v>38</v>
      </c>
    </row>
    <row r="6254" spans="34:39" x14ac:dyDescent="0.35">
      <c r="AH6254" s="21"/>
      <c r="AI6254" s="21"/>
      <c r="AJ6254" s="21"/>
      <c r="AK6254" s="21"/>
      <c r="AM6254" s="26" t="s">
        <v>38</v>
      </c>
    </row>
    <row r="6255" spans="34:39" x14ac:dyDescent="0.35">
      <c r="AH6255" s="21"/>
      <c r="AI6255" s="21"/>
      <c r="AJ6255" s="21"/>
      <c r="AK6255" s="21"/>
      <c r="AM6255" s="26" t="s">
        <v>38</v>
      </c>
    </row>
    <row r="6256" spans="34:39" x14ac:dyDescent="0.35">
      <c r="AH6256" s="21"/>
      <c r="AI6256" s="21"/>
      <c r="AJ6256" s="21"/>
      <c r="AK6256" s="21"/>
      <c r="AM6256" s="26" t="s">
        <v>38</v>
      </c>
    </row>
    <row r="6257" spans="34:39" x14ac:dyDescent="0.35">
      <c r="AH6257" s="21"/>
      <c r="AI6257" s="21"/>
      <c r="AJ6257" s="21"/>
      <c r="AK6257" s="21"/>
      <c r="AM6257" s="26" t="s">
        <v>38</v>
      </c>
    </row>
    <row r="6258" spans="34:39" x14ac:dyDescent="0.35">
      <c r="AH6258" s="21"/>
      <c r="AI6258" s="21"/>
      <c r="AJ6258" s="21"/>
      <c r="AK6258" s="21"/>
      <c r="AM6258" s="26" t="s">
        <v>38</v>
      </c>
    </row>
    <row r="6259" spans="34:39" x14ac:dyDescent="0.35">
      <c r="AH6259" s="21"/>
      <c r="AI6259" s="21"/>
      <c r="AJ6259" s="21"/>
      <c r="AK6259" s="21"/>
      <c r="AM6259" s="26" t="s">
        <v>38</v>
      </c>
    </row>
    <row r="6260" spans="34:39" x14ac:dyDescent="0.35">
      <c r="AH6260" s="21"/>
      <c r="AI6260" s="21"/>
      <c r="AJ6260" s="21"/>
      <c r="AK6260" s="21"/>
      <c r="AM6260" s="26" t="s">
        <v>38</v>
      </c>
    </row>
    <row r="6261" spans="34:39" x14ac:dyDescent="0.35">
      <c r="AH6261" s="21"/>
      <c r="AI6261" s="21"/>
      <c r="AJ6261" s="21"/>
      <c r="AK6261" s="21"/>
      <c r="AM6261" s="26" t="s">
        <v>38</v>
      </c>
    </row>
    <row r="6262" spans="34:39" x14ac:dyDescent="0.35">
      <c r="AH6262" s="21"/>
      <c r="AI6262" s="21"/>
      <c r="AJ6262" s="21"/>
      <c r="AK6262" s="21"/>
      <c r="AM6262" s="26" t="s">
        <v>38</v>
      </c>
    </row>
    <row r="6263" spans="34:39" x14ac:dyDescent="0.35">
      <c r="AH6263" s="21"/>
      <c r="AI6263" s="21"/>
      <c r="AJ6263" s="21"/>
      <c r="AK6263" s="21"/>
      <c r="AM6263" s="26" t="s">
        <v>38</v>
      </c>
    </row>
    <row r="6264" spans="34:39" x14ac:dyDescent="0.35">
      <c r="AH6264" s="21"/>
      <c r="AI6264" s="21"/>
      <c r="AJ6264" s="21"/>
      <c r="AK6264" s="21"/>
      <c r="AM6264" s="26" t="s">
        <v>38</v>
      </c>
    </row>
    <row r="6265" spans="34:39" x14ac:dyDescent="0.35">
      <c r="AH6265" s="21"/>
      <c r="AI6265" s="21"/>
      <c r="AJ6265" s="21"/>
      <c r="AK6265" s="21"/>
      <c r="AM6265" s="26" t="s">
        <v>38</v>
      </c>
    </row>
    <row r="6266" spans="34:39" x14ac:dyDescent="0.35">
      <c r="AH6266" s="21"/>
      <c r="AI6266" s="21"/>
      <c r="AJ6266" s="21"/>
      <c r="AK6266" s="21"/>
      <c r="AM6266" s="26" t="s">
        <v>38</v>
      </c>
    </row>
    <row r="6267" spans="34:39" x14ac:dyDescent="0.35">
      <c r="AH6267" s="21"/>
      <c r="AI6267" s="21"/>
      <c r="AJ6267" s="21"/>
      <c r="AK6267" s="21"/>
      <c r="AM6267" s="26" t="s">
        <v>38</v>
      </c>
    </row>
    <row r="6268" spans="34:39" x14ac:dyDescent="0.35">
      <c r="AH6268" s="21"/>
      <c r="AI6268" s="21"/>
      <c r="AJ6268" s="21"/>
      <c r="AK6268" s="21"/>
      <c r="AM6268" s="26" t="s">
        <v>38</v>
      </c>
    </row>
    <row r="6269" spans="34:39" x14ac:dyDescent="0.35">
      <c r="AH6269" s="21"/>
      <c r="AI6269" s="21"/>
      <c r="AJ6269" s="21"/>
      <c r="AK6269" s="21"/>
      <c r="AM6269" s="26" t="s">
        <v>38</v>
      </c>
    </row>
    <row r="6270" spans="34:39" x14ac:dyDescent="0.35">
      <c r="AH6270" s="21"/>
      <c r="AI6270" s="21"/>
      <c r="AJ6270" s="21"/>
      <c r="AK6270" s="21"/>
      <c r="AM6270" s="26" t="s">
        <v>38</v>
      </c>
    </row>
    <row r="6271" spans="34:39" x14ac:dyDescent="0.35">
      <c r="AH6271" s="21"/>
      <c r="AI6271" s="21"/>
      <c r="AJ6271" s="21"/>
      <c r="AK6271" s="21"/>
      <c r="AM6271" s="26" t="s">
        <v>38</v>
      </c>
    </row>
    <row r="6272" spans="34:39" x14ac:dyDescent="0.35">
      <c r="AH6272" s="21"/>
      <c r="AI6272" s="21"/>
      <c r="AJ6272" s="21"/>
      <c r="AK6272" s="21"/>
      <c r="AM6272" s="26" t="s">
        <v>38</v>
      </c>
    </row>
    <row r="6273" spans="34:39" x14ac:dyDescent="0.35">
      <c r="AH6273" s="21"/>
      <c r="AI6273" s="21"/>
      <c r="AJ6273" s="21"/>
      <c r="AK6273" s="21"/>
      <c r="AM6273" s="26" t="s">
        <v>38</v>
      </c>
    </row>
    <row r="6274" spans="34:39" x14ac:dyDescent="0.35">
      <c r="AH6274" s="21"/>
      <c r="AI6274" s="21"/>
      <c r="AJ6274" s="21"/>
      <c r="AK6274" s="21"/>
      <c r="AM6274" s="26" t="s">
        <v>38</v>
      </c>
    </row>
    <row r="6275" spans="34:39" x14ac:dyDescent="0.35">
      <c r="AH6275" s="21"/>
      <c r="AI6275" s="21"/>
      <c r="AJ6275" s="21"/>
      <c r="AK6275" s="21"/>
      <c r="AM6275" s="26" t="s">
        <v>38</v>
      </c>
    </row>
    <row r="6276" spans="34:39" x14ac:dyDescent="0.35">
      <c r="AH6276" s="21"/>
      <c r="AI6276" s="21"/>
      <c r="AJ6276" s="21"/>
      <c r="AK6276" s="21"/>
      <c r="AM6276" s="26" t="s">
        <v>38</v>
      </c>
    </row>
    <row r="6277" spans="34:39" x14ac:dyDescent="0.35">
      <c r="AH6277" s="21"/>
      <c r="AI6277" s="21"/>
      <c r="AJ6277" s="21"/>
      <c r="AK6277" s="21"/>
      <c r="AM6277" s="26" t="s">
        <v>38</v>
      </c>
    </row>
    <row r="6278" spans="34:39" x14ac:dyDescent="0.35">
      <c r="AH6278" s="21"/>
      <c r="AI6278" s="21"/>
      <c r="AJ6278" s="21"/>
      <c r="AK6278" s="21"/>
      <c r="AM6278" s="26" t="s">
        <v>38</v>
      </c>
    </row>
    <row r="6279" spans="34:39" x14ac:dyDescent="0.35">
      <c r="AH6279" s="21"/>
      <c r="AI6279" s="21"/>
      <c r="AJ6279" s="21"/>
      <c r="AK6279" s="21"/>
      <c r="AM6279" s="26" t="s">
        <v>38</v>
      </c>
    </row>
    <row r="6280" spans="34:39" x14ac:dyDescent="0.35">
      <c r="AH6280" s="21"/>
      <c r="AI6280" s="21"/>
      <c r="AJ6280" s="21"/>
      <c r="AK6280" s="21"/>
      <c r="AM6280" s="26" t="s">
        <v>38</v>
      </c>
    </row>
    <row r="6281" spans="34:39" x14ac:dyDescent="0.35">
      <c r="AH6281" s="21"/>
      <c r="AI6281" s="21"/>
      <c r="AJ6281" s="21"/>
      <c r="AK6281" s="21"/>
      <c r="AM6281" s="26" t="s">
        <v>38</v>
      </c>
    </row>
    <row r="6282" spans="34:39" x14ac:dyDescent="0.35">
      <c r="AH6282" s="21"/>
      <c r="AI6282" s="21"/>
      <c r="AJ6282" s="21"/>
      <c r="AK6282" s="21"/>
      <c r="AM6282" s="26" t="s">
        <v>38</v>
      </c>
    </row>
    <row r="6283" spans="34:39" x14ac:dyDescent="0.35">
      <c r="AH6283" s="21"/>
      <c r="AI6283" s="21"/>
      <c r="AJ6283" s="21"/>
      <c r="AK6283" s="21"/>
      <c r="AM6283" s="26" t="s">
        <v>38</v>
      </c>
    </row>
    <row r="6284" spans="34:39" x14ac:dyDescent="0.35">
      <c r="AH6284" s="21"/>
      <c r="AI6284" s="21"/>
      <c r="AJ6284" s="21"/>
      <c r="AK6284" s="21"/>
      <c r="AM6284" s="26" t="s">
        <v>38</v>
      </c>
    </row>
    <row r="6285" spans="34:39" x14ac:dyDescent="0.35">
      <c r="AH6285" s="21"/>
      <c r="AI6285" s="21"/>
      <c r="AJ6285" s="21"/>
      <c r="AK6285" s="21"/>
      <c r="AM6285" s="26" t="s">
        <v>38</v>
      </c>
    </row>
    <row r="6286" spans="34:39" x14ac:dyDescent="0.35">
      <c r="AH6286" s="21"/>
      <c r="AI6286" s="21"/>
      <c r="AJ6286" s="21"/>
      <c r="AK6286" s="21"/>
      <c r="AM6286" s="26" t="s">
        <v>38</v>
      </c>
    </row>
    <row r="6287" spans="34:39" x14ac:dyDescent="0.35">
      <c r="AH6287" s="21"/>
      <c r="AI6287" s="21"/>
      <c r="AJ6287" s="21"/>
      <c r="AK6287" s="21"/>
      <c r="AM6287" s="26" t="s">
        <v>38</v>
      </c>
    </row>
    <row r="6288" spans="34:39" x14ac:dyDescent="0.35">
      <c r="AH6288" s="21"/>
      <c r="AI6288" s="21"/>
      <c r="AJ6288" s="21"/>
      <c r="AK6288" s="21"/>
      <c r="AM6288" s="26" t="s">
        <v>38</v>
      </c>
    </row>
    <row r="6289" spans="34:39" x14ac:dyDescent="0.35">
      <c r="AH6289" s="21"/>
      <c r="AI6289" s="21"/>
      <c r="AJ6289" s="21"/>
      <c r="AK6289" s="21"/>
      <c r="AM6289" s="26" t="s">
        <v>38</v>
      </c>
    </row>
    <row r="6290" spans="34:39" x14ac:dyDescent="0.35">
      <c r="AH6290" s="21"/>
      <c r="AI6290" s="21"/>
      <c r="AJ6290" s="21"/>
      <c r="AK6290" s="21"/>
      <c r="AM6290" s="26" t="s">
        <v>38</v>
      </c>
    </row>
    <row r="6291" spans="34:39" x14ac:dyDescent="0.35">
      <c r="AH6291" s="21"/>
      <c r="AI6291" s="21"/>
      <c r="AJ6291" s="21"/>
      <c r="AK6291" s="21"/>
      <c r="AM6291" s="26" t="s">
        <v>38</v>
      </c>
    </row>
    <row r="6292" spans="34:39" x14ac:dyDescent="0.35">
      <c r="AH6292" s="21"/>
      <c r="AI6292" s="21"/>
      <c r="AJ6292" s="21"/>
      <c r="AK6292" s="21"/>
      <c r="AM6292" s="26" t="s">
        <v>38</v>
      </c>
    </row>
    <row r="6293" spans="34:39" x14ac:dyDescent="0.35">
      <c r="AH6293" s="21"/>
      <c r="AI6293" s="21"/>
      <c r="AJ6293" s="21"/>
      <c r="AK6293" s="21"/>
      <c r="AM6293" s="26" t="s">
        <v>38</v>
      </c>
    </row>
    <row r="6294" spans="34:39" x14ac:dyDescent="0.35">
      <c r="AH6294" s="21"/>
      <c r="AI6294" s="21"/>
      <c r="AJ6294" s="21"/>
      <c r="AK6294" s="21"/>
      <c r="AM6294" s="26" t="s">
        <v>38</v>
      </c>
    </row>
    <row r="6295" spans="34:39" x14ac:dyDescent="0.35">
      <c r="AH6295" s="21"/>
      <c r="AI6295" s="21"/>
      <c r="AJ6295" s="21"/>
      <c r="AK6295" s="21"/>
      <c r="AM6295" s="26" t="s">
        <v>38</v>
      </c>
    </row>
    <row r="6296" spans="34:39" x14ac:dyDescent="0.35">
      <c r="AH6296" s="21"/>
      <c r="AI6296" s="21"/>
      <c r="AJ6296" s="21"/>
      <c r="AK6296" s="21"/>
      <c r="AM6296" s="26" t="s">
        <v>38</v>
      </c>
    </row>
    <row r="6297" spans="34:39" x14ac:dyDescent="0.35">
      <c r="AH6297" s="21"/>
      <c r="AI6297" s="21"/>
      <c r="AJ6297" s="21"/>
      <c r="AK6297" s="21"/>
      <c r="AM6297" s="26" t="s">
        <v>38</v>
      </c>
    </row>
    <row r="6298" spans="34:39" x14ac:dyDescent="0.35">
      <c r="AH6298" s="21"/>
      <c r="AI6298" s="21"/>
      <c r="AJ6298" s="21"/>
      <c r="AK6298" s="21"/>
      <c r="AM6298" s="26" t="s">
        <v>38</v>
      </c>
    </row>
    <row r="6299" spans="34:39" x14ac:dyDescent="0.35">
      <c r="AH6299" s="21"/>
      <c r="AI6299" s="21"/>
      <c r="AJ6299" s="21"/>
      <c r="AK6299" s="21"/>
      <c r="AM6299" s="26" t="s">
        <v>38</v>
      </c>
    </row>
    <row r="6300" spans="34:39" x14ac:dyDescent="0.35">
      <c r="AH6300" s="21"/>
      <c r="AI6300" s="21"/>
      <c r="AJ6300" s="21"/>
      <c r="AK6300" s="21"/>
      <c r="AM6300" s="26" t="s">
        <v>38</v>
      </c>
    </row>
    <row r="6301" spans="34:39" x14ac:dyDescent="0.35">
      <c r="AH6301" s="21"/>
      <c r="AI6301" s="21"/>
      <c r="AJ6301" s="21"/>
      <c r="AK6301" s="21"/>
      <c r="AM6301" s="26" t="s">
        <v>38</v>
      </c>
    </row>
    <row r="6302" spans="34:39" x14ac:dyDescent="0.35">
      <c r="AH6302" s="21"/>
      <c r="AI6302" s="21"/>
      <c r="AJ6302" s="21"/>
      <c r="AK6302" s="21"/>
      <c r="AM6302" s="26" t="s">
        <v>38</v>
      </c>
    </row>
    <row r="6303" spans="34:39" x14ac:dyDescent="0.35">
      <c r="AH6303" s="21"/>
      <c r="AI6303" s="21"/>
      <c r="AJ6303" s="21"/>
      <c r="AK6303" s="21"/>
      <c r="AM6303" s="26" t="s">
        <v>38</v>
      </c>
    </row>
    <row r="6304" spans="34:39" x14ac:dyDescent="0.35">
      <c r="AH6304" s="21"/>
      <c r="AI6304" s="21"/>
      <c r="AJ6304" s="21"/>
      <c r="AK6304" s="21"/>
      <c r="AM6304" s="26" t="s">
        <v>38</v>
      </c>
    </row>
    <row r="6305" spans="34:39" x14ac:dyDescent="0.35">
      <c r="AH6305" s="21"/>
      <c r="AI6305" s="21"/>
      <c r="AJ6305" s="21"/>
      <c r="AK6305" s="21"/>
      <c r="AM6305" s="26" t="s">
        <v>38</v>
      </c>
    </row>
    <row r="6306" spans="34:39" x14ac:dyDescent="0.35">
      <c r="AH6306" s="21"/>
      <c r="AI6306" s="21"/>
      <c r="AJ6306" s="21"/>
      <c r="AK6306" s="21"/>
      <c r="AM6306" s="26" t="s">
        <v>38</v>
      </c>
    </row>
    <row r="6307" spans="34:39" x14ac:dyDescent="0.35">
      <c r="AH6307" s="21"/>
      <c r="AI6307" s="21"/>
      <c r="AJ6307" s="21"/>
      <c r="AK6307" s="21"/>
      <c r="AM6307" s="26" t="s">
        <v>38</v>
      </c>
    </row>
    <row r="6308" spans="34:39" x14ac:dyDescent="0.35">
      <c r="AH6308" s="21"/>
      <c r="AI6308" s="21"/>
      <c r="AJ6308" s="21"/>
      <c r="AK6308" s="21"/>
      <c r="AM6308" s="26" t="s">
        <v>38</v>
      </c>
    </row>
    <row r="6309" spans="34:39" x14ac:dyDescent="0.35">
      <c r="AH6309" s="21"/>
      <c r="AI6309" s="21"/>
      <c r="AJ6309" s="21"/>
      <c r="AK6309" s="21"/>
      <c r="AM6309" s="26" t="s">
        <v>38</v>
      </c>
    </row>
    <row r="6310" spans="34:39" x14ac:dyDescent="0.35">
      <c r="AH6310" s="21"/>
      <c r="AI6310" s="21"/>
      <c r="AJ6310" s="21"/>
      <c r="AK6310" s="21"/>
      <c r="AM6310" s="26" t="s">
        <v>38</v>
      </c>
    </row>
    <row r="6311" spans="34:39" x14ac:dyDescent="0.35">
      <c r="AH6311" s="21"/>
      <c r="AI6311" s="21"/>
      <c r="AJ6311" s="21"/>
      <c r="AK6311" s="21"/>
      <c r="AM6311" s="26" t="s">
        <v>38</v>
      </c>
    </row>
    <row r="6312" spans="34:39" x14ac:dyDescent="0.35">
      <c r="AH6312" s="21"/>
      <c r="AI6312" s="21"/>
      <c r="AJ6312" s="21"/>
      <c r="AK6312" s="21"/>
      <c r="AM6312" s="26" t="s">
        <v>38</v>
      </c>
    </row>
    <row r="6313" spans="34:39" x14ac:dyDescent="0.35">
      <c r="AH6313" s="21"/>
      <c r="AI6313" s="21"/>
      <c r="AJ6313" s="21"/>
      <c r="AK6313" s="21"/>
      <c r="AM6313" s="26" t="s">
        <v>38</v>
      </c>
    </row>
    <row r="6314" spans="34:39" x14ac:dyDescent="0.35">
      <c r="AH6314" s="21"/>
      <c r="AI6314" s="21"/>
      <c r="AJ6314" s="21"/>
      <c r="AK6314" s="21"/>
      <c r="AM6314" s="26" t="s">
        <v>38</v>
      </c>
    </row>
    <row r="6315" spans="34:39" x14ac:dyDescent="0.35">
      <c r="AH6315" s="21"/>
      <c r="AI6315" s="21"/>
      <c r="AJ6315" s="21"/>
      <c r="AK6315" s="21"/>
      <c r="AM6315" s="26" t="s">
        <v>38</v>
      </c>
    </row>
    <row r="6316" spans="34:39" x14ac:dyDescent="0.35">
      <c r="AH6316" s="21"/>
      <c r="AI6316" s="21"/>
      <c r="AJ6316" s="21"/>
      <c r="AK6316" s="21"/>
      <c r="AM6316" s="26" t="s">
        <v>38</v>
      </c>
    </row>
    <row r="6317" spans="34:39" x14ac:dyDescent="0.35">
      <c r="AH6317" s="21"/>
      <c r="AI6317" s="21"/>
      <c r="AJ6317" s="21"/>
      <c r="AK6317" s="21"/>
      <c r="AM6317" s="26" t="s">
        <v>38</v>
      </c>
    </row>
    <row r="6318" spans="34:39" x14ac:dyDescent="0.35">
      <c r="AH6318" s="21"/>
      <c r="AI6318" s="21"/>
      <c r="AJ6318" s="21"/>
      <c r="AK6318" s="21"/>
      <c r="AM6318" s="26" t="s">
        <v>38</v>
      </c>
    </row>
    <row r="6319" spans="34:39" x14ac:dyDescent="0.35">
      <c r="AH6319" s="21"/>
      <c r="AI6319" s="21"/>
      <c r="AJ6319" s="21"/>
      <c r="AK6319" s="21"/>
      <c r="AM6319" s="26" t="s">
        <v>38</v>
      </c>
    </row>
    <row r="6320" spans="34:39" x14ac:dyDescent="0.35">
      <c r="AH6320" s="21"/>
      <c r="AI6320" s="21"/>
      <c r="AJ6320" s="21"/>
      <c r="AK6320" s="21"/>
      <c r="AM6320" s="26" t="s">
        <v>38</v>
      </c>
    </row>
    <row r="6321" spans="34:39" x14ac:dyDescent="0.35">
      <c r="AH6321" s="21"/>
      <c r="AI6321" s="21"/>
      <c r="AJ6321" s="21"/>
      <c r="AK6321" s="21"/>
      <c r="AM6321" s="26" t="s">
        <v>38</v>
      </c>
    </row>
    <row r="6322" spans="34:39" x14ac:dyDescent="0.35">
      <c r="AH6322" s="21"/>
      <c r="AI6322" s="21"/>
      <c r="AJ6322" s="21"/>
      <c r="AK6322" s="21"/>
      <c r="AM6322" s="26" t="s">
        <v>38</v>
      </c>
    </row>
    <row r="6323" spans="34:39" x14ac:dyDescent="0.35">
      <c r="AH6323" s="21"/>
      <c r="AI6323" s="21"/>
      <c r="AJ6323" s="21"/>
      <c r="AK6323" s="21"/>
      <c r="AM6323" s="26" t="s">
        <v>38</v>
      </c>
    </row>
    <row r="6324" spans="34:39" x14ac:dyDescent="0.35">
      <c r="AH6324" s="21"/>
      <c r="AI6324" s="21"/>
      <c r="AJ6324" s="21"/>
      <c r="AK6324" s="21"/>
      <c r="AM6324" s="26" t="s">
        <v>38</v>
      </c>
    </row>
    <row r="6325" spans="34:39" x14ac:dyDescent="0.35">
      <c r="AH6325" s="21"/>
      <c r="AI6325" s="21"/>
      <c r="AJ6325" s="21"/>
      <c r="AK6325" s="21"/>
      <c r="AM6325" s="26" t="s">
        <v>38</v>
      </c>
    </row>
    <row r="6326" spans="34:39" x14ac:dyDescent="0.35">
      <c r="AH6326" s="21"/>
      <c r="AI6326" s="21"/>
      <c r="AJ6326" s="21"/>
      <c r="AK6326" s="21"/>
      <c r="AM6326" s="26" t="s">
        <v>38</v>
      </c>
    </row>
    <row r="6327" spans="34:39" x14ac:dyDescent="0.35">
      <c r="AH6327" s="21"/>
      <c r="AI6327" s="21"/>
      <c r="AJ6327" s="21"/>
      <c r="AK6327" s="21"/>
      <c r="AM6327" s="26" t="s">
        <v>38</v>
      </c>
    </row>
    <row r="6328" spans="34:39" x14ac:dyDescent="0.35">
      <c r="AH6328" s="21"/>
      <c r="AI6328" s="21"/>
      <c r="AJ6328" s="21"/>
      <c r="AK6328" s="21"/>
      <c r="AM6328" s="26" t="s">
        <v>38</v>
      </c>
    </row>
    <row r="6329" spans="34:39" x14ac:dyDescent="0.35">
      <c r="AH6329" s="21"/>
      <c r="AI6329" s="21"/>
      <c r="AJ6329" s="21"/>
      <c r="AK6329" s="21"/>
      <c r="AM6329" s="26" t="s">
        <v>38</v>
      </c>
    </row>
    <row r="6330" spans="34:39" x14ac:dyDescent="0.35">
      <c r="AH6330" s="21"/>
      <c r="AI6330" s="21"/>
      <c r="AJ6330" s="21"/>
      <c r="AK6330" s="21"/>
      <c r="AM6330" s="26" t="s">
        <v>38</v>
      </c>
    </row>
    <row r="6331" spans="34:39" x14ac:dyDescent="0.35">
      <c r="AH6331" s="21"/>
      <c r="AI6331" s="21"/>
      <c r="AJ6331" s="21"/>
      <c r="AK6331" s="21"/>
      <c r="AM6331" s="26" t="s">
        <v>38</v>
      </c>
    </row>
    <row r="6332" spans="34:39" x14ac:dyDescent="0.35">
      <c r="AH6332" s="21"/>
      <c r="AI6332" s="21"/>
      <c r="AJ6332" s="21"/>
      <c r="AK6332" s="21"/>
      <c r="AM6332" s="26" t="s">
        <v>38</v>
      </c>
    </row>
    <row r="6333" spans="34:39" x14ac:dyDescent="0.35">
      <c r="AH6333" s="21"/>
      <c r="AI6333" s="21"/>
      <c r="AJ6333" s="21"/>
      <c r="AK6333" s="21"/>
      <c r="AM6333" s="26" t="s">
        <v>38</v>
      </c>
    </row>
    <row r="6334" spans="34:39" x14ac:dyDescent="0.35">
      <c r="AH6334" s="21"/>
      <c r="AI6334" s="21"/>
      <c r="AJ6334" s="21"/>
      <c r="AK6334" s="21"/>
      <c r="AM6334" s="26" t="s">
        <v>38</v>
      </c>
    </row>
    <row r="6335" spans="34:39" x14ac:dyDescent="0.35">
      <c r="AH6335" s="21"/>
      <c r="AI6335" s="21"/>
      <c r="AJ6335" s="21"/>
      <c r="AK6335" s="21"/>
      <c r="AM6335" s="26" t="s">
        <v>38</v>
      </c>
    </row>
    <row r="6336" spans="34:39" x14ac:dyDescent="0.35">
      <c r="AH6336" s="21"/>
      <c r="AI6336" s="21"/>
      <c r="AJ6336" s="21"/>
      <c r="AK6336" s="21"/>
      <c r="AM6336" s="26" t="s">
        <v>38</v>
      </c>
    </row>
    <row r="6337" spans="34:39" x14ac:dyDescent="0.35">
      <c r="AH6337" s="21"/>
      <c r="AI6337" s="21"/>
      <c r="AJ6337" s="21"/>
      <c r="AK6337" s="21"/>
      <c r="AM6337" s="26" t="s">
        <v>38</v>
      </c>
    </row>
    <row r="6338" spans="34:39" x14ac:dyDescent="0.35">
      <c r="AH6338" s="21"/>
      <c r="AI6338" s="21"/>
      <c r="AJ6338" s="21"/>
      <c r="AK6338" s="21"/>
      <c r="AM6338" s="26" t="s">
        <v>38</v>
      </c>
    </row>
    <row r="6339" spans="34:39" x14ac:dyDescent="0.35">
      <c r="AH6339" s="21"/>
      <c r="AI6339" s="21"/>
      <c r="AJ6339" s="21"/>
      <c r="AK6339" s="21"/>
      <c r="AM6339" s="26" t="s">
        <v>38</v>
      </c>
    </row>
    <row r="6340" spans="34:39" x14ac:dyDescent="0.35">
      <c r="AH6340" s="21"/>
      <c r="AI6340" s="21"/>
      <c r="AJ6340" s="21"/>
      <c r="AK6340" s="21"/>
      <c r="AM6340" s="26" t="s">
        <v>38</v>
      </c>
    </row>
    <row r="6341" spans="34:39" x14ac:dyDescent="0.35">
      <c r="AH6341" s="21"/>
      <c r="AI6341" s="21"/>
      <c r="AJ6341" s="21"/>
      <c r="AK6341" s="21"/>
      <c r="AM6341" s="26" t="s">
        <v>38</v>
      </c>
    </row>
    <row r="6342" spans="34:39" x14ac:dyDescent="0.35">
      <c r="AH6342" s="21"/>
      <c r="AI6342" s="21"/>
      <c r="AJ6342" s="21"/>
      <c r="AK6342" s="21"/>
      <c r="AM6342" s="26" t="s">
        <v>38</v>
      </c>
    </row>
    <row r="6343" spans="34:39" x14ac:dyDescent="0.35">
      <c r="AH6343" s="21"/>
      <c r="AI6343" s="21"/>
      <c r="AJ6343" s="21"/>
      <c r="AK6343" s="21"/>
      <c r="AM6343" s="26" t="s">
        <v>38</v>
      </c>
    </row>
    <row r="6344" spans="34:39" x14ac:dyDescent="0.35">
      <c r="AH6344" s="21"/>
      <c r="AI6344" s="21"/>
      <c r="AJ6344" s="21"/>
      <c r="AK6344" s="21"/>
      <c r="AM6344" s="26" t="s">
        <v>38</v>
      </c>
    </row>
    <row r="6345" spans="34:39" x14ac:dyDescent="0.35">
      <c r="AH6345" s="21"/>
      <c r="AI6345" s="21"/>
      <c r="AJ6345" s="21"/>
      <c r="AK6345" s="21"/>
      <c r="AM6345" s="26" t="s">
        <v>38</v>
      </c>
    </row>
    <row r="6346" spans="34:39" x14ac:dyDescent="0.35">
      <c r="AH6346" s="21"/>
      <c r="AI6346" s="21"/>
      <c r="AJ6346" s="21"/>
      <c r="AK6346" s="21"/>
      <c r="AM6346" s="26" t="s">
        <v>38</v>
      </c>
    </row>
    <row r="6347" spans="34:39" x14ac:dyDescent="0.35">
      <c r="AH6347" s="21"/>
      <c r="AI6347" s="21"/>
      <c r="AJ6347" s="21"/>
      <c r="AK6347" s="21"/>
      <c r="AM6347" s="26" t="s">
        <v>38</v>
      </c>
    </row>
    <row r="6348" spans="34:39" x14ac:dyDescent="0.35">
      <c r="AH6348" s="21"/>
      <c r="AI6348" s="21"/>
      <c r="AJ6348" s="21"/>
      <c r="AK6348" s="21"/>
      <c r="AM6348" s="26" t="s">
        <v>38</v>
      </c>
    </row>
    <row r="6349" spans="34:39" x14ac:dyDescent="0.35">
      <c r="AH6349" s="21"/>
      <c r="AI6349" s="21"/>
      <c r="AJ6349" s="21"/>
      <c r="AK6349" s="21"/>
      <c r="AM6349" s="26" t="s">
        <v>38</v>
      </c>
    </row>
    <row r="6350" spans="34:39" x14ac:dyDescent="0.35">
      <c r="AH6350" s="21"/>
      <c r="AI6350" s="21"/>
      <c r="AJ6350" s="21"/>
      <c r="AK6350" s="21"/>
      <c r="AM6350" s="26" t="s">
        <v>38</v>
      </c>
    </row>
    <row r="6351" spans="34:39" x14ac:dyDescent="0.35">
      <c r="AH6351" s="21"/>
      <c r="AI6351" s="21"/>
      <c r="AJ6351" s="21"/>
      <c r="AK6351" s="21"/>
      <c r="AM6351" s="26" t="s">
        <v>38</v>
      </c>
    </row>
    <row r="6352" spans="34:39" x14ac:dyDescent="0.35">
      <c r="AH6352" s="21"/>
      <c r="AI6352" s="21"/>
      <c r="AJ6352" s="21"/>
      <c r="AK6352" s="21"/>
      <c r="AM6352" s="26" t="s">
        <v>38</v>
      </c>
    </row>
    <row r="6353" spans="34:39" x14ac:dyDescent="0.35">
      <c r="AH6353" s="21"/>
      <c r="AI6353" s="21"/>
      <c r="AJ6353" s="21"/>
      <c r="AK6353" s="21"/>
      <c r="AM6353" s="26" t="s">
        <v>38</v>
      </c>
    </row>
    <row r="6354" spans="34:39" x14ac:dyDescent="0.35">
      <c r="AH6354" s="21"/>
      <c r="AI6354" s="21"/>
      <c r="AJ6354" s="21"/>
      <c r="AK6354" s="21"/>
      <c r="AM6354" s="26" t="s">
        <v>38</v>
      </c>
    </row>
    <row r="6355" spans="34:39" x14ac:dyDescent="0.35">
      <c r="AH6355" s="21"/>
      <c r="AI6355" s="21"/>
      <c r="AJ6355" s="21"/>
      <c r="AK6355" s="21"/>
      <c r="AM6355" s="26" t="s">
        <v>38</v>
      </c>
    </row>
    <row r="6356" spans="34:39" x14ac:dyDescent="0.35">
      <c r="AH6356" s="21"/>
      <c r="AI6356" s="21"/>
      <c r="AJ6356" s="21"/>
      <c r="AK6356" s="21"/>
      <c r="AM6356" s="26" t="s">
        <v>38</v>
      </c>
    </row>
    <row r="6357" spans="34:39" x14ac:dyDescent="0.35">
      <c r="AH6357" s="21"/>
      <c r="AI6357" s="21"/>
      <c r="AJ6357" s="21"/>
      <c r="AK6357" s="21"/>
      <c r="AM6357" s="26" t="s">
        <v>38</v>
      </c>
    </row>
    <row r="6358" spans="34:39" x14ac:dyDescent="0.35">
      <c r="AH6358" s="21"/>
      <c r="AI6358" s="21"/>
      <c r="AJ6358" s="21"/>
      <c r="AK6358" s="21"/>
      <c r="AM6358" s="26" t="s">
        <v>38</v>
      </c>
    </row>
    <row r="6359" spans="34:39" x14ac:dyDescent="0.35">
      <c r="AH6359" s="21"/>
      <c r="AI6359" s="21"/>
      <c r="AJ6359" s="21"/>
      <c r="AK6359" s="21"/>
      <c r="AM6359" s="26" t="s">
        <v>38</v>
      </c>
    </row>
    <row r="6360" spans="34:39" x14ac:dyDescent="0.35">
      <c r="AH6360" s="21"/>
      <c r="AI6360" s="21"/>
      <c r="AJ6360" s="21"/>
      <c r="AK6360" s="21"/>
      <c r="AM6360" s="26" t="s">
        <v>38</v>
      </c>
    </row>
    <row r="6361" spans="34:39" x14ac:dyDescent="0.35">
      <c r="AH6361" s="21"/>
      <c r="AI6361" s="21"/>
      <c r="AJ6361" s="21"/>
      <c r="AK6361" s="21"/>
      <c r="AM6361" s="26" t="s">
        <v>38</v>
      </c>
    </row>
    <row r="6362" spans="34:39" x14ac:dyDescent="0.35">
      <c r="AH6362" s="21"/>
      <c r="AI6362" s="21"/>
      <c r="AJ6362" s="21"/>
      <c r="AK6362" s="21"/>
      <c r="AM6362" s="26" t="s">
        <v>38</v>
      </c>
    </row>
    <row r="6363" spans="34:39" x14ac:dyDescent="0.35">
      <c r="AH6363" s="21"/>
      <c r="AI6363" s="21"/>
      <c r="AJ6363" s="21"/>
      <c r="AK6363" s="21"/>
      <c r="AM6363" s="26" t="s">
        <v>38</v>
      </c>
    </row>
    <row r="6364" spans="34:39" x14ac:dyDescent="0.35">
      <c r="AH6364" s="21"/>
      <c r="AI6364" s="21"/>
      <c r="AJ6364" s="21"/>
      <c r="AK6364" s="21"/>
      <c r="AM6364" s="26" t="s">
        <v>38</v>
      </c>
    </row>
    <row r="6365" spans="34:39" x14ac:dyDescent="0.35">
      <c r="AH6365" s="21"/>
      <c r="AI6365" s="21"/>
      <c r="AJ6365" s="21"/>
      <c r="AK6365" s="21"/>
      <c r="AM6365" s="26" t="s">
        <v>38</v>
      </c>
    </row>
    <row r="6366" spans="34:39" x14ac:dyDescent="0.35">
      <c r="AH6366" s="21"/>
      <c r="AI6366" s="21"/>
      <c r="AJ6366" s="21"/>
      <c r="AK6366" s="21"/>
      <c r="AM6366" s="26" t="s">
        <v>38</v>
      </c>
    </row>
    <row r="6367" spans="34:39" x14ac:dyDescent="0.35">
      <c r="AH6367" s="21"/>
      <c r="AI6367" s="21"/>
      <c r="AJ6367" s="21"/>
      <c r="AK6367" s="21"/>
      <c r="AM6367" s="26" t="s">
        <v>38</v>
      </c>
    </row>
    <row r="6368" spans="34:39" x14ac:dyDescent="0.35">
      <c r="AH6368" s="21"/>
      <c r="AI6368" s="21"/>
      <c r="AJ6368" s="21"/>
      <c r="AK6368" s="21"/>
      <c r="AM6368" s="26" t="s">
        <v>38</v>
      </c>
    </row>
    <row r="6369" spans="34:39" x14ac:dyDescent="0.35">
      <c r="AH6369" s="21"/>
      <c r="AI6369" s="21"/>
      <c r="AJ6369" s="21"/>
      <c r="AK6369" s="21"/>
      <c r="AM6369" s="26" t="s">
        <v>38</v>
      </c>
    </row>
    <row r="6370" spans="34:39" x14ac:dyDescent="0.35">
      <c r="AH6370" s="21"/>
      <c r="AI6370" s="21"/>
      <c r="AJ6370" s="21"/>
      <c r="AK6370" s="21"/>
      <c r="AM6370" s="26" t="s">
        <v>38</v>
      </c>
    </row>
    <row r="6371" spans="34:39" x14ac:dyDescent="0.35">
      <c r="AH6371" s="21"/>
      <c r="AI6371" s="21"/>
      <c r="AJ6371" s="21"/>
      <c r="AK6371" s="21"/>
      <c r="AM6371" s="26" t="s">
        <v>38</v>
      </c>
    </row>
    <row r="6372" spans="34:39" x14ac:dyDescent="0.35">
      <c r="AH6372" s="21"/>
      <c r="AI6372" s="21"/>
      <c r="AJ6372" s="21"/>
      <c r="AK6372" s="21"/>
      <c r="AM6372" s="26" t="s">
        <v>38</v>
      </c>
    </row>
    <row r="6373" spans="34:39" x14ac:dyDescent="0.35">
      <c r="AH6373" s="21"/>
      <c r="AI6373" s="21"/>
      <c r="AJ6373" s="21"/>
      <c r="AK6373" s="21"/>
      <c r="AM6373" s="26" t="s">
        <v>38</v>
      </c>
    </row>
    <row r="6374" spans="34:39" x14ac:dyDescent="0.35">
      <c r="AH6374" s="21"/>
      <c r="AI6374" s="21"/>
      <c r="AJ6374" s="21"/>
      <c r="AK6374" s="21"/>
      <c r="AM6374" s="26" t="s">
        <v>38</v>
      </c>
    </row>
    <row r="6375" spans="34:39" x14ac:dyDescent="0.35">
      <c r="AH6375" s="21"/>
      <c r="AI6375" s="21"/>
      <c r="AJ6375" s="21"/>
      <c r="AK6375" s="21"/>
      <c r="AM6375" s="26" t="s">
        <v>38</v>
      </c>
    </row>
    <row r="6376" spans="34:39" x14ac:dyDescent="0.35">
      <c r="AH6376" s="21"/>
      <c r="AI6376" s="21"/>
      <c r="AJ6376" s="21"/>
      <c r="AK6376" s="21"/>
      <c r="AM6376" s="26" t="s">
        <v>38</v>
      </c>
    </row>
    <row r="6377" spans="34:39" x14ac:dyDescent="0.35">
      <c r="AH6377" s="21"/>
      <c r="AI6377" s="21"/>
      <c r="AJ6377" s="21"/>
      <c r="AK6377" s="21"/>
      <c r="AM6377" s="26" t="s">
        <v>38</v>
      </c>
    </row>
    <row r="6378" spans="34:39" x14ac:dyDescent="0.35">
      <c r="AH6378" s="21"/>
      <c r="AI6378" s="21"/>
      <c r="AJ6378" s="21"/>
      <c r="AK6378" s="21"/>
      <c r="AM6378" s="26" t="s">
        <v>38</v>
      </c>
    </row>
    <row r="6379" spans="34:39" x14ac:dyDescent="0.35">
      <c r="AH6379" s="21"/>
      <c r="AI6379" s="21"/>
      <c r="AJ6379" s="21"/>
      <c r="AK6379" s="21"/>
      <c r="AM6379" s="26" t="s">
        <v>38</v>
      </c>
    </row>
    <row r="6380" spans="34:39" x14ac:dyDescent="0.35">
      <c r="AH6380" s="21"/>
      <c r="AI6380" s="21"/>
      <c r="AJ6380" s="21"/>
      <c r="AK6380" s="21"/>
      <c r="AM6380" s="26" t="s">
        <v>38</v>
      </c>
    </row>
    <row r="6381" spans="34:39" x14ac:dyDescent="0.35">
      <c r="AH6381" s="21"/>
      <c r="AI6381" s="21"/>
      <c r="AJ6381" s="21"/>
      <c r="AK6381" s="21"/>
      <c r="AM6381" s="26" t="s">
        <v>38</v>
      </c>
    </row>
    <row r="6382" spans="34:39" x14ac:dyDescent="0.35">
      <c r="AH6382" s="21"/>
      <c r="AI6382" s="21"/>
      <c r="AJ6382" s="21"/>
      <c r="AK6382" s="21"/>
      <c r="AM6382" s="26" t="s">
        <v>38</v>
      </c>
    </row>
    <row r="6383" spans="34:39" x14ac:dyDescent="0.35">
      <c r="AH6383" s="21"/>
      <c r="AI6383" s="21"/>
      <c r="AJ6383" s="21"/>
      <c r="AK6383" s="21"/>
      <c r="AM6383" s="26" t="s">
        <v>38</v>
      </c>
    </row>
    <row r="6384" spans="34:39" x14ac:dyDescent="0.35">
      <c r="AH6384" s="21"/>
      <c r="AI6384" s="21"/>
      <c r="AJ6384" s="21"/>
      <c r="AK6384" s="21"/>
      <c r="AM6384" s="26" t="s">
        <v>38</v>
      </c>
    </row>
    <row r="6385" spans="34:39" x14ac:dyDescent="0.35">
      <c r="AH6385" s="21"/>
      <c r="AI6385" s="21"/>
      <c r="AJ6385" s="21"/>
      <c r="AK6385" s="21"/>
      <c r="AM6385" s="26" t="s">
        <v>38</v>
      </c>
    </row>
    <row r="6386" spans="34:39" x14ac:dyDescent="0.35">
      <c r="AH6386" s="21"/>
      <c r="AI6386" s="21"/>
      <c r="AJ6386" s="21"/>
      <c r="AK6386" s="21"/>
      <c r="AM6386" s="26" t="s">
        <v>38</v>
      </c>
    </row>
    <row r="6387" spans="34:39" x14ac:dyDescent="0.35">
      <c r="AH6387" s="21"/>
      <c r="AI6387" s="21"/>
      <c r="AJ6387" s="21"/>
      <c r="AK6387" s="21"/>
      <c r="AM6387" s="26" t="s">
        <v>38</v>
      </c>
    </row>
    <row r="6388" spans="34:39" x14ac:dyDescent="0.35">
      <c r="AH6388" s="21"/>
      <c r="AI6388" s="21"/>
      <c r="AJ6388" s="21"/>
      <c r="AK6388" s="21"/>
      <c r="AM6388" s="26" t="s">
        <v>38</v>
      </c>
    </row>
    <row r="6389" spans="34:39" x14ac:dyDescent="0.35">
      <c r="AH6389" s="21"/>
      <c r="AI6389" s="21"/>
      <c r="AJ6389" s="21"/>
      <c r="AK6389" s="21"/>
      <c r="AM6389" s="26" t="s">
        <v>38</v>
      </c>
    </row>
    <row r="6390" spans="34:39" x14ac:dyDescent="0.35">
      <c r="AH6390" s="21"/>
      <c r="AI6390" s="21"/>
      <c r="AJ6390" s="21"/>
      <c r="AK6390" s="21"/>
      <c r="AM6390" s="26" t="s">
        <v>38</v>
      </c>
    </row>
    <row r="6391" spans="34:39" x14ac:dyDescent="0.35">
      <c r="AH6391" s="21"/>
      <c r="AI6391" s="21"/>
      <c r="AJ6391" s="21"/>
      <c r="AK6391" s="21"/>
      <c r="AM6391" s="26" t="s">
        <v>38</v>
      </c>
    </row>
    <row r="6392" spans="34:39" x14ac:dyDescent="0.35">
      <c r="AH6392" s="21"/>
      <c r="AI6392" s="21"/>
      <c r="AJ6392" s="21"/>
      <c r="AK6392" s="21"/>
      <c r="AM6392" s="26" t="s">
        <v>38</v>
      </c>
    </row>
    <row r="6393" spans="34:39" x14ac:dyDescent="0.35">
      <c r="AH6393" s="21"/>
      <c r="AI6393" s="21"/>
      <c r="AJ6393" s="21"/>
      <c r="AK6393" s="21"/>
      <c r="AM6393" s="26" t="s">
        <v>38</v>
      </c>
    </row>
    <row r="6394" spans="34:39" x14ac:dyDescent="0.35">
      <c r="AH6394" s="21"/>
      <c r="AI6394" s="21"/>
      <c r="AJ6394" s="21"/>
      <c r="AK6394" s="21"/>
      <c r="AM6394" s="26" t="s">
        <v>38</v>
      </c>
    </row>
    <row r="6395" spans="34:39" x14ac:dyDescent="0.35">
      <c r="AH6395" s="21"/>
      <c r="AI6395" s="21"/>
      <c r="AJ6395" s="21"/>
      <c r="AK6395" s="21"/>
      <c r="AM6395" s="26" t="s">
        <v>38</v>
      </c>
    </row>
    <row r="6396" spans="34:39" x14ac:dyDescent="0.35">
      <c r="AH6396" s="21"/>
      <c r="AI6396" s="21"/>
      <c r="AJ6396" s="21"/>
      <c r="AK6396" s="21"/>
      <c r="AM6396" s="26" t="s">
        <v>38</v>
      </c>
    </row>
    <row r="6397" spans="34:39" x14ac:dyDescent="0.35">
      <c r="AH6397" s="21"/>
      <c r="AI6397" s="21"/>
      <c r="AJ6397" s="21"/>
      <c r="AK6397" s="21"/>
      <c r="AM6397" s="26" t="s">
        <v>38</v>
      </c>
    </row>
    <row r="6398" spans="34:39" x14ac:dyDescent="0.35">
      <c r="AH6398" s="21"/>
      <c r="AI6398" s="21"/>
      <c r="AJ6398" s="21"/>
      <c r="AK6398" s="21"/>
      <c r="AM6398" s="26" t="s">
        <v>38</v>
      </c>
    </row>
    <row r="6399" spans="34:39" x14ac:dyDescent="0.35">
      <c r="AH6399" s="21"/>
      <c r="AI6399" s="21"/>
      <c r="AJ6399" s="21"/>
      <c r="AK6399" s="21"/>
      <c r="AM6399" s="26" t="s">
        <v>38</v>
      </c>
    </row>
    <row r="6400" spans="34:39" x14ac:dyDescent="0.35">
      <c r="AH6400" s="21"/>
      <c r="AI6400" s="21"/>
      <c r="AJ6400" s="21"/>
      <c r="AK6400" s="21"/>
      <c r="AM6400" s="26" t="s">
        <v>38</v>
      </c>
    </row>
    <row r="6401" spans="34:39" x14ac:dyDescent="0.35">
      <c r="AH6401" s="21"/>
      <c r="AI6401" s="21"/>
      <c r="AJ6401" s="21"/>
      <c r="AK6401" s="21"/>
      <c r="AM6401" s="26" t="s">
        <v>38</v>
      </c>
    </row>
    <row r="6402" spans="34:39" x14ac:dyDescent="0.35">
      <c r="AH6402" s="21"/>
      <c r="AI6402" s="21"/>
      <c r="AJ6402" s="21"/>
      <c r="AK6402" s="21"/>
      <c r="AM6402" s="26" t="s">
        <v>38</v>
      </c>
    </row>
    <row r="6403" spans="34:39" x14ac:dyDescent="0.35">
      <c r="AH6403" s="21"/>
      <c r="AI6403" s="21"/>
      <c r="AJ6403" s="21"/>
      <c r="AK6403" s="21"/>
      <c r="AM6403" s="26" t="s">
        <v>38</v>
      </c>
    </row>
    <row r="6404" spans="34:39" x14ac:dyDescent="0.35">
      <c r="AH6404" s="21"/>
      <c r="AI6404" s="21"/>
      <c r="AJ6404" s="21"/>
      <c r="AK6404" s="21"/>
      <c r="AM6404" s="26" t="s">
        <v>38</v>
      </c>
    </row>
    <row r="6405" spans="34:39" x14ac:dyDescent="0.35">
      <c r="AH6405" s="21"/>
      <c r="AI6405" s="21"/>
      <c r="AJ6405" s="21"/>
      <c r="AK6405" s="21"/>
      <c r="AM6405" s="26" t="s">
        <v>38</v>
      </c>
    </row>
    <row r="6406" spans="34:39" x14ac:dyDescent="0.35">
      <c r="AH6406" s="21"/>
      <c r="AI6406" s="21"/>
      <c r="AJ6406" s="21"/>
      <c r="AK6406" s="21"/>
      <c r="AM6406" s="26" t="s">
        <v>38</v>
      </c>
    </row>
    <row r="6407" spans="34:39" x14ac:dyDescent="0.35">
      <c r="AH6407" s="21"/>
      <c r="AI6407" s="21"/>
      <c r="AJ6407" s="21"/>
      <c r="AK6407" s="21"/>
      <c r="AM6407" s="26" t="s">
        <v>38</v>
      </c>
    </row>
    <row r="6408" spans="34:39" x14ac:dyDescent="0.35">
      <c r="AH6408" s="21"/>
      <c r="AI6408" s="21"/>
      <c r="AJ6408" s="21"/>
      <c r="AK6408" s="21"/>
      <c r="AM6408" s="26" t="s">
        <v>38</v>
      </c>
    </row>
    <row r="6409" spans="34:39" x14ac:dyDescent="0.35">
      <c r="AH6409" s="21"/>
      <c r="AI6409" s="21"/>
      <c r="AJ6409" s="21"/>
      <c r="AK6409" s="21"/>
      <c r="AM6409" s="26" t="s">
        <v>38</v>
      </c>
    </row>
    <row r="6410" spans="34:39" x14ac:dyDescent="0.35">
      <c r="AH6410" s="21"/>
      <c r="AI6410" s="21"/>
      <c r="AJ6410" s="21"/>
      <c r="AK6410" s="21"/>
      <c r="AM6410" s="26" t="s">
        <v>38</v>
      </c>
    </row>
    <row r="6411" spans="34:39" x14ac:dyDescent="0.35">
      <c r="AH6411" s="21"/>
      <c r="AI6411" s="21"/>
      <c r="AJ6411" s="21"/>
      <c r="AK6411" s="21"/>
      <c r="AM6411" s="26" t="s">
        <v>38</v>
      </c>
    </row>
    <row r="6412" spans="34:39" x14ac:dyDescent="0.35">
      <c r="AH6412" s="21"/>
      <c r="AI6412" s="21"/>
      <c r="AJ6412" s="21"/>
      <c r="AK6412" s="21"/>
      <c r="AM6412" s="26" t="s">
        <v>38</v>
      </c>
    </row>
    <row r="6413" spans="34:39" x14ac:dyDescent="0.35">
      <c r="AH6413" s="21"/>
      <c r="AI6413" s="21"/>
      <c r="AJ6413" s="21"/>
      <c r="AK6413" s="21"/>
      <c r="AM6413" s="26" t="s">
        <v>38</v>
      </c>
    </row>
    <row r="6414" spans="34:39" x14ac:dyDescent="0.35">
      <c r="AH6414" s="21"/>
      <c r="AI6414" s="21"/>
      <c r="AJ6414" s="21"/>
      <c r="AK6414" s="21"/>
      <c r="AM6414" s="26" t="s">
        <v>38</v>
      </c>
    </row>
    <row r="6415" spans="34:39" x14ac:dyDescent="0.35">
      <c r="AH6415" s="21"/>
      <c r="AI6415" s="21"/>
      <c r="AJ6415" s="21"/>
      <c r="AK6415" s="21"/>
      <c r="AM6415" s="26" t="s">
        <v>38</v>
      </c>
    </row>
    <row r="6416" spans="34:39" x14ac:dyDescent="0.35">
      <c r="AH6416" s="21"/>
      <c r="AI6416" s="21"/>
      <c r="AJ6416" s="21"/>
      <c r="AK6416" s="21"/>
      <c r="AM6416" s="26" t="s">
        <v>38</v>
      </c>
    </row>
    <row r="6417" spans="34:39" x14ac:dyDescent="0.35">
      <c r="AH6417" s="21"/>
      <c r="AI6417" s="21"/>
      <c r="AJ6417" s="21"/>
      <c r="AK6417" s="21"/>
      <c r="AM6417" s="26" t="s">
        <v>38</v>
      </c>
    </row>
    <row r="6418" spans="34:39" x14ac:dyDescent="0.35">
      <c r="AH6418" s="21"/>
      <c r="AI6418" s="21"/>
      <c r="AJ6418" s="21"/>
      <c r="AK6418" s="21"/>
      <c r="AM6418" s="26" t="s">
        <v>38</v>
      </c>
    </row>
    <row r="6419" spans="34:39" x14ac:dyDescent="0.35">
      <c r="AH6419" s="21"/>
      <c r="AI6419" s="21"/>
      <c r="AJ6419" s="21"/>
      <c r="AK6419" s="21"/>
      <c r="AM6419" s="26" t="s">
        <v>38</v>
      </c>
    </row>
    <row r="6420" spans="34:39" x14ac:dyDescent="0.35">
      <c r="AH6420" s="21"/>
      <c r="AI6420" s="21"/>
      <c r="AJ6420" s="21"/>
      <c r="AK6420" s="21"/>
      <c r="AM6420" s="26" t="s">
        <v>38</v>
      </c>
    </row>
    <row r="6421" spans="34:39" x14ac:dyDescent="0.35">
      <c r="AH6421" s="21"/>
      <c r="AI6421" s="21"/>
      <c r="AJ6421" s="21"/>
      <c r="AK6421" s="21"/>
      <c r="AM6421" s="26" t="s">
        <v>38</v>
      </c>
    </row>
    <row r="6422" spans="34:39" x14ac:dyDescent="0.35">
      <c r="AH6422" s="21"/>
      <c r="AI6422" s="21"/>
      <c r="AJ6422" s="21"/>
      <c r="AK6422" s="21"/>
      <c r="AM6422" s="26" t="s">
        <v>38</v>
      </c>
    </row>
    <row r="6423" spans="34:39" x14ac:dyDescent="0.35">
      <c r="AH6423" s="21"/>
      <c r="AI6423" s="21"/>
      <c r="AJ6423" s="21"/>
      <c r="AK6423" s="21"/>
      <c r="AM6423" s="26" t="s">
        <v>38</v>
      </c>
    </row>
    <row r="6424" spans="34:39" x14ac:dyDescent="0.35">
      <c r="AH6424" s="21"/>
      <c r="AI6424" s="21"/>
      <c r="AJ6424" s="21"/>
      <c r="AK6424" s="21"/>
      <c r="AM6424" s="26" t="s">
        <v>38</v>
      </c>
    </row>
    <row r="6425" spans="34:39" x14ac:dyDescent="0.35">
      <c r="AH6425" s="21"/>
      <c r="AI6425" s="21"/>
      <c r="AJ6425" s="21"/>
      <c r="AK6425" s="21"/>
      <c r="AM6425" s="26" t="s">
        <v>38</v>
      </c>
    </row>
    <row r="6426" spans="34:39" x14ac:dyDescent="0.35">
      <c r="AH6426" s="21"/>
      <c r="AI6426" s="21"/>
      <c r="AJ6426" s="21"/>
      <c r="AK6426" s="21"/>
      <c r="AM6426" s="26" t="s">
        <v>38</v>
      </c>
    </row>
    <row r="6427" spans="34:39" x14ac:dyDescent="0.35">
      <c r="AH6427" s="21"/>
      <c r="AI6427" s="21"/>
      <c r="AJ6427" s="21"/>
      <c r="AK6427" s="21"/>
      <c r="AM6427" s="26" t="s">
        <v>38</v>
      </c>
    </row>
    <row r="6428" spans="34:39" x14ac:dyDescent="0.35">
      <c r="AH6428" s="21"/>
      <c r="AI6428" s="21"/>
      <c r="AJ6428" s="21"/>
      <c r="AK6428" s="21"/>
      <c r="AM6428" s="26" t="s">
        <v>38</v>
      </c>
    </row>
    <row r="6429" spans="34:39" x14ac:dyDescent="0.35">
      <c r="AH6429" s="21"/>
      <c r="AI6429" s="21"/>
      <c r="AJ6429" s="21"/>
      <c r="AK6429" s="21"/>
      <c r="AM6429" s="26" t="s">
        <v>38</v>
      </c>
    </row>
    <row r="6430" spans="34:39" x14ac:dyDescent="0.35">
      <c r="AH6430" s="21"/>
      <c r="AI6430" s="21"/>
      <c r="AJ6430" s="21"/>
      <c r="AK6430" s="21"/>
      <c r="AM6430" s="26" t="s">
        <v>38</v>
      </c>
    </row>
    <row r="6431" spans="34:39" x14ac:dyDescent="0.35">
      <c r="AH6431" s="21"/>
      <c r="AI6431" s="21"/>
      <c r="AJ6431" s="21"/>
      <c r="AK6431" s="21"/>
      <c r="AM6431" s="26" t="s">
        <v>38</v>
      </c>
    </row>
    <row r="6432" spans="34:39" x14ac:dyDescent="0.35">
      <c r="AH6432" s="21"/>
      <c r="AI6432" s="21"/>
      <c r="AJ6432" s="21"/>
      <c r="AK6432" s="21"/>
      <c r="AM6432" s="26" t="s">
        <v>38</v>
      </c>
    </row>
    <row r="6433" spans="34:39" x14ac:dyDescent="0.35">
      <c r="AH6433" s="21"/>
      <c r="AI6433" s="21"/>
      <c r="AJ6433" s="21"/>
      <c r="AK6433" s="21"/>
      <c r="AM6433" s="26" t="s">
        <v>38</v>
      </c>
    </row>
    <row r="6434" spans="34:39" x14ac:dyDescent="0.35">
      <c r="AH6434" s="21"/>
      <c r="AI6434" s="21"/>
      <c r="AJ6434" s="21"/>
      <c r="AK6434" s="21"/>
      <c r="AM6434" s="26" t="s">
        <v>38</v>
      </c>
    </row>
    <row r="6435" spans="34:39" x14ac:dyDescent="0.35">
      <c r="AH6435" s="21"/>
      <c r="AI6435" s="21"/>
      <c r="AJ6435" s="21"/>
      <c r="AK6435" s="21"/>
      <c r="AM6435" s="26" t="s">
        <v>38</v>
      </c>
    </row>
    <row r="6436" spans="34:39" x14ac:dyDescent="0.35">
      <c r="AH6436" s="21"/>
      <c r="AI6436" s="21"/>
      <c r="AJ6436" s="21"/>
      <c r="AK6436" s="21"/>
      <c r="AM6436" s="26" t="s">
        <v>38</v>
      </c>
    </row>
    <row r="6437" spans="34:39" x14ac:dyDescent="0.35">
      <c r="AH6437" s="21"/>
      <c r="AI6437" s="21"/>
      <c r="AJ6437" s="21"/>
      <c r="AK6437" s="21"/>
      <c r="AM6437" s="26" t="s">
        <v>38</v>
      </c>
    </row>
    <row r="6438" spans="34:39" x14ac:dyDescent="0.35">
      <c r="AH6438" s="21"/>
      <c r="AI6438" s="21"/>
      <c r="AJ6438" s="21"/>
      <c r="AK6438" s="21"/>
      <c r="AM6438" s="26" t="s">
        <v>38</v>
      </c>
    </row>
    <row r="6439" spans="34:39" x14ac:dyDescent="0.35">
      <c r="AH6439" s="21"/>
      <c r="AI6439" s="21"/>
      <c r="AJ6439" s="21"/>
      <c r="AK6439" s="21"/>
      <c r="AM6439" s="26" t="s">
        <v>38</v>
      </c>
    </row>
    <row r="6440" spans="34:39" x14ac:dyDescent="0.35">
      <c r="AH6440" s="21"/>
      <c r="AI6440" s="21"/>
      <c r="AJ6440" s="21"/>
      <c r="AK6440" s="21"/>
      <c r="AM6440" s="26" t="s">
        <v>38</v>
      </c>
    </row>
    <row r="6441" spans="34:39" x14ac:dyDescent="0.35">
      <c r="AH6441" s="21"/>
      <c r="AI6441" s="21"/>
      <c r="AJ6441" s="21"/>
      <c r="AK6441" s="21"/>
      <c r="AM6441" s="26" t="s">
        <v>38</v>
      </c>
    </row>
    <row r="6442" spans="34:39" x14ac:dyDescent="0.35">
      <c r="AH6442" s="21"/>
      <c r="AI6442" s="21"/>
      <c r="AJ6442" s="21"/>
      <c r="AK6442" s="21"/>
      <c r="AM6442" s="26" t="s">
        <v>38</v>
      </c>
    </row>
    <row r="6443" spans="34:39" x14ac:dyDescent="0.35">
      <c r="AH6443" s="21"/>
      <c r="AI6443" s="21"/>
      <c r="AJ6443" s="21"/>
      <c r="AK6443" s="21"/>
      <c r="AM6443" s="26" t="s">
        <v>38</v>
      </c>
    </row>
    <row r="6444" spans="34:39" x14ac:dyDescent="0.35">
      <c r="AH6444" s="21"/>
      <c r="AI6444" s="21"/>
      <c r="AJ6444" s="21"/>
      <c r="AK6444" s="21"/>
      <c r="AM6444" s="26" t="s">
        <v>38</v>
      </c>
    </row>
    <row r="6445" spans="34:39" x14ac:dyDescent="0.35">
      <c r="AH6445" s="21"/>
      <c r="AI6445" s="21"/>
      <c r="AJ6445" s="21"/>
      <c r="AK6445" s="21"/>
      <c r="AM6445" s="26" t="s">
        <v>38</v>
      </c>
    </row>
    <row r="6446" spans="34:39" x14ac:dyDescent="0.35">
      <c r="AH6446" s="21"/>
      <c r="AI6446" s="21"/>
      <c r="AJ6446" s="21"/>
      <c r="AK6446" s="21"/>
      <c r="AM6446" s="26" t="s">
        <v>38</v>
      </c>
    </row>
    <row r="6447" spans="34:39" x14ac:dyDescent="0.35">
      <c r="AH6447" s="21"/>
      <c r="AI6447" s="21"/>
      <c r="AJ6447" s="21"/>
      <c r="AK6447" s="21"/>
      <c r="AM6447" s="26" t="s">
        <v>38</v>
      </c>
    </row>
    <row r="6448" spans="34:39" x14ac:dyDescent="0.35">
      <c r="AH6448" s="21"/>
      <c r="AI6448" s="21"/>
      <c r="AJ6448" s="21"/>
      <c r="AK6448" s="21"/>
      <c r="AM6448" s="26" t="s">
        <v>38</v>
      </c>
    </row>
    <row r="6449" spans="34:39" x14ac:dyDescent="0.35">
      <c r="AH6449" s="21"/>
      <c r="AI6449" s="21"/>
      <c r="AJ6449" s="21"/>
      <c r="AK6449" s="21"/>
      <c r="AM6449" s="26" t="s">
        <v>38</v>
      </c>
    </row>
    <row r="6450" spans="34:39" x14ac:dyDescent="0.35">
      <c r="AH6450" s="21"/>
      <c r="AI6450" s="21"/>
      <c r="AJ6450" s="21"/>
      <c r="AK6450" s="21"/>
      <c r="AM6450" s="26" t="s">
        <v>38</v>
      </c>
    </row>
    <row r="6451" spans="34:39" x14ac:dyDescent="0.35">
      <c r="AH6451" s="21"/>
      <c r="AI6451" s="21"/>
      <c r="AJ6451" s="21"/>
      <c r="AK6451" s="21"/>
      <c r="AM6451" s="26" t="s">
        <v>38</v>
      </c>
    </row>
    <row r="6452" spans="34:39" x14ac:dyDescent="0.35">
      <c r="AH6452" s="21"/>
      <c r="AI6452" s="21"/>
      <c r="AJ6452" s="21"/>
      <c r="AK6452" s="21"/>
      <c r="AM6452" s="26" t="s">
        <v>38</v>
      </c>
    </row>
    <row r="6453" spans="34:39" x14ac:dyDescent="0.35">
      <c r="AH6453" s="21"/>
      <c r="AI6453" s="21"/>
      <c r="AJ6453" s="21"/>
      <c r="AK6453" s="21"/>
      <c r="AM6453" s="26" t="s">
        <v>38</v>
      </c>
    </row>
    <row r="6454" spans="34:39" x14ac:dyDescent="0.35">
      <c r="AH6454" s="21"/>
      <c r="AI6454" s="21"/>
      <c r="AJ6454" s="21"/>
      <c r="AK6454" s="21"/>
      <c r="AM6454" s="26" t="s">
        <v>38</v>
      </c>
    </row>
    <row r="6455" spans="34:39" x14ac:dyDescent="0.35">
      <c r="AH6455" s="21"/>
      <c r="AI6455" s="21"/>
      <c r="AJ6455" s="21"/>
      <c r="AK6455" s="21"/>
      <c r="AM6455" s="26" t="s">
        <v>38</v>
      </c>
    </row>
    <row r="6456" spans="34:39" x14ac:dyDescent="0.35">
      <c r="AH6456" s="21"/>
      <c r="AI6456" s="21"/>
      <c r="AJ6456" s="21"/>
      <c r="AK6456" s="21"/>
      <c r="AM6456" s="26" t="s">
        <v>38</v>
      </c>
    </row>
    <row r="6457" spans="34:39" x14ac:dyDescent="0.35">
      <c r="AH6457" s="21"/>
      <c r="AI6457" s="21"/>
      <c r="AJ6457" s="21"/>
      <c r="AK6457" s="21"/>
      <c r="AM6457" s="26" t="s">
        <v>38</v>
      </c>
    </row>
    <row r="6458" spans="34:39" x14ac:dyDescent="0.35">
      <c r="AH6458" s="21"/>
      <c r="AI6458" s="21"/>
      <c r="AJ6458" s="21"/>
      <c r="AK6458" s="21"/>
      <c r="AM6458" s="26" t="s">
        <v>38</v>
      </c>
    </row>
    <row r="6459" spans="34:39" x14ac:dyDescent="0.35">
      <c r="AH6459" s="21"/>
      <c r="AI6459" s="21"/>
      <c r="AJ6459" s="21"/>
      <c r="AK6459" s="21"/>
      <c r="AM6459" s="26" t="s">
        <v>38</v>
      </c>
    </row>
    <row r="6460" spans="34:39" x14ac:dyDescent="0.35">
      <c r="AH6460" s="21"/>
      <c r="AI6460" s="21"/>
      <c r="AJ6460" s="21"/>
      <c r="AK6460" s="21"/>
      <c r="AM6460" s="26" t="s">
        <v>38</v>
      </c>
    </row>
    <row r="6461" spans="34:39" x14ac:dyDescent="0.35">
      <c r="AH6461" s="21"/>
      <c r="AI6461" s="21"/>
      <c r="AJ6461" s="21"/>
      <c r="AK6461" s="21"/>
      <c r="AM6461" s="26" t="s">
        <v>38</v>
      </c>
    </row>
    <row r="6462" spans="34:39" x14ac:dyDescent="0.35">
      <c r="AH6462" s="21"/>
      <c r="AI6462" s="21"/>
      <c r="AJ6462" s="21"/>
      <c r="AK6462" s="21"/>
      <c r="AM6462" s="26" t="s">
        <v>38</v>
      </c>
    </row>
    <row r="6463" spans="34:39" x14ac:dyDescent="0.35">
      <c r="AH6463" s="21"/>
      <c r="AI6463" s="21"/>
      <c r="AJ6463" s="21"/>
      <c r="AK6463" s="21"/>
      <c r="AM6463" s="26" t="s">
        <v>38</v>
      </c>
    </row>
    <row r="6464" spans="34:39" x14ac:dyDescent="0.35">
      <c r="AH6464" s="21"/>
      <c r="AI6464" s="21"/>
      <c r="AJ6464" s="21"/>
      <c r="AK6464" s="21"/>
      <c r="AM6464" s="26" t="s">
        <v>38</v>
      </c>
    </row>
    <row r="6465" spans="34:39" x14ac:dyDescent="0.35">
      <c r="AH6465" s="21"/>
      <c r="AI6465" s="21"/>
      <c r="AJ6465" s="21"/>
      <c r="AK6465" s="21"/>
      <c r="AM6465" s="26" t="s">
        <v>38</v>
      </c>
    </row>
    <row r="6466" spans="34:39" x14ac:dyDescent="0.35">
      <c r="AH6466" s="21"/>
      <c r="AI6466" s="21"/>
      <c r="AJ6466" s="21"/>
      <c r="AK6466" s="21"/>
      <c r="AM6466" s="26" t="s">
        <v>38</v>
      </c>
    </row>
    <row r="6467" spans="34:39" x14ac:dyDescent="0.35">
      <c r="AH6467" s="21"/>
      <c r="AI6467" s="21"/>
      <c r="AJ6467" s="21"/>
      <c r="AK6467" s="21"/>
      <c r="AM6467" s="26" t="s">
        <v>38</v>
      </c>
    </row>
    <row r="6468" spans="34:39" x14ac:dyDescent="0.35">
      <c r="AH6468" s="21"/>
      <c r="AI6468" s="21"/>
      <c r="AJ6468" s="21"/>
      <c r="AK6468" s="21"/>
      <c r="AM6468" s="26" t="s">
        <v>38</v>
      </c>
    </row>
    <row r="6469" spans="34:39" x14ac:dyDescent="0.35">
      <c r="AH6469" s="21"/>
      <c r="AI6469" s="21"/>
      <c r="AJ6469" s="21"/>
      <c r="AK6469" s="21"/>
      <c r="AM6469" s="26" t="s">
        <v>38</v>
      </c>
    </row>
    <row r="6470" spans="34:39" x14ac:dyDescent="0.35">
      <c r="AH6470" s="21"/>
      <c r="AI6470" s="21"/>
      <c r="AJ6470" s="21"/>
      <c r="AK6470" s="21"/>
      <c r="AM6470" s="26" t="s">
        <v>38</v>
      </c>
    </row>
    <row r="6471" spans="34:39" x14ac:dyDescent="0.35">
      <c r="AH6471" s="21"/>
      <c r="AI6471" s="21"/>
      <c r="AJ6471" s="21"/>
      <c r="AK6471" s="21"/>
      <c r="AM6471" s="26" t="s">
        <v>38</v>
      </c>
    </row>
    <row r="6472" spans="34:39" x14ac:dyDescent="0.35">
      <c r="AH6472" s="21"/>
      <c r="AI6472" s="21"/>
      <c r="AJ6472" s="21"/>
      <c r="AK6472" s="21"/>
      <c r="AM6472" s="26" t="s">
        <v>38</v>
      </c>
    </row>
    <row r="6473" spans="34:39" x14ac:dyDescent="0.35">
      <c r="AH6473" s="21"/>
      <c r="AI6473" s="21"/>
      <c r="AJ6473" s="21"/>
      <c r="AK6473" s="21"/>
      <c r="AM6473" s="26" t="s">
        <v>38</v>
      </c>
    </row>
    <row r="6474" spans="34:39" x14ac:dyDescent="0.35">
      <c r="AH6474" s="21"/>
      <c r="AI6474" s="21"/>
      <c r="AJ6474" s="21"/>
      <c r="AK6474" s="21"/>
      <c r="AM6474" s="26" t="s">
        <v>38</v>
      </c>
    </row>
    <row r="6475" spans="34:39" x14ac:dyDescent="0.35">
      <c r="AH6475" s="21"/>
      <c r="AI6475" s="21"/>
      <c r="AJ6475" s="21"/>
      <c r="AK6475" s="21"/>
      <c r="AM6475" s="26" t="s">
        <v>38</v>
      </c>
    </row>
    <row r="6476" spans="34:39" x14ac:dyDescent="0.35">
      <c r="AH6476" s="21"/>
      <c r="AI6476" s="21"/>
      <c r="AJ6476" s="21"/>
      <c r="AK6476" s="21"/>
      <c r="AM6476" s="26" t="s">
        <v>38</v>
      </c>
    </row>
    <row r="6477" spans="34:39" x14ac:dyDescent="0.35">
      <c r="AH6477" s="21"/>
      <c r="AI6477" s="21"/>
      <c r="AJ6477" s="21"/>
      <c r="AK6477" s="21"/>
      <c r="AM6477" s="26" t="s">
        <v>38</v>
      </c>
    </row>
    <row r="6478" spans="34:39" x14ac:dyDescent="0.35">
      <c r="AH6478" s="21"/>
      <c r="AI6478" s="21"/>
      <c r="AJ6478" s="21"/>
      <c r="AK6478" s="21"/>
      <c r="AM6478" s="26" t="s">
        <v>38</v>
      </c>
    </row>
    <row r="6479" spans="34:39" x14ac:dyDescent="0.35">
      <c r="AH6479" s="21"/>
      <c r="AI6479" s="21"/>
      <c r="AJ6479" s="21"/>
      <c r="AK6479" s="21"/>
      <c r="AM6479" s="26" t="s">
        <v>38</v>
      </c>
    </row>
    <row r="6480" spans="34:39" x14ac:dyDescent="0.35">
      <c r="AH6480" s="21"/>
      <c r="AI6480" s="21"/>
      <c r="AJ6480" s="21"/>
      <c r="AK6480" s="21"/>
      <c r="AM6480" s="26" t="s">
        <v>38</v>
      </c>
    </row>
    <row r="6481" spans="34:39" x14ac:dyDescent="0.35">
      <c r="AH6481" s="21"/>
      <c r="AI6481" s="21"/>
      <c r="AJ6481" s="21"/>
      <c r="AK6481" s="21"/>
      <c r="AM6481" s="26" t="s">
        <v>38</v>
      </c>
    </row>
    <row r="6482" spans="34:39" x14ac:dyDescent="0.35">
      <c r="AH6482" s="21"/>
      <c r="AI6482" s="21"/>
      <c r="AJ6482" s="21"/>
      <c r="AK6482" s="21"/>
      <c r="AM6482" s="26" t="s">
        <v>38</v>
      </c>
    </row>
    <row r="6483" spans="34:39" x14ac:dyDescent="0.35">
      <c r="AH6483" s="21"/>
      <c r="AI6483" s="21"/>
      <c r="AJ6483" s="21"/>
      <c r="AK6483" s="21"/>
      <c r="AM6483" s="26" t="s">
        <v>38</v>
      </c>
    </row>
    <row r="6484" spans="34:39" x14ac:dyDescent="0.35">
      <c r="AH6484" s="21"/>
      <c r="AI6484" s="21"/>
      <c r="AJ6484" s="21"/>
      <c r="AK6484" s="21"/>
      <c r="AM6484" s="26" t="s">
        <v>38</v>
      </c>
    </row>
    <row r="6485" spans="34:39" x14ac:dyDescent="0.35">
      <c r="AH6485" s="21"/>
      <c r="AI6485" s="21"/>
      <c r="AJ6485" s="21"/>
      <c r="AK6485" s="21"/>
      <c r="AM6485" s="26" t="s">
        <v>38</v>
      </c>
    </row>
    <row r="6486" spans="34:39" x14ac:dyDescent="0.35">
      <c r="AH6486" s="21"/>
      <c r="AI6486" s="21"/>
      <c r="AJ6486" s="21"/>
      <c r="AK6486" s="21"/>
      <c r="AM6486" s="26" t="s">
        <v>38</v>
      </c>
    </row>
    <row r="6487" spans="34:39" x14ac:dyDescent="0.35">
      <c r="AH6487" s="21"/>
      <c r="AI6487" s="21"/>
      <c r="AJ6487" s="21"/>
      <c r="AK6487" s="21"/>
      <c r="AM6487" s="26" t="s">
        <v>38</v>
      </c>
    </row>
    <row r="6488" spans="34:39" x14ac:dyDescent="0.35">
      <c r="AH6488" s="21"/>
      <c r="AI6488" s="21"/>
      <c r="AJ6488" s="21"/>
      <c r="AK6488" s="21"/>
      <c r="AM6488" s="26" t="s">
        <v>38</v>
      </c>
    </row>
    <row r="6489" spans="34:39" x14ac:dyDescent="0.35">
      <c r="AH6489" s="21"/>
      <c r="AI6489" s="21"/>
      <c r="AJ6489" s="21"/>
      <c r="AK6489" s="21"/>
      <c r="AM6489" s="26" t="s">
        <v>38</v>
      </c>
    </row>
    <row r="6490" spans="34:39" x14ac:dyDescent="0.35">
      <c r="AH6490" s="21"/>
      <c r="AI6490" s="21"/>
      <c r="AJ6490" s="21"/>
      <c r="AK6490" s="21"/>
      <c r="AM6490" s="26" t="s">
        <v>38</v>
      </c>
    </row>
    <row r="6491" spans="34:39" x14ac:dyDescent="0.35">
      <c r="AH6491" s="21"/>
      <c r="AI6491" s="21"/>
      <c r="AJ6491" s="21"/>
      <c r="AK6491" s="21"/>
      <c r="AM6491" s="26" t="s">
        <v>38</v>
      </c>
    </row>
    <row r="6492" spans="34:39" x14ac:dyDescent="0.35">
      <c r="AH6492" s="21"/>
      <c r="AI6492" s="21"/>
      <c r="AJ6492" s="21"/>
      <c r="AK6492" s="21"/>
      <c r="AM6492" s="26" t="s">
        <v>38</v>
      </c>
    </row>
    <row r="6493" spans="34:39" x14ac:dyDescent="0.35">
      <c r="AH6493" s="21"/>
      <c r="AI6493" s="21"/>
      <c r="AJ6493" s="21"/>
      <c r="AK6493" s="21"/>
      <c r="AM6493" s="26" t="s">
        <v>38</v>
      </c>
    </row>
    <row r="6494" spans="34:39" x14ac:dyDescent="0.35">
      <c r="AH6494" s="21"/>
      <c r="AI6494" s="21"/>
      <c r="AJ6494" s="21"/>
      <c r="AK6494" s="21"/>
      <c r="AM6494" s="26" t="s">
        <v>38</v>
      </c>
    </row>
    <row r="6495" spans="34:39" x14ac:dyDescent="0.35">
      <c r="AH6495" s="21"/>
      <c r="AI6495" s="21"/>
      <c r="AJ6495" s="21"/>
      <c r="AK6495" s="21"/>
      <c r="AM6495" s="26" t="s">
        <v>38</v>
      </c>
    </row>
    <row r="6496" spans="34:39" x14ac:dyDescent="0.35">
      <c r="AH6496" s="21"/>
      <c r="AI6496" s="21"/>
      <c r="AJ6496" s="21"/>
      <c r="AK6496" s="21"/>
      <c r="AM6496" s="26" t="s">
        <v>38</v>
      </c>
    </row>
    <row r="6497" spans="34:39" x14ac:dyDescent="0.35">
      <c r="AH6497" s="21"/>
      <c r="AI6497" s="21"/>
      <c r="AJ6497" s="21"/>
      <c r="AK6497" s="21"/>
      <c r="AM6497" s="26" t="s">
        <v>38</v>
      </c>
    </row>
    <row r="6498" spans="34:39" x14ac:dyDescent="0.35">
      <c r="AH6498" s="21"/>
      <c r="AI6498" s="21"/>
      <c r="AJ6498" s="21"/>
      <c r="AK6498" s="21"/>
      <c r="AM6498" s="26" t="s">
        <v>38</v>
      </c>
    </row>
    <row r="6499" spans="34:39" x14ac:dyDescent="0.35">
      <c r="AH6499" s="21"/>
      <c r="AI6499" s="21"/>
      <c r="AJ6499" s="21"/>
      <c r="AK6499" s="21"/>
      <c r="AM6499" s="26" t="s">
        <v>38</v>
      </c>
    </row>
    <row r="6500" spans="34:39" x14ac:dyDescent="0.35">
      <c r="AH6500" s="21"/>
      <c r="AI6500" s="21"/>
      <c r="AJ6500" s="21"/>
      <c r="AK6500" s="21"/>
      <c r="AM6500" s="26" t="s">
        <v>38</v>
      </c>
    </row>
    <row r="6501" spans="34:39" x14ac:dyDescent="0.35">
      <c r="AH6501" s="21"/>
      <c r="AI6501" s="21"/>
      <c r="AJ6501" s="21"/>
      <c r="AK6501" s="21"/>
      <c r="AM6501" s="26" t="s">
        <v>38</v>
      </c>
    </row>
    <row r="6502" spans="34:39" x14ac:dyDescent="0.35">
      <c r="AH6502" s="21"/>
      <c r="AI6502" s="21"/>
      <c r="AJ6502" s="21"/>
      <c r="AK6502" s="21"/>
      <c r="AM6502" s="26" t="s">
        <v>38</v>
      </c>
    </row>
    <row r="6503" spans="34:39" x14ac:dyDescent="0.35">
      <c r="AH6503" s="21"/>
      <c r="AI6503" s="21"/>
      <c r="AJ6503" s="21"/>
      <c r="AK6503" s="21"/>
      <c r="AM6503" s="26" t="s">
        <v>38</v>
      </c>
    </row>
    <row r="6504" spans="34:39" x14ac:dyDescent="0.35">
      <c r="AH6504" s="21"/>
      <c r="AI6504" s="21"/>
      <c r="AJ6504" s="21"/>
      <c r="AK6504" s="21"/>
      <c r="AM6504" s="26" t="s">
        <v>38</v>
      </c>
    </row>
    <row r="6505" spans="34:39" x14ac:dyDescent="0.35">
      <c r="AH6505" s="21"/>
      <c r="AI6505" s="21"/>
      <c r="AJ6505" s="21"/>
      <c r="AK6505" s="21"/>
      <c r="AM6505" s="26" t="s">
        <v>38</v>
      </c>
    </row>
    <row r="6506" spans="34:39" x14ac:dyDescent="0.35">
      <c r="AH6506" s="21"/>
      <c r="AI6506" s="21"/>
      <c r="AJ6506" s="21"/>
      <c r="AK6506" s="21"/>
      <c r="AM6506" s="26" t="s">
        <v>38</v>
      </c>
    </row>
    <row r="6507" spans="34:39" x14ac:dyDescent="0.35">
      <c r="AH6507" s="21"/>
      <c r="AI6507" s="21"/>
      <c r="AJ6507" s="21"/>
      <c r="AK6507" s="21"/>
      <c r="AM6507" s="26" t="s">
        <v>38</v>
      </c>
    </row>
    <row r="6508" spans="34:39" x14ac:dyDescent="0.35">
      <c r="AH6508" s="21"/>
      <c r="AI6508" s="21"/>
      <c r="AJ6508" s="21"/>
      <c r="AK6508" s="21"/>
      <c r="AM6508" s="26" t="s">
        <v>38</v>
      </c>
    </row>
    <row r="6509" spans="34:39" x14ac:dyDescent="0.35">
      <c r="AH6509" s="21"/>
      <c r="AI6509" s="21"/>
      <c r="AJ6509" s="21"/>
      <c r="AK6509" s="21"/>
      <c r="AM6509" s="26" t="s">
        <v>38</v>
      </c>
    </row>
    <row r="6510" spans="34:39" x14ac:dyDescent="0.35">
      <c r="AH6510" s="21"/>
      <c r="AI6510" s="21"/>
      <c r="AJ6510" s="21"/>
      <c r="AK6510" s="21"/>
      <c r="AM6510" s="26" t="s">
        <v>38</v>
      </c>
    </row>
    <row r="6511" spans="34:39" x14ac:dyDescent="0.35">
      <c r="AH6511" s="21"/>
      <c r="AI6511" s="21"/>
      <c r="AJ6511" s="21"/>
      <c r="AK6511" s="21"/>
      <c r="AM6511" s="26" t="s">
        <v>38</v>
      </c>
    </row>
    <row r="6512" spans="34:39" x14ac:dyDescent="0.35">
      <c r="AH6512" s="21"/>
      <c r="AI6512" s="21"/>
      <c r="AJ6512" s="21"/>
      <c r="AK6512" s="21"/>
      <c r="AM6512" s="26" t="s">
        <v>38</v>
      </c>
    </row>
    <row r="6513" spans="34:39" x14ac:dyDescent="0.35">
      <c r="AH6513" s="21"/>
      <c r="AI6513" s="21"/>
      <c r="AJ6513" s="21"/>
      <c r="AK6513" s="21"/>
      <c r="AM6513" s="26" t="s">
        <v>38</v>
      </c>
    </row>
    <row r="6514" spans="34:39" x14ac:dyDescent="0.35">
      <c r="AH6514" s="21"/>
      <c r="AI6514" s="21"/>
      <c r="AJ6514" s="21"/>
      <c r="AK6514" s="21"/>
      <c r="AM6514" s="26" t="s">
        <v>38</v>
      </c>
    </row>
    <row r="6515" spans="34:39" x14ac:dyDescent="0.35">
      <c r="AH6515" s="21"/>
      <c r="AI6515" s="21"/>
      <c r="AJ6515" s="21"/>
      <c r="AK6515" s="21"/>
      <c r="AM6515" s="26" t="s">
        <v>38</v>
      </c>
    </row>
    <row r="6516" spans="34:39" x14ac:dyDescent="0.35">
      <c r="AH6516" s="21"/>
      <c r="AI6516" s="21"/>
      <c r="AJ6516" s="21"/>
      <c r="AK6516" s="21"/>
      <c r="AM6516" s="26" t="s">
        <v>38</v>
      </c>
    </row>
    <row r="6517" spans="34:39" x14ac:dyDescent="0.35">
      <c r="AH6517" s="21"/>
      <c r="AI6517" s="21"/>
      <c r="AJ6517" s="21"/>
      <c r="AK6517" s="21"/>
      <c r="AM6517" s="26" t="s">
        <v>38</v>
      </c>
    </row>
    <row r="6518" spans="34:39" x14ac:dyDescent="0.35">
      <c r="AH6518" s="21"/>
      <c r="AI6518" s="21"/>
      <c r="AJ6518" s="21"/>
      <c r="AK6518" s="21"/>
      <c r="AM6518" s="26" t="s">
        <v>38</v>
      </c>
    </row>
    <row r="6519" spans="34:39" x14ac:dyDescent="0.35">
      <c r="AH6519" s="21"/>
      <c r="AI6519" s="21"/>
      <c r="AJ6519" s="21"/>
      <c r="AK6519" s="21"/>
      <c r="AM6519" s="26" t="s">
        <v>38</v>
      </c>
    </row>
    <row r="6520" spans="34:39" x14ac:dyDescent="0.35">
      <c r="AH6520" s="21"/>
      <c r="AI6520" s="21"/>
      <c r="AJ6520" s="21"/>
      <c r="AK6520" s="21"/>
      <c r="AM6520" s="26" t="s">
        <v>38</v>
      </c>
    </row>
    <row r="6521" spans="34:39" x14ac:dyDescent="0.35">
      <c r="AH6521" s="21"/>
      <c r="AI6521" s="21"/>
      <c r="AJ6521" s="21"/>
      <c r="AK6521" s="21"/>
      <c r="AM6521" s="26" t="s">
        <v>38</v>
      </c>
    </row>
    <row r="6522" spans="34:39" x14ac:dyDescent="0.35">
      <c r="AH6522" s="21"/>
      <c r="AI6522" s="21"/>
      <c r="AJ6522" s="21"/>
      <c r="AK6522" s="21"/>
      <c r="AM6522" s="26" t="s">
        <v>38</v>
      </c>
    </row>
    <row r="6523" spans="34:39" x14ac:dyDescent="0.35">
      <c r="AH6523" s="21"/>
      <c r="AI6523" s="21"/>
      <c r="AJ6523" s="21"/>
      <c r="AK6523" s="21"/>
      <c r="AM6523" s="26" t="s">
        <v>38</v>
      </c>
    </row>
    <row r="6524" spans="34:39" x14ac:dyDescent="0.35">
      <c r="AH6524" s="21"/>
      <c r="AI6524" s="21"/>
      <c r="AJ6524" s="21"/>
      <c r="AK6524" s="21"/>
      <c r="AM6524" s="26" t="s">
        <v>38</v>
      </c>
    </row>
    <row r="6525" spans="34:39" x14ac:dyDescent="0.35">
      <c r="AH6525" s="21"/>
      <c r="AI6525" s="21"/>
      <c r="AJ6525" s="21"/>
      <c r="AK6525" s="21"/>
      <c r="AM6525" s="26" t="s">
        <v>38</v>
      </c>
    </row>
    <row r="6526" spans="34:39" x14ac:dyDescent="0.35">
      <c r="AH6526" s="21"/>
      <c r="AI6526" s="21"/>
      <c r="AJ6526" s="21"/>
      <c r="AK6526" s="21"/>
      <c r="AM6526" s="26" t="s">
        <v>38</v>
      </c>
    </row>
    <row r="6527" spans="34:39" x14ac:dyDescent="0.35">
      <c r="AH6527" s="21"/>
      <c r="AI6527" s="21"/>
      <c r="AJ6527" s="21"/>
      <c r="AK6527" s="21"/>
      <c r="AM6527" s="26" t="s">
        <v>38</v>
      </c>
    </row>
    <row r="6528" spans="34:39" x14ac:dyDescent="0.35">
      <c r="AH6528" s="21"/>
      <c r="AI6528" s="21"/>
      <c r="AJ6528" s="21"/>
      <c r="AK6528" s="21"/>
      <c r="AM6528" s="26" t="s">
        <v>38</v>
      </c>
    </row>
    <row r="6529" spans="34:39" x14ac:dyDescent="0.35">
      <c r="AH6529" s="21"/>
      <c r="AI6529" s="21"/>
      <c r="AJ6529" s="21"/>
      <c r="AK6529" s="21"/>
      <c r="AM6529" s="26" t="s">
        <v>38</v>
      </c>
    </row>
    <row r="6530" spans="34:39" x14ac:dyDescent="0.35">
      <c r="AH6530" s="21"/>
      <c r="AI6530" s="21"/>
      <c r="AJ6530" s="21"/>
      <c r="AK6530" s="21"/>
      <c r="AM6530" s="26" t="s">
        <v>38</v>
      </c>
    </row>
    <row r="6531" spans="34:39" x14ac:dyDescent="0.35">
      <c r="AH6531" s="21"/>
      <c r="AI6531" s="21"/>
      <c r="AJ6531" s="21"/>
      <c r="AK6531" s="21"/>
      <c r="AM6531" s="26" t="s">
        <v>38</v>
      </c>
    </row>
    <row r="6532" spans="34:39" x14ac:dyDescent="0.35">
      <c r="AH6532" s="21"/>
      <c r="AI6532" s="21"/>
      <c r="AJ6532" s="21"/>
      <c r="AK6532" s="21"/>
      <c r="AM6532" s="26" t="s">
        <v>38</v>
      </c>
    </row>
    <row r="6533" spans="34:39" x14ac:dyDescent="0.35">
      <c r="AH6533" s="21"/>
      <c r="AI6533" s="21"/>
      <c r="AJ6533" s="21"/>
      <c r="AK6533" s="21"/>
      <c r="AM6533" s="26" t="s">
        <v>38</v>
      </c>
    </row>
    <row r="6534" spans="34:39" x14ac:dyDescent="0.35">
      <c r="AH6534" s="21"/>
      <c r="AI6534" s="21"/>
      <c r="AJ6534" s="21"/>
      <c r="AK6534" s="21"/>
      <c r="AM6534" s="26" t="s">
        <v>38</v>
      </c>
    </row>
    <row r="6535" spans="34:39" x14ac:dyDescent="0.35">
      <c r="AH6535" s="21"/>
      <c r="AI6535" s="21"/>
      <c r="AJ6535" s="21"/>
      <c r="AK6535" s="21"/>
      <c r="AM6535" s="26" t="s">
        <v>38</v>
      </c>
    </row>
    <row r="6536" spans="34:39" x14ac:dyDescent="0.35">
      <c r="AH6536" s="21"/>
      <c r="AI6536" s="21"/>
      <c r="AJ6536" s="21"/>
      <c r="AK6536" s="21"/>
      <c r="AM6536" s="26" t="s">
        <v>38</v>
      </c>
    </row>
    <row r="6537" spans="34:39" x14ac:dyDescent="0.35">
      <c r="AH6537" s="21"/>
      <c r="AI6537" s="21"/>
      <c r="AJ6537" s="21"/>
      <c r="AK6537" s="21"/>
      <c r="AM6537" s="26" t="s">
        <v>38</v>
      </c>
    </row>
    <row r="6538" spans="34:39" x14ac:dyDescent="0.35">
      <c r="AH6538" s="21"/>
      <c r="AI6538" s="21"/>
      <c r="AJ6538" s="21"/>
      <c r="AK6538" s="21"/>
      <c r="AM6538" s="26" t="s">
        <v>38</v>
      </c>
    </row>
    <row r="6539" spans="34:39" x14ac:dyDescent="0.35">
      <c r="AH6539" s="21"/>
      <c r="AI6539" s="21"/>
      <c r="AJ6539" s="21"/>
      <c r="AK6539" s="21"/>
      <c r="AM6539" s="26" t="s">
        <v>38</v>
      </c>
    </row>
    <row r="6540" spans="34:39" x14ac:dyDescent="0.35">
      <c r="AH6540" s="21"/>
      <c r="AI6540" s="21"/>
      <c r="AJ6540" s="21"/>
      <c r="AK6540" s="21"/>
      <c r="AM6540" s="26" t="s">
        <v>38</v>
      </c>
    </row>
    <row r="6541" spans="34:39" x14ac:dyDescent="0.35">
      <c r="AH6541" s="21"/>
      <c r="AI6541" s="21"/>
      <c r="AJ6541" s="21"/>
      <c r="AK6541" s="21"/>
      <c r="AM6541" s="26" t="s">
        <v>38</v>
      </c>
    </row>
    <row r="6542" spans="34:39" x14ac:dyDescent="0.35">
      <c r="AH6542" s="21"/>
      <c r="AI6542" s="21"/>
      <c r="AJ6542" s="21"/>
      <c r="AK6542" s="21"/>
      <c r="AM6542" s="26" t="s">
        <v>38</v>
      </c>
    </row>
    <row r="6543" spans="34:39" x14ac:dyDescent="0.35">
      <c r="AH6543" s="21"/>
      <c r="AI6543" s="21"/>
      <c r="AJ6543" s="21"/>
      <c r="AK6543" s="21"/>
      <c r="AM6543" s="26" t="s">
        <v>38</v>
      </c>
    </row>
    <row r="6544" spans="34:39" x14ac:dyDescent="0.35">
      <c r="AH6544" s="21"/>
      <c r="AI6544" s="21"/>
      <c r="AJ6544" s="21"/>
      <c r="AK6544" s="21"/>
      <c r="AM6544" s="26" t="s">
        <v>38</v>
      </c>
    </row>
    <row r="6545" spans="34:39" x14ac:dyDescent="0.35">
      <c r="AH6545" s="21"/>
      <c r="AI6545" s="21"/>
      <c r="AJ6545" s="21"/>
      <c r="AK6545" s="21"/>
      <c r="AM6545" s="26" t="s">
        <v>38</v>
      </c>
    </row>
    <row r="6546" spans="34:39" x14ac:dyDescent="0.35">
      <c r="AH6546" s="21"/>
      <c r="AI6546" s="21"/>
      <c r="AJ6546" s="21"/>
      <c r="AK6546" s="21"/>
      <c r="AM6546" s="26" t="s">
        <v>38</v>
      </c>
    </row>
    <row r="6547" spans="34:39" x14ac:dyDescent="0.35">
      <c r="AH6547" s="21"/>
      <c r="AI6547" s="21"/>
      <c r="AJ6547" s="21"/>
      <c r="AK6547" s="21"/>
      <c r="AM6547" s="26" t="s">
        <v>38</v>
      </c>
    </row>
    <row r="6548" spans="34:39" x14ac:dyDescent="0.35">
      <c r="AH6548" s="21"/>
      <c r="AI6548" s="21"/>
      <c r="AJ6548" s="21"/>
      <c r="AK6548" s="21"/>
      <c r="AM6548" s="26" t="s">
        <v>38</v>
      </c>
    </row>
    <row r="6549" spans="34:39" x14ac:dyDescent="0.35">
      <c r="AH6549" s="21"/>
      <c r="AI6549" s="21"/>
      <c r="AJ6549" s="21"/>
      <c r="AK6549" s="21"/>
      <c r="AM6549" s="26" t="s">
        <v>38</v>
      </c>
    </row>
    <row r="6550" spans="34:39" x14ac:dyDescent="0.35">
      <c r="AH6550" s="21"/>
      <c r="AI6550" s="21"/>
      <c r="AJ6550" s="21"/>
      <c r="AK6550" s="21"/>
      <c r="AM6550" s="26" t="s">
        <v>38</v>
      </c>
    </row>
    <row r="6551" spans="34:39" x14ac:dyDescent="0.35">
      <c r="AH6551" s="21"/>
      <c r="AI6551" s="21"/>
      <c r="AJ6551" s="21"/>
      <c r="AK6551" s="21"/>
      <c r="AM6551" s="26" t="s">
        <v>38</v>
      </c>
    </row>
    <row r="6552" spans="34:39" x14ac:dyDescent="0.35">
      <c r="AH6552" s="21"/>
      <c r="AI6552" s="21"/>
      <c r="AJ6552" s="21"/>
      <c r="AK6552" s="21"/>
      <c r="AM6552" s="26" t="s">
        <v>38</v>
      </c>
    </row>
    <row r="6553" spans="34:39" x14ac:dyDescent="0.35">
      <c r="AH6553" s="21"/>
      <c r="AI6553" s="21"/>
      <c r="AJ6553" s="21"/>
      <c r="AK6553" s="21"/>
      <c r="AM6553" s="26" t="s">
        <v>38</v>
      </c>
    </row>
    <row r="6554" spans="34:39" x14ac:dyDescent="0.35">
      <c r="AH6554" s="21"/>
      <c r="AI6554" s="21"/>
      <c r="AJ6554" s="21"/>
      <c r="AK6554" s="21"/>
      <c r="AM6554" s="26" t="s">
        <v>38</v>
      </c>
    </row>
    <row r="6555" spans="34:39" x14ac:dyDescent="0.35">
      <c r="AH6555" s="21"/>
      <c r="AI6555" s="21"/>
      <c r="AJ6555" s="21"/>
      <c r="AK6555" s="21"/>
      <c r="AM6555" s="26" t="s">
        <v>38</v>
      </c>
    </row>
    <row r="6556" spans="34:39" x14ac:dyDescent="0.35">
      <c r="AH6556" s="21"/>
      <c r="AI6556" s="21"/>
      <c r="AJ6556" s="21"/>
      <c r="AK6556" s="21"/>
      <c r="AM6556" s="26" t="s">
        <v>38</v>
      </c>
    </row>
    <row r="6557" spans="34:39" x14ac:dyDescent="0.35">
      <c r="AH6557" s="21"/>
      <c r="AI6557" s="21"/>
      <c r="AJ6557" s="21"/>
      <c r="AK6557" s="21"/>
      <c r="AM6557" s="26" t="s">
        <v>38</v>
      </c>
    </row>
    <row r="6558" spans="34:39" x14ac:dyDescent="0.35">
      <c r="AH6558" s="21"/>
      <c r="AI6558" s="21"/>
      <c r="AJ6558" s="21"/>
      <c r="AK6558" s="21"/>
      <c r="AM6558" s="26" t="s">
        <v>38</v>
      </c>
    </row>
    <row r="6559" spans="34:39" x14ac:dyDescent="0.35">
      <c r="AH6559" s="21"/>
      <c r="AI6559" s="21"/>
      <c r="AJ6559" s="21"/>
      <c r="AK6559" s="21"/>
      <c r="AM6559" s="26" t="s">
        <v>38</v>
      </c>
    </row>
    <row r="6560" spans="34:39" x14ac:dyDescent="0.35">
      <c r="AH6560" s="21"/>
      <c r="AI6560" s="21"/>
      <c r="AJ6560" s="21"/>
      <c r="AK6560" s="21"/>
      <c r="AM6560" s="26" t="s">
        <v>38</v>
      </c>
    </row>
    <row r="6561" spans="34:39" x14ac:dyDescent="0.35">
      <c r="AH6561" s="21"/>
      <c r="AI6561" s="21"/>
      <c r="AJ6561" s="21"/>
      <c r="AK6561" s="21"/>
      <c r="AM6561" s="26" t="s">
        <v>38</v>
      </c>
    </row>
    <row r="6562" spans="34:39" x14ac:dyDescent="0.35">
      <c r="AH6562" s="21"/>
      <c r="AI6562" s="21"/>
      <c r="AJ6562" s="21"/>
      <c r="AK6562" s="21"/>
      <c r="AM6562" s="26" t="s">
        <v>38</v>
      </c>
    </row>
    <row r="6563" spans="34:39" x14ac:dyDescent="0.35">
      <c r="AH6563" s="21"/>
      <c r="AI6563" s="21"/>
      <c r="AJ6563" s="21"/>
      <c r="AK6563" s="21"/>
      <c r="AM6563" s="26" t="s">
        <v>38</v>
      </c>
    </row>
    <row r="6564" spans="34:39" x14ac:dyDescent="0.35">
      <c r="AH6564" s="21"/>
      <c r="AI6564" s="21"/>
      <c r="AJ6564" s="21"/>
      <c r="AK6564" s="21"/>
      <c r="AM6564" s="26" t="s">
        <v>38</v>
      </c>
    </row>
    <row r="6565" spans="34:39" x14ac:dyDescent="0.35">
      <c r="AH6565" s="21"/>
      <c r="AI6565" s="21"/>
      <c r="AJ6565" s="21"/>
      <c r="AK6565" s="21"/>
      <c r="AM6565" s="26" t="s">
        <v>38</v>
      </c>
    </row>
    <row r="6566" spans="34:39" x14ac:dyDescent="0.35">
      <c r="AH6566" s="21"/>
      <c r="AI6566" s="21"/>
      <c r="AJ6566" s="21"/>
      <c r="AK6566" s="21"/>
      <c r="AM6566" s="26" t="s">
        <v>38</v>
      </c>
    </row>
    <row r="6567" spans="34:39" x14ac:dyDescent="0.35">
      <c r="AH6567" s="21"/>
      <c r="AI6567" s="21"/>
      <c r="AJ6567" s="21"/>
      <c r="AK6567" s="21"/>
      <c r="AM6567" s="26" t="s">
        <v>38</v>
      </c>
    </row>
    <row r="6568" spans="34:39" x14ac:dyDescent="0.35">
      <c r="AH6568" s="21"/>
      <c r="AI6568" s="21"/>
      <c r="AJ6568" s="21"/>
      <c r="AK6568" s="21"/>
      <c r="AM6568" s="26" t="s">
        <v>38</v>
      </c>
    </row>
    <row r="6569" spans="34:39" x14ac:dyDescent="0.35">
      <c r="AH6569" s="21"/>
      <c r="AI6569" s="21"/>
      <c r="AJ6569" s="21"/>
      <c r="AK6569" s="21"/>
      <c r="AM6569" s="26" t="s">
        <v>38</v>
      </c>
    </row>
    <row r="6570" spans="34:39" x14ac:dyDescent="0.35">
      <c r="AH6570" s="21"/>
      <c r="AI6570" s="21"/>
      <c r="AJ6570" s="21"/>
      <c r="AK6570" s="21"/>
      <c r="AM6570" s="26" t="s">
        <v>38</v>
      </c>
    </row>
    <row r="6571" spans="34:39" x14ac:dyDescent="0.35">
      <c r="AH6571" s="21"/>
      <c r="AI6571" s="21"/>
      <c r="AJ6571" s="21"/>
      <c r="AK6571" s="21"/>
      <c r="AM6571" s="26" t="s">
        <v>38</v>
      </c>
    </row>
    <row r="6572" spans="34:39" x14ac:dyDescent="0.35">
      <c r="AH6572" s="21"/>
      <c r="AI6572" s="21"/>
      <c r="AJ6572" s="21"/>
      <c r="AK6572" s="21"/>
      <c r="AM6572" s="26" t="s">
        <v>38</v>
      </c>
    </row>
    <row r="6573" spans="34:39" x14ac:dyDescent="0.35">
      <c r="AH6573" s="21"/>
      <c r="AI6573" s="21"/>
      <c r="AJ6573" s="21"/>
      <c r="AK6573" s="21"/>
      <c r="AM6573" s="26" t="s">
        <v>38</v>
      </c>
    </row>
    <row r="6574" spans="34:39" x14ac:dyDescent="0.35">
      <c r="AH6574" s="21"/>
      <c r="AI6574" s="21"/>
      <c r="AJ6574" s="21"/>
      <c r="AK6574" s="21"/>
      <c r="AM6574" s="26" t="s">
        <v>38</v>
      </c>
    </row>
    <row r="6575" spans="34:39" x14ac:dyDescent="0.35">
      <c r="AH6575" s="21"/>
      <c r="AI6575" s="21"/>
      <c r="AJ6575" s="21"/>
      <c r="AK6575" s="21"/>
      <c r="AM6575" s="26" t="s">
        <v>38</v>
      </c>
    </row>
    <row r="6576" spans="34:39" x14ac:dyDescent="0.35">
      <c r="AH6576" s="21"/>
      <c r="AI6576" s="21"/>
      <c r="AJ6576" s="21"/>
      <c r="AK6576" s="21"/>
      <c r="AM6576" s="26" t="s">
        <v>38</v>
      </c>
    </row>
    <row r="6577" spans="34:39" x14ac:dyDescent="0.35">
      <c r="AH6577" s="21"/>
      <c r="AI6577" s="21"/>
      <c r="AJ6577" s="21"/>
      <c r="AK6577" s="21"/>
      <c r="AM6577" s="26" t="s">
        <v>38</v>
      </c>
    </row>
    <row r="6578" spans="34:39" x14ac:dyDescent="0.35">
      <c r="AH6578" s="21"/>
      <c r="AI6578" s="21"/>
      <c r="AJ6578" s="21"/>
      <c r="AK6578" s="21"/>
      <c r="AM6578" s="26" t="s">
        <v>38</v>
      </c>
    </row>
    <row r="6579" spans="34:39" x14ac:dyDescent="0.35">
      <c r="AH6579" s="21"/>
      <c r="AI6579" s="21"/>
      <c r="AJ6579" s="21"/>
      <c r="AK6579" s="21"/>
      <c r="AM6579" s="26" t="s">
        <v>38</v>
      </c>
    </row>
    <row r="6580" spans="34:39" x14ac:dyDescent="0.35">
      <c r="AH6580" s="21"/>
      <c r="AI6580" s="21"/>
      <c r="AJ6580" s="21"/>
      <c r="AK6580" s="21"/>
      <c r="AM6580" s="26" t="s">
        <v>38</v>
      </c>
    </row>
    <row r="6581" spans="34:39" x14ac:dyDescent="0.35">
      <c r="AH6581" s="21"/>
      <c r="AI6581" s="21"/>
      <c r="AJ6581" s="21"/>
      <c r="AK6581" s="21"/>
      <c r="AM6581" s="26" t="s">
        <v>38</v>
      </c>
    </row>
    <row r="6582" spans="34:39" x14ac:dyDescent="0.35">
      <c r="AH6582" s="21"/>
      <c r="AI6582" s="21"/>
      <c r="AJ6582" s="21"/>
      <c r="AK6582" s="21"/>
      <c r="AM6582" s="26" t="s">
        <v>38</v>
      </c>
    </row>
    <row r="6583" spans="34:39" x14ac:dyDescent="0.35">
      <c r="AH6583" s="21"/>
      <c r="AI6583" s="21"/>
      <c r="AJ6583" s="21"/>
      <c r="AK6583" s="21"/>
      <c r="AM6583" s="26" t="s">
        <v>38</v>
      </c>
    </row>
    <row r="6584" spans="34:39" x14ac:dyDescent="0.35">
      <c r="AH6584" s="21"/>
      <c r="AI6584" s="21"/>
      <c r="AJ6584" s="21"/>
      <c r="AK6584" s="21"/>
      <c r="AM6584" s="26" t="s">
        <v>38</v>
      </c>
    </row>
    <row r="6585" spans="34:39" x14ac:dyDescent="0.35">
      <c r="AH6585" s="21"/>
      <c r="AI6585" s="21"/>
      <c r="AJ6585" s="21"/>
      <c r="AK6585" s="21"/>
      <c r="AM6585" s="26" t="s">
        <v>38</v>
      </c>
    </row>
    <row r="6586" spans="34:39" x14ac:dyDescent="0.35">
      <c r="AH6586" s="21"/>
      <c r="AI6586" s="21"/>
      <c r="AJ6586" s="21"/>
      <c r="AK6586" s="21"/>
      <c r="AM6586" s="26" t="s">
        <v>38</v>
      </c>
    </row>
    <row r="6587" spans="34:39" x14ac:dyDescent="0.35">
      <c r="AH6587" s="21"/>
      <c r="AI6587" s="21"/>
      <c r="AJ6587" s="21"/>
      <c r="AK6587" s="21"/>
      <c r="AM6587" s="26" t="s">
        <v>38</v>
      </c>
    </row>
    <row r="6588" spans="34:39" x14ac:dyDescent="0.35">
      <c r="AH6588" s="21"/>
      <c r="AI6588" s="21"/>
      <c r="AJ6588" s="21"/>
      <c r="AK6588" s="21"/>
      <c r="AM6588" s="26" t="s">
        <v>38</v>
      </c>
    </row>
    <row r="6589" spans="34:39" x14ac:dyDescent="0.35">
      <c r="AH6589" s="21"/>
      <c r="AI6589" s="21"/>
      <c r="AJ6589" s="21"/>
      <c r="AK6589" s="21"/>
      <c r="AM6589" s="26" t="s">
        <v>38</v>
      </c>
    </row>
    <row r="6590" spans="34:39" x14ac:dyDescent="0.35">
      <c r="AH6590" s="21"/>
      <c r="AI6590" s="21"/>
      <c r="AJ6590" s="21"/>
      <c r="AK6590" s="21"/>
      <c r="AM6590" s="26" t="s">
        <v>38</v>
      </c>
    </row>
    <row r="6591" spans="34:39" x14ac:dyDescent="0.35">
      <c r="AH6591" s="21"/>
      <c r="AI6591" s="21"/>
      <c r="AJ6591" s="21"/>
      <c r="AK6591" s="21"/>
      <c r="AM6591" s="26" t="s">
        <v>38</v>
      </c>
    </row>
    <row r="6592" spans="34:39" x14ac:dyDescent="0.35">
      <c r="AH6592" s="21"/>
      <c r="AI6592" s="21"/>
      <c r="AJ6592" s="21"/>
      <c r="AK6592" s="21"/>
      <c r="AM6592" s="26" t="s">
        <v>38</v>
      </c>
    </row>
    <row r="6593" spans="34:39" x14ac:dyDescent="0.35">
      <c r="AH6593" s="21"/>
      <c r="AI6593" s="21"/>
      <c r="AJ6593" s="21"/>
      <c r="AK6593" s="21"/>
      <c r="AM6593" s="26" t="s">
        <v>38</v>
      </c>
    </row>
    <row r="6594" spans="34:39" x14ac:dyDescent="0.35">
      <c r="AH6594" s="21"/>
      <c r="AI6594" s="21"/>
      <c r="AJ6594" s="21"/>
      <c r="AK6594" s="21"/>
      <c r="AM6594" s="26" t="s">
        <v>38</v>
      </c>
    </row>
    <row r="6595" spans="34:39" x14ac:dyDescent="0.35">
      <c r="AH6595" s="21"/>
      <c r="AI6595" s="21"/>
      <c r="AJ6595" s="21"/>
      <c r="AK6595" s="21"/>
      <c r="AM6595" s="26" t="s">
        <v>38</v>
      </c>
    </row>
    <row r="6596" spans="34:39" x14ac:dyDescent="0.35">
      <c r="AH6596" s="21"/>
      <c r="AI6596" s="21"/>
      <c r="AJ6596" s="21"/>
      <c r="AK6596" s="21"/>
      <c r="AM6596" s="26" t="s">
        <v>38</v>
      </c>
    </row>
    <row r="6597" spans="34:39" x14ac:dyDescent="0.35">
      <c r="AH6597" s="21"/>
      <c r="AI6597" s="21"/>
      <c r="AJ6597" s="21"/>
      <c r="AK6597" s="21"/>
      <c r="AM6597" s="26" t="s">
        <v>38</v>
      </c>
    </row>
    <row r="6598" spans="34:39" x14ac:dyDescent="0.35">
      <c r="AH6598" s="21"/>
      <c r="AI6598" s="21"/>
      <c r="AJ6598" s="21"/>
      <c r="AK6598" s="21"/>
      <c r="AM6598" s="26" t="s">
        <v>38</v>
      </c>
    </row>
    <row r="6599" spans="34:39" x14ac:dyDescent="0.35">
      <c r="AH6599" s="21"/>
      <c r="AI6599" s="21"/>
      <c r="AJ6599" s="21"/>
      <c r="AK6599" s="21"/>
      <c r="AM6599" s="26" t="s">
        <v>38</v>
      </c>
    </row>
    <row r="6600" spans="34:39" x14ac:dyDescent="0.35">
      <c r="AH6600" s="21"/>
      <c r="AI6600" s="21"/>
      <c r="AJ6600" s="21"/>
      <c r="AK6600" s="21"/>
      <c r="AM6600" s="26" t="s">
        <v>38</v>
      </c>
    </row>
    <row r="6601" spans="34:39" x14ac:dyDescent="0.35">
      <c r="AH6601" s="21"/>
      <c r="AI6601" s="21"/>
      <c r="AJ6601" s="21"/>
      <c r="AK6601" s="21"/>
      <c r="AM6601" s="26" t="s">
        <v>38</v>
      </c>
    </row>
    <row r="6602" spans="34:39" x14ac:dyDescent="0.35">
      <c r="AH6602" s="21"/>
      <c r="AI6602" s="21"/>
      <c r="AJ6602" s="21"/>
      <c r="AK6602" s="21"/>
      <c r="AM6602" s="26" t="s">
        <v>38</v>
      </c>
    </row>
    <row r="6603" spans="34:39" x14ac:dyDescent="0.35">
      <c r="AH6603" s="21"/>
      <c r="AI6603" s="21"/>
      <c r="AJ6603" s="21"/>
      <c r="AK6603" s="21"/>
      <c r="AM6603" s="26" t="s">
        <v>38</v>
      </c>
    </row>
    <row r="6604" spans="34:39" x14ac:dyDescent="0.35">
      <c r="AH6604" s="21"/>
      <c r="AI6604" s="21"/>
      <c r="AJ6604" s="21"/>
      <c r="AK6604" s="21"/>
      <c r="AM6604" s="26" t="s">
        <v>38</v>
      </c>
    </row>
    <row r="6605" spans="34:39" x14ac:dyDescent="0.35">
      <c r="AH6605" s="21"/>
      <c r="AI6605" s="21"/>
      <c r="AJ6605" s="21"/>
      <c r="AK6605" s="21"/>
      <c r="AM6605" s="26" t="s">
        <v>38</v>
      </c>
    </row>
    <row r="6606" spans="34:39" x14ac:dyDescent="0.35">
      <c r="AH6606" s="21"/>
      <c r="AI6606" s="21"/>
      <c r="AJ6606" s="21"/>
      <c r="AK6606" s="21"/>
      <c r="AM6606" s="26" t="s">
        <v>38</v>
      </c>
    </row>
    <row r="6607" spans="34:39" x14ac:dyDescent="0.35">
      <c r="AH6607" s="21"/>
      <c r="AI6607" s="21"/>
      <c r="AJ6607" s="21"/>
      <c r="AK6607" s="21"/>
      <c r="AM6607" s="26" t="s">
        <v>38</v>
      </c>
    </row>
    <row r="6608" spans="34:39" x14ac:dyDescent="0.35">
      <c r="AH6608" s="21"/>
      <c r="AI6608" s="21"/>
      <c r="AJ6608" s="21"/>
      <c r="AK6608" s="21"/>
      <c r="AM6608" s="26" t="s">
        <v>38</v>
      </c>
    </row>
    <row r="6609" spans="34:39" x14ac:dyDescent="0.35">
      <c r="AH6609" s="21"/>
      <c r="AI6609" s="21"/>
      <c r="AJ6609" s="21"/>
      <c r="AK6609" s="21"/>
      <c r="AM6609" s="26" t="s">
        <v>38</v>
      </c>
    </row>
    <row r="6610" spans="34:39" x14ac:dyDescent="0.35">
      <c r="AH6610" s="21"/>
      <c r="AI6610" s="21"/>
      <c r="AJ6610" s="21"/>
      <c r="AK6610" s="21"/>
      <c r="AM6610" s="26" t="s">
        <v>38</v>
      </c>
    </row>
    <row r="6611" spans="34:39" x14ac:dyDescent="0.35">
      <c r="AH6611" s="21"/>
      <c r="AI6611" s="21"/>
      <c r="AJ6611" s="21"/>
      <c r="AK6611" s="21"/>
      <c r="AM6611" s="26" t="s">
        <v>38</v>
      </c>
    </row>
    <row r="6612" spans="34:39" x14ac:dyDescent="0.35">
      <c r="AH6612" s="21"/>
      <c r="AI6612" s="21"/>
      <c r="AJ6612" s="21"/>
      <c r="AK6612" s="21"/>
      <c r="AM6612" s="26" t="s">
        <v>38</v>
      </c>
    </row>
    <row r="6613" spans="34:39" x14ac:dyDescent="0.35">
      <c r="AH6613" s="21"/>
      <c r="AI6613" s="21"/>
      <c r="AJ6613" s="21"/>
      <c r="AK6613" s="21"/>
      <c r="AM6613" s="26" t="s">
        <v>38</v>
      </c>
    </row>
    <row r="6614" spans="34:39" x14ac:dyDescent="0.35">
      <c r="AH6614" s="21"/>
      <c r="AI6614" s="21"/>
      <c r="AJ6614" s="21"/>
      <c r="AK6614" s="21"/>
      <c r="AM6614" s="26" t="s">
        <v>38</v>
      </c>
    </row>
    <row r="6615" spans="34:39" x14ac:dyDescent="0.35">
      <c r="AH6615" s="21"/>
      <c r="AI6615" s="21"/>
      <c r="AJ6615" s="21"/>
      <c r="AK6615" s="21"/>
      <c r="AM6615" s="26" t="s">
        <v>38</v>
      </c>
    </row>
    <row r="6616" spans="34:39" x14ac:dyDescent="0.35">
      <c r="AH6616" s="21"/>
      <c r="AI6616" s="21"/>
      <c r="AJ6616" s="21"/>
      <c r="AK6616" s="21"/>
      <c r="AM6616" s="26" t="s">
        <v>38</v>
      </c>
    </row>
    <row r="6617" spans="34:39" x14ac:dyDescent="0.35">
      <c r="AH6617" s="21"/>
      <c r="AI6617" s="21"/>
      <c r="AJ6617" s="21"/>
      <c r="AK6617" s="21"/>
      <c r="AM6617" s="26" t="s">
        <v>38</v>
      </c>
    </row>
    <row r="6618" spans="34:39" x14ac:dyDescent="0.35">
      <c r="AH6618" s="21"/>
      <c r="AI6618" s="21"/>
      <c r="AJ6618" s="21"/>
      <c r="AK6618" s="21"/>
      <c r="AM6618" s="26" t="s">
        <v>38</v>
      </c>
    </row>
    <row r="6619" spans="34:39" x14ac:dyDescent="0.35">
      <c r="AH6619" s="21"/>
      <c r="AI6619" s="21"/>
      <c r="AJ6619" s="21"/>
      <c r="AK6619" s="21"/>
      <c r="AM6619" s="26" t="s">
        <v>38</v>
      </c>
    </row>
    <row r="6620" spans="34:39" x14ac:dyDescent="0.35">
      <c r="AH6620" s="21"/>
      <c r="AI6620" s="21"/>
      <c r="AJ6620" s="21"/>
      <c r="AK6620" s="21"/>
      <c r="AM6620" s="26" t="s">
        <v>38</v>
      </c>
    </row>
    <row r="6621" spans="34:39" x14ac:dyDescent="0.35">
      <c r="AH6621" s="21"/>
      <c r="AI6621" s="21"/>
      <c r="AJ6621" s="21"/>
      <c r="AK6621" s="21"/>
      <c r="AM6621" s="26" t="s">
        <v>38</v>
      </c>
    </row>
    <row r="6622" spans="34:39" x14ac:dyDescent="0.35">
      <c r="AH6622" s="21"/>
      <c r="AI6622" s="21"/>
      <c r="AJ6622" s="21"/>
      <c r="AK6622" s="21"/>
      <c r="AM6622" s="26" t="s">
        <v>38</v>
      </c>
    </row>
    <row r="6623" spans="34:39" x14ac:dyDescent="0.35">
      <c r="AH6623" s="21"/>
      <c r="AI6623" s="21"/>
      <c r="AJ6623" s="21"/>
      <c r="AK6623" s="21"/>
      <c r="AM6623" s="26" t="s">
        <v>38</v>
      </c>
    </row>
    <row r="6624" spans="34:39" x14ac:dyDescent="0.35">
      <c r="AH6624" s="21"/>
      <c r="AI6624" s="21"/>
      <c r="AJ6624" s="21"/>
      <c r="AK6624" s="21"/>
      <c r="AM6624" s="26" t="s">
        <v>38</v>
      </c>
    </row>
    <row r="6625" spans="34:39" x14ac:dyDescent="0.35">
      <c r="AH6625" s="21"/>
      <c r="AI6625" s="21"/>
      <c r="AJ6625" s="21"/>
      <c r="AK6625" s="21"/>
      <c r="AM6625" s="26" t="s">
        <v>38</v>
      </c>
    </row>
    <row r="6626" spans="34:39" x14ac:dyDescent="0.35">
      <c r="AH6626" s="21"/>
      <c r="AI6626" s="21"/>
      <c r="AJ6626" s="21"/>
      <c r="AK6626" s="21"/>
      <c r="AM6626" s="26" t="s">
        <v>38</v>
      </c>
    </row>
    <row r="6627" spans="34:39" x14ac:dyDescent="0.35">
      <c r="AH6627" s="21"/>
      <c r="AI6627" s="21"/>
      <c r="AJ6627" s="21"/>
      <c r="AK6627" s="21"/>
      <c r="AM6627" s="26" t="s">
        <v>38</v>
      </c>
    </row>
    <row r="6628" spans="34:39" x14ac:dyDescent="0.35">
      <c r="AH6628" s="21"/>
      <c r="AI6628" s="21"/>
      <c r="AJ6628" s="21"/>
      <c r="AK6628" s="21"/>
      <c r="AM6628" s="26" t="s">
        <v>38</v>
      </c>
    </row>
    <row r="6629" spans="34:39" x14ac:dyDescent="0.35">
      <c r="AH6629" s="21"/>
      <c r="AI6629" s="21"/>
      <c r="AJ6629" s="21"/>
      <c r="AK6629" s="21"/>
      <c r="AM6629" s="26" t="s">
        <v>38</v>
      </c>
    </row>
    <row r="6630" spans="34:39" x14ac:dyDescent="0.35">
      <c r="AH6630" s="21"/>
      <c r="AI6630" s="21"/>
      <c r="AJ6630" s="21"/>
      <c r="AK6630" s="21"/>
      <c r="AM6630" s="26" t="s">
        <v>38</v>
      </c>
    </row>
    <row r="6631" spans="34:39" x14ac:dyDescent="0.35">
      <c r="AH6631" s="21"/>
      <c r="AI6631" s="21"/>
      <c r="AJ6631" s="21"/>
      <c r="AK6631" s="21"/>
      <c r="AM6631" s="26" t="s">
        <v>38</v>
      </c>
    </row>
    <row r="6632" spans="34:39" x14ac:dyDescent="0.35">
      <c r="AH6632" s="21"/>
      <c r="AI6632" s="21"/>
      <c r="AJ6632" s="21"/>
      <c r="AK6632" s="21"/>
      <c r="AM6632" s="26" t="s">
        <v>38</v>
      </c>
    </row>
    <row r="6633" spans="34:39" x14ac:dyDescent="0.35">
      <c r="AH6633" s="21"/>
      <c r="AI6633" s="21"/>
      <c r="AJ6633" s="21"/>
      <c r="AK6633" s="21"/>
      <c r="AM6633" s="26" t="s">
        <v>38</v>
      </c>
    </row>
    <row r="6634" spans="34:39" x14ac:dyDescent="0.35">
      <c r="AH6634" s="21"/>
      <c r="AI6634" s="21"/>
      <c r="AJ6634" s="21"/>
      <c r="AK6634" s="21"/>
      <c r="AM6634" s="26" t="s">
        <v>38</v>
      </c>
    </row>
    <row r="6635" spans="34:39" x14ac:dyDescent="0.35">
      <c r="AH6635" s="21"/>
      <c r="AI6635" s="21"/>
      <c r="AJ6635" s="21"/>
      <c r="AK6635" s="21"/>
      <c r="AM6635" s="26" t="s">
        <v>38</v>
      </c>
    </row>
    <row r="6636" spans="34:39" x14ac:dyDescent="0.35">
      <c r="AH6636" s="21"/>
      <c r="AI6636" s="21"/>
      <c r="AJ6636" s="21"/>
      <c r="AK6636" s="21"/>
      <c r="AM6636" s="26" t="s">
        <v>38</v>
      </c>
    </row>
    <row r="6637" spans="34:39" x14ac:dyDescent="0.35">
      <c r="AH6637" s="21"/>
      <c r="AI6637" s="21"/>
      <c r="AJ6637" s="21"/>
      <c r="AK6637" s="21"/>
      <c r="AM6637" s="26" t="s">
        <v>38</v>
      </c>
    </row>
    <row r="6638" spans="34:39" x14ac:dyDescent="0.35">
      <c r="AH6638" s="21"/>
      <c r="AI6638" s="21"/>
      <c r="AJ6638" s="21"/>
      <c r="AK6638" s="21"/>
      <c r="AM6638" s="26" t="s">
        <v>38</v>
      </c>
    </row>
    <row r="6639" spans="34:39" x14ac:dyDescent="0.35">
      <c r="AH6639" s="21"/>
      <c r="AI6639" s="21"/>
      <c r="AJ6639" s="21"/>
      <c r="AK6639" s="21"/>
      <c r="AM6639" s="26" t="s">
        <v>38</v>
      </c>
    </row>
    <row r="6640" spans="34:39" x14ac:dyDescent="0.35">
      <c r="AH6640" s="21"/>
      <c r="AI6640" s="21"/>
      <c r="AJ6640" s="21"/>
      <c r="AK6640" s="21"/>
      <c r="AM6640" s="26" t="s">
        <v>38</v>
      </c>
    </row>
    <row r="6641" spans="34:39" x14ac:dyDescent="0.35">
      <c r="AH6641" s="21"/>
      <c r="AI6641" s="21"/>
      <c r="AJ6641" s="21"/>
      <c r="AK6641" s="21"/>
      <c r="AM6641" s="26" t="s">
        <v>38</v>
      </c>
    </row>
    <row r="6642" spans="34:39" x14ac:dyDescent="0.35">
      <c r="AH6642" s="21"/>
      <c r="AI6642" s="21"/>
      <c r="AJ6642" s="21"/>
      <c r="AK6642" s="21"/>
      <c r="AM6642" s="26" t="s">
        <v>38</v>
      </c>
    </row>
    <row r="6643" spans="34:39" x14ac:dyDescent="0.35">
      <c r="AH6643" s="21"/>
      <c r="AI6643" s="21"/>
      <c r="AJ6643" s="21"/>
      <c r="AK6643" s="21"/>
      <c r="AM6643" s="26" t="s">
        <v>38</v>
      </c>
    </row>
    <row r="6644" spans="34:39" x14ac:dyDescent="0.35">
      <c r="AH6644" s="21"/>
      <c r="AI6644" s="21"/>
      <c r="AJ6644" s="21"/>
      <c r="AK6644" s="21"/>
      <c r="AM6644" s="26" t="s">
        <v>38</v>
      </c>
    </row>
    <row r="6645" spans="34:39" x14ac:dyDescent="0.35">
      <c r="AH6645" s="21"/>
      <c r="AI6645" s="21"/>
      <c r="AJ6645" s="21"/>
      <c r="AK6645" s="21"/>
      <c r="AM6645" s="26" t="s">
        <v>38</v>
      </c>
    </row>
    <row r="6646" spans="34:39" x14ac:dyDescent="0.35">
      <c r="AH6646" s="21"/>
      <c r="AI6646" s="21"/>
      <c r="AJ6646" s="21"/>
      <c r="AK6646" s="21"/>
      <c r="AM6646" s="26" t="s">
        <v>38</v>
      </c>
    </row>
    <row r="6647" spans="34:39" x14ac:dyDescent="0.35">
      <c r="AH6647" s="21"/>
      <c r="AI6647" s="21"/>
      <c r="AJ6647" s="21"/>
      <c r="AK6647" s="21"/>
      <c r="AM6647" s="26" t="s">
        <v>38</v>
      </c>
    </row>
    <row r="6648" spans="34:39" x14ac:dyDescent="0.35">
      <c r="AH6648" s="21"/>
      <c r="AI6648" s="21"/>
      <c r="AJ6648" s="21"/>
      <c r="AK6648" s="21"/>
      <c r="AM6648" s="26" t="s">
        <v>38</v>
      </c>
    </row>
    <row r="6649" spans="34:39" x14ac:dyDescent="0.35">
      <c r="AH6649" s="21"/>
      <c r="AI6649" s="21"/>
      <c r="AJ6649" s="21"/>
      <c r="AK6649" s="21"/>
      <c r="AM6649" s="26" t="s">
        <v>38</v>
      </c>
    </row>
    <row r="6650" spans="34:39" x14ac:dyDescent="0.35">
      <c r="AH6650" s="21"/>
      <c r="AI6650" s="21"/>
      <c r="AJ6650" s="21"/>
      <c r="AK6650" s="21"/>
      <c r="AM6650" s="26" t="s">
        <v>38</v>
      </c>
    </row>
    <row r="6651" spans="34:39" x14ac:dyDescent="0.35">
      <c r="AH6651" s="21"/>
      <c r="AI6651" s="21"/>
      <c r="AJ6651" s="21"/>
      <c r="AK6651" s="21"/>
      <c r="AM6651" s="26" t="s">
        <v>38</v>
      </c>
    </row>
    <row r="6652" spans="34:39" x14ac:dyDescent="0.35">
      <c r="AH6652" s="21"/>
      <c r="AI6652" s="21"/>
      <c r="AJ6652" s="21"/>
      <c r="AK6652" s="21"/>
      <c r="AM6652" s="26" t="s">
        <v>38</v>
      </c>
    </row>
    <row r="6653" spans="34:39" x14ac:dyDescent="0.35">
      <c r="AH6653" s="21"/>
      <c r="AI6653" s="21"/>
      <c r="AJ6653" s="21"/>
      <c r="AK6653" s="21"/>
      <c r="AM6653" s="26" t="s">
        <v>38</v>
      </c>
    </row>
    <row r="6654" spans="34:39" x14ac:dyDescent="0.35">
      <c r="AH6654" s="21"/>
      <c r="AI6654" s="21"/>
      <c r="AJ6654" s="21"/>
      <c r="AK6654" s="21"/>
      <c r="AM6654" s="26" t="s">
        <v>38</v>
      </c>
    </row>
    <row r="6655" spans="34:39" x14ac:dyDescent="0.35">
      <c r="AH6655" s="21"/>
      <c r="AI6655" s="21"/>
      <c r="AJ6655" s="21"/>
      <c r="AK6655" s="21"/>
      <c r="AM6655" s="26" t="s">
        <v>38</v>
      </c>
    </row>
    <row r="6656" spans="34:39" x14ac:dyDescent="0.35">
      <c r="AH6656" s="21"/>
      <c r="AI6656" s="21"/>
      <c r="AJ6656" s="21"/>
      <c r="AK6656" s="21"/>
      <c r="AM6656" s="26" t="s">
        <v>38</v>
      </c>
    </row>
    <row r="6657" spans="34:39" x14ac:dyDescent="0.35">
      <c r="AH6657" s="21"/>
      <c r="AI6657" s="21"/>
      <c r="AJ6657" s="21"/>
      <c r="AK6657" s="21"/>
      <c r="AM6657" s="26" t="s">
        <v>38</v>
      </c>
    </row>
    <row r="6658" spans="34:39" x14ac:dyDescent="0.35">
      <c r="AH6658" s="21"/>
      <c r="AI6658" s="21"/>
      <c r="AJ6658" s="21"/>
      <c r="AK6658" s="21"/>
      <c r="AM6658" s="26" t="s">
        <v>38</v>
      </c>
    </row>
    <row r="6659" spans="34:39" x14ac:dyDescent="0.35">
      <c r="AH6659" s="21"/>
      <c r="AI6659" s="21"/>
      <c r="AJ6659" s="21"/>
      <c r="AK6659" s="21"/>
      <c r="AM6659" s="26" t="s">
        <v>38</v>
      </c>
    </row>
    <row r="6660" spans="34:39" x14ac:dyDescent="0.35">
      <c r="AH6660" s="21"/>
      <c r="AI6660" s="21"/>
      <c r="AJ6660" s="21"/>
      <c r="AK6660" s="21"/>
      <c r="AM6660" s="26" t="s">
        <v>38</v>
      </c>
    </row>
    <row r="6661" spans="34:39" x14ac:dyDescent="0.35">
      <c r="AH6661" s="21"/>
      <c r="AI6661" s="21"/>
      <c r="AJ6661" s="21"/>
      <c r="AK6661" s="21"/>
      <c r="AM6661" s="26" t="s">
        <v>38</v>
      </c>
    </row>
    <row r="6662" spans="34:39" x14ac:dyDescent="0.35">
      <c r="AH6662" s="21"/>
      <c r="AI6662" s="21"/>
      <c r="AJ6662" s="21"/>
      <c r="AK6662" s="21"/>
      <c r="AM6662" s="26" t="s">
        <v>38</v>
      </c>
    </row>
    <row r="6663" spans="34:39" x14ac:dyDescent="0.35">
      <c r="AH6663" s="21"/>
      <c r="AI6663" s="21"/>
      <c r="AJ6663" s="21"/>
      <c r="AK6663" s="21"/>
      <c r="AM6663" s="26" t="s">
        <v>38</v>
      </c>
    </row>
    <row r="6664" spans="34:39" x14ac:dyDescent="0.35">
      <c r="AH6664" s="21"/>
      <c r="AI6664" s="21"/>
      <c r="AJ6664" s="21"/>
      <c r="AK6664" s="21"/>
      <c r="AM6664" s="26" t="s">
        <v>38</v>
      </c>
    </row>
    <row r="6665" spans="34:39" x14ac:dyDescent="0.35">
      <c r="AH6665" s="21"/>
      <c r="AI6665" s="21"/>
      <c r="AJ6665" s="21"/>
      <c r="AK6665" s="21"/>
      <c r="AM6665" s="26" t="s">
        <v>38</v>
      </c>
    </row>
    <row r="6666" spans="34:39" x14ac:dyDescent="0.35">
      <c r="AH6666" s="21"/>
      <c r="AI6666" s="21"/>
      <c r="AJ6666" s="21"/>
      <c r="AK6666" s="21"/>
      <c r="AM6666" s="26" t="s">
        <v>38</v>
      </c>
    </row>
    <row r="6667" spans="34:39" x14ac:dyDescent="0.35">
      <c r="AH6667" s="21"/>
      <c r="AI6667" s="21"/>
      <c r="AJ6667" s="21"/>
      <c r="AK6667" s="21"/>
      <c r="AM6667" s="26" t="s">
        <v>38</v>
      </c>
    </row>
    <row r="6668" spans="34:39" x14ac:dyDescent="0.35">
      <c r="AH6668" s="21"/>
      <c r="AI6668" s="21"/>
      <c r="AJ6668" s="21"/>
      <c r="AK6668" s="21"/>
      <c r="AM6668" s="26" t="s">
        <v>38</v>
      </c>
    </row>
    <row r="6669" spans="34:39" x14ac:dyDescent="0.35">
      <c r="AH6669" s="21"/>
      <c r="AI6669" s="21"/>
      <c r="AJ6669" s="21"/>
      <c r="AK6669" s="21"/>
      <c r="AM6669" s="26" t="s">
        <v>38</v>
      </c>
    </row>
    <row r="6670" spans="34:39" x14ac:dyDescent="0.35">
      <c r="AH6670" s="21"/>
      <c r="AI6670" s="21"/>
      <c r="AJ6670" s="21"/>
      <c r="AK6670" s="21"/>
      <c r="AM6670" s="26" t="s">
        <v>38</v>
      </c>
    </row>
    <row r="6671" spans="34:39" x14ac:dyDescent="0.35">
      <c r="AH6671" s="21"/>
      <c r="AI6671" s="21"/>
      <c r="AJ6671" s="21"/>
      <c r="AK6671" s="21"/>
      <c r="AM6671" s="26" t="s">
        <v>38</v>
      </c>
    </row>
    <row r="6672" spans="34:39" x14ac:dyDescent="0.35">
      <c r="AH6672" s="21"/>
      <c r="AI6672" s="21"/>
      <c r="AJ6672" s="21"/>
      <c r="AK6672" s="21"/>
      <c r="AM6672" s="26" t="s">
        <v>38</v>
      </c>
    </row>
    <row r="6673" spans="34:39" x14ac:dyDescent="0.35">
      <c r="AH6673" s="21"/>
      <c r="AI6673" s="21"/>
      <c r="AJ6673" s="21"/>
      <c r="AK6673" s="21"/>
      <c r="AM6673" s="26" t="s">
        <v>38</v>
      </c>
    </row>
    <row r="6674" spans="34:39" x14ac:dyDescent="0.35">
      <c r="AH6674" s="21"/>
      <c r="AI6674" s="21"/>
      <c r="AJ6674" s="21"/>
      <c r="AK6674" s="21"/>
      <c r="AM6674" s="26" t="s">
        <v>38</v>
      </c>
    </row>
    <row r="6675" spans="34:39" x14ac:dyDescent="0.35">
      <c r="AH6675" s="21"/>
      <c r="AI6675" s="21"/>
      <c r="AJ6675" s="21"/>
      <c r="AK6675" s="21"/>
      <c r="AM6675" s="26" t="s">
        <v>38</v>
      </c>
    </row>
    <row r="6676" spans="34:39" x14ac:dyDescent="0.35">
      <c r="AH6676" s="21"/>
      <c r="AI6676" s="21"/>
      <c r="AJ6676" s="21"/>
      <c r="AK6676" s="21"/>
      <c r="AM6676" s="26" t="s">
        <v>38</v>
      </c>
    </row>
    <row r="6677" spans="34:39" x14ac:dyDescent="0.35">
      <c r="AH6677" s="21"/>
      <c r="AI6677" s="21"/>
      <c r="AJ6677" s="21"/>
      <c r="AK6677" s="21"/>
      <c r="AM6677" s="26" t="s">
        <v>38</v>
      </c>
    </row>
    <row r="6678" spans="34:39" x14ac:dyDescent="0.35">
      <c r="AH6678" s="21"/>
      <c r="AI6678" s="21"/>
      <c r="AJ6678" s="21"/>
      <c r="AK6678" s="21"/>
      <c r="AM6678" s="26" t="s">
        <v>38</v>
      </c>
    </row>
    <row r="6679" spans="34:39" x14ac:dyDescent="0.35">
      <c r="AH6679" s="21"/>
      <c r="AI6679" s="21"/>
      <c r="AJ6679" s="21"/>
      <c r="AK6679" s="21"/>
      <c r="AM6679" s="26" t="s">
        <v>38</v>
      </c>
    </row>
    <row r="6680" spans="34:39" x14ac:dyDescent="0.35">
      <c r="AH6680" s="21"/>
      <c r="AI6680" s="21"/>
      <c r="AJ6680" s="21"/>
      <c r="AK6680" s="21"/>
      <c r="AM6680" s="26" t="s">
        <v>38</v>
      </c>
    </row>
    <row r="6681" spans="34:39" x14ac:dyDescent="0.35">
      <c r="AH6681" s="21"/>
      <c r="AI6681" s="21"/>
      <c r="AJ6681" s="21"/>
      <c r="AK6681" s="21"/>
      <c r="AM6681" s="26" t="s">
        <v>38</v>
      </c>
    </row>
    <row r="6682" spans="34:39" x14ac:dyDescent="0.35">
      <c r="AH6682" s="21"/>
      <c r="AI6682" s="21"/>
      <c r="AJ6682" s="21"/>
      <c r="AK6682" s="21"/>
      <c r="AM6682" s="26" t="s">
        <v>38</v>
      </c>
    </row>
    <row r="6683" spans="34:39" x14ac:dyDescent="0.35">
      <c r="AH6683" s="21"/>
      <c r="AI6683" s="21"/>
      <c r="AJ6683" s="21"/>
      <c r="AK6683" s="21"/>
      <c r="AM6683" s="26" t="s">
        <v>38</v>
      </c>
    </row>
    <row r="6684" spans="34:39" x14ac:dyDescent="0.35">
      <c r="AH6684" s="21"/>
      <c r="AI6684" s="21"/>
      <c r="AJ6684" s="21"/>
      <c r="AK6684" s="21"/>
      <c r="AM6684" s="26" t="s">
        <v>38</v>
      </c>
    </row>
    <row r="6685" spans="34:39" x14ac:dyDescent="0.35">
      <c r="AH6685" s="21"/>
      <c r="AI6685" s="21"/>
      <c r="AJ6685" s="21"/>
      <c r="AK6685" s="21"/>
      <c r="AM6685" s="26" t="s">
        <v>38</v>
      </c>
    </row>
    <row r="6686" spans="34:39" x14ac:dyDescent="0.35">
      <c r="AH6686" s="21"/>
      <c r="AI6686" s="21"/>
      <c r="AJ6686" s="21"/>
      <c r="AK6686" s="21"/>
      <c r="AM6686" s="26" t="s">
        <v>38</v>
      </c>
    </row>
    <row r="6687" spans="34:39" x14ac:dyDescent="0.35">
      <c r="AH6687" s="21"/>
      <c r="AI6687" s="21"/>
      <c r="AJ6687" s="21"/>
      <c r="AK6687" s="21"/>
      <c r="AM6687" s="26" t="s">
        <v>38</v>
      </c>
    </row>
    <row r="6688" spans="34:39" x14ac:dyDescent="0.35">
      <c r="AH6688" s="21"/>
      <c r="AI6688" s="21"/>
      <c r="AJ6688" s="21"/>
      <c r="AK6688" s="21"/>
      <c r="AM6688" s="26" t="s">
        <v>38</v>
      </c>
    </row>
    <row r="6689" spans="34:39" x14ac:dyDescent="0.35">
      <c r="AH6689" s="21"/>
      <c r="AI6689" s="21"/>
      <c r="AJ6689" s="21"/>
      <c r="AK6689" s="21"/>
      <c r="AM6689" s="26" t="s">
        <v>38</v>
      </c>
    </row>
    <row r="6690" spans="34:39" x14ac:dyDescent="0.35">
      <c r="AH6690" s="21"/>
      <c r="AI6690" s="21"/>
      <c r="AJ6690" s="21"/>
      <c r="AK6690" s="21"/>
      <c r="AM6690" s="26" t="s">
        <v>38</v>
      </c>
    </row>
    <row r="6691" spans="34:39" x14ac:dyDescent="0.35">
      <c r="AH6691" s="21"/>
      <c r="AI6691" s="21"/>
      <c r="AJ6691" s="21"/>
      <c r="AK6691" s="21"/>
      <c r="AM6691" s="26" t="s">
        <v>38</v>
      </c>
    </row>
    <row r="6692" spans="34:39" x14ac:dyDescent="0.35">
      <c r="AH6692" s="21"/>
      <c r="AI6692" s="21"/>
      <c r="AJ6692" s="21"/>
      <c r="AK6692" s="21"/>
      <c r="AM6692" s="26" t="s">
        <v>38</v>
      </c>
    </row>
    <row r="6693" spans="34:39" x14ac:dyDescent="0.35">
      <c r="AH6693" s="21"/>
      <c r="AI6693" s="21"/>
      <c r="AJ6693" s="21"/>
      <c r="AK6693" s="21"/>
      <c r="AM6693" s="26" t="s">
        <v>38</v>
      </c>
    </row>
    <row r="6694" spans="34:39" x14ac:dyDescent="0.35">
      <c r="AH6694" s="21"/>
      <c r="AI6694" s="21"/>
      <c r="AJ6694" s="21"/>
      <c r="AK6694" s="21"/>
      <c r="AM6694" s="26" t="s">
        <v>38</v>
      </c>
    </row>
    <row r="6695" spans="34:39" x14ac:dyDescent="0.35">
      <c r="AH6695" s="21"/>
      <c r="AI6695" s="21"/>
      <c r="AJ6695" s="21"/>
      <c r="AK6695" s="21"/>
      <c r="AM6695" s="26" t="s">
        <v>38</v>
      </c>
    </row>
    <row r="6696" spans="34:39" x14ac:dyDescent="0.35">
      <c r="AH6696" s="21"/>
      <c r="AI6696" s="21"/>
      <c r="AJ6696" s="21"/>
      <c r="AK6696" s="21"/>
      <c r="AM6696" s="26" t="s">
        <v>38</v>
      </c>
    </row>
    <row r="6697" spans="34:39" x14ac:dyDescent="0.35">
      <c r="AH6697" s="21"/>
      <c r="AI6697" s="21"/>
      <c r="AJ6697" s="21"/>
      <c r="AK6697" s="21"/>
      <c r="AM6697" s="26" t="s">
        <v>38</v>
      </c>
    </row>
    <row r="6698" spans="34:39" x14ac:dyDescent="0.35">
      <c r="AH6698" s="21"/>
      <c r="AI6698" s="21"/>
      <c r="AJ6698" s="21"/>
      <c r="AK6698" s="21"/>
      <c r="AM6698" s="26" t="s">
        <v>38</v>
      </c>
    </row>
    <row r="6699" spans="34:39" x14ac:dyDescent="0.35">
      <c r="AH6699" s="21"/>
      <c r="AI6699" s="21"/>
      <c r="AJ6699" s="21"/>
      <c r="AK6699" s="21"/>
      <c r="AM6699" s="26" t="s">
        <v>38</v>
      </c>
    </row>
    <row r="6700" spans="34:39" x14ac:dyDescent="0.35">
      <c r="AH6700" s="21"/>
      <c r="AI6700" s="21"/>
      <c r="AJ6700" s="21"/>
      <c r="AK6700" s="21"/>
      <c r="AM6700" s="26" t="s">
        <v>38</v>
      </c>
    </row>
    <row r="6701" spans="34:39" x14ac:dyDescent="0.35">
      <c r="AH6701" s="21"/>
      <c r="AI6701" s="21"/>
      <c r="AJ6701" s="21"/>
      <c r="AK6701" s="21"/>
      <c r="AM6701" s="26" t="s">
        <v>38</v>
      </c>
    </row>
    <row r="6702" spans="34:39" x14ac:dyDescent="0.35">
      <c r="AH6702" s="21"/>
      <c r="AI6702" s="21"/>
      <c r="AJ6702" s="21"/>
      <c r="AK6702" s="21"/>
      <c r="AM6702" s="26" t="s">
        <v>38</v>
      </c>
    </row>
    <row r="6703" spans="34:39" x14ac:dyDescent="0.35">
      <c r="AH6703" s="21"/>
      <c r="AI6703" s="21"/>
      <c r="AJ6703" s="21"/>
      <c r="AK6703" s="21"/>
      <c r="AM6703" s="26" t="s">
        <v>38</v>
      </c>
    </row>
    <row r="6704" spans="34:39" x14ac:dyDescent="0.35">
      <c r="AH6704" s="21"/>
      <c r="AI6704" s="21"/>
      <c r="AJ6704" s="21"/>
      <c r="AK6704" s="21"/>
      <c r="AM6704" s="26" t="s">
        <v>38</v>
      </c>
    </row>
    <row r="6705" spans="34:39" x14ac:dyDescent="0.35">
      <c r="AH6705" s="21"/>
      <c r="AI6705" s="21"/>
      <c r="AJ6705" s="21"/>
      <c r="AK6705" s="21"/>
      <c r="AM6705" s="26" t="s">
        <v>38</v>
      </c>
    </row>
    <row r="6706" spans="34:39" x14ac:dyDescent="0.35">
      <c r="AH6706" s="21"/>
      <c r="AI6706" s="21"/>
      <c r="AJ6706" s="21"/>
      <c r="AK6706" s="21"/>
      <c r="AM6706" s="26" t="s">
        <v>38</v>
      </c>
    </row>
    <row r="6707" spans="34:39" x14ac:dyDescent="0.35">
      <c r="AH6707" s="21"/>
      <c r="AI6707" s="21"/>
      <c r="AJ6707" s="21"/>
      <c r="AK6707" s="21"/>
      <c r="AM6707" s="26" t="s">
        <v>38</v>
      </c>
    </row>
    <row r="6708" spans="34:39" x14ac:dyDescent="0.35">
      <c r="AH6708" s="21"/>
      <c r="AI6708" s="21"/>
      <c r="AJ6708" s="21"/>
      <c r="AK6708" s="21"/>
      <c r="AM6708" s="26" t="s">
        <v>38</v>
      </c>
    </row>
    <row r="6709" spans="34:39" x14ac:dyDescent="0.35">
      <c r="AH6709" s="21"/>
      <c r="AI6709" s="21"/>
      <c r="AJ6709" s="21"/>
      <c r="AK6709" s="21"/>
      <c r="AM6709" s="26" t="s">
        <v>38</v>
      </c>
    </row>
    <row r="6710" spans="34:39" x14ac:dyDescent="0.35">
      <c r="AH6710" s="21"/>
      <c r="AI6710" s="21"/>
      <c r="AJ6710" s="21"/>
      <c r="AK6710" s="21"/>
      <c r="AM6710" s="26" t="s">
        <v>38</v>
      </c>
    </row>
    <row r="6711" spans="34:39" x14ac:dyDescent="0.35">
      <c r="AH6711" s="21"/>
      <c r="AI6711" s="21"/>
      <c r="AJ6711" s="21"/>
      <c r="AK6711" s="21"/>
      <c r="AM6711" s="26" t="s">
        <v>38</v>
      </c>
    </row>
    <row r="6712" spans="34:39" x14ac:dyDescent="0.35">
      <c r="AH6712" s="21"/>
      <c r="AI6712" s="21"/>
      <c r="AJ6712" s="21"/>
      <c r="AK6712" s="21"/>
      <c r="AM6712" s="26" t="s">
        <v>38</v>
      </c>
    </row>
    <row r="6713" spans="34:39" x14ac:dyDescent="0.35">
      <c r="AH6713" s="21"/>
      <c r="AI6713" s="21"/>
      <c r="AJ6713" s="21"/>
      <c r="AK6713" s="21"/>
      <c r="AM6713" s="26" t="s">
        <v>38</v>
      </c>
    </row>
    <row r="6714" spans="34:39" x14ac:dyDescent="0.35">
      <c r="AH6714" s="21"/>
      <c r="AI6714" s="21"/>
      <c r="AJ6714" s="21"/>
      <c r="AK6714" s="21"/>
      <c r="AM6714" s="26" t="s">
        <v>38</v>
      </c>
    </row>
    <row r="6715" spans="34:39" x14ac:dyDescent="0.35">
      <c r="AH6715" s="21"/>
      <c r="AI6715" s="21"/>
      <c r="AJ6715" s="21"/>
      <c r="AK6715" s="21"/>
      <c r="AM6715" s="26" t="s">
        <v>38</v>
      </c>
    </row>
    <row r="6716" spans="34:39" x14ac:dyDescent="0.35">
      <c r="AH6716" s="21"/>
      <c r="AI6716" s="21"/>
      <c r="AJ6716" s="21"/>
      <c r="AK6716" s="21"/>
      <c r="AM6716" s="26" t="s">
        <v>38</v>
      </c>
    </row>
    <row r="6717" spans="34:39" x14ac:dyDescent="0.35">
      <c r="AH6717" s="21"/>
      <c r="AI6717" s="21"/>
      <c r="AJ6717" s="21"/>
      <c r="AK6717" s="21"/>
      <c r="AM6717" s="26" t="s">
        <v>38</v>
      </c>
    </row>
    <row r="6718" spans="34:39" x14ac:dyDescent="0.35">
      <c r="AH6718" s="21"/>
      <c r="AI6718" s="21"/>
      <c r="AJ6718" s="21"/>
      <c r="AK6718" s="21"/>
      <c r="AM6718" s="26" t="s">
        <v>38</v>
      </c>
    </row>
    <row r="6719" spans="34:39" x14ac:dyDescent="0.35">
      <c r="AH6719" s="21"/>
      <c r="AI6719" s="21"/>
      <c r="AJ6719" s="21"/>
      <c r="AK6719" s="21"/>
      <c r="AM6719" s="26" t="s">
        <v>38</v>
      </c>
    </row>
    <row r="6720" spans="34:39" x14ac:dyDescent="0.35">
      <c r="AH6720" s="21"/>
      <c r="AI6720" s="21"/>
      <c r="AJ6720" s="21"/>
      <c r="AK6720" s="21"/>
      <c r="AM6720" s="26" t="s">
        <v>38</v>
      </c>
    </row>
    <row r="6721" spans="34:39" x14ac:dyDescent="0.35">
      <c r="AH6721" s="21"/>
      <c r="AI6721" s="21"/>
      <c r="AJ6721" s="21"/>
      <c r="AK6721" s="21"/>
      <c r="AM6721" s="26" t="s">
        <v>38</v>
      </c>
    </row>
    <row r="6722" spans="34:39" x14ac:dyDescent="0.35">
      <c r="AH6722" s="21"/>
      <c r="AI6722" s="21"/>
      <c r="AJ6722" s="21"/>
      <c r="AK6722" s="21"/>
      <c r="AM6722" s="26" t="s">
        <v>38</v>
      </c>
    </row>
    <row r="6723" spans="34:39" x14ac:dyDescent="0.35">
      <c r="AH6723" s="21"/>
      <c r="AI6723" s="21"/>
      <c r="AJ6723" s="21"/>
      <c r="AK6723" s="21"/>
      <c r="AM6723" s="26" t="s">
        <v>38</v>
      </c>
    </row>
    <row r="6724" spans="34:39" x14ac:dyDescent="0.35">
      <c r="AH6724" s="21"/>
      <c r="AI6724" s="21"/>
      <c r="AJ6724" s="21"/>
      <c r="AK6724" s="21"/>
      <c r="AM6724" s="26" t="s">
        <v>38</v>
      </c>
    </row>
    <row r="6725" spans="34:39" x14ac:dyDescent="0.35">
      <c r="AH6725" s="21"/>
      <c r="AI6725" s="21"/>
      <c r="AJ6725" s="21"/>
      <c r="AK6725" s="21"/>
      <c r="AM6725" s="26" t="s">
        <v>38</v>
      </c>
    </row>
    <row r="6726" spans="34:39" x14ac:dyDescent="0.35">
      <c r="AH6726" s="21"/>
      <c r="AI6726" s="21"/>
      <c r="AJ6726" s="21"/>
      <c r="AK6726" s="21"/>
      <c r="AM6726" s="26" t="s">
        <v>38</v>
      </c>
    </row>
    <row r="6727" spans="34:39" x14ac:dyDescent="0.35">
      <c r="AH6727" s="21"/>
      <c r="AI6727" s="21"/>
      <c r="AJ6727" s="21"/>
      <c r="AK6727" s="21"/>
      <c r="AM6727" s="26" t="s">
        <v>38</v>
      </c>
    </row>
    <row r="6728" spans="34:39" x14ac:dyDescent="0.35">
      <c r="AH6728" s="21"/>
      <c r="AI6728" s="21"/>
      <c r="AJ6728" s="21"/>
      <c r="AK6728" s="21"/>
      <c r="AM6728" s="26" t="s">
        <v>38</v>
      </c>
    </row>
    <row r="6729" spans="34:39" x14ac:dyDescent="0.35">
      <c r="AH6729" s="21"/>
      <c r="AI6729" s="21"/>
      <c r="AJ6729" s="21"/>
      <c r="AK6729" s="21"/>
      <c r="AM6729" s="26" t="s">
        <v>38</v>
      </c>
    </row>
    <row r="6730" spans="34:39" x14ac:dyDescent="0.35">
      <c r="AH6730" s="21"/>
      <c r="AI6730" s="21"/>
      <c r="AJ6730" s="21"/>
      <c r="AK6730" s="21"/>
      <c r="AM6730" s="26" t="s">
        <v>38</v>
      </c>
    </row>
    <row r="6731" spans="34:39" x14ac:dyDescent="0.35">
      <c r="AH6731" s="21"/>
      <c r="AI6731" s="21"/>
      <c r="AJ6731" s="21"/>
      <c r="AK6731" s="21"/>
      <c r="AM6731" s="26" t="s">
        <v>38</v>
      </c>
    </row>
    <row r="6732" spans="34:39" x14ac:dyDescent="0.35">
      <c r="AH6732" s="21"/>
      <c r="AI6732" s="21"/>
      <c r="AJ6732" s="21"/>
      <c r="AK6732" s="21"/>
      <c r="AM6732" s="26" t="s">
        <v>38</v>
      </c>
    </row>
    <row r="6733" spans="34:39" x14ac:dyDescent="0.35">
      <c r="AH6733" s="21"/>
      <c r="AI6733" s="21"/>
      <c r="AJ6733" s="21"/>
      <c r="AK6733" s="21"/>
      <c r="AM6733" s="26" t="s">
        <v>38</v>
      </c>
    </row>
    <row r="6734" spans="34:39" x14ac:dyDescent="0.35">
      <c r="AH6734" s="21"/>
      <c r="AI6734" s="21"/>
      <c r="AJ6734" s="21"/>
      <c r="AK6734" s="21"/>
      <c r="AM6734" s="26" t="s">
        <v>38</v>
      </c>
    </row>
    <row r="6735" spans="34:39" x14ac:dyDescent="0.35">
      <c r="AH6735" s="21"/>
      <c r="AI6735" s="21"/>
      <c r="AJ6735" s="21"/>
      <c r="AK6735" s="21"/>
      <c r="AM6735" s="26" t="s">
        <v>38</v>
      </c>
    </row>
    <row r="6736" spans="34:39" x14ac:dyDescent="0.35">
      <c r="AH6736" s="21"/>
      <c r="AI6736" s="21"/>
      <c r="AJ6736" s="21"/>
      <c r="AK6736" s="21"/>
      <c r="AM6736" s="26" t="s">
        <v>38</v>
      </c>
    </row>
    <row r="6737" spans="34:39" x14ac:dyDescent="0.35">
      <c r="AH6737" s="21"/>
      <c r="AI6737" s="21"/>
      <c r="AJ6737" s="21"/>
      <c r="AK6737" s="21"/>
      <c r="AM6737" s="26" t="s">
        <v>38</v>
      </c>
    </row>
    <row r="6738" spans="34:39" x14ac:dyDescent="0.35">
      <c r="AH6738" s="21"/>
      <c r="AI6738" s="21"/>
      <c r="AJ6738" s="21"/>
      <c r="AK6738" s="21"/>
      <c r="AM6738" s="26" t="s">
        <v>38</v>
      </c>
    </row>
    <row r="6739" spans="34:39" x14ac:dyDescent="0.35">
      <c r="AH6739" s="21"/>
      <c r="AI6739" s="21"/>
      <c r="AJ6739" s="21"/>
      <c r="AK6739" s="21"/>
      <c r="AM6739" s="26" t="s">
        <v>38</v>
      </c>
    </row>
    <row r="6740" spans="34:39" x14ac:dyDescent="0.35">
      <c r="AH6740" s="21"/>
      <c r="AI6740" s="21"/>
      <c r="AJ6740" s="21"/>
      <c r="AK6740" s="21"/>
      <c r="AM6740" s="26" t="s">
        <v>38</v>
      </c>
    </row>
    <row r="6741" spans="34:39" x14ac:dyDescent="0.35">
      <c r="AH6741" s="21"/>
      <c r="AI6741" s="21"/>
      <c r="AJ6741" s="21"/>
      <c r="AK6741" s="21"/>
      <c r="AM6741" s="26" t="s">
        <v>38</v>
      </c>
    </row>
    <row r="6742" spans="34:39" x14ac:dyDescent="0.35">
      <c r="AH6742" s="21"/>
      <c r="AI6742" s="21"/>
      <c r="AJ6742" s="21"/>
      <c r="AK6742" s="21"/>
      <c r="AM6742" s="26" t="s">
        <v>38</v>
      </c>
    </row>
    <row r="6743" spans="34:39" x14ac:dyDescent="0.35">
      <c r="AH6743" s="21"/>
      <c r="AI6743" s="21"/>
      <c r="AJ6743" s="21"/>
      <c r="AK6743" s="21"/>
      <c r="AM6743" s="26" t="s">
        <v>38</v>
      </c>
    </row>
    <row r="6744" spans="34:39" x14ac:dyDescent="0.35">
      <c r="AH6744" s="21"/>
      <c r="AI6744" s="21"/>
      <c r="AJ6744" s="21"/>
      <c r="AK6744" s="21"/>
      <c r="AM6744" s="26" t="s">
        <v>38</v>
      </c>
    </row>
    <row r="6745" spans="34:39" x14ac:dyDescent="0.35">
      <c r="AH6745" s="21"/>
      <c r="AI6745" s="21"/>
      <c r="AJ6745" s="21"/>
      <c r="AK6745" s="21"/>
      <c r="AM6745" s="26" t="s">
        <v>38</v>
      </c>
    </row>
    <row r="6746" spans="34:39" x14ac:dyDescent="0.35">
      <c r="AH6746" s="21"/>
      <c r="AI6746" s="21"/>
      <c r="AJ6746" s="21"/>
      <c r="AK6746" s="21"/>
      <c r="AM6746" s="26" t="s">
        <v>38</v>
      </c>
    </row>
    <row r="6747" spans="34:39" x14ac:dyDescent="0.35">
      <c r="AH6747" s="21"/>
      <c r="AI6747" s="21"/>
      <c r="AJ6747" s="21"/>
      <c r="AK6747" s="21"/>
      <c r="AM6747" s="26" t="s">
        <v>38</v>
      </c>
    </row>
    <row r="6748" spans="34:39" x14ac:dyDescent="0.35">
      <c r="AH6748" s="21"/>
      <c r="AI6748" s="21"/>
      <c r="AJ6748" s="21"/>
      <c r="AK6748" s="21"/>
      <c r="AM6748" s="26" t="s">
        <v>38</v>
      </c>
    </row>
    <row r="6749" spans="34:39" x14ac:dyDescent="0.35">
      <c r="AH6749" s="21"/>
      <c r="AI6749" s="21"/>
      <c r="AJ6749" s="21"/>
      <c r="AK6749" s="21"/>
      <c r="AM6749" s="26" t="s">
        <v>38</v>
      </c>
    </row>
    <row r="6750" spans="34:39" x14ac:dyDescent="0.35">
      <c r="AH6750" s="21"/>
      <c r="AI6750" s="21"/>
      <c r="AJ6750" s="21"/>
      <c r="AK6750" s="21"/>
      <c r="AM6750" s="26" t="s">
        <v>38</v>
      </c>
    </row>
    <row r="6751" spans="34:39" x14ac:dyDescent="0.35">
      <c r="AH6751" s="21"/>
      <c r="AI6751" s="21"/>
      <c r="AJ6751" s="21"/>
      <c r="AK6751" s="21"/>
      <c r="AM6751" s="26" t="s">
        <v>38</v>
      </c>
    </row>
    <row r="6752" spans="34:39" x14ac:dyDescent="0.35">
      <c r="AH6752" s="21"/>
      <c r="AI6752" s="21"/>
      <c r="AJ6752" s="21"/>
      <c r="AK6752" s="21"/>
      <c r="AM6752" s="26" t="s">
        <v>38</v>
      </c>
    </row>
    <row r="6753" spans="34:39" x14ac:dyDescent="0.35">
      <c r="AH6753" s="21"/>
      <c r="AI6753" s="21"/>
      <c r="AJ6753" s="21"/>
      <c r="AK6753" s="21"/>
      <c r="AM6753" s="26" t="s">
        <v>38</v>
      </c>
    </row>
    <row r="6754" spans="34:39" x14ac:dyDescent="0.35">
      <c r="AH6754" s="21"/>
      <c r="AI6754" s="21"/>
      <c r="AJ6754" s="21"/>
      <c r="AK6754" s="21"/>
      <c r="AM6754" s="26" t="s">
        <v>38</v>
      </c>
    </row>
    <row r="6755" spans="34:39" x14ac:dyDescent="0.35">
      <c r="AH6755" s="21"/>
      <c r="AI6755" s="21"/>
      <c r="AJ6755" s="21"/>
      <c r="AK6755" s="21"/>
      <c r="AM6755" s="26" t="s">
        <v>38</v>
      </c>
    </row>
    <row r="6756" spans="34:39" x14ac:dyDescent="0.35">
      <c r="AH6756" s="21"/>
      <c r="AI6756" s="21"/>
      <c r="AJ6756" s="21"/>
      <c r="AK6756" s="21"/>
      <c r="AM6756" s="26" t="s">
        <v>38</v>
      </c>
    </row>
    <row r="6757" spans="34:39" x14ac:dyDescent="0.35">
      <c r="AH6757" s="21"/>
      <c r="AI6757" s="21"/>
      <c r="AJ6757" s="21"/>
      <c r="AK6757" s="21"/>
      <c r="AM6757" s="26" t="s">
        <v>38</v>
      </c>
    </row>
    <row r="6758" spans="34:39" x14ac:dyDescent="0.35">
      <c r="AH6758" s="21"/>
      <c r="AI6758" s="21"/>
      <c r="AJ6758" s="21"/>
      <c r="AK6758" s="21"/>
      <c r="AM6758" s="26" t="s">
        <v>38</v>
      </c>
    </row>
    <row r="6759" spans="34:39" x14ac:dyDescent="0.35">
      <c r="AH6759" s="21"/>
      <c r="AI6759" s="21"/>
      <c r="AJ6759" s="21"/>
      <c r="AK6759" s="21"/>
      <c r="AM6759" s="26" t="s">
        <v>38</v>
      </c>
    </row>
    <row r="6760" spans="34:39" x14ac:dyDescent="0.35">
      <c r="AH6760" s="21"/>
      <c r="AI6760" s="21"/>
      <c r="AJ6760" s="21"/>
      <c r="AK6760" s="21"/>
      <c r="AM6760" s="26" t="s">
        <v>38</v>
      </c>
    </row>
    <row r="6761" spans="34:39" x14ac:dyDescent="0.35">
      <c r="AH6761" s="21"/>
      <c r="AI6761" s="21"/>
      <c r="AJ6761" s="21"/>
      <c r="AK6761" s="21"/>
      <c r="AM6761" s="26" t="s">
        <v>38</v>
      </c>
    </row>
    <row r="6762" spans="34:39" x14ac:dyDescent="0.35">
      <c r="AH6762" s="21"/>
      <c r="AI6762" s="21"/>
      <c r="AJ6762" s="21"/>
      <c r="AK6762" s="21"/>
      <c r="AM6762" s="26" t="s">
        <v>38</v>
      </c>
    </row>
    <row r="6763" spans="34:39" x14ac:dyDescent="0.35">
      <c r="AH6763" s="21"/>
      <c r="AI6763" s="21"/>
      <c r="AJ6763" s="21"/>
      <c r="AK6763" s="21"/>
      <c r="AM6763" s="26" t="s">
        <v>38</v>
      </c>
    </row>
    <row r="6764" spans="34:39" x14ac:dyDescent="0.35">
      <c r="AH6764" s="21"/>
      <c r="AI6764" s="21"/>
      <c r="AJ6764" s="21"/>
      <c r="AK6764" s="21"/>
      <c r="AM6764" s="26" t="s">
        <v>38</v>
      </c>
    </row>
    <row r="6765" spans="34:39" x14ac:dyDescent="0.35">
      <c r="AH6765" s="21"/>
      <c r="AI6765" s="21"/>
      <c r="AJ6765" s="21"/>
      <c r="AK6765" s="21"/>
      <c r="AM6765" s="26" t="s">
        <v>38</v>
      </c>
    </row>
    <row r="6766" spans="34:39" x14ac:dyDescent="0.35">
      <c r="AH6766" s="21"/>
      <c r="AI6766" s="21"/>
      <c r="AJ6766" s="21"/>
      <c r="AK6766" s="21"/>
      <c r="AM6766" s="26" t="s">
        <v>38</v>
      </c>
    </row>
    <row r="6767" spans="34:39" x14ac:dyDescent="0.35">
      <c r="AH6767" s="21"/>
      <c r="AI6767" s="21"/>
      <c r="AJ6767" s="21"/>
      <c r="AK6767" s="21"/>
      <c r="AM6767" s="26" t="s">
        <v>38</v>
      </c>
    </row>
    <row r="6768" spans="34:39" x14ac:dyDescent="0.35">
      <c r="AH6768" s="21"/>
      <c r="AI6768" s="21"/>
      <c r="AJ6768" s="21"/>
      <c r="AK6768" s="21"/>
      <c r="AM6768" s="26" t="s">
        <v>38</v>
      </c>
    </row>
    <row r="6769" spans="34:39" x14ac:dyDescent="0.35">
      <c r="AH6769" s="21"/>
      <c r="AI6769" s="21"/>
      <c r="AJ6769" s="21"/>
      <c r="AK6769" s="21"/>
      <c r="AM6769" s="26" t="s">
        <v>38</v>
      </c>
    </row>
    <row r="6770" spans="34:39" x14ac:dyDescent="0.35">
      <c r="AH6770" s="21"/>
      <c r="AI6770" s="21"/>
      <c r="AJ6770" s="21"/>
      <c r="AK6770" s="21"/>
      <c r="AM6770" s="26" t="s">
        <v>38</v>
      </c>
    </row>
    <row r="6771" spans="34:39" x14ac:dyDescent="0.35">
      <c r="AH6771" s="21"/>
      <c r="AI6771" s="21"/>
      <c r="AJ6771" s="21"/>
      <c r="AK6771" s="21"/>
      <c r="AM6771" s="26" t="s">
        <v>38</v>
      </c>
    </row>
    <row r="6772" spans="34:39" x14ac:dyDescent="0.35">
      <c r="AH6772" s="21"/>
      <c r="AI6772" s="21"/>
      <c r="AJ6772" s="21"/>
      <c r="AK6772" s="21"/>
      <c r="AM6772" s="26" t="s">
        <v>38</v>
      </c>
    </row>
    <row r="6773" spans="34:39" x14ac:dyDescent="0.35">
      <c r="AH6773" s="21"/>
      <c r="AI6773" s="21"/>
      <c r="AJ6773" s="21"/>
      <c r="AK6773" s="21"/>
      <c r="AM6773" s="26" t="s">
        <v>38</v>
      </c>
    </row>
    <row r="6774" spans="34:39" x14ac:dyDescent="0.35">
      <c r="AH6774" s="21"/>
      <c r="AI6774" s="21"/>
      <c r="AJ6774" s="21"/>
      <c r="AK6774" s="21"/>
      <c r="AM6774" s="26" t="s">
        <v>38</v>
      </c>
    </row>
    <row r="6775" spans="34:39" x14ac:dyDescent="0.35">
      <c r="AH6775" s="21"/>
      <c r="AI6775" s="21"/>
      <c r="AJ6775" s="21"/>
      <c r="AK6775" s="21"/>
      <c r="AM6775" s="26" t="s">
        <v>38</v>
      </c>
    </row>
    <row r="6776" spans="34:39" x14ac:dyDescent="0.35">
      <c r="AH6776" s="21"/>
      <c r="AI6776" s="21"/>
      <c r="AJ6776" s="21"/>
      <c r="AK6776" s="21"/>
      <c r="AM6776" s="26" t="s">
        <v>38</v>
      </c>
    </row>
    <row r="6777" spans="34:39" x14ac:dyDescent="0.35">
      <c r="AH6777" s="21"/>
      <c r="AI6777" s="21"/>
      <c r="AJ6777" s="21"/>
      <c r="AK6777" s="21"/>
      <c r="AM6777" s="26" t="s">
        <v>38</v>
      </c>
    </row>
    <row r="6778" spans="34:39" x14ac:dyDescent="0.35">
      <c r="AH6778" s="21"/>
      <c r="AI6778" s="21"/>
      <c r="AJ6778" s="21"/>
      <c r="AK6778" s="21"/>
      <c r="AM6778" s="26" t="s">
        <v>38</v>
      </c>
    </row>
    <row r="6779" spans="34:39" x14ac:dyDescent="0.35">
      <c r="AH6779" s="21"/>
      <c r="AI6779" s="21"/>
      <c r="AJ6779" s="21"/>
      <c r="AK6779" s="21"/>
      <c r="AM6779" s="26" t="s">
        <v>38</v>
      </c>
    </row>
    <row r="6780" spans="34:39" x14ac:dyDescent="0.35">
      <c r="AH6780" s="21"/>
      <c r="AI6780" s="21"/>
      <c r="AJ6780" s="21"/>
      <c r="AK6780" s="21"/>
      <c r="AM6780" s="26" t="s">
        <v>38</v>
      </c>
    </row>
    <row r="6781" spans="34:39" x14ac:dyDescent="0.35">
      <c r="AH6781" s="21"/>
      <c r="AI6781" s="21"/>
      <c r="AJ6781" s="21"/>
      <c r="AK6781" s="21"/>
      <c r="AM6781" s="26" t="s">
        <v>38</v>
      </c>
    </row>
    <row r="6782" spans="34:39" x14ac:dyDescent="0.35">
      <c r="AH6782" s="21"/>
      <c r="AI6782" s="21"/>
      <c r="AJ6782" s="21"/>
      <c r="AK6782" s="21"/>
      <c r="AM6782" s="26" t="s">
        <v>38</v>
      </c>
    </row>
    <row r="6783" spans="34:39" x14ac:dyDescent="0.35">
      <c r="AH6783" s="21"/>
      <c r="AI6783" s="21"/>
      <c r="AJ6783" s="21"/>
      <c r="AK6783" s="21"/>
      <c r="AM6783" s="26" t="s">
        <v>38</v>
      </c>
    </row>
    <row r="6784" spans="34:39" x14ac:dyDescent="0.35">
      <c r="AH6784" s="21"/>
      <c r="AI6784" s="21"/>
      <c r="AJ6784" s="21"/>
      <c r="AK6784" s="21"/>
      <c r="AM6784" s="26" t="s">
        <v>38</v>
      </c>
    </row>
    <row r="6785" spans="34:39" x14ac:dyDescent="0.35">
      <c r="AH6785" s="21"/>
      <c r="AI6785" s="21"/>
      <c r="AJ6785" s="21"/>
      <c r="AK6785" s="21"/>
      <c r="AM6785" s="26" t="s">
        <v>38</v>
      </c>
    </row>
    <row r="6786" spans="34:39" x14ac:dyDescent="0.35">
      <c r="AH6786" s="21"/>
      <c r="AI6786" s="21"/>
      <c r="AJ6786" s="21"/>
      <c r="AK6786" s="21"/>
      <c r="AM6786" s="26" t="s">
        <v>38</v>
      </c>
    </row>
    <row r="6787" spans="34:39" x14ac:dyDescent="0.35">
      <c r="AH6787" s="21"/>
      <c r="AI6787" s="21"/>
      <c r="AJ6787" s="21"/>
      <c r="AK6787" s="21"/>
      <c r="AM6787" s="26" t="s">
        <v>38</v>
      </c>
    </row>
    <row r="6788" spans="34:39" x14ac:dyDescent="0.35">
      <c r="AH6788" s="21"/>
      <c r="AI6788" s="21"/>
      <c r="AJ6788" s="21"/>
      <c r="AK6788" s="21"/>
      <c r="AM6788" s="26" t="s">
        <v>38</v>
      </c>
    </row>
    <row r="6789" spans="34:39" x14ac:dyDescent="0.35">
      <c r="AH6789" s="21"/>
      <c r="AI6789" s="21"/>
      <c r="AJ6789" s="21"/>
      <c r="AK6789" s="21"/>
      <c r="AM6789" s="26" t="s">
        <v>38</v>
      </c>
    </row>
    <row r="6790" spans="34:39" x14ac:dyDescent="0.35">
      <c r="AH6790" s="21"/>
      <c r="AI6790" s="21"/>
      <c r="AJ6790" s="21"/>
      <c r="AK6790" s="21"/>
      <c r="AM6790" s="26" t="s">
        <v>38</v>
      </c>
    </row>
    <row r="6791" spans="34:39" x14ac:dyDescent="0.35">
      <c r="AH6791" s="21"/>
      <c r="AI6791" s="21"/>
      <c r="AJ6791" s="21"/>
      <c r="AK6791" s="21"/>
      <c r="AM6791" s="26" t="s">
        <v>38</v>
      </c>
    </row>
    <row r="6792" spans="34:39" x14ac:dyDescent="0.35">
      <c r="AH6792" s="21"/>
      <c r="AI6792" s="21"/>
      <c r="AJ6792" s="21"/>
      <c r="AK6792" s="21"/>
      <c r="AM6792" s="26" t="s">
        <v>38</v>
      </c>
    </row>
    <row r="6793" spans="34:39" x14ac:dyDescent="0.35">
      <c r="AH6793" s="21"/>
      <c r="AI6793" s="21"/>
      <c r="AJ6793" s="21"/>
      <c r="AK6793" s="21"/>
      <c r="AM6793" s="26" t="s">
        <v>38</v>
      </c>
    </row>
    <row r="6794" spans="34:39" x14ac:dyDescent="0.35">
      <c r="AH6794" s="21"/>
      <c r="AI6794" s="21"/>
      <c r="AJ6794" s="21"/>
      <c r="AK6794" s="21"/>
      <c r="AM6794" s="26" t="s">
        <v>38</v>
      </c>
    </row>
    <row r="6795" spans="34:39" x14ac:dyDescent="0.35">
      <c r="AH6795" s="21"/>
      <c r="AI6795" s="21"/>
      <c r="AJ6795" s="21"/>
      <c r="AK6795" s="21"/>
      <c r="AM6795" s="26" t="s">
        <v>38</v>
      </c>
    </row>
    <row r="6796" spans="34:39" x14ac:dyDescent="0.35">
      <c r="AH6796" s="21"/>
      <c r="AI6796" s="21"/>
      <c r="AJ6796" s="21"/>
      <c r="AK6796" s="21"/>
      <c r="AM6796" s="26" t="s">
        <v>38</v>
      </c>
    </row>
    <row r="6797" spans="34:39" x14ac:dyDescent="0.35">
      <c r="AH6797" s="21"/>
      <c r="AI6797" s="21"/>
      <c r="AJ6797" s="21"/>
      <c r="AK6797" s="21"/>
      <c r="AM6797" s="26" t="s">
        <v>38</v>
      </c>
    </row>
    <row r="6798" spans="34:39" x14ac:dyDescent="0.35">
      <c r="AH6798" s="21"/>
      <c r="AI6798" s="21"/>
      <c r="AJ6798" s="21"/>
      <c r="AK6798" s="21"/>
      <c r="AM6798" s="26" t="s">
        <v>38</v>
      </c>
    </row>
    <row r="6799" spans="34:39" x14ac:dyDescent="0.35">
      <c r="AH6799" s="21"/>
      <c r="AI6799" s="21"/>
      <c r="AJ6799" s="21"/>
      <c r="AK6799" s="21"/>
      <c r="AM6799" s="26" t="s">
        <v>38</v>
      </c>
    </row>
    <row r="6800" spans="34:39" x14ac:dyDescent="0.35">
      <c r="AH6800" s="21"/>
      <c r="AI6800" s="21"/>
      <c r="AJ6800" s="21"/>
      <c r="AK6800" s="21"/>
      <c r="AM6800" s="26" t="s">
        <v>38</v>
      </c>
    </row>
    <row r="6801" spans="34:39" x14ac:dyDescent="0.35">
      <c r="AH6801" s="21"/>
      <c r="AI6801" s="21"/>
      <c r="AJ6801" s="21"/>
      <c r="AK6801" s="21"/>
      <c r="AM6801" s="26" t="s">
        <v>38</v>
      </c>
    </row>
    <row r="6802" spans="34:39" x14ac:dyDescent="0.35">
      <c r="AH6802" s="21"/>
      <c r="AI6802" s="21"/>
      <c r="AJ6802" s="21"/>
      <c r="AK6802" s="21"/>
      <c r="AM6802" s="26" t="s">
        <v>38</v>
      </c>
    </row>
    <row r="6803" spans="34:39" x14ac:dyDescent="0.35">
      <c r="AH6803" s="21"/>
      <c r="AI6803" s="21"/>
      <c r="AJ6803" s="21"/>
      <c r="AK6803" s="21"/>
      <c r="AM6803" s="26" t="s">
        <v>38</v>
      </c>
    </row>
    <row r="6804" spans="34:39" x14ac:dyDescent="0.35">
      <c r="AH6804" s="21"/>
      <c r="AI6804" s="21"/>
      <c r="AJ6804" s="21"/>
      <c r="AK6804" s="21"/>
      <c r="AM6804" s="26" t="s">
        <v>38</v>
      </c>
    </row>
    <row r="6805" spans="34:39" x14ac:dyDescent="0.35">
      <c r="AH6805" s="21"/>
      <c r="AI6805" s="21"/>
      <c r="AJ6805" s="21"/>
      <c r="AK6805" s="21"/>
      <c r="AM6805" s="26" t="s">
        <v>38</v>
      </c>
    </row>
    <row r="6806" spans="34:39" x14ac:dyDescent="0.35">
      <c r="AH6806" s="21"/>
      <c r="AI6806" s="21"/>
      <c r="AJ6806" s="21"/>
      <c r="AK6806" s="21"/>
      <c r="AM6806" s="26" t="s">
        <v>38</v>
      </c>
    </row>
    <row r="6807" spans="34:39" x14ac:dyDescent="0.35">
      <c r="AH6807" s="21"/>
      <c r="AI6807" s="21"/>
      <c r="AJ6807" s="21"/>
      <c r="AK6807" s="21"/>
      <c r="AM6807" s="26" t="s">
        <v>38</v>
      </c>
    </row>
    <row r="6808" spans="34:39" x14ac:dyDescent="0.35">
      <c r="AH6808" s="21"/>
      <c r="AI6808" s="21"/>
      <c r="AJ6808" s="21"/>
      <c r="AK6808" s="21"/>
      <c r="AM6808" s="26" t="s">
        <v>38</v>
      </c>
    </row>
    <row r="6809" spans="34:39" x14ac:dyDescent="0.35">
      <c r="AH6809" s="21"/>
      <c r="AI6809" s="21"/>
      <c r="AJ6809" s="21"/>
      <c r="AK6809" s="21"/>
      <c r="AM6809" s="26" t="s">
        <v>38</v>
      </c>
    </row>
    <row r="6810" spans="34:39" x14ac:dyDescent="0.35">
      <c r="AH6810" s="21"/>
      <c r="AI6810" s="21"/>
      <c r="AJ6810" s="21"/>
      <c r="AK6810" s="21"/>
      <c r="AM6810" s="26" t="s">
        <v>38</v>
      </c>
    </row>
    <row r="6811" spans="34:39" x14ac:dyDescent="0.35">
      <c r="AH6811" s="21"/>
      <c r="AI6811" s="21"/>
      <c r="AJ6811" s="21"/>
      <c r="AK6811" s="21"/>
      <c r="AM6811" s="26" t="s">
        <v>38</v>
      </c>
    </row>
    <row r="6812" spans="34:39" x14ac:dyDescent="0.35">
      <c r="AH6812" s="21"/>
      <c r="AI6812" s="21"/>
      <c r="AJ6812" s="21"/>
      <c r="AK6812" s="21"/>
      <c r="AM6812" s="26" t="s">
        <v>38</v>
      </c>
    </row>
    <row r="6813" spans="34:39" x14ac:dyDescent="0.35">
      <c r="AH6813" s="21"/>
      <c r="AI6813" s="21"/>
      <c r="AJ6813" s="21"/>
      <c r="AK6813" s="21"/>
      <c r="AM6813" s="26" t="s">
        <v>38</v>
      </c>
    </row>
    <row r="6814" spans="34:39" x14ac:dyDescent="0.35">
      <c r="AH6814" s="21"/>
      <c r="AI6814" s="21"/>
      <c r="AJ6814" s="21"/>
      <c r="AK6814" s="21"/>
      <c r="AM6814" s="26" t="s">
        <v>38</v>
      </c>
    </row>
    <row r="6815" spans="34:39" x14ac:dyDescent="0.35">
      <c r="AH6815" s="21"/>
      <c r="AI6815" s="21"/>
      <c r="AJ6815" s="21"/>
      <c r="AK6815" s="21"/>
      <c r="AM6815" s="26" t="s">
        <v>38</v>
      </c>
    </row>
    <row r="6816" spans="34:39" x14ac:dyDescent="0.35">
      <c r="AH6816" s="21"/>
      <c r="AI6816" s="21"/>
      <c r="AJ6816" s="21"/>
      <c r="AK6816" s="21"/>
      <c r="AM6816" s="26" t="s">
        <v>38</v>
      </c>
    </row>
    <row r="6817" spans="34:39" x14ac:dyDescent="0.35">
      <c r="AH6817" s="21"/>
      <c r="AI6817" s="21"/>
      <c r="AJ6817" s="21"/>
      <c r="AK6817" s="21"/>
      <c r="AM6817" s="26" t="s">
        <v>38</v>
      </c>
    </row>
    <row r="6818" spans="34:39" x14ac:dyDescent="0.35">
      <c r="AH6818" s="21"/>
      <c r="AI6818" s="21"/>
      <c r="AJ6818" s="21"/>
      <c r="AK6818" s="21"/>
      <c r="AM6818" s="26" t="s">
        <v>38</v>
      </c>
    </row>
    <row r="6819" spans="34:39" x14ac:dyDescent="0.35">
      <c r="AH6819" s="21"/>
      <c r="AI6819" s="21"/>
      <c r="AJ6819" s="21"/>
      <c r="AK6819" s="21"/>
      <c r="AM6819" s="26" t="s">
        <v>38</v>
      </c>
    </row>
    <row r="6820" spans="34:39" x14ac:dyDescent="0.35">
      <c r="AH6820" s="21"/>
      <c r="AI6820" s="21"/>
      <c r="AJ6820" s="21"/>
      <c r="AK6820" s="21"/>
      <c r="AM6820" s="26" t="s">
        <v>38</v>
      </c>
    </row>
    <row r="6821" spans="34:39" x14ac:dyDescent="0.35">
      <c r="AH6821" s="21"/>
      <c r="AI6821" s="21"/>
      <c r="AJ6821" s="21"/>
      <c r="AK6821" s="21"/>
      <c r="AM6821" s="26" t="s">
        <v>38</v>
      </c>
    </row>
    <row r="6822" spans="34:39" x14ac:dyDescent="0.35">
      <c r="AH6822" s="21"/>
      <c r="AI6822" s="21"/>
      <c r="AJ6822" s="21"/>
      <c r="AK6822" s="21"/>
      <c r="AM6822" s="26" t="s">
        <v>38</v>
      </c>
    </row>
    <row r="6823" spans="34:39" x14ac:dyDescent="0.35">
      <c r="AH6823" s="21"/>
      <c r="AI6823" s="21"/>
      <c r="AJ6823" s="21"/>
      <c r="AK6823" s="21"/>
      <c r="AM6823" s="26" t="s">
        <v>38</v>
      </c>
    </row>
    <row r="6824" spans="34:39" x14ac:dyDescent="0.35">
      <c r="AH6824" s="21"/>
      <c r="AI6824" s="21"/>
      <c r="AJ6824" s="21"/>
      <c r="AK6824" s="21"/>
      <c r="AM6824" s="26" t="s">
        <v>38</v>
      </c>
    </row>
    <row r="6825" spans="34:39" x14ac:dyDescent="0.35">
      <c r="AH6825" s="21"/>
      <c r="AI6825" s="21"/>
      <c r="AJ6825" s="21"/>
      <c r="AK6825" s="21"/>
      <c r="AM6825" s="26" t="s">
        <v>38</v>
      </c>
    </row>
    <row r="6826" spans="34:39" x14ac:dyDescent="0.35">
      <c r="AH6826" s="21"/>
      <c r="AI6826" s="21"/>
      <c r="AJ6826" s="21"/>
      <c r="AK6826" s="21"/>
      <c r="AM6826" s="26" t="s">
        <v>38</v>
      </c>
    </row>
    <row r="6827" spans="34:39" x14ac:dyDescent="0.35">
      <c r="AH6827" s="21"/>
      <c r="AI6827" s="21"/>
      <c r="AJ6827" s="21"/>
      <c r="AK6827" s="21"/>
      <c r="AM6827" s="26" t="s">
        <v>38</v>
      </c>
    </row>
    <row r="6828" spans="34:39" x14ac:dyDescent="0.35">
      <c r="AH6828" s="21"/>
      <c r="AI6828" s="21"/>
      <c r="AJ6828" s="21"/>
      <c r="AK6828" s="21"/>
      <c r="AM6828" s="26" t="s">
        <v>38</v>
      </c>
    </row>
    <row r="6829" spans="34:39" x14ac:dyDescent="0.35">
      <c r="AH6829" s="21"/>
      <c r="AI6829" s="21"/>
      <c r="AJ6829" s="21"/>
      <c r="AK6829" s="21"/>
      <c r="AM6829" s="26" t="s">
        <v>38</v>
      </c>
    </row>
    <row r="6830" spans="34:39" x14ac:dyDescent="0.35">
      <c r="AH6830" s="21"/>
      <c r="AI6830" s="21"/>
      <c r="AJ6830" s="21"/>
      <c r="AK6830" s="21"/>
      <c r="AM6830" s="26" t="s">
        <v>38</v>
      </c>
    </row>
    <row r="6831" spans="34:39" x14ac:dyDescent="0.35">
      <c r="AH6831" s="21"/>
      <c r="AI6831" s="21"/>
      <c r="AJ6831" s="21"/>
      <c r="AK6831" s="21"/>
      <c r="AM6831" s="26" t="s">
        <v>38</v>
      </c>
    </row>
    <row r="6832" spans="34:39" x14ac:dyDescent="0.35">
      <c r="AH6832" s="21"/>
      <c r="AI6832" s="21"/>
      <c r="AJ6832" s="21"/>
      <c r="AK6832" s="21"/>
      <c r="AM6832" s="26" t="s">
        <v>38</v>
      </c>
    </row>
    <row r="6833" spans="34:39" x14ac:dyDescent="0.35">
      <c r="AH6833" s="21"/>
      <c r="AI6833" s="21"/>
      <c r="AJ6833" s="21"/>
      <c r="AK6833" s="21"/>
      <c r="AM6833" s="26" t="s">
        <v>38</v>
      </c>
    </row>
    <row r="6834" spans="34:39" x14ac:dyDescent="0.35">
      <c r="AH6834" s="21"/>
      <c r="AI6834" s="21"/>
      <c r="AJ6834" s="21"/>
      <c r="AK6834" s="21"/>
      <c r="AM6834" s="26" t="s">
        <v>38</v>
      </c>
    </row>
    <row r="6835" spans="34:39" x14ac:dyDescent="0.35">
      <c r="AH6835" s="21"/>
      <c r="AI6835" s="21"/>
      <c r="AJ6835" s="21"/>
      <c r="AK6835" s="21"/>
      <c r="AM6835" s="26" t="s">
        <v>38</v>
      </c>
    </row>
    <row r="6836" spans="34:39" x14ac:dyDescent="0.35">
      <c r="AH6836" s="21"/>
      <c r="AI6836" s="21"/>
      <c r="AJ6836" s="21"/>
      <c r="AK6836" s="21"/>
      <c r="AM6836" s="26" t="s">
        <v>38</v>
      </c>
    </row>
    <row r="6837" spans="34:39" x14ac:dyDescent="0.35">
      <c r="AH6837" s="21"/>
      <c r="AI6837" s="21"/>
      <c r="AJ6837" s="21"/>
      <c r="AK6837" s="21"/>
      <c r="AM6837" s="26" t="s">
        <v>38</v>
      </c>
    </row>
    <row r="6838" spans="34:39" x14ac:dyDescent="0.35">
      <c r="AH6838" s="21"/>
      <c r="AI6838" s="21"/>
      <c r="AJ6838" s="21"/>
      <c r="AK6838" s="21"/>
      <c r="AM6838" s="26" t="s">
        <v>38</v>
      </c>
    </row>
    <row r="6839" spans="34:39" x14ac:dyDescent="0.35">
      <c r="AH6839" s="21"/>
      <c r="AI6839" s="21"/>
      <c r="AJ6839" s="21"/>
      <c r="AK6839" s="21"/>
      <c r="AM6839" s="26" t="s">
        <v>38</v>
      </c>
    </row>
    <row r="6840" spans="34:39" x14ac:dyDescent="0.35">
      <c r="AH6840" s="21"/>
      <c r="AI6840" s="21"/>
      <c r="AJ6840" s="21"/>
      <c r="AK6840" s="21"/>
      <c r="AM6840" s="26" t="s">
        <v>38</v>
      </c>
    </row>
    <row r="6841" spans="34:39" x14ac:dyDescent="0.35">
      <c r="AH6841" s="21"/>
      <c r="AI6841" s="21"/>
      <c r="AJ6841" s="21"/>
      <c r="AK6841" s="21"/>
      <c r="AM6841" s="26" t="s">
        <v>38</v>
      </c>
    </row>
    <row r="6842" spans="34:39" x14ac:dyDescent="0.35">
      <c r="AH6842" s="21"/>
      <c r="AI6842" s="21"/>
      <c r="AJ6842" s="21"/>
      <c r="AK6842" s="21"/>
      <c r="AM6842" s="26" t="s">
        <v>38</v>
      </c>
    </row>
    <row r="6843" spans="34:39" x14ac:dyDescent="0.35">
      <c r="AH6843" s="21"/>
      <c r="AI6843" s="21"/>
      <c r="AJ6843" s="21"/>
      <c r="AK6843" s="21"/>
      <c r="AM6843" s="26" t="s">
        <v>38</v>
      </c>
    </row>
    <row r="6844" spans="34:39" x14ac:dyDescent="0.35">
      <c r="AH6844" s="21"/>
      <c r="AI6844" s="21"/>
      <c r="AJ6844" s="21"/>
      <c r="AK6844" s="21"/>
      <c r="AM6844" s="26" t="s">
        <v>38</v>
      </c>
    </row>
    <row r="6845" spans="34:39" x14ac:dyDescent="0.35">
      <c r="AH6845" s="21"/>
      <c r="AI6845" s="21"/>
      <c r="AJ6845" s="21"/>
      <c r="AK6845" s="21"/>
      <c r="AM6845" s="26" t="s">
        <v>38</v>
      </c>
    </row>
    <row r="6846" spans="34:39" x14ac:dyDescent="0.35">
      <c r="AH6846" s="21"/>
      <c r="AI6846" s="21"/>
      <c r="AJ6846" s="21"/>
      <c r="AK6846" s="21"/>
      <c r="AM6846" s="26" t="s">
        <v>38</v>
      </c>
    </row>
    <row r="6847" spans="34:39" x14ac:dyDescent="0.35">
      <c r="AH6847" s="21"/>
      <c r="AI6847" s="21"/>
      <c r="AJ6847" s="21"/>
      <c r="AK6847" s="21"/>
      <c r="AM6847" s="26" t="s">
        <v>38</v>
      </c>
    </row>
    <row r="6848" spans="34:39" x14ac:dyDescent="0.35">
      <c r="AH6848" s="21"/>
      <c r="AI6848" s="21"/>
      <c r="AJ6848" s="21"/>
      <c r="AK6848" s="21"/>
      <c r="AM6848" s="26" t="s">
        <v>38</v>
      </c>
    </row>
    <row r="6849" spans="34:39" x14ac:dyDescent="0.35">
      <c r="AH6849" s="21"/>
      <c r="AI6849" s="21"/>
      <c r="AJ6849" s="21"/>
      <c r="AK6849" s="21"/>
      <c r="AM6849" s="26" t="s">
        <v>38</v>
      </c>
    </row>
    <row r="6850" spans="34:39" x14ac:dyDescent="0.35">
      <c r="AH6850" s="21"/>
      <c r="AI6850" s="21"/>
      <c r="AJ6850" s="21"/>
      <c r="AK6850" s="21"/>
      <c r="AM6850" s="26" t="s">
        <v>38</v>
      </c>
    </row>
    <row r="6851" spans="34:39" x14ac:dyDescent="0.35">
      <c r="AH6851" s="21"/>
      <c r="AI6851" s="21"/>
      <c r="AJ6851" s="21"/>
      <c r="AK6851" s="21"/>
      <c r="AM6851" s="26" t="s">
        <v>38</v>
      </c>
    </row>
    <row r="6852" spans="34:39" x14ac:dyDescent="0.35">
      <c r="AH6852" s="21"/>
      <c r="AI6852" s="21"/>
      <c r="AJ6852" s="21"/>
      <c r="AK6852" s="21"/>
      <c r="AM6852" s="26" t="s">
        <v>38</v>
      </c>
    </row>
    <row r="6853" spans="34:39" x14ac:dyDescent="0.35">
      <c r="AH6853" s="21"/>
      <c r="AI6853" s="21"/>
      <c r="AJ6853" s="21"/>
      <c r="AK6853" s="21"/>
      <c r="AM6853" s="26" t="s">
        <v>38</v>
      </c>
    </row>
    <row r="6854" spans="34:39" x14ac:dyDescent="0.35">
      <c r="AH6854" s="21"/>
      <c r="AI6854" s="21"/>
      <c r="AJ6854" s="21"/>
      <c r="AK6854" s="21"/>
      <c r="AM6854" s="26" t="s">
        <v>38</v>
      </c>
    </row>
    <row r="6855" spans="34:39" x14ac:dyDescent="0.35">
      <c r="AH6855" s="21"/>
      <c r="AI6855" s="21"/>
      <c r="AJ6855" s="21"/>
      <c r="AK6855" s="21"/>
      <c r="AM6855" s="26" t="s">
        <v>38</v>
      </c>
    </row>
    <row r="6856" spans="34:39" x14ac:dyDescent="0.35">
      <c r="AH6856" s="21"/>
      <c r="AI6856" s="21"/>
      <c r="AJ6856" s="21"/>
      <c r="AK6856" s="21"/>
      <c r="AM6856" s="26" t="s">
        <v>38</v>
      </c>
    </row>
    <row r="6857" spans="34:39" x14ac:dyDescent="0.35">
      <c r="AH6857" s="21"/>
      <c r="AI6857" s="21"/>
      <c r="AJ6857" s="21"/>
      <c r="AK6857" s="21"/>
      <c r="AM6857" s="26" t="s">
        <v>38</v>
      </c>
    </row>
    <row r="6858" spans="34:39" x14ac:dyDescent="0.35">
      <c r="AH6858" s="21"/>
      <c r="AI6858" s="21"/>
      <c r="AJ6858" s="21"/>
      <c r="AK6858" s="21"/>
      <c r="AM6858" s="26" t="s">
        <v>38</v>
      </c>
    </row>
    <row r="6859" spans="34:39" x14ac:dyDescent="0.35">
      <c r="AH6859" s="21"/>
      <c r="AI6859" s="21"/>
      <c r="AJ6859" s="21"/>
      <c r="AK6859" s="21"/>
      <c r="AM6859" s="26" t="s">
        <v>38</v>
      </c>
    </row>
    <row r="6860" spans="34:39" x14ac:dyDescent="0.35">
      <c r="AH6860" s="21"/>
      <c r="AI6860" s="21"/>
      <c r="AJ6860" s="21"/>
      <c r="AK6860" s="21"/>
      <c r="AM6860" s="26" t="s">
        <v>38</v>
      </c>
    </row>
    <row r="6861" spans="34:39" x14ac:dyDescent="0.35">
      <c r="AH6861" s="21"/>
      <c r="AI6861" s="21"/>
      <c r="AJ6861" s="21"/>
      <c r="AK6861" s="21"/>
      <c r="AM6861" s="26" t="s">
        <v>38</v>
      </c>
    </row>
    <row r="6862" spans="34:39" x14ac:dyDescent="0.35">
      <c r="AH6862" s="21"/>
      <c r="AI6862" s="21"/>
      <c r="AJ6862" s="21"/>
      <c r="AK6862" s="21"/>
      <c r="AM6862" s="26" t="s">
        <v>38</v>
      </c>
    </row>
    <row r="6863" spans="34:39" x14ac:dyDescent="0.35">
      <c r="AH6863" s="21"/>
      <c r="AI6863" s="21"/>
      <c r="AJ6863" s="21"/>
      <c r="AK6863" s="21"/>
      <c r="AM6863" s="26" t="s">
        <v>38</v>
      </c>
    </row>
    <row r="6864" spans="34:39" x14ac:dyDescent="0.35">
      <c r="AH6864" s="21"/>
      <c r="AI6864" s="21"/>
      <c r="AJ6864" s="21"/>
      <c r="AK6864" s="21"/>
      <c r="AM6864" s="26" t="s">
        <v>38</v>
      </c>
    </row>
    <row r="6865" spans="34:39" x14ac:dyDescent="0.35">
      <c r="AH6865" s="21"/>
      <c r="AI6865" s="21"/>
      <c r="AJ6865" s="21"/>
      <c r="AK6865" s="21"/>
      <c r="AM6865" s="26" t="s">
        <v>38</v>
      </c>
    </row>
    <row r="6866" spans="34:39" x14ac:dyDescent="0.35">
      <c r="AH6866" s="21"/>
      <c r="AI6866" s="21"/>
      <c r="AJ6866" s="21"/>
      <c r="AK6866" s="21"/>
      <c r="AM6866" s="26" t="s">
        <v>38</v>
      </c>
    </row>
    <row r="6867" spans="34:39" x14ac:dyDescent="0.35">
      <c r="AH6867" s="21"/>
      <c r="AI6867" s="21"/>
      <c r="AJ6867" s="21"/>
      <c r="AK6867" s="21"/>
      <c r="AM6867" s="26" t="s">
        <v>38</v>
      </c>
    </row>
    <row r="6868" spans="34:39" x14ac:dyDescent="0.35">
      <c r="AH6868" s="21"/>
      <c r="AI6868" s="21"/>
      <c r="AJ6868" s="21"/>
      <c r="AK6868" s="21"/>
      <c r="AM6868" s="26" t="s">
        <v>38</v>
      </c>
    </row>
    <row r="6869" spans="34:39" x14ac:dyDescent="0.35">
      <c r="AH6869" s="21"/>
      <c r="AI6869" s="21"/>
      <c r="AJ6869" s="21"/>
      <c r="AK6869" s="21"/>
      <c r="AM6869" s="26" t="s">
        <v>38</v>
      </c>
    </row>
    <row r="6870" spans="34:39" x14ac:dyDescent="0.35">
      <c r="AH6870" s="21"/>
      <c r="AI6870" s="21"/>
      <c r="AJ6870" s="21"/>
      <c r="AK6870" s="21"/>
      <c r="AM6870" s="26" t="s">
        <v>38</v>
      </c>
    </row>
    <row r="6871" spans="34:39" x14ac:dyDescent="0.35">
      <c r="AH6871" s="21"/>
      <c r="AI6871" s="21"/>
      <c r="AJ6871" s="21"/>
      <c r="AK6871" s="21"/>
      <c r="AM6871" s="26" t="s">
        <v>38</v>
      </c>
    </row>
    <row r="6872" spans="34:39" x14ac:dyDescent="0.35">
      <c r="AH6872" s="21"/>
      <c r="AI6872" s="21"/>
      <c r="AJ6872" s="21"/>
      <c r="AK6872" s="21"/>
      <c r="AM6872" s="26" t="s">
        <v>38</v>
      </c>
    </row>
    <row r="6873" spans="34:39" x14ac:dyDescent="0.35">
      <c r="AH6873" s="21"/>
      <c r="AI6873" s="21"/>
      <c r="AJ6873" s="21"/>
      <c r="AK6873" s="21"/>
      <c r="AM6873" s="26" t="s">
        <v>38</v>
      </c>
    </row>
    <row r="6874" spans="34:39" x14ac:dyDescent="0.35">
      <c r="AH6874" s="21"/>
      <c r="AI6874" s="21"/>
      <c r="AJ6874" s="21"/>
      <c r="AK6874" s="21"/>
      <c r="AM6874" s="26" t="s">
        <v>38</v>
      </c>
    </row>
    <row r="6875" spans="34:39" x14ac:dyDescent="0.35">
      <c r="AH6875" s="21"/>
      <c r="AI6875" s="21"/>
      <c r="AJ6875" s="21"/>
      <c r="AK6875" s="21"/>
      <c r="AM6875" s="26" t="s">
        <v>38</v>
      </c>
    </row>
    <row r="6876" spans="34:39" x14ac:dyDescent="0.35">
      <c r="AH6876" s="21"/>
      <c r="AI6876" s="21"/>
      <c r="AJ6876" s="21"/>
      <c r="AK6876" s="21"/>
      <c r="AM6876" s="26" t="s">
        <v>38</v>
      </c>
    </row>
    <row r="6877" spans="34:39" x14ac:dyDescent="0.35">
      <c r="AH6877" s="21"/>
      <c r="AI6877" s="21"/>
      <c r="AJ6877" s="21"/>
      <c r="AK6877" s="21"/>
      <c r="AM6877" s="26" t="s">
        <v>38</v>
      </c>
    </row>
    <row r="6878" spans="34:39" x14ac:dyDescent="0.35">
      <c r="AH6878" s="21"/>
      <c r="AI6878" s="21"/>
      <c r="AJ6878" s="21"/>
      <c r="AK6878" s="21"/>
      <c r="AM6878" s="26" t="s">
        <v>38</v>
      </c>
    </row>
    <row r="6879" spans="34:39" x14ac:dyDescent="0.35">
      <c r="AH6879" s="21"/>
      <c r="AI6879" s="21"/>
      <c r="AJ6879" s="21"/>
      <c r="AK6879" s="21"/>
      <c r="AM6879" s="26" t="s">
        <v>38</v>
      </c>
    </row>
    <row r="6880" spans="34:39" x14ac:dyDescent="0.35">
      <c r="AH6880" s="21"/>
      <c r="AI6880" s="21"/>
      <c r="AJ6880" s="21"/>
      <c r="AK6880" s="21"/>
      <c r="AM6880" s="26" t="s">
        <v>38</v>
      </c>
    </row>
    <row r="6881" spans="34:39" x14ac:dyDescent="0.35">
      <c r="AH6881" s="21"/>
      <c r="AI6881" s="21"/>
      <c r="AJ6881" s="21"/>
      <c r="AK6881" s="21"/>
      <c r="AM6881" s="26" t="s">
        <v>38</v>
      </c>
    </row>
    <row r="6882" spans="34:39" x14ac:dyDescent="0.35">
      <c r="AH6882" s="21"/>
      <c r="AI6882" s="21"/>
      <c r="AJ6882" s="21"/>
      <c r="AK6882" s="21"/>
      <c r="AM6882" s="26" t="s">
        <v>38</v>
      </c>
    </row>
    <row r="6883" spans="34:39" x14ac:dyDescent="0.35">
      <c r="AH6883" s="21"/>
      <c r="AI6883" s="21"/>
      <c r="AJ6883" s="21"/>
      <c r="AK6883" s="21"/>
      <c r="AM6883" s="26" t="s">
        <v>38</v>
      </c>
    </row>
    <row r="6884" spans="34:39" x14ac:dyDescent="0.35">
      <c r="AH6884" s="21"/>
      <c r="AI6884" s="21"/>
      <c r="AJ6884" s="21"/>
      <c r="AK6884" s="21"/>
      <c r="AM6884" s="26" t="s">
        <v>38</v>
      </c>
    </row>
    <row r="6885" spans="34:39" x14ac:dyDescent="0.35">
      <c r="AH6885" s="21"/>
      <c r="AI6885" s="21"/>
      <c r="AJ6885" s="21"/>
      <c r="AK6885" s="21"/>
      <c r="AM6885" s="26" t="s">
        <v>38</v>
      </c>
    </row>
    <row r="6886" spans="34:39" x14ac:dyDescent="0.35">
      <c r="AH6886" s="21"/>
      <c r="AI6886" s="21"/>
      <c r="AJ6886" s="21"/>
      <c r="AK6886" s="21"/>
      <c r="AM6886" s="26" t="s">
        <v>38</v>
      </c>
    </row>
    <row r="6887" spans="34:39" x14ac:dyDescent="0.35">
      <c r="AH6887" s="21"/>
      <c r="AI6887" s="21"/>
      <c r="AJ6887" s="21"/>
      <c r="AK6887" s="21"/>
      <c r="AM6887" s="26" t="s">
        <v>38</v>
      </c>
    </row>
    <row r="6888" spans="34:39" x14ac:dyDescent="0.35">
      <c r="AH6888" s="21"/>
      <c r="AI6888" s="21"/>
      <c r="AJ6888" s="21"/>
      <c r="AK6888" s="21"/>
      <c r="AM6888" s="26" t="s">
        <v>38</v>
      </c>
    </row>
    <row r="6889" spans="34:39" x14ac:dyDescent="0.35">
      <c r="AH6889" s="21"/>
      <c r="AI6889" s="21"/>
      <c r="AJ6889" s="21"/>
      <c r="AK6889" s="21"/>
      <c r="AM6889" s="26" t="s">
        <v>38</v>
      </c>
    </row>
    <row r="6890" spans="34:39" x14ac:dyDescent="0.35">
      <c r="AH6890" s="21"/>
      <c r="AI6890" s="21"/>
      <c r="AJ6890" s="21"/>
      <c r="AK6890" s="21"/>
      <c r="AM6890" s="26" t="s">
        <v>38</v>
      </c>
    </row>
    <row r="6891" spans="34:39" x14ac:dyDescent="0.35">
      <c r="AH6891" s="21"/>
      <c r="AI6891" s="21"/>
      <c r="AJ6891" s="21"/>
      <c r="AK6891" s="21"/>
      <c r="AM6891" s="26" t="s">
        <v>38</v>
      </c>
    </row>
    <row r="6892" spans="34:39" x14ac:dyDescent="0.35">
      <c r="AH6892" s="21"/>
      <c r="AI6892" s="21"/>
      <c r="AJ6892" s="21"/>
      <c r="AK6892" s="21"/>
      <c r="AM6892" s="26" t="s">
        <v>38</v>
      </c>
    </row>
    <row r="6893" spans="34:39" x14ac:dyDescent="0.35">
      <c r="AH6893" s="21"/>
      <c r="AI6893" s="21"/>
      <c r="AJ6893" s="21"/>
      <c r="AK6893" s="21"/>
      <c r="AM6893" s="26" t="s">
        <v>38</v>
      </c>
    </row>
    <row r="6894" spans="34:39" x14ac:dyDescent="0.35">
      <c r="AH6894" s="21"/>
      <c r="AI6894" s="21"/>
      <c r="AJ6894" s="21"/>
      <c r="AK6894" s="21"/>
      <c r="AM6894" s="26" t="s">
        <v>38</v>
      </c>
    </row>
    <row r="6895" spans="34:39" x14ac:dyDescent="0.35">
      <c r="AH6895" s="21"/>
      <c r="AI6895" s="21"/>
      <c r="AJ6895" s="21"/>
      <c r="AK6895" s="21"/>
      <c r="AM6895" s="26" t="s">
        <v>38</v>
      </c>
    </row>
    <row r="6896" spans="34:39" x14ac:dyDescent="0.35">
      <c r="AH6896" s="21"/>
      <c r="AI6896" s="21"/>
      <c r="AJ6896" s="21"/>
      <c r="AK6896" s="21"/>
      <c r="AM6896" s="26" t="s">
        <v>38</v>
      </c>
    </row>
    <row r="6897" spans="34:39" x14ac:dyDescent="0.35">
      <c r="AH6897" s="21"/>
      <c r="AI6897" s="21"/>
      <c r="AJ6897" s="21"/>
      <c r="AK6897" s="21"/>
      <c r="AM6897" s="26" t="s">
        <v>38</v>
      </c>
    </row>
    <row r="6898" spans="34:39" x14ac:dyDescent="0.35">
      <c r="AH6898" s="21"/>
      <c r="AI6898" s="21"/>
      <c r="AJ6898" s="21"/>
      <c r="AK6898" s="21"/>
      <c r="AM6898" s="26" t="s">
        <v>38</v>
      </c>
    </row>
    <row r="6899" spans="34:39" x14ac:dyDescent="0.35">
      <c r="AH6899" s="21"/>
      <c r="AI6899" s="21"/>
      <c r="AJ6899" s="21"/>
      <c r="AK6899" s="21"/>
      <c r="AM6899" s="26" t="s">
        <v>38</v>
      </c>
    </row>
    <row r="6900" spans="34:39" x14ac:dyDescent="0.35">
      <c r="AH6900" s="21"/>
      <c r="AI6900" s="21"/>
      <c r="AJ6900" s="21"/>
      <c r="AK6900" s="21"/>
      <c r="AM6900" s="26" t="s">
        <v>38</v>
      </c>
    </row>
    <row r="6901" spans="34:39" x14ac:dyDescent="0.35">
      <c r="AH6901" s="21"/>
      <c r="AI6901" s="21"/>
      <c r="AJ6901" s="21"/>
      <c r="AK6901" s="21"/>
      <c r="AM6901" s="26" t="s">
        <v>38</v>
      </c>
    </row>
    <row r="6902" spans="34:39" x14ac:dyDescent="0.35">
      <c r="AH6902" s="21"/>
      <c r="AI6902" s="21"/>
      <c r="AJ6902" s="21"/>
      <c r="AK6902" s="21"/>
      <c r="AM6902" s="26" t="s">
        <v>38</v>
      </c>
    </row>
    <row r="6903" spans="34:39" x14ac:dyDescent="0.35">
      <c r="AH6903" s="21"/>
      <c r="AI6903" s="21"/>
      <c r="AJ6903" s="21"/>
      <c r="AK6903" s="21"/>
      <c r="AM6903" s="26" t="s">
        <v>38</v>
      </c>
    </row>
    <row r="6904" spans="34:39" x14ac:dyDescent="0.35">
      <c r="AH6904" s="21"/>
      <c r="AI6904" s="21"/>
      <c r="AJ6904" s="21"/>
      <c r="AK6904" s="21"/>
      <c r="AM6904" s="26" t="s">
        <v>38</v>
      </c>
    </row>
    <row r="6905" spans="34:39" x14ac:dyDescent="0.35">
      <c r="AH6905" s="21"/>
      <c r="AI6905" s="21"/>
      <c r="AJ6905" s="21"/>
      <c r="AK6905" s="21"/>
      <c r="AM6905" s="26" t="s">
        <v>38</v>
      </c>
    </row>
    <row r="6906" spans="34:39" x14ac:dyDescent="0.35">
      <c r="AH6906" s="21"/>
      <c r="AI6906" s="21"/>
      <c r="AJ6906" s="21"/>
      <c r="AK6906" s="21"/>
      <c r="AM6906" s="26" t="s">
        <v>38</v>
      </c>
    </row>
    <row r="6907" spans="34:39" x14ac:dyDescent="0.35">
      <c r="AH6907" s="21"/>
      <c r="AI6907" s="21"/>
      <c r="AJ6907" s="21"/>
      <c r="AK6907" s="21"/>
      <c r="AM6907" s="26" t="s">
        <v>38</v>
      </c>
    </row>
    <row r="6908" spans="34:39" x14ac:dyDescent="0.35">
      <c r="AH6908" s="21"/>
      <c r="AI6908" s="21"/>
      <c r="AJ6908" s="21"/>
      <c r="AK6908" s="21"/>
      <c r="AM6908" s="26" t="s">
        <v>38</v>
      </c>
    </row>
    <row r="6909" spans="34:39" x14ac:dyDescent="0.35">
      <c r="AH6909" s="21"/>
      <c r="AI6909" s="21"/>
      <c r="AJ6909" s="21"/>
      <c r="AK6909" s="21"/>
      <c r="AM6909" s="26" t="s">
        <v>38</v>
      </c>
    </row>
    <row r="6910" spans="34:39" x14ac:dyDescent="0.35">
      <c r="AH6910" s="21"/>
      <c r="AI6910" s="21"/>
      <c r="AJ6910" s="21"/>
      <c r="AK6910" s="21"/>
      <c r="AM6910" s="26" t="s">
        <v>38</v>
      </c>
    </row>
    <row r="6911" spans="34:39" x14ac:dyDescent="0.35">
      <c r="AH6911" s="21"/>
      <c r="AI6911" s="21"/>
      <c r="AJ6911" s="21"/>
      <c r="AK6911" s="21"/>
      <c r="AM6911" s="26" t="s">
        <v>38</v>
      </c>
    </row>
    <row r="6912" spans="34:39" x14ac:dyDescent="0.35">
      <c r="AH6912" s="21"/>
      <c r="AI6912" s="21"/>
      <c r="AJ6912" s="21"/>
      <c r="AK6912" s="21"/>
      <c r="AM6912" s="26" t="s">
        <v>38</v>
      </c>
    </row>
    <row r="6913" spans="34:39" x14ac:dyDescent="0.35">
      <c r="AH6913" s="21"/>
      <c r="AI6913" s="21"/>
      <c r="AJ6913" s="21"/>
      <c r="AK6913" s="21"/>
      <c r="AM6913" s="26" t="s">
        <v>38</v>
      </c>
    </row>
    <row r="6914" spans="34:39" x14ac:dyDescent="0.35">
      <c r="AH6914" s="21"/>
      <c r="AI6914" s="21"/>
      <c r="AJ6914" s="21"/>
      <c r="AK6914" s="21"/>
      <c r="AM6914" s="26" t="s">
        <v>38</v>
      </c>
    </row>
    <row r="6915" spans="34:39" x14ac:dyDescent="0.35">
      <c r="AH6915" s="21"/>
      <c r="AI6915" s="21"/>
      <c r="AJ6915" s="21"/>
      <c r="AK6915" s="21"/>
      <c r="AM6915" s="26" t="s">
        <v>38</v>
      </c>
    </row>
    <row r="6916" spans="34:39" x14ac:dyDescent="0.35">
      <c r="AH6916" s="21"/>
      <c r="AI6916" s="21"/>
      <c r="AJ6916" s="21"/>
      <c r="AK6916" s="21"/>
      <c r="AM6916" s="26" t="s">
        <v>38</v>
      </c>
    </row>
    <row r="6917" spans="34:39" x14ac:dyDescent="0.35">
      <c r="AH6917" s="21"/>
      <c r="AI6917" s="21"/>
      <c r="AJ6917" s="21"/>
      <c r="AK6917" s="21"/>
      <c r="AM6917" s="26" t="s">
        <v>38</v>
      </c>
    </row>
    <row r="6918" spans="34:39" x14ac:dyDescent="0.35">
      <c r="AH6918" s="21"/>
      <c r="AI6918" s="21"/>
      <c r="AJ6918" s="21"/>
      <c r="AK6918" s="21"/>
      <c r="AM6918" s="26" t="s">
        <v>38</v>
      </c>
    </row>
    <row r="6919" spans="34:39" x14ac:dyDescent="0.35">
      <c r="AH6919" s="21"/>
      <c r="AI6919" s="21"/>
      <c r="AJ6919" s="21"/>
      <c r="AK6919" s="21"/>
      <c r="AM6919" s="26" t="s">
        <v>38</v>
      </c>
    </row>
    <row r="6920" spans="34:39" x14ac:dyDescent="0.35">
      <c r="AH6920" s="21"/>
      <c r="AI6920" s="21"/>
      <c r="AJ6920" s="21"/>
      <c r="AK6920" s="21"/>
      <c r="AM6920" s="26" t="s">
        <v>38</v>
      </c>
    </row>
    <row r="6921" spans="34:39" x14ac:dyDescent="0.35">
      <c r="AH6921" s="21"/>
      <c r="AI6921" s="21"/>
      <c r="AJ6921" s="21"/>
      <c r="AK6921" s="21"/>
      <c r="AM6921" s="26" t="s">
        <v>38</v>
      </c>
    </row>
    <row r="6922" spans="34:39" x14ac:dyDescent="0.35">
      <c r="AH6922" s="21"/>
      <c r="AI6922" s="21"/>
      <c r="AJ6922" s="21"/>
      <c r="AK6922" s="21"/>
      <c r="AM6922" s="26" t="s">
        <v>38</v>
      </c>
    </row>
    <row r="6923" spans="34:39" x14ac:dyDescent="0.35">
      <c r="AH6923" s="21"/>
      <c r="AI6923" s="21"/>
      <c r="AJ6923" s="21"/>
      <c r="AK6923" s="21"/>
      <c r="AM6923" s="26" t="s">
        <v>38</v>
      </c>
    </row>
    <row r="6924" spans="34:39" x14ac:dyDescent="0.35">
      <c r="AH6924" s="21"/>
      <c r="AI6924" s="21"/>
      <c r="AJ6924" s="21"/>
      <c r="AK6924" s="21"/>
      <c r="AM6924" s="26" t="s">
        <v>38</v>
      </c>
    </row>
    <row r="6925" spans="34:39" x14ac:dyDescent="0.35">
      <c r="AH6925" s="21"/>
      <c r="AI6925" s="21"/>
      <c r="AJ6925" s="21"/>
      <c r="AK6925" s="21"/>
      <c r="AM6925" s="26" t="s">
        <v>38</v>
      </c>
    </row>
    <row r="6926" spans="34:39" x14ac:dyDescent="0.35">
      <c r="AH6926" s="21"/>
      <c r="AI6926" s="21"/>
      <c r="AJ6926" s="21"/>
      <c r="AK6926" s="21"/>
      <c r="AM6926" s="26" t="s">
        <v>38</v>
      </c>
    </row>
    <row r="6927" spans="34:39" x14ac:dyDescent="0.35">
      <c r="AH6927" s="21"/>
      <c r="AI6927" s="21"/>
      <c r="AJ6927" s="21"/>
      <c r="AK6927" s="21"/>
      <c r="AM6927" s="26" t="s">
        <v>38</v>
      </c>
    </row>
    <row r="6928" spans="34:39" x14ac:dyDescent="0.35">
      <c r="AH6928" s="21"/>
      <c r="AI6928" s="21"/>
      <c r="AJ6928" s="21"/>
      <c r="AK6928" s="21"/>
      <c r="AM6928" s="26" t="s">
        <v>38</v>
      </c>
    </row>
    <row r="6929" spans="34:39" x14ac:dyDescent="0.35">
      <c r="AH6929" s="21"/>
      <c r="AI6929" s="21"/>
      <c r="AJ6929" s="21"/>
      <c r="AK6929" s="21"/>
      <c r="AM6929" s="26" t="s">
        <v>38</v>
      </c>
    </row>
    <row r="6930" spans="34:39" x14ac:dyDescent="0.35">
      <c r="AH6930" s="21"/>
      <c r="AI6930" s="21"/>
      <c r="AJ6930" s="21"/>
      <c r="AK6930" s="21"/>
      <c r="AM6930" s="26" t="s">
        <v>38</v>
      </c>
    </row>
    <row r="6931" spans="34:39" x14ac:dyDescent="0.35">
      <c r="AH6931" s="21"/>
      <c r="AI6931" s="21"/>
      <c r="AJ6931" s="21"/>
      <c r="AK6931" s="21"/>
      <c r="AM6931" s="26" t="s">
        <v>38</v>
      </c>
    </row>
    <row r="6932" spans="34:39" x14ac:dyDescent="0.35">
      <c r="AH6932" s="21"/>
      <c r="AI6932" s="21"/>
      <c r="AJ6932" s="21"/>
      <c r="AK6932" s="21"/>
      <c r="AM6932" s="26" t="s">
        <v>38</v>
      </c>
    </row>
    <row r="6933" spans="34:39" x14ac:dyDescent="0.35">
      <c r="AH6933" s="21"/>
      <c r="AI6933" s="21"/>
      <c r="AJ6933" s="21"/>
      <c r="AK6933" s="21"/>
      <c r="AM6933" s="26" t="s">
        <v>38</v>
      </c>
    </row>
    <row r="6934" spans="34:39" x14ac:dyDescent="0.35">
      <c r="AH6934" s="21"/>
      <c r="AI6934" s="21"/>
      <c r="AJ6934" s="21"/>
      <c r="AK6934" s="21"/>
      <c r="AM6934" s="26" t="s">
        <v>38</v>
      </c>
    </row>
    <row r="6935" spans="34:39" x14ac:dyDescent="0.35">
      <c r="AH6935" s="21"/>
      <c r="AI6935" s="21"/>
      <c r="AJ6935" s="21"/>
      <c r="AK6935" s="21"/>
      <c r="AM6935" s="26" t="s">
        <v>38</v>
      </c>
    </row>
    <row r="6936" spans="34:39" x14ac:dyDescent="0.35">
      <c r="AH6936" s="21"/>
      <c r="AI6936" s="21"/>
      <c r="AJ6936" s="21"/>
      <c r="AK6936" s="21"/>
      <c r="AM6936" s="26" t="s">
        <v>38</v>
      </c>
    </row>
    <row r="6937" spans="34:39" x14ac:dyDescent="0.35">
      <c r="AH6937" s="21"/>
      <c r="AI6937" s="21"/>
      <c r="AJ6937" s="21"/>
      <c r="AK6937" s="21"/>
      <c r="AM6937" s="26" t="s">
        <v>38</v>
      </c>
    </row>
    <row r="6938" spans="34:39" x14ac:dyDescent="0.35">
      <c r="AH6938" s="21"/>
      <c r="AI6938" s="21"/>
      <c r="AJ6938" s="21"/>
      <c r="AK6938" s="21"/>
      <c r="AM6938" s="26" t="s">
        <v>38</v>
      </c>
    </row>
    <row r="6939" spans="34:39" x14ac:dyDescent="0.35">
      <c r="AH6939" s="21"/>
      <c r="AI6939" s="21"/>
      <c r="AJ6939" s="21"/>
      <c r="AK6939" s="21"/>
      <c r="AM6939" s="26" t="s">
        <v>38</v>
      </c>
    </row>
    <row r="6940" spans="34:39" x14ac:dyDescent="0.35">
      <c r="AH6940" s="21"/>
      <c r="AI6940" s="21"/>
      <c r="AJ6940" s="21"/>
      <c r="AK6940" s="21"/>
      <c r="AM6940" s="26" t="s">
        <v>38</v>
      </c>
    </row>
    <row r="6941" spans="34:39" x14ac:dyDescent="0.35">
      <c r="AH6941" s="21"/>
      <c r="AI6941" s="21"/>
      <c r="AJ6941" s="21"/>
      <c r="AK6941" s="21"/>
      <c r="AM6941" s="26" t="s">
        <v>38</v>
      </c>
    </row>
    <row r="6942" spans="34:39" x14ac:dyDescent="0.35">
      <c r="AH6942" s="21"/>
      <c r="AI6942" s="21"/>
      <c r="AJ6942" s="21"/>
      <c r="AK6942" s="21"/>
      <c r="AM6942" s="26" t="s">
        <v>38</v>
      </c>
    </row>
    <row r="6943" spans="34:39" x14ac:dyDescent="0.35">
      <c r="AH6943" s="21"/>
      <c r="AI6943" s="21"/>
      <c r="AJ6943" s="21"/>
      <c r="AK6943" s="21"/>
      <c r="AM6943" s="26" t="s">
        <v>38</v>
      </c>
    </row>
    <row r="6944" spans="34:39" x14ac:dyDescent="0.35">
      <c r="AH6944" s="21"/>
      <c r="AI6944" s="21"/>
      <c r="AJ6944" s="21"/>
      <c r="AK6944" s="21"/>
      <c r="AM6944" s="26" t="s">
        <v>38</v>
      </c>
    </row>
    <row r="6945" spans="34:39" x14ac:dyDescent="0.35">
      <c r="AH6945" s="21"/>
      <c r="AI6945" s="21"/>
      <c r="AJ6945" s="21"/>
      <c r="AK6945" s="21"/>
      <c r="AM6945" s="26" t="s">
        <v>38</v>
      </c>
    </row>
    <row r="6946" spans="34:39" x14ac:dyDescent="0.35">
      <c r="AH6946" s="21"/>
      <c r="AI6946" s="21"/>
      <c r="AJ6946" s="21"/>
      <c r="AK6946" s="21"/>
      <c r="AM6946" s="26" t="s">
        <v>38</v>
      </c>
    </row>
    <row r="6947" spans="34:39" x14ac:dyDescent="0.35">
      <c r="AH6947" s="21"/>
      <c r="AI6947" s="21"/>
      <c r="AJ6947" s="21"/>
      <c r="AK6947" s="21"/>
      <c r="AM6947" s="26" t="s">
        <v>38</v>
      </c>
    </row>
    <row r="6948" spans="34:39" x14ac:dyDescent="0.35">
      <c r="AH6948" s="21"/>
      <c r="AI6948" s="21"/>
      <c r="AJ6948" s="21"/>
      <c r="AK6948" s="21"/>
      <c r="AM6948" s="26" t="s">
        <v>38</v>
      </c>
    </row>
    <row r="6949" spans="34:39" x14ac:dyDescent="0.35">
      <c r="AH6949" s="21"/>
      <c r="AI6949" s="21"/>
      <c r="AJ6949" s="21"/>
      <c r="AK6949" s="21"/>
      <c r="AM6949" s="26" t="s">
        <v>38</v>
      </c>
    </row>
    <row r="6950" spans="34:39" x14ac:dyDescent="0.35">
      <c r="AH6950" s="21"/>
      <c r="AI6950" s="21"/>
      <c r="AJ6950" s="21"/>
      <c r="AK6950" s="21"/>
      <c r="AM6950" s="26" t="s">
        <v>38</v>
      </c>
    </row>
    <row r="6951" spans="34:39" x14ac:dyDescent="0.35">
      <c r="AH6951" s="21"/>
      <c r="AI6951" s="21"/>
      <c r="AJ6951" s="21"/>
      <c r="AK6951" s="21"/>
      <c r="AM6951" s="26" t="s">
        <v>38</v>
      </c>
    </row>
    <row r="6952" spans="34:39" x14ac:dyDescent="0.35">
      <c r="AH6952" s="21"/>
      <c r="AI6952" s="21"/>
      <c r="AJ6952" s="21"/>
      <c r="AK6952" s="21"/>
      <c r="AM6952" s="26" t="s">
        <v>38</v>
      </c>
    </row>
    <row r="6953" spans="34:39" x14ac:dyDescent="0.35">
      <c r="AH6953" s="21"/>
      <c r="AI6953" s="21"/>
      <c r="AJ6953" s="21"/>
      <c r="AK6953" s="21"/>
      <c r="AM6953" s="26" t="s">
        <v>38</v>
      </c>
    </row>
    <row r="6954" spans="34:39" x14ac:dyDescent="0.35">
      <c r="AH6954" s="21"/>
      <c r="AI6954" s="21"/>
      <c r="AJ6954" s="21"/>
      <c r="AK6954" s="21"/>
      <c r="AM6954" s="26" t="s">
        <v>38</v>
      </c>
    </row>
    <row r="6955" spans="34:39" x14ac:dyDescent="0.35">
      <c r="AH6955" s="21"/>
      <c r="AI6955" s="21"/>
      <c r="AJ6955" s="21"/>
      <c r="AK6955" s="21"/>
      <c r="AM6955" s="26" t="s">
        <v>38</v>
      </c>
    </row>
    <row r="6956" spans="34:39" x14ac:dyDescent="0.35">
      <c r="AH6956" s="21"/>
      <c r="AI6956" s="21"/>
      <c r="AJ6956" s="21"/>
      <c r="AK6956" s="21"/>
      <c r="AM6956" s="26" t="s">
        <v>38</v>
      </c>
    </row>
    <row r="6957" spans="34:39" x14ac:dyDescent="0.35">
      <c r="AH6957" s="21"/>
      <c r="AI6957" s="21"/>
      <c r="AJ6957" s="21"/>
      <c r="AK6957" s="21"/>
      <c r="AM6957" s="26" t="s">
        <v>38</v>
      </c>
    </row>
    <row r="6958" spans="34:39" x14ac:dyDescent="0.35">
      <c r="AH6958" s="21"/>
      <c r="AI6958" s="21"/>
      <c r="AJ6958" s="21"/>
      <c r="AK6958" s="21"/>
      <c r="AM6958" s="26" t="s">
        <v>38</v>
      </c>
    </row>
    <row r="6959" spans="34:39" x14ac:dyDescent="0.35">
      <c r="AH6959" s="21"/>
      <c r="AI6959" s="21"/>
      <c r="AJ6959" s="21"/>
      <c r="AK6959" s="21"/>
      <c r="AM6959" s="26" t="s">
        <v>38</v>
      </c>
    </row>
    <row r="6960" spans="34:39" x14ac:dyDescent="0.35">
      <c r="AH6960" s="21"/>
      <c r="AI6960" s="21"/>
      <c r="AJ6960" s="21"/>
      <c r="AK6960" s="21"/>
      <c r="AM6960" s="26" t="s">
        <v>38</v>
      </c>
    </row>
    <row r="6961" spans="34:39" x14ac:dyDescent="0.35">
      <c r="AH6961" s="21"/>
      <c r="AI6961" s="21"/>
      <c r="AJ6961" s="21"/>
      <c r="AK6961" s="21"/>
      <c r="AM6961" s="26" t="s">
        <v>38</v>
      </c>
    </row>
    <row r="6962" spans="34:39" x14ac:dyDescent="0.35">
      <c r="AH6962" s="21"/>
      <c r="AI6962" s="21"/>
      <c r="AJ6962" s="21"/>
      <c r="AK6962" s="21"/>
      <c r="AM6962" s="26" t="s">
        <v>38</v>
      </c>
    </row>
    <row r="6963" spans="34:39" x14ac:dyDescent="0.35">
      <c r="AH6963" s="21"/>
      <c r="AI6963" s="21"/>
      <c r="AJ6963" s="21"/>
      <c r="AK6963" s="21"/>
      <c r="AM6963" s="26" t="s">
        <v>38</v>
      </c>
    </row>
    <row r="6964" spans="34:39" x14ac:dyDescent="0.35">
      <c r="AH6964" s="21"/>
      <c r="AI6964" s="21"/>
      <c r="AJ6964" s="21"/>
      <c r="AK6964" s="21"/>
      <c r="AM6964" s="26" t="s">
        <v>38</v>
      </c>
    </row>
    <row r="6965" spans="34:39" x14ac:dyDescent="0.35">
      <c r="AH6965" s="21"/>
      <c r="AI6965" s="21"/>
      <c r="AJ6965" s="21"/>
      <c r="AK6965" s="21"/>
      <c r="AM6965" s="26" t="s">
        <v>38</v>
      </c>
    </row>
    <row r="6966" spans="34:39" x14ac:dyDescent="0.35">
      <c r="AH6966" s="21"/>
      <c r="AI6966" s="21"/>
      <c r="AJ6966" s="21"/>
      <c r="AK6966" s="21"/>
      <c r="AM6966" s="26" t="s">
        <v>38</v>
      </c>
    </row>
    <row r="6967" spans="34:39" x14ac:dyDescent="0.35">
      <c r="AH6967" s="21"/>
      <c r="AI6967" s="21"/>
      <c r="AJ6967" s="21"/>
      <c r="AK6967" s="21"/>
      <c r="AM6967" s="26" t="s">
        <v>38</v>
      </c>
    </row>
    <row r="6968" spans="34:39" x14ac:dyDescent="0.35">
      <c r="AH6968" s="21"/>
      <c r="AI6968" s="21"/>
      <c r="AJ6968" s="21"/>
      <c r="AK6968" s="21"/>
      <c r="AM6968" s="26" t="s">
        <v>38</v>
      </c>
    </row>
    <row r="6969" spans="34:39" x14ac:dyDescent="0.35">
      <c r="AH6969" s="21"/>
      <c r="AI6969" s="21"/>
      <c r="AJ6969" s="21"/>
      <c r="AK6969" s="21"/>
      <c r="AM6969" s="26" t="s">
        <v>38</v>
      </c>
    </row>
    <row r="6970" spans="34:39" x14ac:dyDescent="0.35">
      <c r="AH6970" s="21"/>
      <c r="AI6970" s="21"/>
      <c r="AJ6970" s="21"/>
      <c r="AK6970" s="21"/>
      <c r="AM6970" s="26" t="s">
        <v>38</v>
      </c>
    </row>
    <row r="6971" spans="34:39" x14ac:dyDescent="0.35">
      <c r="AH6971" s="21"/>
      <c r="AI6971" s="21"/>
      <c r="AJ6971" s="21"/>
      <c r="AK6971" s="21"/>
      <c r="AM6971" s="26" t="s">
        <v>38</v>
      </c>
    </row>
    <row r="6972" spans="34:39" x14ac:dyDescent="0.35">
      <c r="AH6972" s="21"/>
      <c r="AI6972" s="21"/>
      <c r="AJ6972" s="21"/>
      <c r="AK6972" s="21"/>
      <c r="AM6972" s="26" t="s">
        <v>38</v>
      </c>
    </row>
    <row r="6973" spans="34:39" x14ac:dyDescent="0.35">
      <c r="AH6973" s="21"/>
      <c r="AI6973" s="21"/>
      <c r="AJ6973" s="21"/>
      <c r="AK6973" s="21"/>
      <c r="AM6973" s="26" t="s">
        <v>38</v>
      </c>
    </row>
    <row r="6974" spans="34:39" x14ac:dyDescent="0.35">
      <c r="AH6974" s="21"/>
      <c r="AI6974" s="21"/>
      <c r="AJ6974" s="21"/>
      <c r="AK6974" s="21"/>
      <c r="AM6974" s="26" t="s">
        <v>38</v>
      </c>
    </row>
    <row r="6975" spans="34:39" x14ac:dyDescent="0.35">
      <c r="AH6975" s="21"/>
      <c r="AI6975" s="21"/>
      <c r="AJ6975" s="21"/>
      <c r="AK6975" s="21"/>
      <c r="AM6975" s="26" t="s">
        <v>38</v>
      </c>
    </row>
    <row r="6976" spans="34:39" x14ac:dyDescent="0.35">
      <c r="AH6976" s="21"/>
      <c r="AI6976" s="21"/>
      <c r="AJ6976" s="21"/>
      <c r="AK6976" s="21"/>
      <c r="AM6976" s="26" t="s">
        <v>38</v>
      </c>
    </row>
    <row r="6977" spans="34:39" x14ac:dyDescent="0.35">
      <c r="AH6977" s="21"/>
      <c r="AI6977" s="21"/>
      <c r="AJ6977" s="21"/>
      <c r="AK6977" s="21"/>
      <c r="AM6977" s="26" t="s">
        <v>38</v>
      </c>
    </row>
    <row r="6978" spans="34:39" x14ac:dyDescent="0.35">
      <c r="AH6978" s="21"/>
      <c r="AI6978" s="21"/>
      <c r="AJ6978" s="21"/>
      <c r="AK6978" s="21"/>
      <c r="AM6978" s="26" t="s">
        <v>38</v>
      </c>
    </row>
    <row r="6979" spans="34:39" x14ac:dyDescent="0.35">
      <c r="AH6979" s="21"/>
      <c r="AI6979" s="21"/>
      <c r="AJ6979" s="21"/>
      <c r="AK6979" s="21"/>
      <c r="AM6979" s="26" t="s">
        <v>38</v>
      </c>
    </row>
    <row r="6980" spans="34:39" x14ac:dyDescent="0.35">
      <c r="AH6980" s="21"/>
      <c r="AI6980" s="21"/>
      <c r="AJ6980" s="21"/>
      <c r="AK6980" s="21"/>
      <c r="AM6980" s="26" t="s">
        <v>38</v>
      </c>
    </row>
    <row r="6981" spans="34:39" x14ac:dyDescent="0.35">
      <c r="AH6981" s="21"/>
      <c r="AI6981" s="21"/>
      <c r="AJ6981" s="21"/>
      <c r="AK6981" s="21"/>
      <c r="AM6981" s="26" t="s">
        <v>38</v>
      </c>
    </row>
    <row r="6982" spans="34:39" x14ac:dyDescent="0.35">
      <c r="AH6982" s="21"/>
      <c r="AI6982" s="21"/>
      <c r="AJ6982" s="21"/>
      <c r="AK6982" s="21"/>
      <c r="AM6982" s="26" t="s">
        <v>38</v>
      </c>
    </row>
    <row r="6983" spans="34:39" x14ac:dyDescent="0.35">
      <c r="AH6983" s="21"/>
      <c r="AI6983" s="21"/>
      <c r="AJ6983" s="21"/>
      <c r="AK6983" s="21"/>
      <c r="AM6983" s="26" t="s">
        <v>38</v>
      </c>
    </row>
    <row r="6984" spans="34:39" x14ac:dyDescent="0.35">
      <c r="AH6984" s="21"/>
      <c r="AI6984" s="21"/>
      <c r="AJ6984" s="21"/>
      <c r="AK6984" s="21"/>
      <c r="AM6984" s="26" t="s">
        <v>38</v>
      </c>
    </row>
    <row r="6985" spans="34:39" x14ac:dyDescent="0.35">
      <c r="AH6985" s="21"/>
      <c r="AI6985" s="21"/>
      <c r="AJ6985" s="21"/>
      <c r="AK6985" s="21"/>
      <c r="AM6985" s="26" t="s">
        <v>38</v>
      </c>
    </row>
    <row r="6986" spans="34:39" x14ac:dyDescent="0.35">
      <c r="AH6986" s="21"/>
      <c r="AI6986" s="21"/>
      <c r="AJ6986" s="21"/>
      <c r="AK6986" s="21"/>
      <c r="AM6986" s="26" t="s">
        <v>38</v>
      </c>
    </row>
    <row r="6987" spans="34:39" x14ac:dyDescent="0.35">
      <c r="AH6987" s="21"/>
      <c r="AI6987" s="21"/>
      <c r="AJ6987" s="21"/>
      <c r="AK6987" s="21"/>
      <c r="AM6987" s="26" t="s">
        <v>38</v>
      </c>
    </row>
    <row r="6988" spans="34:39" x14ac:dyDescent="0.35">
      <c r="AH6988" s="21"/>
      <c r="AI6988" s="21"/>
      <c r="AJ6988" s="21"/>
      <c r="AK6988" s="21"/>
      <c r="AM6988" s="26" t="s">
        <v>38</v>
      </c>
    </row>
    <row r="6989" spans="34:39" x14ac:dyDescent="0.35">
      <c r="AH6989" s="21"/>
      <c r="AI6989" s="21"/>
      <c r="AJ6989" s="21"/>
      <c r="AK6989" s="21"/>
      <c r="AM6989" s="26" t="s">
        <v>38</v>
      </c>
    </row>
    <row r="6990" spans="34:39" x14ac:dyDescent="0.35">
      <c r="AH6990" s="21"/>
      <c r="AI6990" s="21"/>
      <c r="AJ6990" s="21"/>
      <c r="AK6990" s="21"/>
      <c r="AM6990" s="26" t="s">
        <v>38</v>
      </c>
    </row>
    <row r="6991" spans="34:39" x14ac:dyDescent="0.35">
      <c r="AH6991" s="21"/>
      <c r="AI6991" s="21"/>
      <c r="AJ6991" s="21"/>
      <c r="AK6991" s="21"/>
      <c r="AM6991" s="26" t="s">
        <v>38</v>
      </c>
    </row>
    <row r="6992" spans="34:39" x14ac:dyDescent="0.35">
      <c r="AH6992" s="21"/>
      <c r="AI6992" s="21"/>
      <c r="AJ6992" s="21"/>
      <c r="AK6992" s="21"/>
      <c r="AM6992" s="26" t="s">
        <v>38</v>
      </c>
    </row>
    <row r="6993" spans="34:39" x14ac:dyDescent="0.35">
      <c r="AH6993" s="21"/>
      <c r="AI6993" s="21"/>
      <c r="AJ6993" s="21"/>
      <c r="AK6993" s="21"/>
      <c r="AM6993" s="26" t="s">
        <v>38</v>
      </c>
    </row>
    <row r="6994" spans="34:39" x14ac:dyDescent="0.35">
      <c r="AH6994" s="21"/>
      <c r="AI6994" s="21"/>
      <c r="AJ6994" s="21"/>
      <c r="AK6994" s="21"/>
      <c r="AM6994" s="26" t="s">
        <v>38</v>
      </c>
    </row>
    <row r="6995" spans="34:39" x14ac:dyDescent="0.35">
      <c r="AH6995" s="21"/>
      <c r="AI6995" s="21"/>
      <c r="AJ6995" s="21"/>
      <c r="AK6995" s="21"/>
      <c r="AM6995" s="26" t="s">
        <v>38</v>
      </c>
    </row>
    <row r="6996" spans="34:39" x14ac:dyDescent="0.35">
      <c r="AH6996" s="21"/>
      <c r="AI6996" s="21"/>
      <c r="AJ6996" s="21"/>
      <c r="AK6996" s="21"/>
      <c r="AM6996" s="26" t="s">
        <v>38</v>
      </c>
    </row>
    <row r="6997" spans="34:39" x14ac:dyDescent="0.35">
      <c r="AH6997" s="21"/>
      <c r="AI6997" s="21"/>
      <c r="AJ6997" s="21"/>
      <c r="AK6997" s="21"/>
      <c r="AM6997" s="26" t="s">
        <v>38</v>
      </c>
    </row>
    <row r="6998" spans="34:39" x14ac:dyDescent="0.35">
      <c r="AH6998" s="21"/>
      <c r="AI6998" s="21"/>
      <c r="AJ6998" s="21"/>
      <c r="AK6998" s="21"/>
      <c r="AM6998" s="26" t="s">
        <v>38</v>
      </c>
    </row>
    <row r="6999" spans="34:39" x14ac:dyDescent="0.35">
      <c r="AH6999" s="21"/>
      <c r="AI6999" s="21"/>
      <c r="AJ6999" s="21"/>
      <c r="AK6999" s="21"/>
      <c r="AM6999" s="26" t="s">
        <v>38</v>
      </c>
    </row>
    <row r="7000" spans="34:39" x14ac:dyDescent="0.35">
      <c r="AH7000" s="21"/>
      <c r="AI7000" s="21"/>
      <c r="AJ7000" s="21"/>
      <c r="AK7000" s="21"/>
      <c r="AM7000" s="26" t="s">
        <v>38</v>
      </c>
    </row>
    <row r="7001" spans="34:39" x14ac:dyDescent="0.35">
      <c r="AH7001" s="21"/>
      <c r="AI7001" s="21"/>
      <c r="AJ7001" s="21"/>
      <c r="AK7001" s="21"/>
      <c r="AM7001" s="26" t="s">
        <v>38</v>
      </c>
    </row>
    <row r="7002" spans="34:39" x14ac:dyDescent="0.35">
      <c r="AH7002" s="21"/>
      <c r="AI7002" s="21"/>
      <c r="AJ7002" s="21"/>
      <c r="AK7002" s="21"/>
      <c r="AM7002" s="26" t="s">
        <v>38</v>
      </c>
    </row>
    <row r="7003" spans="34:39" x14ac:dyDescent="0.35">
      <c r="AH7003" s="21"/>
      <c r="AI7003" s="21"/>
      <c r="AJ7003" s="21"/>
      <c r="AK7003" s="21"/>
      <c r="AM7003" s="26" t="s">
        <v>38</v>
      </c>
    </row>
    <row r="7004" spans="34:39" x14ac:dyDescent="0.35">
      <c r="AH7004" s="21"/>
      <c r="AI7004" s="21"/>
      <c r="AJ7004" s="21"/>
      <c r="AK7004" s="21"/>
      <c r="AM7004" s="26" t="s">
        <v>38</v>
      </c>
    </row>
    <row r="7005" spans="34:39" x14ac:dyDescent="0.35">
      <c r="AH7005" s="21"/>
      <c r="AI7005" s="21"/>
      <c r="AJ7005" s="21"/>
      <c r="AK7005" s="21"/>
      <c r="AM7005" s="26" t="s">
        <v>38</v>
      </c>
    </row>
    <row r="7006" spans="34:39" x14ac:dyDescent="0.35">
      <c r="AH7006" s="21"/>
      <c r="AI7006" s="21"/>
      <c r="AJ7006" s="21"/>
      <c r="AK7006" s="21"/>
      <c r="AM7006" s="26" t="s">
        <v>38</v>
      </c>
    </row>
    <row r="7007" spans="34:39" x14ac:dyDescent="0.35">
      <c r="AH7007" s="21"/>
      <c r="AI7007" s="21"/>
      <c r="AJ7007" s="21"/>
      <c r="AK7007" s="21"/>
      <c r="AM7007" s="26" t="s">
        <v>38</v>
      </c>
    </row>
    <row r="7008" spans="34:39" x14ac:dyDescent="0.35">
      <c r="AH7008" s="21"/>
      <c r="AI7008" s="21"/>
      <c r="AJ7008" s="21"/>
      <c r="AK7008" s="21"/>
      <c r="AM7008" s="26" t="s">
        <v>38</v>
      </c>
    </row>
    <row r="7009" spans="34:39" x14ac:dyDescent="0.35">
      <c r="AH7009" s="21"/>
      <c r="AI7009" s="21"/>
      <c r="AJ7009" s="21"/>
      <c r="AK7009" s="21"/>
      <c r="AM7009" s="26" t="s">
        <v>38</v>
      </c>
    </row>
    <row r="7010" spans="34:39" x14ac:dyDescent="0.35">
      <c r="AH7010" s="21"/>
      <c r="AI7010" s="21"/>
      <c r="AJ7010" s="21"/>
      <c r="AK7010" s="21"/>
      <c r="AM7010" s="26" t="s">
        <v>38</v>
      </c>
    </row>
    <row r="7011" spans="34:39" x14ac:dyDescent="0.35">
      <c r="AH7011" s="21"/>
      <c r="AI7011" s="21"/>
      <c r="AJ7011" s="21"/>
      <c r="AK7011" s="21"/>
      <c r="AM7011" s="26" t="s">
        <v>38</v>
      </c>
    </row>
    <row r="7012" spans="34:39" x14ac:dyDescent="0.35">
      <c r="AH7012" s="21"/>
      <c r="AI7012" s="21"/>
      <c r="AJ7012" s="21"/>
      <c r="AK7012" s="21"/>
      <c r="AM7012" s="26" t="s">
        <v>38</v>
      </c>
    </row>
    <row r="7013" spans="34:39" x14ac:dyDescent="0.35">
      <c r="AH7013" s="21"/>
      <c r="AI7013" s="21"/>
      <c r="AJ7013" s="21"/>
      <c r="AK7013" s="21"/>
      <c r="AM7013" s="26" t="s">
        <v>38</v>
      </c>
    </row>
    <row r="7014" spans="34:39" x14ac:dyDescent="0.35">
      <c r="AH7014" s="21"/>
      <c r="AI7014" s="21"/>
      <c r="AJ7014" s="21"/>
      <c r="AK7014" s="21"/>
      <c r="AM7014" s="26" t="s">
        <v>38</v>
      </c>
    </row>
    <row r="7015" spans="34:39" x14ac:dyDescent="0.35">
      <c r="AH7015" s="21"/>
      <c r="AI7015" s="21"/>
      <c r="AJ7015" s="21"/>
      <c r="AK7015" s="21"/>
      <c r="AM7015" s="26" t="s">
        <v>38</v>
      </c>
    </row>
    <row r="7016" spans="34:39" x14ac:dyDescent="0.35">
      <c r="AH7016" s="21"/>
      <c r="AI7016" s="21"/>
      <c r="AJ7016" s="21"/>
      <c r="AK7016" s="21"/>
      <c r="AM7016" s="26" t="s">
        <v>38</v>
      </c>
    </row>
    <row r="7017" spans="34:39" x14ac:dyDescent="0.35">
      <c r="AH7017" s="21"/>
      <c r="AI7017" s="21"/>
      <c r="AJ7017" s="21"/>
      <c r="AK7017" s="21"/>
      <c r="AM7017" s="26" t="s">
        <v>38</v>
      </c>
    </row>
    <row r="7018" spans="34:39" x14ac:dyDescent="0.35">
      <c r="AH7018" s="21"/>
      <c r="AI7018" s="21"/>
      <c r="AJ7018" s="21"/>
      <c r="AK7018" s="21"/>
      <c r="AM7018" s="26" t="s">
        <v>38</v>
      </c>
    </row>
    <row r="7019" spans="34:39" x14ac:dyDescent="0.35">
      <c r="AH7019" s="21"/>
      <c r="AI7019" s="21"/>
      <c r="AJ7019" s="21"/>
      <c r="AK7019" s="21"/>
      <c r="AM7019" s="26" t="s">
        <v>38</v>
      </c>
    </row>
    <row r="7020" spans="34:39" x14ac:dyDescent="0.35">
      <c r="AH7020" s="21"/>
      <c r="AI7020" s="21"/>
      <c r="AJ7020" s="21"/>
      <c r="AK7020" s="21"/>
      <c r="AM7020" s="26" t="s">
        <v>38</v>
      </c>
    </row>
    <row r="7021" spans="34:39" x14ac:dyDescent="0.35">
      <c r="AH7021" s="21"/>
      <c r="AI7021" s="21"/>
      <c r="AJ7021" s="21"/>
      <c r="AK7021" s="21"/>
      <c r="AM7021" s="26" t="s">
        <v>38</v>
      </c>
    </row>
    <row r="7022" spans="34:39" x14ac:dyDescent="0.35">
      <c r="AH7022" s="21"/>
      <c r="AI7022" s="21"/>
      <c r="AJ7022" s="21"/>
      <c r="AK7022" s="21"/>
      <c r="AM7022" s="26" t="s">
        <v>38</v>
      </c>
    </row>
    <row r="7023" spans="34:39" x14ac:dyDescent="0.35">
      <c r="AH7023" s="21"/>
      <c r="AI7023" s="21"/>
      <c r="AJ7023" s="21"/>
      <c r="AK7023" s="21"/>
      <c r="AM7023" s="26" t="s">
        <v>38</v>
      </c>
    </row>
    <row r="7024" spans="34:39" x14ac:dyDescent="0.35">
      <c r="AH7024" s="21"/>
      <c r="AI7024" s="21"/>
      <c r="AJ7024" s="21"/>
      <c r="AK7024" s="21"/>
      <c r="AM7024" s="26" t="s">
        <v>38</v>
      </c>
    </row>
    <row r="7025" spans="34:39" x14ac:dyDescent="0.35">
      <c r="AH7025" s="21"/>
      <c r="AI7025" s="21"/>
      <c r="AJ7025" s="21"/>
      <c r="AK7025" s="21"/>
      <c r="AM7025" s="26" t="s">
        <v>38</v>
      </c>
    </row>
    <row r="7026" spans="34:39" x14ac:dyDescent="0.35">
      <c r="AH7026" s="21"/>
      <c r="AI7026" s="21"/>
      <c r="AJ7026" s="21"/>
      <c r="AK7026" s="21"/>
      <c r="AM7026" s="26" t="s">
        <v>38</v>
      </c>
    </row>
    <row r="7027" spans="34:39" x14ac:dyDescent="0.35">
      <c r="AH7027" s="21"/>
      <c r="AI7027" s="21"/>
      <c r="AJ7027" s="21"/>
      <c r="AK7027" s="21"/>
      <c r="AM7027" s="26" t="s">
        <v>38</v>
      </c>
    </row>
    <row r="7028" spans="34:39" x14ac:dyDescent="0.35">
      <c r="AH7028" s="21"/>
      <c r="AI7028" s="21"/>
      <c r="AJ7028" s="21"/>
      <c r="AK7028" s="21"/>
      <c r="AM7028" s="26" t="s">
        <v>38</v>
      </c>
    </row>
    <row r="7029" spans="34:39" x14ac:dyDescent="0.35">
      <c r="AH7029" s="21"/>
      <c r="AI7029" s="21"/>
      <c r="AJ7029" s="21"/>
      <c r="AK7029" s="21"/>
      <c r="AM7029" s="26" t="s">
        <v>38</v>
      </c>
    </row>
    <row r="7030" spans="34:39" x14ac:dyDescent="0.35">
      <c r="AH7030" s="21"/>
      <c r="AI7030" s="21"/>
      <c r="AJ7030" s="21"/>
      <c r="AK7030" s="21"/>
      <c r="AM7030" s="26" t="s">
        <v>38</v>
      </c>
    </row>
    <row r="7031" spans="34:39" x14ac:dyDescent="0.35">
      <c r="AH7031" s="21"/>
      <c r="AI7031" s="21"/>
      <c r="AJ7031" s="21"/>
      <c r="AK7031" s="21"/>
      <c r="AM7031" s="26" t="s">
        <v>38</v>
      </c>
    </row>
    <row r="7032" spans="34:39" x14ac:dyDescent="0.35">
      <c r="AH7032" s="21"/>
      <c r="AI7032" s="21"/>
      <c r="AJ7032" s="21"/>
      <c r="AK7032" s="21"/>
      <c r="AM7032" s="26" t="s">
        <v>38</v>
      </c>
    </row>
    <row r="7033" spans="34:39" x14ac:dyDescent="0.35">
      <c r="AH7033" s="21"/>
      <c r="AI7033" s="21"/>
      <c r="AJ7033" s="21"/>
      <c r="AK7033" s="21"/>
      <c r="AM7033" s="26" t="s">
        <v>38</v>
      </c>
    </row>
    <row r="7034" spans="34:39" x14ac:dyDescent="0.35">
      <c r="AH7034" s="21"/>
      <c r="AI7034" s="21"/>
      <c r="AJ7034" s="21"/>
      <c r="AK7034" s="21"/>
      <c r="AM7034" s="26" t="s">
        <v>38</v>
      </c>
    </row>
    <row r="7035" spans="34:39" x14ac:dyDescent="0.35">
      <c r="AH7035" s="21"/>
      <c r="AI7035" s="21"/>
      <c r="AJ7035" s="21"/>
      <c r="AK7035" s="21"/>
      <c r="AM7035" s="26" t="s">
        <v>38</v>
      </c>
    </row>
    <row r="7036" spans="34:39" x14ac:dyDescent="0.35">
      <c r="AH7036" s="21"/>
      <c r="AI7036" s="21"/>
      <c r="AJ7036" s="21"/>
      <c r="AK7036" s="21"/>
      <c r="AM7036" s="26" t="s">
        <v>38</v>
      </c>
    </row>
    <row r="7037" spans="34:39" x14ac:dyDescent="0.35">
      <c r="AH7037" s="21"/>
      <c r="AI7037" s="21"/>
      <c r="AJ7037" s="21"/>
      <c r="AK7037" s="21"/>
      <c r="AM7037" s="26" t="s">
        <v>38</v>
      </c>
    </row>
    <row r="7038" spans="34:39" x14ac:dyDescent="0.35">
      <c r="AH7038" s="21"/>
      <c r="AI7038" s="21"/>
      <c r="AJ7038" s="21"/>
      <c r="AK7038" s="21"/>
      <c r="AM7038" s="26" t="s">
        <v>38</v>
      </c>
    </row>
    <row r="7039" spans="34:39" x14ac:dyDescent="0.35">
      <c r="AH7039" s="21"/>
      <c r="AI7039" s="21"/>
      <c r="AJ7039" s="21"/>
      <c r="AK7039" s="21"/>
      <c r="AM7039" s="26" t="s">
        <v>38</v>
      </c>
    </row>
    <row r="7040" spans="34:39" x14ac:dyDescent="0.35">
      <c r="AH7040" s="21"/>
      <c r="AI7040" s="21"/>
      <c r="AJ7040" s="21"/>
      <c r="AK7040" s="21"/>
      <c r="AM7040" s="26" t="s">
        <v>38</v>
      </c>
    </row>
    <row r="7041" spans="34:39" x14ac:dyDescent="0.35">
      <c r="AH7041" s="21"/>
      <c r="AI7041" s="21"/>
      <c r="AJ7041" s="21"/>
      <c r="AK7041" s="21"/>
      <c r="AM7041" s="26" t="s">
        <v>38</v>
      </c>
    </row>
    <row r="7042" spans="34:39" x14ac:dyDescent="0.35">
      <c r="AH7042" s="21"/>
      <c r="AI7042" s="21"/>
      <c r="AJ7042" s="21"/>
      <c r="AK7042" s="21"/>
      <c r="AM7042" s="26" t="s">
        <v>38</v>
      </c>
    </row>
    <row r="7043" spans="34:39" x14ac:dyDescent="0.35">
      <c r="AH7043" s="21"/>
      <c r="AI7043" s="21"/>
      <c r="AJ7043" s="21"/>
      <c r="AK7043" s="21"/>
      <c r="AM7043" s="26" t="s">
        <v>38</v>
      </c>
    </row>
    <row r="7044" spans="34:39" x14ac:dyDescent="0.35">
      <c r="AH7044" s="21"/>
      <c r="AI7044" s="21"/>
      <c r="AJ7044" s="21"/>
      <c r="AK7044" s="21"/>
      <c r="AM7044" s="26" t="s">
        <v>38</v>
      </c>
    </row>
    <row r="7045" spans="34:39" x14ac:dyDescent="0.35">
      <c r="AH7045" s="21"/>
      <c r="AI7045" s="21"/>
      <c r="AJ7045" s="21"/>
      <c r="AK7045" s="21"/>
      <c r="AM7045" s="26" t="s">
        <v>38</v>
      </c>
    </row>
    <row r="7046" spans="34:39" x14ac:dyDescent="0.35">
      <c r="AH7046" s="21"/>
      <c r="AI7046" s="21"/>
      <c r="AJ7046" s="21"/>
      <c r="AK7046" s="21"/>
      <c r="AM7046" s="26" t="s">
        <v>38</v>
      </c>
    </row>
    <row r="7047" spans="34:39" x14ac:dyDescent="0.35">
      <c r="AH7047" s="21"/>
      <c r="AI7047" s="21"/>
      <c r="AJ7047" s="21"/>
      <c r="AK7047" s="21"/>
      <c r="AM7047" s="26" t="s">
        <v>38</v>
      </c>
    </row>
    <row r="7048" spans="34:39" x14ac:dyDescent="0.35">
      <c r="AH7048" s="21"/>
      <c r="AI7048" s="21"/>
      <c r="AJ7048" s="21"/>
      <c r="AK7048" s="21"/>
      <c r="AM7048" s="26" t="s">
        <v>38</v>
      </c>
    </row>
    <row r="7049" spans="34:39" x14ac:dyDescent="0.35">
      <c r="AH7049" s="21"/>
      <c r="AI7049" s="21"/>
      <c r="AJ7049" s="21"/>
      <c r="AK7049" s="21"/>
      <c r="AM7049" s="26" t="s">
        <v>38</v>
      </c>
    </row>
    <row r="7050" spans="34:39" x14ac:dyDescent="0.35">
      <c r="AH7050" s="21"/>
      <c r="AI7050" s="21"/>
      <c r="AJ7050" s="21"/>
      <c r="AK7050" s="21"/>
      <c r="AM7050" s="26" t="s">
        <v>38</v>
      </c>
    </row>
    <row r="7051" spans="34:39" x14ac:dyDescent="0.35">
      <c r="AH7051" s="21"/>
      <c r="AI7051" s="21"/>
      <c r="AJ7051" s="21"/>
      <c r="AK7051" s="21"/>
      <c r="AM7051" s="26" t="s">
        <v>38</v>
      </c>
    </row>
    <row r="7052" spans="34:39" x14ac:dyDescent="0.35">
      <c r="AH7052" s="21"/>
      <c r="AI7052" s="21"/>
      <c r="AJ7052" s="21"/>
      <c r="AK7052" s="21"/>
      <c r="AM7052" s="26" t="s">
        <v>38</v>
      </c>
    </row>
    <row r="7053" spans="34:39" x14ac:dyDescent="0.35">
      <c r="AH7053" s="21"/>
      <c r="AI7053" s="21"/>
      <c r="AJ7053" s="21"/>
      <c r="AK7053" s="21"/>
      <c r="AM7053" s="26" t="s">
        <v>38</v>
      </c>
    </row>
    <row r="7054" spans="34:39" x14ac:dyDescent="0.35">
      <c r="AH7054" s="21"/>
      <c r="AI7054" s="21"/>
      <c r="AJ7054" s="21"/>
      <c r="AK7054" s="21"/>
      <c r="AM7054" s="26" t="s">
        <v>38</v>
      </c>
    </row>
    <row r="7055" spans="34:39" x14ac:dyDescent="0.35">
      <c r="AH7055" s="21"/>
      <c r="AI7055" s="21"/>
      <c r="AJ7055" s="21"/>
      <c r="AK7055" s="21"/>
      <c r="AM7055" s="26" t="s">
        <v>38</v>
      </c>
    </row>
    <row r="7056" spans="34:39" x14ac:dyDescent="0.35">
      <c r="AH7056" s="21"/>
      <c r="AI7056" s="21"/>
      <c r="AJ7056" s="21"/>
      <c r="AK7056" s="21"/>
      <c r="AM7056" s="26" t="s">
        <v>38</v>
      </c>
    </row>
    <row r="7057" spans="34:39" x14ac:dyDescent="0.35">
      <c r="AH7057" s="21"/>
      <c r="AI7057" s="21"/>
      <c r="AJ7057" s="21"/>
      <c r="AK7057" s="21"/>
      <c r="AM7057" s="26" t="s">
        <v>38</v>
      </c>
    </row>
    <row r="7058" spans="34:39" x14ac:dyDescent="0.35">
      <c r="AH7058" s="21"/>
      <c r="AI7058" s="21"/>
      <c r="AJ7058" s="21"/>
      <c r="AK7058" s="21"/>
      <c r="AM7058" s="26" t="s">
        <v>38</v>
      </c>
    </row>
    <row r="7059" spans="34:39" x14ac:dyDescent="0.35">
      <c r="AH7059" s="21"/>
      <c r="AI7059" s="21"/>
      <c r="AJ7059" s="21"/>
      <c r="AK7059" s="21"/>
      <c r="AM7059" s="26" t="s">
        <v>38</v>
      </c>
    </row>
    <row r="7060" spans="34:39" x14ac:dyDescent="0.35">
      <c r="AH7060" s="21"/>
      <c r="AI7060" s="21"/>
      <c r="AJ7060" s="21"/>
      <c r="AK7060" s="21"/>
      <c r="AM7060" s="26" t="s">
        <v>38</v>
      </c>
    </row>
    <row r="7061" spans="34:39" x14ac:dyDescent="0.35">
      <c r="AH7061" s="21"/>
      <c r="AI7061" s="21"/>
      <c r="AJ7061" s="21"/>
      <c r="AK7061" s="21"/>
      <c r="AM7061" s="26" t="s">
        <v>38</v>
      </c>
    </row>
    <row r="7062" spans="34:39" x14ac:dyDescent="0.35">
      <c r="AH7062" s="21"/>
      <c r="AI7062" s="21"/>
      <c r="AJ7062" s="21"/>
      <c r="AK7062" s="21"/>
      <c r="AM7062" s="26" t="s">
        <v>38</v>
      </c>
    </row>
    <row r="7063" spans="34:39" x14ac:dyDescent="0.35">
      <c r="AH7063" s="21"/>
      <c r="AI7063" s="21"/>
      <c r="AJ7063" s="21"/>
      <c r="AK7063" s="21"/>
      <c r="AM7063" s="26" t="s">
        <v>38</v>
      </c>
    </row>
    <row r="7064" spans="34:39" x14ac:dyDescent="0.35">
      <c r="AH7064" s="21"/>
      <c r="AI7064" s="21"/>
      <c r="AJ7064" s="21"/>
      <c r="AK7064" s="21"/>
      <c r="AM7064" s="26" t="s">
        <v>38</v>
      </c>
    </row>
    <row r="7065" spans="34:39" x14ac:dyDescent="0.35">
      <c r="AH7065" s="21"/>
      <c r="AI7065" s="21"/>
      <c r="AJ7065" s="21"/>
      <c r="AK7065" s="21"/>
      <c r="AM7065" s="26" t="s">
        <v>38</v>
      </c>
    </row>
    <row r="7066" spans="34:39" x14ac:dyDescent="0.35">
      <c r="AH7066" s="21"/>
      <c r="AI7066" s="21"/>
      <c r="AJ7066" s="21"/>
      <c r="AK7066" s="21"/>
      <c r="AM7066" s="26" t="s">
        <v>38</v>
      </c>
    </row>
    <row r="7067" spans="34:39" x14ac:dyDescent="0.35">
      <c r="AH7067" s="21"/>
      <c r="AI7067" s="21"/>
      <c r="AJ7067" s="21"/>
      <c r="AK7067" s="21"/>
      <c r="AM7067" s="26" t="s">
        <v>38</v>
      </c>
    </row>
    <row r="7068" spans="34:39" x14ac:dyDescent="0.35">
      <c r="AH7068" s="21"/>
      <c r="AI7068" s="21"/>
      <c r="AJ7068" s="21"/>
      <c r="AK7068" s="21"/>
      <c r="AM7068" s="26" t="s">
        <v>38</v>
      </c>
    </row>
    <row r="7069" spans="34:39" x14ac:dyDescent="0.35">
      <c r="AH7069" s="21"/>
      <c r="AI7069" s="21"/>
      <c r="AJ7069" s="21"/>
      <c r="AK7069" s="21"/>
      <c r="AM7069" s="26" t="s">
        <v>38</v>
      </c>
    </row>
    <row r="7070" spans="34:39" x14ac:dyDescent="0.35">
      <c r="AH7070" s="21"/>
      <c r="AI7070" s="21"/>
      <c r="AJ7070" s="21"/>
      <c r="AK7070" s="21"/>
      <c r="AM7070" s="26" t="s">
        <v>38</v>
      </c>
    </row>
    <row r="7071" spans="34:39" x14ac:dyDescent="0.35">
      <c r="AH7071" s="21"/>
      <c r="AI7071" s="21"/>
      <c r="AJ7071" s="21"/>
      <c r="AK7071" s="21"/>
      <c r="AM7071" s="26" t="s">
        <v>38</v>
      </c>
    </row>
    <row r="7072" spans="34:39" x14ac:dyDescent="0.35">
      <c r="AH7072" s="21"/>
      <c r="AI7072" s="21"/>
      <c r="AJ7072" s="21"/>
      <c r="AK7072" s="21"/>
      <c r="AM7072" s="26" t="s">
        <v>38</v>
      </c>
    </row>
    <row r="7073" spans="34:39" x14ac:dyDescent="0.35">
      <c r="AH7073" s="21"/>
      <c r="AI7073" s="21"/>
      <c r="AJ7073" s="21"/>
      <c r="AK7073" s="21"/>
      <c r="AM7073" s="26" t="s">
        <v>38</v>
      </c>
    </row>
    <row r="7074" spans="34:39" x14ac:dyDescent="0.35">
      <c r="AH7074" s="21"/>
      <c r="AI7074" s="21"/>
      <c r="AJ7074" s="21"/>
      <c r="AK7074" s="21"/>
      <c r="AM7074" s="26" t="s">
        <v>38</v>
      </c>
    </row>
    <row r="7075" spans="34:39" x14ac:dyDescent="0.35">
      <c r="AH7075" s="21"/>
      <c r="AI7075" s="21"/>
      <c r="AJ7075" s="21"/>
      <c r="AK7075" s="21"/>
      <c r="AM7075" s="26" t="s">
        <v>38</v>
      </c>
    </row>
    <row r="7076" spans="34:39" x14ac:dyDescent="0.35">
      <c r="AH7076" s="21"/>
      <c r="AI7076" s="21"/>
      <c r="AJ7076" s="21"/>
      <c r="AK7076" s="21"/>
      <c r="AM7076" s="26" t="s">
        <v>38</v>
      </c>
    </row>
    <row r="7077" spans="34:39" x14ac:dyDescent="0.35">
      <c r="AH7077" s="21"/>
      <c r="AI7077" s="21"/>
      <c r="AJ7077" s="21"/>
      <c r="AK7077" s="21"/>
      <c r="AM7077" s="26" t="s">
        <v>38</v>
      </c>
    </row>
    <row r="7078" spans="34:39" x14ac:dyDescent="0.35">
      <c r="AH7078" s="21"/>
      <c r="AI7078" s="21"/>
      <c r="AJ7078" s="21"/>
      <c r="AK7078" s="21"/>
      <c r="AM7078" s="26" t="s">
        <v>38</v>
      </c>
    </row>
    <row r="7079" spans="34:39" x14ac:dyDescent="0.35">
      <c r="AH7079" s="21"/>
      <c r="AI7079" s="21"/>
      <c r="AJ7079" s="21"/>
      <c r="AK7079" s="21"/>
      <c r="AM7079" s="26" t="s">
        <v>38</v>
      </c>
    </row>
    <row r="7080" spans="34:39" x14ac:dyDescent="0.35">
      <c r="AH7080" s="21"/>
      <c r="AI7080" s="21"/>
      <c r="AJ7080" s="21"/>
      <c r="AK7080" s="21"/>
      <c r="AM7080" s="26" t="s">
        <v>38</v>
      </c>
    </row>
    <row r="7081" spans="34:39" x14ac:dyDescent="0.35">
      <c r="AH7081" s="21"/>
      <c r="AI7081" s="21"/>
      <c r="AJ7081" s="21"/>
      <c r="AK7081" s="21"/>
      <c r="AM7081" s="26" t="s">
        <v>38</v>
      </c>
    </row>
    <row r="7082" spans="34:39" x14ac:dyDescent="0.35">
      <c r="AH7082" s="21"/>
      <c r="AI7082" s="21"/>
      <c r="AJ7082" s="21"/>
      <c r="AK7082" s="21"/>
      <c r="AM7082" s="26" t="s">
        <v>38</v>
      </c>
    </row>
    <row r="7083" spans="34:39" x14ac:dyDescent="0.35">
      <c r="AH7083" s="21"/>
      <c r="AI7083" s="21"/>
      <c r="AJ7083" s="21"/>
      <c r="AK7083" s="21"/>
      <c r="AM7083" s="26" t="s">
        <v>38</v>
      </c>
    </row>
    <row r="7084" spans="34:39" x14ac:dyDescent="0.35">
      <c r="AH7084" s="21"/>
      <c r="AI7084" s="21"/>
      <c r="AJ7084" s="21"/>
      <c r="AK7084" s="21"/>
      <c r="AM7084" s="26" t="s">
        <v>38</v>
      </c>
    </row>
    <row r="7085" spans="34:39" x14ac:dyDescent="0.35">
      <c r="AH7085" s="21"/>
      <c r="AI7085" s="21"/>
      <c r="AJ7085" s="21"/>
      <c r="AK7085" s="21"/>
      <c r="AM7085" s="26" t="s">
        <v>38</v>
      </c>
    </row>
    <row r="7086" spans="34:39" x14ac:dyDescent="0.35">
      <c r="AH7086" s="21"/>
      <c r="AI7086" s="21"/>
      <c r="AJ7086" s="21"/>
      <c r="AK7086" s="21"/>
      <c r="AM7086" s="26" t="s">
        <v>38</v>
      </c>
    </row>
    <row r="7087" spans="34:39" x14ac:dyDescent="0.35">
      <c r="AH7087" s="21"/>
      <c r="AI7087" s="21"/>
      <c r="AJ7087" s="21"/>
      <c r="AK7087" s="21"/>
      <c r="AM7087" s="26" t="s">
        <v>38</v>
      </c>
    </row>
    <row r="7088" spans="34:39" x14ac:dyDescent="0.35">
      <c r="AH7088" s="21"/>
      <c r="AI7088" s="21"/>
      <c r="AJ7088" s="21"/>
      <c r="AK7088" s="21"/>
      <c r="AM7088" s="26" t="s">
        <v>38</v>
      </c>
    </row>
    <row r="7089" spans="34:39" x14ac:dyDescent="0.35">
      <c r="AH7089" s="21"/>
      <c r="AI7089" s="21"/>
      <c r="AJ7089" s="21"/>
      <c r="AK7089" s="21"/>
      <c r="AM7089" s="26" t="s">
        <v>38</v>
      </c>
    </row>
    <row r="7090" spans="34:39" x14ac:dyDescent="0.35">
      <c r="AH7090" s="21"/>
      <c r="AI7090" s="21"/>
      <c r="AJ7090" s="21"/>
      <c r="AK7090" s="21"/>
      <c r="AM7090" s="26" t="s">
        <v>38</v>
      </c>
    </row>
    <row r="7091" spans="34:39" x14ac:dyDescent="0.35">
      <c r="AH7091" s="21"/>
      <c r="AI7091" s="21"/>
      <c r="AJ7091" s="21"/>
      <c r="AK7091" s="21"/>
      <c r="AM7091" s="26" t="s">
        <v>38</v>
      </c>
    </row>
    <row r="7092" spans="34:39" x14ac:dyDescent="0.35">
      <c r="AH7092" s="21"/>
      <c r="AI7092" s="21"/>
      <c r="AJ7092" s="21"/>
      <c r="AK7092" s="21"/>
      <c r="AM7092" s="26" t="s">
        <v>38</v>
      </c>
    </row>
    <row r="7093" spans="34:39" x14ac:dyDescent="0.35">
      <c r="AH7093" s="21"/>
      <c r="AI7093" s="21"/>
      <c r="AJ7093" s="21"/>
      <c r="AK7093" s="21"/>
      <c r="AM7093" s="26" t="s">
        <v>38</v>
      </c>
    </row>
    <row r="7094" spans="34:39" x14ac:dyDescent="0.35">
      <c r="AH7094" s="21"/>
      <c r="AI7094" s="21"/>
      <c r="AJ7094" s="21"/>
      <c r="AK7094" s="21"/>
      <c r="AM7094" s="26" t="s">
        <v>38</v>
      </c>
    </row>
    <row r="7095" spans="34:39" x14ac:dyDescent="0.35">
      <c r="AH7095" s="21"/>
      <c r="AI7095" s="21"/>
      <c r="AJ7095" s="21"/>
      <c r="AK7095" s="21"/>
      <c r="AM7095" s="26" t="s">
        <v>38</v>
      </c>
    </row>
    <row r="7096" spans="34:39" x14ac:dyDescent="0.35">
      <c r="AH7096" s="21"/>
      <c r="AI7096" s="21"/>
      <c r="AJ7096" s="21"/>
      <c r="AK7096" s="21"/>
      <c r="AM7096" s="26" t="s">
        <v>38</v>
      </c>
    </row>
    <row r="7097" spans="34:39" x14ac:dyDescent="0.35">
      <c r="AH7097" s="21"/>
      <c r="AI7097" s="21"/>
      <c r="AJ7097" s="21"/>
      <c r="AK7097" s="21"/>
      <c r="AM7097" s="26" t="s">
        <v>38</v>
      </c>
    </row>
    <row r="7098" spans="34:39" x14ac:dyDescent="0.35">
      <c r="AH7098" s="21"/>
      <c r="AI7098" s="21"/>
      <c r="AJ7098" s="21"/>
      <c r="AK7098" s="21"/>
      <c r="AM7098" s="26" t="s">
        <v>38</v>
      </c>
    </row>
    <row r="7099" spans="34:39" x14ac:dyDescent="0.35">
      <c r="AH7099" s="21"/>
      <c r="AI7099" s="21"/>
      <c r="AJ7099" s="21"/>
      <c r="AK7099" s="21"/>
      <c r="AM7099" s="26" t="s">
        <v>38</v>
      </c>
    </row>
    <row r="7100" spans="34:39" x14ac:dyDescent="0.35">
      <c r="AH7100" s="21"/>
      <c r="AI7100" s="21"/>
      <c r="AJ7100" s="21"/>
      <c r="AK7100" s="21"/>
      <c r="AM7100" s="26" t="s">
        <v>38</v>
      </c>
    </row>
    <row r="7101" spans="34:39" x14ac:dyDescent="0.35">
      <c r="AH7101" s="21"/>
      <c r="AI7101" s="21"/>
      <c r="AJ7101" s="21"/>
      <c r="AK7101" s="21"/>
      <c r="AM7101" s="26" t="s">
        <v>38</v>
      </c>
    </row>
    <row r="7102" spans="34:39" x14ac:dyDescent="0.35">
      <c r="AH7102" s="21"/>
      <c r="AI7102" s="21"/>
      <c r="AJ7102" s="21"/>
      <c r="AK7102" s="21"/>
      <c r="AM7102" s="26" t="s">
        <v>38</v>
      </c>
    </row>
    <row r="7103" spans="34:39" x14ac:dyDescent="0.35">
      <c r="AH7103" s="21"/>
      <c r="AI7103" s="21"/>
      <c r="AJ7103" s="21"/>
      <c r="AK7103" s="21"/>
      <c r="AM7103" s="26" t="s">
        <v>38</v>
      </c>
    </row>
    <row r="7104" spans="34:39" x14ac:dyDescent="0.35">
      <c r="AH7104" s="21"/>
      <c r="AI7104" s="21"/>
      <c r="AJ7104" s="21"/>
      <c r="AK7104" s="21"/>
      <c r="AM7104" s="26" t="s">
        <v>38</v>
      </c>
    </row>
    <row r="7105" spans="34:39" x14ac:dyDescent="0.35">
      <c r="AH7105" s="21"/>
      <c r="AI7105" s="21"/>
      <c r="AJ7105" s="21"/>
      <c r="AK7105" s="21"/>
      <c r="AM7105" s="26" t="s">
        <v>38</v>
      </c>
    </row>
    <row r="7106" spans="34:39" x14ac:dyDescent="0.35">
      <c r="AH7106" s="21"/>
      <c r="AI7106" s="21"/>
      <c r="AJ7106" s="21"/>
      <c r="AK7106" s="21"/>
      <c r="AM7106" s="26" t="s">
        <v>38</v>
      </c>
    </row>
    <row r="7107" spans="34:39" x14ac:dyDescent="0.35">
      <c r="AH7107" s="21"/>
      <c r="AI7107" s="21"/>
      <c r="AJ7107" s="21"/>
      <c r="AK7107" s="21"/>
      <c r="AM7107" s="26" t="s">
        <v>38</v>
      </c>
    </row>
    <row r="7108" spans="34:39" x14ac:dyDescent="0.35">
      <c r="AH7108" s="21"/>
      <c r="AI7108" s="21"/>
      <c r="AJ7108" s="21"/>
      <c r="AK7108" s="21"/>
      <c r="AM7108" s="26" t="s">
        <v>38</v>
      </c>
    </row>
    <row r="7109" spans="34:39" x14ac:dyDescent="0.35">
      <c r="AH7109" s="21"/>
      <c r="AI7109" s="21"/>
      <c r="AJ7109" s="21"/>
      <c r="AK7109" s="21"/>
      <c r="AM7109" s="26" t="s">
        <v>38</v>
      </c>
    </row>
    <row r="7110" spans="34:39" x14ac:dyDescent="0.35">
      <c r="AH7110" s="21"/>
      <c r="AI7110" s="21"/>
      <c r="AJ7110" s="21"/>
      <c r="AK7110" s="21"/>
      <c r="AM7110" s="26" t="s">
        <v>38</v>
      </c>
    </row>
    <row r="7111" spans="34:39" x14ac:dyDescent="0.35">
      <c r="AH7111" s="21"/>
      <c r="AI7111" s="21"/>
      <c r="AJ7111" s="21"/>
      <c r="AK7111" s="21"/>
      <c r="AM7111" s="26" t="s">
        <v>38</v>
      </c>
    </row>
    <row r="7112" spans="34:39" x14ac:dyDescent="0.35">
      <c r="AH7112" s="21"/>
      <c r="AI7112" s="21"/>
      <c r="AJ7112" s="21"/>
      <c r="AK7112" s="21"/>
      <c r="AM7112" s="26" t="s">
        <v>38</v>
      </c>
    </row>
    <row r="7113" spans="34:39" x14ac:dyDescent="0.35">
      <c r="AH7113" s="21"/>
      <c r="AI7113" s="21"/>
      <c r="AJ7113" s="21"/>
      <c r="AK7113" s="21"/>
      <c r="AM7113" s="26" t="s">
        <v>38</v>
      </c>
    </row>
    <row r="7114" spans="34:39" x14ac:dyDescent="0.35">
      <c r="AH7114" s="21"/>
      <c r="AI7114" s="21"/>
      <c r="AJ7114" s="21"/>
      <c r="AK7114" s="21"/>
      <c r="AM7114" s="26" t="s">
        <v>38</v>
      </c>
    </row>
    <row r="7115" spans="34:39" x14ac:dyDescent="0.35">
      <c r="AH7115" s="21"/>
      <c r="AI7115" s="21"/>
      <c r="AJ7115" s="21"/>
      <c r="AK7115" s="21"/>
      <c r="AM7115" s="26" t="s">
        <v>38</v>
      </c>
    </row>
    <row r="7116" spans="34:39" x14ac:dyDescent="0.35">
      <c r="AH7116" s="21"/>
      <c r="AI7116" s="21"/>
      <c r="AJ7116" s="21"/>
      <c r="AK7116" s="21"/>
      <c r="AM7116" s="26" t="s">
        <v>38</v>
      </c>
    </row>
    <row r="7117" spans="34:39" x14ac:dyDescent="0.35">
      <c r="AH7117" s="21"/>
      <c r="AI7117" s="21"/>
      <c r="AJ7117" s="21"/>
      <c r="AK7117" s="21"/>
      <c r="AM7117" s="26" t="s">
        <v>38</v>
      </c>
    </row>
    <row r="7118" spans="34:39" x14ac:dyDescent="0.35">
      <c r="AH7118" s="21"/>
      <c r="AI7118" s="21"/>
      <c r="AJ7118" s="21"/>
      <c r="AK7118" s="21"/>
      <c r="AM7118" s="26" t="s">
        <v>38</v>
      </c>
    </row>
    <row r="7119" spans="34:39" x14ac:dyDescent="0.35">
      <c r="AH7119" s="21"/>
      <c r="AI7119" s="21"/>
      <c r="AJ7119" s="21"/>
      <c r="AK7119" s="21"/>
      <c r="AM7119" s="26" t="s">
        <v>38</v>
      </c>
    </row>
    <row r="7120" spans="34:39" x14ac:dyDescent="0.35">
      <c r="AH7120" s="21"/>
      <c r="AI7120" s="21"/>
      <c r="AJ7120" s="21"/>
      <c r="AK7120" s="21"/>
      <c r="AM7120" s="26" t="s">
        <v>38</v>
      </c>
    </row>
    <row r="7121" spans="1:40" s="85" customFormat="1" x14ac:dyDescent="0.35">
      <c r="A7121"/>
      <c r="B7121"/>
      <c r="C7121"/>
      <c r="D7121"/>
      <c r="E7121"/>
      <c r="F7121"/>
      <c r="G7121"/>
      <c r="H7121"/>
      <c r="I7121"/>
      <c r="J7121"/>
      <c r="K7121"/>
      <c r="L7121"/>
      <c r="M7121"/>
      <c r="N7121"/>
      <c r="O7121"/>
      <c r="P7121"/>
      <c r="Q7121"/>
      <c r="R7121"/>
      <c r="S7121"/>
      <c r="T7121"/>
      <c r="U7121"/>
      <c r="V7121"/>
      <c r="W7121"/>
      <c r="X7121"/>
      <c r="Y7121"/>
      <c r="Z7121"/>
      <c r="AA7121"/>
      <c r="AB7121"/>
      <c r="AC7121"/>
      <c r="AD7121"/>
      <c r="AE7121"/>
      <c r="AF7121"/>
      <c r="AG7121"/>
      <c r="AH7121" s="21"/>
      <c r="AI7121" s="21"/>
      <c r="AJ7121" s="21"/>
      <c r="AK7121" s="21"/>
      <c r="AL7121"/>
      <c r="AM7121" s="26" t="s">
        <v>38</v>
      </c>
      <c r="AN7121"/>
    </row>
    <row r="7122" spans="1:40" x14ac:dyDescent="0.35">
      <c r="AH7122" s="21"/>
      <c r="AI7122" s="21"/>
      <c r="AJ7122" s="21"/>
      <c r="AK7122" s="21"/>
      <c r="AM7122" s="26" t="s">
        <v>38</v>
      </c>
    </row>
    <row r="7123" spans="1:40" x14ac:dyDescent="0.35">
      <c r="AH7123" s="21"/>
      <c r="AI7123" s="21"/>
      <c r="AJ7123" s="21"/>
      <c r="AK7123" s="21"/>
      <c r="AM7123" s="26" t="s">
        <v>38</v>
      </c>
    </row>
    <row r="7124" spans="1:40" x14ac:dyDescent="0.35">
      <c r="AH7124" s="21"/>
      <c r="AI7124" s="21"/>
      <c r="AJ7124" s="21"/>
      <c r="AK7124" s="21"/>
      <c r="AM7124" s="26" t="s">
        <v>38</v>
      </c>
    </row>
    <row r="7125" spans="1:40" x14ac:dyDescent="0.35">
      <c r="AH7125" s="21"/>
      <c r="AI7125" s="21"/>
      <c r="AJ7125" s="21"/>
      <c r="AK7125" s="21"/>
      <c r="AM7125" s="26" t="s">
        <v>38</v>
      </c>
    </row>
    <row r="7126" spans="1:40" x14ac:dyDescent="0.35">
      <c r="AH7126" s="21"/>
      <c r="AI7126" s="21"/>
      <c r="AJ7126" s="21"/>
      <c r="AK7126" s="21"/>
      <c r="AM7126" s="26" t="s">
        <v>38</v>
      </c>
    </row>
    <row r="7127" spans="1:40" x14ac:dyDescent="0.35">
      <c r="AH7127" s="21"/>
      <c r="AI7127" s="21"/>
      <c r="AJ7127" s="21"/>
      <c r="AK7127" s="21"/>
      <c r="AM7127" s="26" t="s">
        <v>38</v>
      </c>
    </row>
    <row r="7128" spans="1:40" x14ac:dyDescent="0.35">
      <c r="AH7128" s="21"/>
      <c r="AI7128" s="21"/>
      <c r="AJ7128" s="21"/>
      <c r="AK7128" s="21"/>
      <c r="AM7128" s="26" t="s">
        <v>38</v>
      </c>
    </row>
    <row r="7129" spans="1:40" x14ac:dyDescent="0.35">
      <c r="AH7129" s="21"/>
      <c r="AI7129" s="21"/>
      <c r="AJ7129" s="21"/>
      <c r="AK7129" s="21"/>
      <c r="AM7129" s="26" t="s">
        <v>38</v>
      </c>
    </row>
    <row r="7130" spans="1:40" x14ac:dyDescent="0.35">
      <c r="AH7130" s="21"/>
      <c r="AI7130" s="21"/>
      <c r="AJ7130" s="21"/>
      <c r="AK7130" s="21"/>
      <c r="AM7130" s="26" t="s">
        <v>38</v>
      </c>
    </row>
    <row r="7131" spans="1:40" x14ac:dyDescent="0.35">
      <c r="AH7131" s="21"/>
      <c r="AI7131" s="21"/>
      <c r="AJ7131" s="21"/>
      <c r="AK7131" s="21"/>
      <c r="AM7131" s="26" t="s">
        <v>38</v>
      </c>
    </row>
    <row r="7132" spans="1:40" x14ac:dyDescent="0.35">
      <c r="AH7132" s="21"/>
      <c r="AI7132" s="21"/>
      <c r="AJ7132" s="21"/>
      <c r="AK7132" s="21"/>
      <c r="AM7132" s="26" t="s">
        <v>38</v>
      </c>
    </row>
    <row r="7133" spans="1:40" x14ac:dyDescent="0.35">
      <c r="AH7133" s="21"/>
      <c r="AI7133" s="21"/>
      <c r="AJ7133" s="21"/>
      <c r="AK7133" s="21"/>
      <c r="AM7133" s="26" t="s">
        <v>38</v>
      </c>
    </row>
    <row r="7134" spans="1:40" x14ac:dyDescent="0.35">
      <c r="AH7134" s="21"/>
      <c r="AI7134" s="21"/>
      <c r="AJ7134" s="21"/>
      <c r="AK7134" s="21"/>
      <c r="AM7134" s="26" t="s">
        <v>38</v>
      </c>
    </row>
    <row r="7135" spans="1:40" x14ac:dyDescent="0.35">
      <c r="AH7135" s="21"/>
      <c r="AI7135" s="21"/>
      <c r="AJ7135" s="21"/>
      <c r="AK7135" s="21"/>
      <c r="AM7135" s="26" t="s">
        <v>38</v>
      </c>
    </row>
    <row r="7136" spans="1:40" x14ac:dyDescent="0.35">
      <c r="AH7136" s="21"/>
      <c r="AI7136" s="21"/>
      <c r="AJ7136" s="21"/>
      <c r="AK7136" s="21"/>
      <c r="AM7136" s="26" t="s">
        <v>38</v>
      </c>
    </row>
    <row r="7137" spans="34:39" x14ac:dyDescent="0.35">
      <c r="AH7137" s="21"/>
      <c r="AI7137" s="21"/>
      <c r="AJ7137" s="21"/>
      <c r="AK7137" s="21"/>
      <c r="AM7137" s="26" t="s">
        <v>38</v>
      </c>
    </row>
    <row r="7138" spans="34:39" x14ac:dyDescent="0.35">
      <c r="AH7138" s="21"/>
      <c r="AI7138" s="21"/>
      <c r="AJ7138" s="21"/>
      <c r="AK7138" s="21"/>
      <c r="AM7138" s="26" t="s">
        <v>38</v>
      </c>
    </row>
    <row r="7139" spans="34:39" x14ac:dyDescent="0.35">
      <c r="AH7139" s="21"/>
      <c r="AI7139" s="21"/>
      <c r="AJ7139" s="21"/>
      <c r="AK7139" s="21"/>
      <c r="AM7139" s="26" t="s">
        <v>38</v>
      </c>
    </row>
    <row r="7140" spans="34:39" x14ac:dyDescent="0.35">
      <c r="AH7140" s="21"/>
      <c r="AI7140" s="21"/>
      <c r="AJ7140" s="21"/>
      <c r="AK7140" s="21"/>
      <c r="AM7140" s="26" t="s">
        <v>38</v>
      </c>
    </row>
    <row r="7141" spans="34:39" x14ac:dyDescent="0.35">
      <c r="AH7141" s="21"/>
      <c r="AI7141" s="21"/>
      <c r="AJ7141" s="21"/>
      <c r="AK7141" s="21"/>
      <c r="AM7141" s="26" t="s">
        <v>38</v>
      </c>
    </row>
    <row r="7142" spans="34:39" x14ac:dyDescent="0.35">
      <c r="AH7142" s="21"/>
      <c r="AI7142" s="21"/>
      <c r="AJ7142" s="21"/>
      <c r="AK7142" s="21"/>
      <c r="AM7142" s="26" t="s">
        <v>38</v>
      </c>
    </row>
    <row r="7143" spans="34:39" x14ac:dyDescent="0.35">
      <c r="AH7143" s="21"/>
      <c r="AI7143" s="21"/>
      <c r="AJ7143" s="21"/>
      <c r="AK7143" s="21"/>
      <c r="AM7143" s="26" t="s">
        <v>38</v>
      </c>
    </row>
    <row r="7144" spans="34:39" x14ac:dyDescent="0.35">
      <c r="AH7144" s="21"/>
      <c r="AI7144" s="21"/>
      <c r="AJ7144" s="21"/>
      <c r="AK7144" s="21"/>
      <c r="AM7144" s="26" t="s">
        <v>38</v>
      </c>
    </row>
    <row r="7145" spans="34:39" x14ac:dyDescent="0.35">
      <c r="AH7145" s="21"/>
      <c r="AI7145" s="21"/>
      <c r="AJ7145" s="21"/>
      <c r="AK7145" s="21"/>
      <c r="AM7145" s="26" t="s">
        <v>38</v>
      </c>
    </row>
    <row r="7146" spans="34:39" x14ac:dyDescent="0.35">
      <c r="AH7146" s="21"/>
      <c r="AI7146" s="21"/>
      <c r="AJ7146" s="21"/>
      <c r="AK7146" s="21"/>
      <c r="AM7146" s="26" t="s">
        <v>38</v>
      </c>
    </row>
    <row r="7147" spans="34:39" x14ac:dyDescent="0.35">
      <c r="AH7147" s="21"/>
      <c r="AI7147" s="21"/>
      <c r="AJ7147" s="21"/>
      <c r="AK7147" s="21"/>
      <c r="AM7147" s="26" t="s">
        <v>38</v>
      </c>
    </row>
    <row r="7148" spans="34:39" x14ac:dyDescent="0.35">
      <c r="AH7148" s="21"/>
      <c r="AI7148" s="21"/>
      <c r="AJ7148" s="21"/>
      <c r="AK7148" s="21"/>
      <c r="AM7148" s="26" t="s">
        <v>38</v>
      </c>
    </row>
    <row r="7149" spans="34:39" x14ac:dyDescent="0.35">
      <c r="AH7149" s="21"/>
      <c r="AI7149" s="21"/>
      <c r="AJ7149" s="21"/>
      <c r="AK7149" s="21"/>
      <c r="AM7149" s="26" t="s">
        <v>38</v>
      </c>
    </row>
    <row r="7150" spans="34:39" x14ac:dyDescent="0.35">
      <c r="AH7150" s="21"/>
      <c r="AI7150" s="21"/>
      <c r="AJ7150" s="21"/>
      <c r="AK7150" s="21"/>
      <c r="AM7150" s="26" t="s">
        <v>38</v>
      </c>
    </row>
    <row r="7151" spans="34:39" x14ac:dyDescent="0.35">
      <c r="AH7151" s="21"/>
      <c r="AI7151" s="21"/>
      <c r="AJ7151" s="21"/>
      <c r="AK7151" s="21"/>
      <c r="AM7151" s="26" t="s">
        <v>38</v>
      </c>
    </row>
    <row r="7152" spans="34:39" x14ac:dyDescent="0.35">
      <c r="AH7152" s="21"/>
      <c r="AI7152" s="21"/>
      <c r="AJ7152" s="21"/>
      <c r="AK7152" s="21"/>
      <c r="AM7152" s="26" t="s">
        <v>38</v>
      </c>
    </row>
    <row r="7153" spans="34:39" x14ac:dyDescent="0.35">
      <c r="AH7153" s="21"/>
      <c r="AI7153" s="21"/>
      <c r="AJ7153" s="21"/>
      <c r="AK7153" s="21"/>
      <c r="AM7153" s="26" t="s">
        <v>38</v>
      </c>
    </row>
    <row r="7154" spans="34:39" x14ac:dyDescent="0.35">
      <c r="AH7154" s="21"/>
      <c r="AI7154" s="21"/>
      <c r="AJ7154" s="21"/>
      <c r="AK7154" s="21"/>
      <c r="AM7154" s="26" t="s">
        <v>38</v>
      </c>
    </row>
    <row r="7155" spans="34:39" x14ac:dyDescent="0.35">
      <c r="AH7155" s="21"/>
      <c r="AI7155" s="21"/>
      <c r="AJ7155" s="21"/>
      <c r="AK7155" s="21"/>
      <c r="AM7155" s="26" t="s">
        <v>38</v>
      </c>
    </row>
    <row r="7156" spans="34:39" x14ac:dyDescent="0.35">
      <c r="AH7156" s="21"/>
      <c r="AI7156" s="21"/>
      <c r="AJ7156" s="21"/>
      <c r="AK7156" s="21"/>
      <c r="AM7156" s="26" t="s">
        <v>38</v>
      </c>
    </row>
    <row r="7157" spans="34:39" x14ac:dyDescent="0.35">
      <c r="AH7157" s="21"/>
      <c r="AI7157" s="21"/>
      <c r="AJ7157" s="21"/>
      <c r="AK7157" s="21"/>
      <c r="AM7157" s="26" t="s">
        <v>38</v>
      </c>
    </row>
    <row r="7158" spans="34:39" x14ac:dyDescent="0.35">
      <c r="AH7158" s="21"/>
      <c r="AI7158" s="21"/>
      <c r="AJ7158" s="21"/>
      <c r="AK7158" s="21"/>
      <c r="AM7158" s="26" t="s">
        <v>38</v>
      </c>
    </row>
    <row r="7159" spans="34:39" x14ac:dyDescent="0.35">
      <c r="AH7159" s="21"/>
      <c r="AI7159" s="21"/>
      <c r="AJ7159" s="21"/>
      <c r="AK7159" s="21"/>
      <c r="AM7159" s="26" t="s">
        <v>38</v>
      </c>
    </row>
    <row r="7160" spans="34:39" x14ac:dyDescent="0.35">
      <c r="AH7160" s="21"/>
      <c r="AI7160" s="21"/>
      <c r="AJ7160" s="21"/>
      <c r="AK7160" s="21"/>
      <c r="AM7160" s="26" t="s">
        <v>38</v>
      </c>
    </row>
    <row r="7161" spans="34:39" x14ac:dyDescent="0.35">
      <c r="AH7161" s="21"/>
      <c r="AI7161" s="21"/>
      <c r="AJ7161" s="21"/>
      <c r="AK7161" s="21"/>
      <c r="AM7161" s="26" t="s">
        <v>38</v>
      </c>
    </row>
    <row r="7162" spans="34:39" x14ac:dyDescent="0.35">
      <c r="AH7162" s="21"/>
      <c r="AI7162" s="21"/>
      <c r="AJ7162" s="21"/>
      <c r="AK7162" s="21"/>
      <c r="AM7162" s="26" t="s">
        <v>38</v>
      </c>
    </row>
    <row r="7163" spans="34:39" x14ac:dyDescent="0.35">
      <c r="AH7163" s="21"/>
      <c r="AI7163" s="21"/>
      <c r="AJ7163" s="21"/>
      <c r="AK7163" s="21"/>
      <c r="AM7163" s="26" t="s">
        <v>38</v>
      </c>
    </row>
    <row r="7164" spans="34:39" x14ac:dyDescent="0.35">
      <c r="AH7164" s="21"/>
      <c r="AI7164" s="21"/>
      <c r="AJ7164" s="21"/>
      <c r="AK7164" s="21"/>
      <c r="AM7164" s="26" t="s">
        <v>38</v>
      </c>
    </row>
    <row r="7165" spans="34:39" x14ac:dyDescent="0.35">
      <c r="AH7165" s="21"/>
      <c r="AI7165" s="21"/>
      <c r="AJ7165" s="21"/>
      <c r="AK7165" s="21"/>
      <c r="AM7165" s="26" t="s">
        <v>38</v>
      </c>
    </row>
    <row r="7166" spans="34:39" x14ac:dyDescent="0.35">
      <c r="AH7166" s="21"/>
      <c r="AI7166" s="21"/>
      <c r="AJ7166" s="21"/>
      <c r="AK7166" s="21"/>
      <c r="AM7166" s="26" t="s">
        <v>38</v>
      </c>
    </row>
    <row r="7167" spans="34:39" x14ac:dyDescent="0.35">
      <c r="AH7167" s="21"/>
      <c r="AI7167" s="21"/>
      <c r="AJ7167" s="21"/>
      <c r="AK7167" s="21"/>
      <c r="AM7167" s="26" t="s">
        <v>38</v>
      </c>
    </row>
    <row r="7168" spans="34:39" x14ac:dyDescent="0.35">
      <c r="AH7168" s="21"/>
      <c r="AI7168" s="21"/>
      <c r="AJ7168" s="21"/>
      <c r="AK7168" s="21"/>
      <c r="AM7168" s="26" t="s">
        <v>38</v>
      </c>
    </row>
    <row r="7169" spans="34:39" x14ac:dyDescent="0.35">
      <c r="AH7169" s="21"/>
      <c r="AI7169" s="21"/>
      <c r="AJ7169" s="21"/>
      <c r="AK7169" s="21"/>
      <c r="AM7169" s="26" t="s">
        <v>38</v>
      </c>
    </row>
    <row r="7170" spans="34:39" x14ac:dyDescent="0.35">
      <c r="AH7170" s="21"/>
      <c r="AI7170" s="21"/>
      <c r="AJ7170" s="21"/>
      <c r="AK7170" s="21"/>
      <c r="AM7170" s="26" t="s">
        <v>38</v>
      </c>
    </row>
    <row r="7171" spans="34:39" x14ac:dyDescent="0.35">
      <c r="AH7171" s="21"/>
      <c r="AI7171" s="21"/>
      <c r="AJ7171" s="21"/>
      <c r="AK7171" s="21"/>
      <c r="AM7171" s="26" t="s">
        <v>38</v>
      </c>
    </row>
    <row r="7172" spans="34:39" x14ac:dyDescent="0.35">
      <c r="AH7172" s="21"/>
      <c r="AI7172" s="21"/>
      <c r="AJ7172" s="21"/>
      <c r="AK7172" s="21"/>
      <c r="AM7172" s="26" t="s">
        <v>38</v>
      </c>
    </row>
    <row r="7173" spans="34:39" x14ac:dyDescent="0.35">
      <c r="AH7173" s="21"/>
      <c r="AI7173" s="21"/>
      <c r="AJ7173" s="21"/>
      <c r="AK7173" s="21"/>
      <c r="AM7173" s="26" t="s">
        <v>38</v>
      </c>
    </row>
    <row r="7174" spans="34:39" x14ac:dyDescent="0.35">
      <c r="AH7174" s="21"/>
      <c r="AI7174" s="21"/>
      <c r="AJ7174" s="21"/>
      <c r="AK7174" s="21"/>
      <c r="AM7174" s="26" t="s">
        <v>38</v>
      </c>
    </row>
    <row r="7175" spans="34:39" x14ac:dyDescent="0.35">
      <c r="AH7175" s="21"/>
      <c r="AI7175" s="21"/>
      <c r="AJ7175" s="21"/>
      <c r="AK7175" s="21"/>
      <c r="AM7175" s="26" t="s">
        <v>38</v>
      </c>
    </row>
    <row r="7176" spans="34:39" x14ac:dyDescent="0.35">
      <c r="AH7176" s="21"/>
      <c r="AI7176" s="21"/>
      <c r="AJ7176" s="21"/>
      <c r="AK7176" s="21"/>
      <c r="AM7176" s="26" t="s">
        <v>38</v>
      </c>
    </row>
    <row r="7177" spans="34:39" x14ac:dyDescent="0.35">
      <c r="AH7177" s="21"/>
      <c r="AI7177" s="21"/>
      <c r="AJ7177" s="21"/>
      <c r="AK7177" s="21"/>
      <c r="AM7177" s="26" t="s">
        <v>38</v>
      </c>
    </row>
    <row r="7178" spans="34:39" x14ac:dyDescent="0.35">
      <c r="AH7178" s="21"/>
      <c r="AI7178" s="21"/>
      <c r="AJ7178" s="21"/>
      <c r="AK7178" s="21"/>
      <c r="AM7178" s="26" t="s">
        <v>38</v>
      </c>
    </row>
    <row r="7179" spans="34:39" x14ac:dyDescent="0.35">
      <c r="AH7179" s="21"/>
      <c r="AI7179" s="21"/>
      <c r="AJ7179" s="21"/>
      <c r="AK7179" s="21"/>
      <c r="AM7179" s="26" t="s">
        <v>38</v>
      </c>
    </row>
    <row r="7180" spans="34:39" x14ac:dyDescent="0.35">
      <c r="AH7180" s="21"/>
      <c r="AI7180" s="21"/>
      <c r="AJ7180" s="21"/>
      <c r="AK7180" s="21"/>
      <c r="AM7180" s="26" t="s">
        <v>38</v>
      </c>
    </row>
    <row r="7181" spans="34:39" x14ac:dyDescent="0.35">
      <c r="AH7181" s="21"/>
      <c r="AI7181" s="21"/>
      <c r="AJ7181" s="21"/>
      <c r="AK7181" s="21"/>
      <c r="AM7181" s="26" t="s">
        <v>38</v>
      </c>
    </row>
    <row r="7182" spans="34:39" x14ac:dyDescent="0.35">
      <c r="AH7182" s="21"/>
      <c r="AI7182" s="21"/>
      <c r="AJ7182" s="21"/>
      <c r="AK7182" s="21"/>
      <c r="AM7182" s="26" t="s">
        <v>38</v>
      </c>
    </row>
    <row r="7183" spans="34:39" x14ac:dyDescent="0.35">
      <c r="AH7183" s="21"/>
      <c r="AI7183" s="21"/>
      <c r="AJ7183" s="21"/>
      <c r="AK7183" s="21"/>
      <c r="AM7183" s="26" t="s">
        <v>38</v>
      </c>
    </row>
    <row r="7184" spans="34:39" x14ac:dyDescent="0.35">
      <c r="AH7184" s="21"/>
      <c r="AI7184" s="21"/>
      <c r="AJ7184" s="21"/>
      <c r="AK7184" s="21"/>
      <c r="AM7184" s="26" t="s">
        <v>38</v>
      </c>
    </row>
    <row r="7185" spans="34:39" x14ac:dyDescent="0.35">
      <c r="AH7185" s="21"/>
      <c r="AI7185" s="21"/>
      <c r="AJ7185" s="21"/>
      <c r="AK7185" s="21"/>
      <c r="AM7185" s="26" t="s">
        <v>38</v>
      </c>
    </row>
    <row r="7186" spans="34:39" x14ac:dyDescent="0.35">
      <c r="AH7186" s="21"/>
      <c r="AI7186" s="21"/>
      <c r="AJ7186" s="21"/>
      <c r="AK7186" s="21"/>
      <c r="AM7186" s="26" t="s">
        <v>38</v>
      </c>
    </row>
    <row r="7187" spans="34:39" x14ac:dyDescent="0.35">
      <c r="AH7187" s="21"/>
      <c r="AI7187" s="21"/>
      <c r="AJ7187" s="21"/>
      <c r="AK7187" s="21"/>
      <c r="AM7187" s="26" t="s">
        <v>38</v>
      </c>
    </row>
    <row r="7188" spans="34:39" x14ac:dyDescent="0.35">
      <c r="AH7188" s="21"/>
      <c r="AI7188" s="21"/>
      <c r="AJ7188" s="21"/>
      <c r="AK7188" s="21"/>
      <c r="AM7188" s="26" t="s">
        <v>38</v>
      </c>
    </row>
    <row r="7189" spans="34:39" x14ac:dyDescent="0.35">
      <c r="AH7189" s="21"/>
      <c r="AI7189" s="21"/>
      <c r="AJ7189" s="21"/>
      <c r="AK7189" s="21"/>
      <c r="AM7189" s="26" t="s">
        <v>38</v>
      </c>
    </row>
    <row r="7190" spans="34:39" x14ac:dyDescent="0.35">
      <c r="AH7190" s="21"/>
      <c r="AI7190" s="21"/>
      <c r="AJ7190" s="21"/>
      <c r="AK7190" s="21"/>
      <c r="AM7190" s="26" t="s">
        <v>38</v>
      </c>
    </row>
    <row r="7191" spans="34:39" x14ac:dyDescent="0.35">
      <c r="AH7191" s="21"/>
      <c r="AI7191" s="21"/>
      <c r="AJ7191" s="21"/>
      <c r="AK7191" s="21"/>
      <c r="AM7191" s="26" t="s">
        <v>38</v>
      </c>
    </row>
    <row r="7192" spans="34:39" x14ac:dyDescent="0.35">
      <c r="AH7192" s="21"/>
      <c r="AI7192" s="21"/>
      <c r="AJ7192" s="21"/>
      <c r="AK7192" s="21"/>
      <c r="AM7192" s="26" t="s">
        <v>38</v>
      </c>
    </row>
    <row r="7193" spans="34:39" x14ac:dyDescent="0.35">
      <c r="AH7193" s="21"/>
      <c r="AI7193" s="21"/>
      <c r="AJ7193" s="21"/>
      <c r="AK7193" s="21"/>
      <c r="AM7193" s="26" t="s">
        <v>38</v>
      </c>
    </row>
    <row r="7194" spans="34:39" x14ac:dyDescent="0.35">
      <c r="AH7194" s="21"/>
      <c r="AI7194" s="21"/>
      <c r="AJ7194" s="21"/>
      <c r="AK7194" s="21"/>
      <c r="AM7194" s="26" t="s">
        <v>38</v>
      </c>
    </row>
    <row r="7195" spans="34:39" x14ac:dyDescent="0.35">
      <c r="AH7195" s="21"/>
      <c r="AI7195" s="21"/>
      <c r="AJ7195" s="21"/>
      <c r="AK7195" s="21"/>
      <c r="AM7195" s="26" t="s">
        <v>38</v>
      </c>
    </row>
    <row r="7196" spans="34:39" x14ac:dyDescent="0.35">
      <c r="AH7196" s="21"/>
      <c r="AI7196" s="21"/>
      <c r="AJ7196" s="21"/>
      <c r="AK7196" s="21"/>
      <c r="AM7196" s="26" t="s">
        <v>38</v>
      </c>
    </row>
    <row r="7197" spans="34:39" x14ac:dyDescent="0.35">
      <c r="AH7197" s="21"/>
      <c r="AI7197" s="21"/>
      <c r="AJ7197" s="21"/>
      <c r="AK7197" s="21"/>
      <c r="AM7197" s="26" t="s">
        <v>38</v>
      </c>
    </row>
    <row r="7198" spans="34:39" x14ac:dyDescent="0.35">
      <c r="AH7198" s="21"/>
      <c r="AI7198" s="21"/>
      <c r="AJ7198" s="21"/>
      <c r="AK7198" s="21"/>
      <c r="AM7198" s="26" t="s">
        <v>38</v>
      </c>
    </row>
    <row r="7199" spans="34:39" x14ac:dyDescent="0.35">
      <c r="AH7199" s="21"/>
      <c r="AI7199" s="21"/>
      <c r="AJ7199" s="21"/>
      <c r="AK7199" s="21"/>
      <c r="AM7199" s="26" t="s">
        <v>38</v>
      </c>
    </row>
    <row r="7200" spans="34:39" x14ac:dyDescent="0.35">
      <c r="AH7200" s="21"/>
      <c r="AI7200" s="21"/>
      <c r="AJ7200" s="21"/>
      <c r="AK7200" s="21"/>
      <c r="AM7200" s="26" t="s">
        <v>38</v>
      </c>
    </row>
    <row r="7201" spans="34:39" x14ac:dyDescent="0.35">
      <c r="AH7201" s="21"/>
      <c r="AI7201" s="21"/>
      <c r="AJ7201" s="21"/>
      <c r="AK7201" s="21"/>
      <c r="AM7201" s="26" t="s">
        <v>38</v>
      </c>
    </row>
    <row r="7202" spans="34:39" x14ac:dyDescent="0.35">
      <c r="AH7202" s="21"/>
      <c r="AI7202" s="21"/>
      <c r="AJ7202" s="21"/>
      <c r="AK7202" s="21"/>
      <c r="AM7202" s="26" t="s">
        <v>38</v>
      </c>
    </row>
    <row r="7203" spans="34:39" x14ac:dyDescent="0.35">
      <c r="AH7203" s="21"/>
      <c r="AI7203" s="21"/>
      <c r="AJ7203" s="21"/>
      <c r="AK7203" s="21"/>
      <c r="AM7203" s="26" t="s">
        <v>38</v>
      </c>
    </row>
    <row r="7204" spans="34:39" x14ac:dyDescent="0.35">
      <c r="AH7204" s="21"/>
      <c r="AI7204" s="21"/>
      <c r="AJ7204" s="21"/>
      <c r="AK7204" s="21"/>
      <c r="AM7204" s="26" t="s">
        <v>38</v>
      </c>
    </row>
    <row r="7205" spans="34:39" x14ac:dyDescent="0.35">
      <c r="AH7205" s="21"/>
      <c r="AI7205" s="21"/>
      <c r="AJ7205" s="21"/>
      <c r="AK7205" s="21"/>
      <c r="AM7205" s="26" t="s">
        <v>38</v>
      </c>
    </row>
    <row r="7206" spans="34:39" x14ac:dyDescent="0.35">
      <c r="AH7206" s="21"/>
      <c r="AI7206" s="21"/>
      <c r="AJ7206" s="21"/>
      <c r="AK7206" s="21"/>
      <c r="AM7206" s="26" t="s">
        <v>38</v>
      </c>
    </row>
    <row r="7207" spans="34:39" x14ac:dyDescent="0.35">
      <c r="AH7207" s="21"/>
      <c r="AI7207" s="21"/>
      <c r="AJ7207" s="21"/>
      <c r="AK7207" s="21"/>
      <c r="AM7207" s="26" t="s">
        <v>38</v>
      </c>
    </row>
    <row r="7208" spans="34:39" x14ac:dyDescent="0.35">
      <c r="AH7208" s="21"/>
      <c r="AI7208" s="21"/>
      <c r="AJ7208" s="21"/>
      <c r="AK7208" s="21"/>
      <c r="AM7208" s="26" t="s">
        <v>38</v>
      </c>
    </row>
    <row r="7209" spans="34:39" x14ac:dyDescent="0.35">
      <c r="AH7209" s="21"/>
      <c r="AI7209" s="21"/>
      <c r="AJ7209" s="21"/>
      <c r="AK7209" s="21"/>
      <c r="AM7209" s="26" t="s">
        <v>38</v>
      </c>
    </row>
    <row r="7210" spans="34:39" x14ac:dyDescent="0.35">
      <c r="AH7210" s="21"/>
      <c r="AI7210" s="21"/>
      <c r="AJ7210" s="21"/>
      <c r="AK7210" s="21"/>
      <c r="AM7210" s="26" t="s">
        <v>38</v>
      </c>
    </row>
    <row r="7211" spans="34:39" x14ac:dyDescent="0.35">
      <c r="AH7211" s="21"/>
      <c r="AI7211" s="21"/>
      <c r="AJ7211" s="21"/>
      <c r="AK7211" s="21"/>
      <c r="AM7211" s="26" t="s">
        <v>38</v>
      </c>
    </row>
    <row r="7212" spans="34:39" x14ac:dyDescent="0.35">
      <c r="AH7212" s="21"/>
      <c r="AI7212" s="21"/>
      <c r="AJ7212" s="21"/>
      <c r="AK7212" s="21"/>
      <c r="AM7212" s="26" t="s">
        <v>38</v>
      </c>
    </row>
    <row r="7213" spans="34:39" x14ac:dyDescent="0.35">
      <c r="AH7213" s="21"/>
      <c r="AI7213" s="21"/>
      <c r="AJ7213" s="21"/>
      <c r="AK7213" s="21"/>
      <c r="AM7213" s="26" t="s">
        <v>38</v>
      </c>
    </row>
    <row r="7214" spans="34:39" x14ac:dyDescent="0.35">
      <c r="AH7214" s="21"/>
      <c r="AI7214" s="21"/>
      <c r="AJ7214" s="21"/>
      <c r="AK7214" s="21"/>
      <c r="AM7214" s="26" t="s">
        <v>38</v>
      </c>
    </row>
    <row r="7215" spans="34:39" x14ac:dyDescent="0.35">
      <c r="AH7215" s="21"/>
      <c r="AI7215" s="21"/>
      <c r="AJ7215" s="21"/>
      <c r="AK7215" s="21"/>
      <c r="AM7215" s="26" t="s">
        <v>38</v>
      </c>
    </row>
    <row r="7216" spans="34:39" x14ac:dyDescent="0.35">
      <c r="AH7216" s="21"/>
      <c r="AI7216" s="21"/>
      <c r="AJ7216" s="21"/>
      <c r="AK7216" s="21"/>
      <c r="AM7216" s="26" t="s">
        <v>38</v>
      </c>
    </row>
    <row r="7217" spans="34:39" x14ac:dyDescent="0.35">
      <c r="AH7217" s="21"/>
      <c r="AI7217" s="21"/>
      <c r="AJ7217" s="21"/>
      <c r="AK7217" s="21"/>
      <c r="AM7217" s="26" t="s">
        <v>38</v>
      </c>
    </row>
    <row r="7218" spans="34:39" x14ac:dyDescent="0.35">
      <c r="AH7218" s="21"/>
      <c r="AI7218" s="21"/>
      <c r="AJ7218" s="21"/>
      <c r="AK7218" s="21"/>
      <c r="AM7218" s="26" t="s">
        <v>38</v>
      </c>
    </row>
    <row r="7219" spans="34:39" x14ac:dyDescent="0.35">
      <c r="AH7219" s="21"/>
      <c r="AI7219" s="21"/>
      <c r="AJ7219" s="21"/>
      <c r="AK7219" s="21"/>
      <c r="AM7219" s="26" t="s">
        <v>38</v>
      </c>
    </row>
    <row r="7220" spans="34:39" x14ac:dyDescent="0.35">
      <c r="AH7220" s="21"/>
      <c r="AI7220" s="21"/>
      <c r="AJ7220" s="21"/>
      <c r="AK7220" s="21"/>
      <c r="AM7220" s="26" t="s">
        <v>38</v>
      </c>
    </row>
    <row r="7221" spans="34:39" x14ac:dyDescent="0.35">
      <c r="AH7221" s="21"/>
      <c r="AI7221" s="21"/>
      <c r="AJ7221" s="21"/>
      <c r="AK7221" s="21"/>
      <c r="AM7221" s="26" t="s">
        <v>38</v>
      </c>
    </row>
    <row r="7222" spans="34:39" x14ac:dyDescent="0.35">
      <c r="AH7222" s="21"/>
      <c r="AI7222" s="21"/>
      <c r="AJ7222" s="21"/>
      <c r="AK7222" s="21"/>
      <c r="AM7222" s="26" t="s">
        <v>38</v>
      </c>
    </row>
    <row r="7223" spans="34:39" x14ac:dyDescent="0.35">
      <c r="AH7223" s="21"/>
      <c r="AI7223" s="21"/>
      <c r="AJ7223" s="21"/>
      <c r="AK7223" s="21"/>
      <c r="AM7223" s="26" t="s">
        <v>38</v>
      </c>
    </row>
    <row r="7224" spans="34:39" x14ac:dyDescent="0.35">
      <c r="AH7224" s="21"/>
      <c r="AI7224" s="21"/>
      <c r="AJ7224" s="21"/>
      <c r="AK7224" s="21"/>
      <c r="AM7224" s="26" t="s">
        <v>38</v>
      </c>
    </row>
    <row r="7225" spans="34:39" x14ac:dyDescent="0.35">
      <c r="AH7225" s="21"/>
      <c r="AI7225" s="21"/>
      <c r="AJ7225" s="21"/>
      <c r="AK7225" s="21"/>
      <c r="AM7225" s="26" t="s">
        <v>38</v>
      </c>
    </row>
    <row r="7226" spans="34:39" x14ac:dyDescent="0.35">
      <c r="AH7226" s="21"/>
      <c r="AI7226" s="21"/>
      <c r="AJ7226" s="21"/>
      <c r="AK7226" s="21"/>
      <c r="AM7226" s="26" t="s">
        <v>38</v>
      </c>
    </row>
    <row r="7227" spans="34:39" x14ac:dyDescent="0.35">
      <c r="AH7227" s="21"/>
      <c r="AI7227" s="21"/>
      <c r="AJ7227" s="21"/>
      <c r="AK7227" s="21"/>
      <c r="AM7227" s="26" t="s">
        <v>38</v>
      </c>
    </row>
    <row r="7228" spans="34:39" x14ac:dyDescent="0.35">
      <c r="AH7228" s="21"/>
      <c r="AI7228" s="21"/>
      <c r="AJ7228" s="21"/>
      <c r="AK7228" s="21"/>
      <c r="AM7228" s="26" t="s">
        <v>38</v>
      </c>
    </row>
    <row r="7229" spans="34:39" x14ac:dyDescent="0.35">
      <c r="AH7229" s="21"/>
      <c r="AI7229" s="21"/>
      <c r="AJ7229" s="21"/>
      <c r="AK7229" s="21"/>
      <c r="AM7229" s="26" t="s">
        <v>38</v>
      </c>
    </row>
    <row r="7230" spans="34:39" x14ac:dyDescent="0.35">
      <c r="AH7230" s="21"/>
      <c r="AI7230" s="21"/>
      <c r="AJ7230" s="21"/>
      <c r="AK7230" s="21"/>
      <c r="AM7230" s="26" t="s">
        <v>38</v>
      </c>
    </row>
    <row r="7231" spans="34:39" x14ac:dyDescent="0.35">
      <c r="AH7231" s="21"/>
      <c r="AI7231" s="21"/>
      <c r="AJ7231" s="21"/>
      <c r="AK7231" s="21"/>
      <c r="AM7231" s="26" t="s">
        <v>38</v>
      </c>
    </row>
    <row r="7232" spans="34:39" x14ac:dyDescent="0.35">
      <c r="AH7232" s="21"/>
      <c r="AI7232" s="21"/>
      <c r="AJ7232" s="21"/>
      <c r="AK7232" s="21"/>
      <c r="AM7232" s="26" t="s">
        <v>38</v>
      </c>
    </row>
    <row r="7233" spans="34:39" x14ac:dyDescent="0.35">
      <c r="AH7233" s="21"/>
      <c r="AI7233" s="21"/>
      <c r="AJ7233" s="21"/>
      <c r="AK7233" s="21"/>
      <c r="AM7233" s="26" t="s">
        <v>38</v>
      </c>
    </row>
    <row r="7234" spans="34:39" x14ac:dyDescent="0.35">
      <c r="AH7234" s="21"/>
      <c r="AI7234" s="21"/>
      <c r="AJ7234" s="21"/>
      <c r="AK7234" s="21"/>
      <c r="AM7234" s="26" t="s">
        <v>38</v>
      </c>
    </row>
    <row r="7235" spans="34:39" x14ac:dyDescent="0.35">
      <c r="AH7235" s="21"/>
      <c r="AI7235" s="21"/>
      <c r="AJ7235" s="21"/>
      <c r="AK7235" s="21"/>
      <c r="AM7235" s="26" t="s">
        <v>38</v>
      </c>
    </row>
    <row r="7236" spans="34:39" x14ac:dyDescent="0.35">
      <c r="AH7236" s="21"/>
      <c r="AI7236" s="21"/>
      <c r="AJ7236" s="21"/>
      <c r="AK7236" s="21"/>
      <c r="AM7236" s="26" t="s">
        <v>38</v>
      </c>
    </row>
    <row r="7237" spans="34:39" x14ac:dyDescent="0.35">
      <c r="AH7237" s="21"/>
      <c r="AI7237" s="21"/>
      <c r="AJ7237" s="21"/>
      <c r="AK7237" s="21"/>
      <c r="AM7237" s="26" t="s">
        <v>38</v>
      </c>
    </row>
    <row r="7238" spans="34:39" x14ac:dyDescent="0.35">
      <c r="AH7238" s="21"/>
      <c r="AI7238" s="21"/>
      <c r="AJ7238" s="21"/>
      <c r="AK7238" s="21"/>
      <c r="AM7238" s="26" t="s">
        <v>38</v>
      </c>
    </row>
    <row r="7239" spans="34:39" x14ac:dyDescent="0.35">
      <c r="AH7239" s="21"/>
      <c r="AI7239" s="21"/>
      <c r="AJ7239" s="21"/>
      <c r="AK7239" s="21"/>
      <c r="AM7239" s="26" t="s">
        <v>38</v>
      </c>
    </row>
    <row r="7240" spans="34:39" x14ac:dyDescent="0.35">
      <c r="AH7240" s="21"/>
      <c r="AI7240" s="21"/>
      <c r="AJ7240" s="21"/>
      <c r="AK7240" s="21"/>
      <c r="AM7240" s="26" t="s">
        <v>38</v>
      </c>
    </row>
    <row r="7241" spans="34:39" x14ac:dyDescent="0.35">
      <c r="AH7241" s="21"/>
      <c r="AI7241" s="21"/>
      <c r="AJ7241" s="21"/>
      <c r="AK7241" s="21"/>
      <c r="AM7241" s="26" t="s">
        <v>38</v>
      </c>
    </row>
    <row r="7242" spans="34:39" x14ac:dyDescent="0.35">
      <c r="AH7242" s="21"/>
      <c r="AI7242" s="21"/>
      <c r="AJ7242" s="21"/>
      <c r="AK7242" s="21"/>
      <c r="AM7242" s="26" t="s">
        <v>38</v>
      </c>
    </row>
    <row r="7243" spans="34:39" x14ac:dyDescent="0.35">
      <c r="AH7243" s="21"/>
      <c r="AI7243" s="21"/>
      <c r="AJ7243" s="21"/>
      <c r="AK7243" s="21"/>
      <c r="AM7243" s="26" t="s">
        <v>38</v>
      </c>
    </row>
    <row r="7244" spans="34:39" x14ac:dyDescent="0.35">
      <c r="AH7244" s="21"/>
      <c r="AI7244" s="21"/>
      <c r="AJ7244" s="21"/>
      <c r="AK7244" s="21"/>
      <c r="AM7244" s="26" t="s">
        <v>38</v>
      </c>
    </row>
    <row r="7245" spans="34:39" x14ac:dyDescent="0.35">
      <c r="AH7245" s="21"/>
      <c r="AI7245" s="21"/>
      <c r="AJ7245" s="21"/>
      <c r="AK7245" s="21"/>
      <c r="AM7245" s="26" t="s">
        <v>38</v>
      </c>
    </row>
    <row r="7246" spans="34:39" x14ac:dyDescent="0.35">
      <c r="AH7246" s="21"/>
      <c r="AI7246" s="21"/>
      <c r="AJ7246" s="21"/>
      <c r="AK7246" s="21"/>
      <c r="AM7246" s="26" t="s">
        <v>38</v>
      </c>
    </row>
    <row r="7247" spans="34:39" x14ac:dyDescent="0.35">
      <c r="AH7247" s="21"/>
      <c r="AI7247" s="21"/>
      <c r="AJ7247" s="21"/>
      <c r="AK7247" s="21"/>
      <c r="AM7247" s="26" t="s">
        <v>38</v>
      </c>
    </row>
    <row r="7248" spans="34:39" x14ac:dyDescent="0.35">
      <c r="AH7248" s="21"/>
      <c r="AI7248" s="21"/>
      <c r="AJ7248" s="21"/>
      <c r="AK7248" s="21"/>
      <c r="AM7248" s="26" t="s">
        <v>38</v>
      </c>
    </row>
    <row r="7249" spans="34:39" x14ac:dyDescent="0.35">
      <c r="AH7249" s="21"/>
      <c r="AI7249" s="21"/>
      <c r="AJ7249" s="21"/>
      <c r="AK7249" s="21"/>
      <c r="AM7249" s="26" t="s">
        <v>38</v>
      </c>
    </row>
    <row r="7250" spans="34:39" x14ac:dyDescent="0.35">
      <c r="AH7250" s="21"/>
      <c r="AI7250" s="21"/>
      <c r="AJ7250" s="21"/>
      <c r="AK7250" s="21"/>
      <c r="AM7250" s="26" t="s">
        <v>38</v>
      </c>
    </row>
    <row r="7251" spans="34:39" x14ac:dyDescent="0.35">
      <c r="AH7251" s="21"/>
      <c r="AI7251" s="21"/>
      <c r="AJ7251" s="21"/>
      <c r="AK7251" s="21"/>
      <c r="AM7251" s="26" t="s">
        <v>38</v>
      </c>
    </row>
    <row r="7252" spans="34:39" x14ac:dyDescent="0.35">
      <c r="AH7252" s="21"/>
      <c r="AI7252" s="21"/>
      <c r="AJ7252" s="21"/>
      <c r="AK7252" s="21"/>
      <c r="AM7252" s="26" t="s">
        <v>38</v>
      </c>
    </row>
    <row r="7253" spans="34:39" x14ac:dyDescent="0.35">
      <c r="AH7253" s="21"/>
      <c r="AI7253" s="21"/>
      <c r="AJ7253" s="21"/>
      <c r="AK7253" s="21"/>
      <c r="AM7253" s="26" t="s">
        <v>38</v>
      </c>
    </row>
    <row r="7254" spans="34:39" x14ac:dyDescent="0.35">
      <c r="AH7254" s="21"/>
      <c r="AI7254" s="21"/>
      <c r="AJ7254" s="21"/>
      <c r="AK7254" s="21"/>
      <c r="AM7254" s="26" t="s">
        <v>38</v>
      </c>
    </row>
    <row r="7255" spans="34:39" x14ac:dyDescent="0.35">
      <c r="AH7255" s="21"/>
      <c r="AI7255" s="21"/>
      <c r="AJ7255" s="21"/>
      <c r="AK7255" s="21"/>
      <c r="AM7255" s="26" t="s">
        <v>38</v>
      </c>
    </row>
    <row r="7256" spans="34:39" x14ac:dyDescent="0.35">
      <c r="AH7256" s="21"/>
      <c r="AI7256" s="21"/>
      <c r="AJ7256" s="21"/>
      <c r="AK7256" s="21"/>
      <c r="AM7256" s="26" t="s">
        <v>38</v>
      </c>
    </row>
    <row r="7257" spans="34:39" x14ac:dyDescent="0.35">
      <c r="AH7257" s="21"/>
      <c r="AI7257" s="21"/>
      <c r="AJ7257" s="21"/>
      <c r="AK7257" s="21"/>
      <c r="AM7257" s="26" t="s">
        <v>38</v>
      </c>
    </row>
    <row r="7258" spans="34:39" x14ac:dyDescent="0.35">
      <c r="AH7258" s="21"/>
      <c r="AI7258" s="21"/>
      <c r="AJ7258" s="21"/>
      <c r="AK7258" s="21"/>
      <c r="AM7258" s="26" t="s">
        <v>38</v>
      </c>
    </row>
    <row r="7259" spans="34:39" x14ac:dyDescent="0.35">
      <c r="AH7259" s="21"/>
      <c r="AI7259" s="21"/>
      <c r="AJ7259" s="21"/>
      <c r="AK7259" s="21"/>
      <c r="AM7259" s="26" t="s">
        <v>38</v>
      </c>
    </row>
    <row r="7260" spans="34:39" x14ac:dyDescent="0.35">
      <c r="AH7260" s="21"/>
      <c r="AI7260" s="21"/>
      <c r="AJ7260" s="21"/>
      <c r="AK7260" s="21"/>
      <c r="AM7260" s="26" t="s">
        <v>38</v>
      </c>
    </row>
    <row r="7261" spans="34:39" x14ac:dyDescent="0.35">
      <c r="AH7261" s="21"/>
      <c r="AI7261" s="21"/>
      <c r="AJ7261" s="21"/>
      <c r="AK7261" s="21"/>
      <c r="AM7261" s="26" t="s">
        <v>38</v>
      </c>
    </row>
    <row r="7262" spans="34:39" x14ac:dyDescent="0.35">
      <c r="AH7262" s="21"/>
      <c r="AI7262" s="21"/>
      <c r="AJ7262" s="21"/>
      <c r="AK7262" s="21"/>
      <c r="AM7262" s="26" t="s">
        <v>38</v>
      </c>
    </row>
    <row r="7263" spans="34:39" x14ac:dyDescent="0.35">
      <c r="AH7263" s="21"/>
      <c r="AI7263" s="21"/>
      <c r="AJ7263" s="21"/>
      <c r="AK7263" s="21"/>
      <c r="AM7263" s="26" t="s">
        <v>38</v>
      </c>
    </row>
    <row r="7264" spans="34:39" x14ac:dyDescent="0.35">
      <c r="AH7264" s="21"/>
      <c r="AI7264" s="21"/>
      <c r="AJ7264" s="21"/>
      <c r="AK7264" s="21"/>
      <c r="AM7264" s="26" t="s">
        <v>38</v>
      </c>
    </row>
    <row r="7265" spans="34:39" x14ac:dyDescent="0.35">
      <c r="AH7265" s="21"/>
      <c r="AI7265" s="21"/>
      <c r="AJ7265" s="21"/>
      <c r="AK7265" s="21"/>
      <c r="AM7265" s="26" t="s">
        <v>38</v>
      </c>
    </row>
    <row r="7266" spans="34:39" x14ac:dyDescent="0.35">
      <c r="AH7266" s="21"/>
      <c r="AI7266" s="21"/>
      <c r="AJ7266" s="21"/>
      <c r="AK7266" s="21"/>
      <c r="AM7266" s="26" t="s">
        <v>38</v>
      </c>
    </row>
    <row r="7267" spans="34:39" x14ac:dyDescent="0.35">
      <c r="AH7267" s="21"/>
      <c r="AI7267" s="21"/>
      <c r="AJ7267" s="21"/>
      <c r="AK7267" s="21"/>
      <c r="AM7267" s="26" t="s">
        <v>38</v>
      </c>
    </row>
    <row r="7268" spans="34:39" x14ac:dyDescent="0.35">
      <c r="AH7268" s="21"/>
      <c r="AI7268" s="21"/>
      <c r="AJ7268" s="21"/>
      <c r="AK7268" s="21"/>
      <c r="AM7268" s="26" t="s">
        <v>38</v>
      </c>
    </row>
    <row r="7269" spans="34:39" x14ac:dyDescent="0.35">
      <c r="AH7269" s="21"/>
      <c r="AI7269" s="21"/>
      <c r="AJ7269" s="21"/>
      <c r="AK7269" s="21"/>
      <c r="AM7269" s="26" t="s">
        <v>38</v>
      </c>
    </row>
    <row r="7270" spans="34:39" x14ac:dyDescent="0.35">
      <c r="AH7270" s="21"/>
      <c r="AI7270" s="21"/>
      <c r="AJ7270" s="21"/>
      <c r="AK7270" s="21"/>
      <c r="AM7270" s="26" t="s">
        <v>38</v>
      </c>
    </row>
    <row r="7271" spans="34:39" x14ac:dyDescent="0.35">
      <c r="AH7271" s="21"/>
      <c r="AI7271" s="21"/>
      <c r="AJ7271" s="21"/>
      <c r="AK7271" s="21"/>
      <c r="AM7271" s="26" t="s">
        <v>38</v>
      </c>
    </row>
    <row r="7272" spans="34:39" x14ac:dyDescent="0.35">
      <c r="AH7272" s="21"/>
      <c r="AI7272" s="21"/>
      <c r="AJ7272" s="21"/>
      <c r="AK7272" s="21"/>
      <c r="AM7272" s="26" t="s">
        <v>38</v>
      </c>
    </row>
    <row r="7273" spans="34:39" x14ac:dyDescent="0.35">
      <c r="AH7273" s="21"/>
      <c r="AI7273" s="21"/>
      <c r="AJ7273" s="21"/>
      <c r="AK7273" s="21"/>
      <c r="AM7273" s="26" t="s">
        <v>38</v>
      </c>
    </row>
    <row r="7274" spans="34:39" x14ac:dyDescent="0.35">
      <c r="AH7274" s="21"/>
      <c r="AI7274" s="21"/>
      <c r="AJ7274" s="21"/>
      <c r="AK7274" s="21"/>
      <c r="AM7274" s="26" t="s">
        <v>38</v>
      </c>
    </row>
    <row r="7275" spans="34:39" x14ac:dyDescent="0.35">
      <c r="AH7275" s="21"/>
      <c r="AI7275" s="21"/>
      <c r="AJ7275" s="21"/>
      <c r="AK7275" s="21"/>
      <c r="AM7275" s="26" t="s">
        <v>38</v>
      </c>
    </row>
    <row r="7276" spans="34:39" x14ac:dyDescent="0.35">
      <c r="AH7276" s="21"/>
      <c r="AI7276" s="21"/>
      <c r="AJ7276" s="21"/>
      <c r="AK7276" s="21"/>
      <c r="AM7276" s="26" t="s">
        <v>38</v>
      </c>
    </row>
    <row r="7277" spans="34:39" x14ac:dyDescent="0.35">
      <c r="AH7277" s="21"/>
      <c r="AI7277" s="21"/>
      <c r="AJ7277" s="21"/>
      <c r="AK7277" s="21"/>
      <c r="AM7277" s="26" t="s">
        <v>38</v>
      </c>
    </row>
    <row r="7278" spans="34:39" x14ac:dyDescent="0.35">
      <c r="AH7278" s="21"/>
      <c r="AI7278" s="21"/>
      <c r="AJ7278" s="21"/>
      <c r="AK7278" s="21"/>
      <c r="AM7278" s="26" t="s">
        <v>38</v>
      </c>
    </row>
    <row r="7279" spans="34:39" x14ac:dyDescent="0.35">
      <c r="AH7279" s="21"/>
      <c r="AI7279" s="21"/>
      <c r="AJ7279" s="21"/>
      <c r="AK7279" s="21"/>
      <c r="AM7279" s="26" t="s">
        <v>38</v>
      </c>
    </row>
    <row r="7280" spans="34:39" x14ac:dyDescent="0.35">
      <c r="AH7280" s="21"/>
      <c r="AI7280" s="21"/>
      <c r="AJ7280" s="21"/>
      <c r="AK7280" s="21"/>
      <c r="AM7280" s="26" t="s">
        <v>38</v>
      </c>
    </row>
    <row r="7281" spans="34:39" x14ac:dyDescent="0.35">
      <c r="AH7281" s="21"/>
      <c r="AI7281" s="21"/>
      <c r="AJ7281" s="21"/>
      <c r="AK7281" s="21"/>
      <c r="AM7281" s="26" t="s">
        <v>38</v>
      </c>
    </row>
    <row r="7282" spans="34:39" x14ac:dyDescent="0.35">
      <c r="AH7282" s="21"/>
      <c r="AI7282" s="21"/>
      <c r="AJ7282" s="21"/>
      <c r="AK7282" s="21"/>
      <c r="AM7282" s="26" t="s">
        <v>38</v>
      </c>
    </row>
    <row r="7283" spans="34:39" x14ac:dyDescent="0.35">
      <c r="AH7283" s="21"/>
      <c r="AI7283" s="21"/>
      <c r="AJ7283" s="21"/>
      <c r="AK7283" s="21"/>
      <c r="AM7283" s="26" t="s">
        <v>38</v>
      </c>
    </row>
    <row r="7284" spans="34:39" x14ac:dyDescent="0.35">
      <c r="AH7284" s="21"/>
      <c r="AI7284" s="21"/>
      <c r="AJ7284" s="21"/>
      <c r="AK7284" s="21"/>
      <c r="AM7284" s="26" t="s">
        <v>38</v>
      </c>
    </row>
    <row r="7285" spans="34:39" x14ac:dyDescent="0.35">
      <c r="AH7285" s="21"/>
      <c r="AI7285" s="21"/>
      <c r="AJ7285" s="21"/>
      <c r="AK7285" s="21"/>
      <c r="AM7285" s="26" t="s">
        <v>38</v>
      </c>
    </row>
    <row r="7286" spans="34:39" x14ac:dyDescent="0.35">
      <c r="AH7286" s="21"/>
      <c r="AI7286" s="21"/>
      <c r="AJ7286" s="21"/>
      <c r="AK7286" s="21"/>
      <c r="AM7286" s="26" t="s">
        <v>38</v>
      </c>
    </row>
    <row r="7287" spans="34:39" x14ac:dyDescent="0.35">
      <c r="AH7287" s="21"/>
      <c r="AI7287" s="21"/>
      <c r="AJ7287" s="21"/>
      <c r="AK7287" s="21"/>
      <c r="AM7287" s="26" t="s">
        <v>38</v>
      </c>
    </row>
    <row r="7288" spans="34:39" x14ac:dyDescent="0.35">
      <c r="AH7288" s="21"/>
      <c r="AI7288" s="21"/>
      <c r="AJ7288" s="21"/>
      <c r="AK7288" s="21"/>
      <c r="AM7288" s="26" t="s">
        <v>38</v>
      </c>
    </row>
    <row r="7289" spans="34:39" x14ac:dyDescent="0.35">
      <c r="AH7289" s="21"/>
      <c r="AI7289" s="21"/>
      <c r="AJ7289" s="21"/>
      <c r="AK7289" s="21"/>
      <c r="AM7289" s="26" t="s">
        <v>38</v>
      </c>
    </row>
    <row r="7290" spans="34:39" x14ac:dyDescent="0.35">
      <c r="AH7290" s="21"/>
      <c r="AI7290" s="21"/>
      <c r="AJ7290" s="21"/>
      <c r="AK7290" s="21"/>
      <c r="AM7290" s="26" t="s">
        <v>38</v>
      </c>
    </row>
    <row r="7291" spans="34:39" x14ac:dyDescent="0.35">
      <c r="AH7291" s="21"/>
      <c r="AI7291" s="21"/>
      <c r="AJ7291" s="21"/>
      <c r="AK7291" s="21"/>
      <c r="AM7291" s="26" t="s">
        <v>38</v>
      </c>
    </row>
    <row r="7292" spans="34:39" x14ac:dyDescent="0.35">
      <c r="AH7292" s="21"/>
      <c r="AI7292" s="21"/>
      <c r="AJ7292" s="21"/>
      <c r="AK7292" s="21"/>
      <c r="AM7292" s="26" t="s">
        <v>38</v>
      </c>
    </row>
    <row r="7293" spans="34:39" x14ac:dyDescent="0.35">
      <c r="AH7293" s="21"/>
      <c r="AI7293" s="21"/>
      <c r="AJ7293" s="21"/>
      <c r="AK7293" s="21"/>
      <c r="AM7293" s="26" t="s">
        <v>38</v>
      </c>
    </row>
    <row r="7294" spans="34:39" x14ac:dyDescent="0.35">
      <c r="AH7294" s="21"/>
      <c r="AI7294" s="21"/>
      <c r="AJ7294" s="21"/>
      <c r="AK7294" s="21"/>
      <c r="AM7294" s="26" t="s">
        <v>38</v>
      </c>
    </row>
    <row r="7295" spans="34:39" x14ac:dyDescent="0.35">
      <c r="AH7295" s="21"/>
      <c r="AI7295" s="21"/>
      <c r="AJ7295" s="21"/>
      <c r="AK7295" s="21"/>
      <c r="AM7295" s="26" t="s">
        <v>38</v>
      </c>
    </row>
    <row r="7296" spans="34:39" x14ac:dyDescent="0.35">
      <c r="AH7296" s="21"/>
      <c r="AI7296" s="21"/>
      <c r="AJ7296" s="21"/>
      <c r="AK7296" s="21"/>
      <c r="AM7296" s="26" t="s">
        <v>38</v>
      </c>
    </row>
    <row r="7297" spans="34:39" x14ac:dyDescent="0.35">
      <c r="AH7297" s="21"/>
      <c r="AI7297" s="21"/>
      <c r="AJ7297" s="21"/>
      <c r="AK7297" s="21"/>
      <c r="AM7297" s="26" t="s">
        <v>38</v>
      </c>
    </row>
    <row r="7298" spans="34:39" x14ac:dyDescent="0.35">
      <c r="AH7298" s="21"/>
      <c r="AI7298" s="21"/>
      <c r="AJ7298" s="21"/>
      <c r="AK7298" s="21"/>
      <c r="AM7298" s="26" t="s">
        <v>38</v>
      </c>
    </row>
    <row r="7299" spans="34:39" x14ac:dyDescent="0.35">
      <c r="AH7299" s="21"/>
      <c r="AI7299" s="21"/>
      <c r="AJ7299" s="21"/>
      <c r="AK7299" s="21"/>
      <c r="AM7299" s="26" t="s">
        <v>38</v>
      </c>
    </row>
    <row r="7300" spans="34:39" x14ac:dyDescent="0.35">
      <c r="AH7300" s="21"/>
      <c r="AI7300" s="21"/>
      <c r="AJ7300" s="21"/>
      <c r="AK7300" s="21"/>
      <c r="AM7300" s="26" t="s">
        <v>38</v>
      </c>
    </row>
    <row r="7301" spans="34:39" x14ac:dyDescent="0.35">
      <c r="AH7301" s="21"/>
      <c r="AI7301" s="21"/>
      <c r="AJ7301" s="21"/>
      <c r="AK7301" s="21"/>
      <c r="AM7301" s="26" t="s">
        <v>38</v>
      </c>
    </row>
    <row r="7302" spans="34:39" x14ac:dyDescent="0.35">
      <c r="AH7302" s="21"/>
      <c r="AI7302" s="21"/>
      <c r="AJ7302" s="21"/>
      <c r="AK7302" s="21"/>
      <c r="AM7302" s="26" t="s">
        <v>38</v>
      </c>
    </row>
    <row r="7303" spans="34:39" x14ac:dyDescent="0.35">
      <c r="AH7303" s="21"/>
      <c r="AI7303" s="21"/>
      <c r="AJ7303" s="21"/>
      <c r="AK7303" s="21"/>
      <c r="AM7303" s="26" t="s">
        <v>38</v>
      </c>
    </row>
    <row r="7304" spans="34:39" x14ac:dyDescent="0.35">
      <c r="AH7304" s="21"/>
      <c r="AI7304" s="21"/>
      <c r="AJ7304" s="21"/>
      <c r="AK7304" s="21"/>
      <c r="AM7304" s="26" t="s">
        <v>38</v>
      </c>
    </row>
    <row r="7305" spans="34:39" x14ac:dyDescent="0.35">
      <c r="AH7305" s="21"/>
      <c r="AI7305" s="21"/>
      <c r="AJ7305" s="21"/>
      <c r="AK7305" s="21"/>
      <c r="AM7305" s="26" t="s">
        <v>38</v>
      </c>
    </row>
    <row r="7306" spans="34:39" x14ac:dyDescent="0.35">
      <c r="AH7306" s="21"/>
      <c r="AI7306" s="21"/>
      <c r="AJ7306" s="21"/>
      <c r="AK7306" s="21"/>
      <c r="AM7306" s="26" t="s">
        <v>38</v>
      </c>
    </row>
    <row r="7307" spans="34:39" x14ac:dyDescent="0.35">
      <c r="AH7307" s="21"/>
      <c r="AI7307" s="21"/>
      <c r="AJ7307" s="21"/>
      <c r="AK7307" s="21"/>
      <c r="AM7307" s="26" t="s">
        <v>38</v>
      </c>
    </row>
    <row r="7308" spans="34:39" x14ac:dyDescent="0.35">
      <c r="AH7308" s="21"/>
      <c r="AI7308" s="21"/>
      <c r="AJ7308" s="21"/>
      <c r="AK7308" s="21"/>
      <c r="AM7308" s="26" t="s">
        <v>38</v>
      </c>
    </row>
    <row r="7309" spans="34:39" x14ac:dyDescent="0.35">
      <c r="AH7309" s="21"/>
      <c r="AI7309" s="21"/>
      <c r="AJ7309" s="21"/>
      <c r="AK7309" s="21"/>
      <c r="AM7309" s="26" t="s">
        <v>38</v>
      </c>
    </row>
    <row r="7310" spans="34:39" x14ac:dyDescent="0.35">
      <c r="AH7310" s="21"/>
      <c r="AI7310" s="21"/>
      <c r="AJ7310" s="21"/>
      <c r="AK7310" s="21"/>
      <c r="AM7310" s="26" t="s">
        <v>38</v>
      </c>
    </row>
    <row r="7311" spans="34:39" x14ac:dyDescent="0.35">
      <c r="AH7311" s="21"/>
      <c r="AI7311" s="21"/>
      <c r="AJ7311" s="21"/>
      <c r="AK7311" s="21"/>
      <c r="AM7311" s="26" t="s">
        <v>38</v>
      </c>
    </row>
    <row r="7312" spans="34:39" x14ac:dyDescent="0.35">
      <c r="AH7312" s="21"/>
      <c r="AI7312" s="21"/>
      <c r="AJ7312" s="21"/>
      <c r="AK7312" s="21"/>
      <c r="AM7312" s="26" t="s">
        <v>38</v>
      </c>
    </row>
    <row r="7313" spans="34:39" x14ac:dyDescent="0.35">
      <c r="AH7313" s="21"/>
      <c r="AI7313" s="21"/>
      <c r="AJ7313" s="21"/>
      <c r="AK7313" s="21"/>
      <c r="AM7313" s="26" t="s">
        <v>38</v>
      </c>
    </row>
    <row r="7314" spans="34:39" x14ac:dyDescent="0.35">
      <c r="AH7314" s="21"/>
      <c r="AI7314" s="21"/>
      <c r="AJ7314" s="21"/>
      <c r="AK7314" s="21"/>
      <c r="AM7314" s="26" t="s">
        <v>38</v>
      </c>
    </row>
    <row r="7315" spans="34:39" x14ac:dyDescent="0.35">
      <c r="AH7315" s="21"/>
      <c r="AI7315" s="21"/>
      <c r="AJ7315" s="21"/>
      <c r="AK7315" s="21"/>
      <c r="AM7315" s="26" t="s">
        <v>38</v>
      </c>
    </row>
    <row r="7316" spans="34:39" x14ac:dyDescent="0.35">
      <c r="AH7316" s="21"/>
      <c r="AI7316" s="21"/>
      <c r="AJ7316" s="21"/>
      <c r="AK7316" s="21"/>
      <c r="AM7316" s="26" t="s">
        <v>38</v>
      </c>
    </row>
    <row r="7317" spans="34:39" x14ac:dyDescent="0.35">
      <c r="AH7317" s="21"/>
      <c r="AI7317" s="21"/>
      <c r="AJ7317" s="21"/>
      <c r="AK7317" s="21"/>
      <c r="AM7317" s="26" t="s">
        <v>38</v>
      </c>
    </row>
    <row r="7318" spans="34:39" x14ac:dyDescent="0.35">
      <c r="AH7318" s="21"/>
      <c r="AI7318" s="21"/>
      <c r="AJ7318" s="21"/>
      <c r="AK7318" s="21"/>
      <c r="AM7318" s="26" t="s">
        <v>38</v>
      </c>
    </row>
    <row r="7319" spans="34:39" x14ac:dyDescent="0.35">
      <c r="AH7319" s="21"/>
      <c r="AI7319" s="21"/>
      <c r="AJ7319" s="21"/>
      <c r="AK7319" s="21"/>
      <c r="AM7319" s="26" t="s">
        <v>38</v>
      </c>
    </row>
    <row r="7320" spans="34:39" x14ac:dyDescent="0.35">
      <c r="AH7320" s="21"/>
      <c r="AI7320" s="21"/>
      <c r="AJ7320" s="21"/>
      <c r="AK7320" s="21"/>
      <c r="AM7320" s="26" t="s">
        <v>38</v>
      </c>
    </row>
    <row r="7321" spans="34:39" x14ac:dyDescent="0.35">
      <c r="AH7321" s="21"/>
      <c r="AI7321" s="21"/>
      <c r="AJ7321" s="21"/>
      <c r="AK7321" s="21"/>
      <c r="AM7321" s="26" t="s">
        <v>38</v>
      </c>
    </row>
    <row r="7322" spans="34:39" x14ac:dyDescent="0.35">
      <c r="AH7322" s="21"/>
      <c r="AI7322" s="21"/>
      <c r="AJ7322" s="21"/>
      <c r="AK7322" s="21"/>
      <c r="AM7322" s="26" t="s">
        <v>38</v>
      </c>
    </row>
    <row r="7323" spans="34:39" x14ac:dyDescent="0.35">
      <c r="AH7323" s="21"/>
      <c r="AI7323" s="21"/>
      <c r="AJ7323" s="21"/>
      <c r="AK7323" s="21"/>
      <c r="AM7323" s="26" t="s">
        <v>38</v>
      </c>
    </row>
    <row r="7324" spans="34:39" x14ac:dyDescent="0.35">
      <c r="AH7324" s="21"/>
      <c r="AI7324" s="21"/>
      <c r="AJ7324" s="21"/>
      <c r="AK7324" s="21"/>
      <c r="AM7324" s="26" t="s">
        <v>38</v>
      </c>
    </row>
    <row r="7325" spans="34:39" x14ac:dyDescent="0.35">
      <c r="AH7325" s="21"/>
      <c r="AI7325" s="21"/>
      <c r="AJ7325" s="21"/>
      <c r="AK7325" s="21"/>
      <c r="AM7325" s="26" t="s">
        <v>38</v>
      </c>
    </row>
    <row r="7326" spans="34:39" x14ac:dyDescent="0.35">
      <c r="AH7326" s="21"/>
      <c r="AI7326" s="21"/>
      <c r="AJ7326" s="21"/>
      <c r="AK7326" s="21"/>
      <c r="AM7326" s="26" t="s">
        <v>38</v>
      </c>
    </row>
    <row r="7327" spans="34:39" x14ac:dyDescent="0.35">
      <c r="AH7327" s="21"/>
      <c r="AI7327" s="21"/>
      <c r="AJ7327" s="21"/>
      <c r="AK7327" s="21"/>
      <c r="AM7327" s="26" t="s">
        <v>38</v>
      </c>
    </row>
    <row r="7328" spans="34:39" x14ac:dyDescent="0.35">
      <c r="AH7328" s="21"/>
      <c r="AI7328" s="21"/>
      <c r="AJ7328" s="21"/>
      <c r="AK7328" s="21"/>
      <c r="AM7328" s="26" t="s">
        <v>38</v>
      </c>
    </row>
    <row r="7329" spans="34:39" x14ac:dyDescent="0.35">
      <c r="AH7329" s="21"/>
      <c r="AI7329" s="21"/>
      <c r="AJ7329" s="21"/>
      <c r="AK7329" s="21"/>
      <c r="AM7329" s="26" t="s">
        <v>38</v>
      </c>
    </row>
    <row r="7330" spans="34:39" x14ac:dyDescent="0.35">
      <c r="AH7330" s="21"/>
      <c r="AI7330" s="21"/>
      <c r="AJ7330" s="21"/>
      <c r="AK7330" s="21"/>
      <c r="AM7330" s="26" t="s">
        <v>38</v>
      </c>
    </row>
    <row r="7331" spans="34:39" x14ac:dyDescent="0.35">
      <c r="AH7331" s="21"/>
      <c r="AI7331" s="21"/>
      <c r="AJ7331" s="21"/>
      <c r="AK7331" s="21"/>
      <c r="AM7331" s="26" t="s">
        <v>38</v>
      </c>
    </row>
    <row r="7332" spans="34:39" x14ac:dyDescent="0.35">
      <c r="AH7332" s="21"/>
      <c r="AI7332" s="21"/>
      <c r="AJ7332" s="21"/>
      <c r="AK7332" s="21"/>
      <c r="AM7332" s="26" t="s">
        <v>38</v>
      </c>
    </row>
    <row r="7333" spans="34:39" x14ac:dyDescent="0.35">
      <c r="AH7333" s="21"/>
      <c r="AI7333" s="21"/>
      <c r="AJ7333" s="21"/>
      <c r="AK7333" s="21"/>
      <c r="AM7333" s="26" t="s">
        <v>38</v>
      </c>
    </row>
    <row r="7334" spans="34:39" x14ac:dyDescent="0.35">
      <c r="AH7334" s="21"/>
      <c r="AI7334" s="21"/>
      <c r="AJ7334" s="21"/>
      <c r="AK7334" s="21"/>
      <c r="AM7334" s="26" t="s">
        <v>38</v>
      </c>
    </row>
    <row r="7335" spans="34:39" x14ac:dyDescent="0.35">
      <c r="AH7335" s="21"/>
      <c r="AI7335" s="21"/>
      <c r="AJ7335" s="21"/>
      <c r="AK7335" s="21"/>
      <c r="AM7335" s="26" t="s">
        <v>38</v>
      </c>
    </row>
    <row r="7336" spans="34:39" x14ac:dyDescent="0.35">
      <c r="AH7336" s="21"/>
      <c r="AI7336" s="21"/>
      <c r="AJ7336" s="21"/>
      <c r="AK7336" s="21"/>
      <c r="AM7336" s="26" t="s">
        <v>38</v>
      </c>
    </row>
    <row r="7337" spans="34:39" x14ac:dyDescent="0.35">
      <c r="AH7337" s="21"/>
      <c r="AI7337" s="21"/>
      <c r="AJ7337" s="21"/>
      <c r="AK7337" s="21"/>
      <c r="AM7337" s="26" t="s">
        <v>38</v>
      </c>
    </row>
    <row r="7338" spans="34:39" x14ac:dyDescent="0.35">
      <c r="AH7338" s="21"/>
      <c r="AI7338" s="21"/>
      <c r="AJ7338" s="21"/>
      <c r="AK7338" s="21"/>
      <c r="AM7338" s="26" t="s">
        <v>38</v>
      </c>
    </row>
    <row r="7339" spans="34:39" x14ac:dyDescent="0.35">
      <c r="AH7339" s="21"/>
      <c r="AI7339" s="21"/>
      <c r="AJ7339" s="21"/>
      <c r="AK7339" s="21"/>
      <c r="AM7339" s="26" t="s">
        <v>38</v>
      </c>
    </row>
    <row r="7340" spans="34:39" x14ac:dyDescent="0.35">
      <c r="AH7340" s="21"/>
      <c r="AI7340" s="21"/>
      <c r="AJ7340" s="21"/>
      <c r="AK7340" s="21"/>
      <c r="AM7340" s="26" t="s">
        <v>38</v>
      </c>
    </row>
    <row r="7341" spans="34:39" x14ac:dyDescent="0.35">
      <c r="AH7341" s="21"/>
      <c r="AI7341" s="21"/>
      <c r="AJ7341" s="21"/>
      <c r="AK7341" s="21"/>
      <c r="AM7341" s="26" t="s">
        <v>38</v>
      </c>
    </row>
    <row r="7342" spans="34:39" x14ac:dyDescent="0.35">
      <c r="AH7342" s="21"/>
      <c r="AI7342" s="21"/>
      <c r="AJ7342" s="21"/>
      <c r="AK7342" s="21"/>
      <c r="AM7342" s="26" t="s">
        <v>38</v>
      </c>
    </row>
    <row r="7343" spans="34:39" x14ac:dyDescent="0.35">
      <c r="AH7343" s="21"/>
      <c r="AI7343" s="21"/>
      <c r="AJ7343" s="21"/>
      <c r="AK7343" s="21"/>
      <c r="AM7343" s="26" t="s">
        <v>38</v>
      </c>
    </row>
    <row r="7344" spans="34:39" x14ac:dyDescent="0.35">
      <c r="AH7344" s="21"/>
      <c r="AI7344" s="21"/>
      <c r="AJ7344" s="21"/>
      <c r="AK7344" s="21"/>
      <c r="AM7344" s="26" t="s">
        <v>38</v>
      </c>
    </row>
    <row r="7345" spans="34:39" x14ac:dyDescent="0.35">
      <c r="AH7345" s="21"/>
      <c r="AI7345" s="21"/>
      <c r="AJ7345" s="21"/>
      <c r="AK7345" s="21"/>
      <c r="AM7345" s="26" t="s">
        <v>38</v>
      </c>
    </row>
    <row r="7346" spans="34:39" x14ac:dyDescent="0.35">
      <c r="AH7346" s="21"/>
      <c r="AI7346" s="21"/>
      <c r="AJ7346" s="21"/>
      <c r="AK7346" s="21"/>
      <c r="AM7346" s="26" t="s">
        <v>38</v>
      </c>
    </row>
    <row r="7347" spans="34:39" x14ac:dyDescent="0.35">
      <c r="AH7347" s="21"/>
      <c r="AI7347" s="21"/>
      <c r="AJ7347" s="21"/>
      <c r="AK7347" s="21"/>
      <c r="AM7347" s="26" t="s">
        <v>38</v>
      </c>
    </row>
    <row r="7348" spans="34:39" x14ac:dyDescent="0.35">
      <c r="AH7348" s="21"/>
      <c r="AI7348" s="21"/>
      <c r="AJ7348" s="21"/>
      <c r="AK7348" s="21"/>
      <c r="AM7348" s="26" t="s">
        <v>38</v>
      </c>
    </row>
    <row r="7349" spans="34:39" x14ac:dyDescent="0.35">
      <c r="AH7349" s="21"/>
      <c r="AI7349" s="21"/>
      <c r="AJ7349" s="21"/>
      <c r="AK7349" s="21"/>
      <c r="AM7349" s="26" t="s">
        <v>38</v>
      </c>
    </row>
    <row r="7350" spans="34:39" x14ac:dyDescent="0.35">
      <c r="AH7350" s="21"/>
      <c r="AI7350" s="21"/>
      <c r="AJ7350" s="21"/>
      <c r="AK7350" s="21"/>
      <c r="AM7350" s="26" t="s">
        <v>38</v>
      </c>
    </row>
    <row r="7351" spans="34:39" x14ac:dyDescent="0.35">
      <c r="AH7351" s="21"/>
      <c r="AI7351" s="21"/>
      <c r="AJ7351" s="21"/>
      <c r="AK7351" s="21"/>
      <c r="AM7351" s="26" t="s">
        <v>38</v>
      </c>
    </row>
    <row r="7352" spans="34:39" x14ac:dyDescent="0.35">
      <c r="AH7352" s="21"/>
      <c r="AI7352" s="21"/>
      <c r="AJ7352" s="21"/>
      <c r="AK7352" s="21"/>
      <c r="AM7352" s="26" t="s">
        <v>38</v>
      </c>
    </row>
    <row r="7353" spans="34:39" x14ac:dyDescent="0.35">
      <c r="AH7353" s="21"/>
      <c r="AI7353" s="21"/>
      <c r="AJ7353" s="21"/>
      <c r="AK7353" s="21"/>
      <c r="AM7353" s="26" t="s">
        <v>38</v>
      </c>
    </row>
    <row r="7354" spans="34:39" x14ac:dyDescent="0.35">
      <c r="AH7354" s="21"/>
      <c r="AI7354" s="21"/>
      <c r="AJ7354" s="21"/>
      <c r="AK7354" s="21"/>
      <c r="AM7354" s="26" t="s">
        <v>38</v>
      </c>
    </row>
    <row r="7355" spans="34:39" x14ac:dyDescent="0.35">
      <c r="AH7355" s="21"/>
      <c r="AI7355" s="21"/>
      <c r="AJ7355" s="21"/>
      <c r="AK7355" s="21"/>
      <c r="AM7355" s="26" t="s">
        <v>38</v>
      </c>
    </row>
    <row r="7356" spans="34:39" x14ac:dyDescent="0.35">
      <c r="AH7356" s="21"/>
      <c r="AI7356" s="21"/>
      <c r="AJ7356" s="21"/>
      <c r="AK7356" s="21"/>
      <c r="AM7356" s="26" t="s">
        <v>38</v>
      </c>
    </row>
    <row r="7357" spans="34:39" x14ac:dyDescent="0.35">
      <c r="AH7357" s="21"/>
      <c r="AI7357" s="21"/>
      <c r="AJ7357" s="21"/>
      <c r="AK7357" s="21"/>
      <c r="AM7357" s="26" t="s">
        <v>38</v>
      </c>
    </row>
    <row r="7358" spans="34:39" x14ac:dyDescent="0.35">
      <c r="AH7358" s="21"/>
      <c r="AI7358" s="21"/>
      <c r="AJ7358" s="21"/>
      <c r="AK7358" s="21"/>
      <c r="AM7358" s="26" t="s">
        <v>38</v>
      </c>
    </row>
    <row r="7359" spans="34:39" x14ac:dyDescent="0.35">
      <c r="AH7359" s="21"/>
      <c r="AI7359" s="21"/>
      <c r="AJ7359" s="21"/>
      <c r="AK7359" s="21"/>
      <c r="AM7359" s="26" t="s">
        <v>38</v>
      </c>
    </row>
    <row r="7360" spans="34:39" x14ac:dyDescent="0.35">
      <c r="AH7360" s="21"/>
      <c r="AI7360" s="21"/>
      <c r="AJ7360" s="21"/>
      <c r="AK7360" s="21"/>
      <c r="AM7360" s="26" t="s">
        <v>38</v>
      </c>
    </row>
    <row r="7361" spans="34:39" x14ac:dyDescent="0.35">
      <c r="AH7361" s="21"/>
      <c r="AI7361" s="21"/>
      <c r="AJ7361" s="21"/>
      <c r="AK7361" s="21"/>
      <c r="AM7361" s="26" t="s">
        <v>38</v>
      </c>
    </row>
    <row r="7362" spans="34:39" x14ac:dyDescent="0.35">
      <c r="AH7362" s="21"/>
      <c r="AI7362" s="21"/>
      <c r="AJ7362" s="21"/>
      <c r="AK7362" s="21"/>
      <c r="AM7362" s="26" t="s">
        <v>38</v>
      </c>
    </row>
    <row r="7363" spans="34:39" x14ac:dyDescent="0.35">
      <c r="AH7363" s="21"/>
      <c r="AI7363" s="21"/>
      <c r="AJ7363" s="21"/>
      <c r="AK7363" s="21"/>
      <c r="AM7363" s="26" t="s">
        <v>38</v>
      </c>
    </row>
    <row r="7364" spans="34:39" x14ac:dyDescent="0.35">
      <c r="AH7364" s="21"/>
      <c r="AI7364" s="21"/>
      <c r="AJ7364" s="21"/>
      <c r="AK7364" s="21"/>
      <c r="AM7364" s="26" t="s">
        <v>38</v>
      </c>
    </row>
    <row r="7365" spans="34:39" x14ac:dyDescent="0.35">
      <c r="AH7365" s="21"/>
      <c r="AI7365" s="21"/>
      <c r="AJ7365" s="21"/>
      <c r="AK7365" s="21"/>
      <c r="AM7365" s="26" t="s">
        <v>38</v>
      </c>
    </row>
    <row r="7366" spans="34:39" x14ac:dyDescent="0.35">
      <c r="AH7366" s="21"/>
      <c r="AI7366" s="21"/>
      <c r="AJ7366" s="21"/>
      <c r="AK7366" s="21"/>
      <c r="AM7366" s="26" t="s">
        <v>38</v>
      </c>
    </row>
    <row r="7367" spans="34:39" x14ac:dyDescent="0.35">
      <c r="AH7367" s="21"/>
      <c r="AI7367" s="21"/>
      <c r="AJ7367" s="21"/>
      <c r="AK7367" s="21"/>
      <c r="AM7367" s="26" t="s">
        <v>38</v>
      </c>
    </row>
    <row r="7368" spans="34:39" x14ac:dyDescent="0.35">
      <c r="AH7368" s="21"/>
      <c r="AI7368" s="21"/>
      <c r="AJ7368" s="21"/>
      <c r="AK7368" s="21"/>
      <c r="AM7368" s="26" t="s">
        <v>38</v>
      </c>
    </row>
    <row r="7369" spans="34:39" x14ac:dyDescent="0.35">
      <c r="AH7369" s="21"/>
      <c r="AI7369" s="21"/>
      <c r="AJ7369" s="21"/>
      <c r="AK7369" s="21"/>
      <c r="AM7369" s="26" t="s">
        <v>38</v>
      </c>
    </row>
    <row r="7370" spans="34:39" x14ac:dyDescent="0.35">
      <c r="AH7370" s="21"/>
      <c r="AI7370" s="21"/>
      <c r="AJ7370" s="21"/>
      <c r="AK7370" s="21"/>
      <c r="AM7370" s="26" t="s">
        <v>38</v>
      </c>
    </row>
    <row r="7371" spans="34:39" x14ac:dyDescent="0.35">
      <c r="AH7371" s="21"/>
      <c r="AI7371" s="21"/>
      <c r="AJ7371" s="21"/>
      <c r="AK7371" s="21"/>
      <c r="AM7371" s="26" t="s">
        <v>38</v>
      </c>
    </row>
    <row r="7372" spans="34:39" x14ac:dyDescent="0.35">
      <c r="AH7372" s="21"/>
      <c r="AI7372" s="21"/>
      <c r="AJ7372" s="21"/>
      <c r="AK7372" s="21"/>
      <c r="AM7372" s="26" t="s">
        <v>38</v>
      </c>
    </row>
    <row r="7373" spans="34:39" x14ac:dyDescent="0.35">
      <c r="AH7373" s="21"/>
      <c r="AI7373" s="21"/>
      <c r="AJ7373" s="21"/>
      <c r="AK7373" s="21"/>
      <c r="AM7373" s="26" t="s">
        <v>38</v>
      </c>
    </row>
    <row r="7374" spans="34:39" x14ac:dyDescent="0.35">
      <c r="AH7374" s="21"/>
      <c r="AI7374" s="21"/>
      <c r="AJ7374" s="21"/>
      <c r="AK7374" s="21"/>
      <c r="AM7374" s="26" t="s">
        <v>38</v>
      </c>
    </row>
    <row r="7375" spans="34:39" x14ac:dyDescent="0.35">
      <c r="AH7375" s="21"/>
      <c r="AI7375" s="21"/>
      <c r="AJ7375" s="21"/>
      <c r="AK7375" s="21"/>
      <c r="AM7375" s="26" t="s">
        <v>38</v>
      </c>
    </row>
    <row r="7376" spans="34:39" x14ac:dyDescent="0.35">
      <c r="AH7376" s="21"/>
      <c r="AI7376" s="21"/>
      <c r="AJ7376" s="21"/>
      <c r="AK7376" s="21"/>
      <c r="AM7376" s="26" t="s">
        <v>38</v>
      </c>
    </row>
    <row r="7377" spans="34:39" x14ac:dyDescent="0.35">
      <c r="AH7377" s="21"/>
      <c r="AI7377" s="21"/>
      <c r="AJ7377" s="21"/>
      <c r="AK7377" s="21"/>
      <c r="AM7377" s="26" t="s">
        <v>38</v>
      </c>
    </row>
    <row r="7378" spans="34:39" x14ac:dyDescent="0.35">
      <c r="AH7378" s="21"/>
      <c r="AI7378" s="21"/>
      <c r="AJ7378" s="21"/>
      <c r="AK7378" s="21"/>
      <c r="AM7378" s="26" t="s">
        <v>38</v>
      </c>
    </row>
    <row r="7379" spans="34:39" x14ac:dyDescent="0.35">
      <c r="AH7379" s="21"/>
      <c r="AI7379" s="21"/>
      <c r="AJ7379" s="21"/>
      <c r="AK7379" s="21"/>
      <c r="AM7379" s="26" t="s">
        <v>38</v>
      </c>
    </row>
    <row r="7380" spans="34:39" x14ac:dyDescent="0.35">
      <c r="AH7380" s="21"/>
      <c r="AI7380" s="21"/>
      <c r="AJ7380" s="21"/>
      <c r="AK7380" s="21"/>
      <c r="AM7380" s="26" t="s">
        <v>38</v>
      </c>
    </row>
    <row r="7381" spans="34:39" x14ac:dyDescent="0.35">
      <c r="AH7381" s="21"/>
      <c r="AI7381" s="21"/>
      <c r="AJ7381" s="21"/>
      <c r="AK7381" s="21"/>
      <c r="AM7381" s="26" t="s">
        <v>38</v>
      </c>
    </row>
    <row r="7382" spans="34:39" x14ac:dyDescent="0.35">
      <c r="AH7382" s="21"/>
      <c r="AI7382" s="21"/>
      <c r="AJ7382" s="21"/>
      <c r="AK7382" s="21"/>
      <c r="AM7382" s="26" t="s">
        <v>38</v>
      </c>
    </row>
    <row r="7383" spans="34:39" x14ac:dyDescent="0.35">
      <c r="AH7383" s="21"/>
      <c r="AI7383" s="21"/>
      <c r="AJ7383" s="21"/>
      <c r="AK7383" s="21"/>
      <c r="AM7383" s="26" t="s">
        <v>38</v>
      </c>
    </row>
    <row r="7384" spans="34:39" x14ac:dyDescent="0.35">
      <c r="AH7384" s="21"/>
      <c r="AI7384" s="21"/>
      <c r="AJ7384" s="21"/>
      <c r="AK7384" s="21"/>
      <c r="AM7384" s="26" t="s">
        <v>38</v>
      </c>
    </row>
    <row r="7385" spans="34:39" x14ac:dyDescent="0.35">
      <c r="AH7385" s="21"/>
      <c r="AI7385" s="21"/>
      <c r="AJ7385" s="21"/>
      <c r="AK7385" s="21"/>
      <c r="AM7385" s="26" t="s">
        <v>38</v>
      </c>
    </row>
    <row r="7386" spans="34:39" x14ac:dyDescent="0.35">
      <c r="AH7386" s="21"/>
      <c r="AI7386" s="21"/>
      <c r="AJ7386" s="21"/>
      <c r="AK7386" s="21"/>
      <c r="AM7386" s="26" t="s">
        <v>38</v>
      </c>
    </row>
    <row r="7387" spans="34:39" x14ac:dyDescent="0.35">
      <c r="AH7387" s="21"/>
      <c r="AI7387" s="21"/>
      <c r="AJ7387" s="21"/>
      <c r="AK7387" s="21"/>
      <c r="AM7387" s="26" t="s">
        <v>38</v>
      </c>
    </row>
    <row r="7388" spans="34:39" x14ac:dyDescent="0.35">
      <c r="AH7388" s="21"/>
      <c r="AI7388" s="21"/>
      <c r="AJ7388" s="21"/>
      <c r="AK7388" s="21"/>
      <c r="AM7388" s="26" t="s">
        <v>38</v>
      </c>
    </row>
    <row r="7389" spans="34:39" x14ac:dyDescent="0.35">
      <c r="AH7389" s="21"/>
      <c r="AI7389" s="21"/>
      <c r="AJ7389" s="21"/>
      <c r="AK7389" s="21"/>
      <c r="AM7389" s="26" t="s">
        <v>38</v>
      </c>
    </row>
    <row r="7390" spans="34:39" x14ac:dyDescent="0.35">
      <c r="AH7390" s="21"/>
      <c r="AI7390" s="21"/>
      <c r="AJ7390" s="21"/>
      <c r="AK7390" s="21"/>
      <c r="AM7390" s="26" t="s">
        <v>38</v>
      </c>
    </row>
    <row r="7391" spans="34:39" x14ac:dyDescent="0.35">
      <c r="AH7391" s="21"/>
      <c r="AI7391" s="21"/>
      <c r="AJ7391" s="21"/>
      <c r="AK7391" s="21"/>
      <c r="AM7391" s="26" t="s">
        <v>38</v>
      </c>
    </row>
    <row r="7392" spans="34:39" x14ac:dyDescent="0.35">
      <c r="AH7392" s="21"/>
      <c r="AI7392" s="21"/>
      <c r="AJ7392" s="21"/>
      <c r="AK7392" s="21"/>
      <c r="AM7392" s="26" t="s">
        <v>38</v>
      </c>
    </row>
    <row r="7393" spans="34:39" x14ac:dyDescent="0.35">
      <c r="AH7393" s="21"/>
      <c r="AI7393" s="21"/>
      <c r="AJ7393" s="21"/>
      <c r="AK7393" s="21"/>
      <c r="AM7393" s="26" t="s">
        <v>38</v>
      </c>
    </row>
    <row r="7394" spans="34:39" x14ac:dyDescent="0.35">
      <c r="AH7394" s="21"/>
      <c r="AI7394" s="21"/>
      <c r="AJ7394" s="21"/>
      <c r="AK7394" s="21"/>
      <c r="AM7394" s="26" t="s">
        <v>38</v>
      </c>
    </row>
    <row r="7395" spans="34:39" x14ac:dyDescent="0.35">
      <c r="AH7395" s="21"/>
      <c r="AI7395" s="21"/>
      <c r="AJ7395" s="21"/>
      <c r="AK7395" s="21"/>
      <c r="AM7395" s="26" t="s">
        <v>38</v>
      </c>
    </row>
    <row r="7396" spans="34:39" x14ac:dyDescent="0.35">
      <c r="AH7396" s="21"/>
      <c r="AI7396" s="21"/>
      <c r="AJ7396" s="21"/>
      <c r="AK7396" s="21"/>
      <c r="AM7396" s="26" t="s">
        <v>38</v>
      </c>
    </row>
    <row r="7397" spans="34:39" x14ac:dyDescent="0.35">
      <c r="AH7397" s="21"/>
      <c r="AI7397" s="21"/>
      <c r="AJ7397" s="21"/>
      <c r="AK7397" s="21"/>
      <c r="AM7397" s="26" t="s">
        <v>38</v>
      </c>
    </row>
    <row r="7398" spans="34:39" x14ac:dyDescent="0.35">
      <c r="AH7398" s="21"/>
      <c r="AI7398" s="21"/>
      <c r="AJ7398" s="21"/>
      <c r="AK7398" s="21"/>
      <c r="AM7398" s="26" t="s">
        <v>38</v>
      </c>
    </row>
    <row r="7399" spans="34:39" x14ac:dyDescent="0.35">
      <c r="AH7399" s="21"/>
      <c r="AI7399" s="21"/>
      <c r="AJ7399" s="21"/>
      <c r="AK7399" s="21"/>
      <c r="AM7399" s="26" t="s">
        <v>38</v>
      </c>
    </row>
    <row r="7400" spans="34:39" x14ac:dyDescent="0.35">
      <c r="AH7400" s="21"/>
      <c r="AI7400" s="21"/>
      <c r="AJ7400" s="21"/>
      <c r="AK7400" s="21"/>
      <c r="AM7400" s="26" t="s">
        <v>38</v>
      </c>
    </row>
    <row r="7401" spans="34:39" x14ac:dyDescent="0.35">
      <c r="AH7401" s="21"/>
      <c r="AI7401" s="21"/>
      <c r="AJ7401" s="21"/>
      <c r="AK7401" s="21"/>
      <c r="AM7401" s="26" t="s">
        <v>38</v>
      </c>
    </row>
    <row r="7402" spans="34:39" x14ac:dyDescent="0.35">
      <c r="AH7402" s="21"/>
      <c r="AI7402" s="21"/>
      <c r="AJ7402" s="21"/>
      <c r="AK7402" s="21"/>
      <c r="AM7402" s="26" t="s">
        <v>38</v>
      </c>
    </row>
    <row r="7403" spans="34:39" x14ac:dyDescent="0.35">
      <c r="AH7403" s="21"/>
      <c r="AI7403" s="21"/>
      <c r="AJ7403" s="21"/>
      <c r="AK7403" s="21"/>
      <c r="AM7403" s="26" t="s">
        <v>38</v>
      </c>
    </row>
    <row r="7404" spans="34:39" x14ac:dyDescent="0.35">
      <c r="AH7404" s="21"/>
      <c r="AI7404" s="21"/>
      <c r="AJ7404" s="21"/>
      <c r="AK7404" s="21"/>
      <c r="AM7404" s="26" t="s">
        <v>38</v>
      </c>
    </row>
    <row r="7405" spans="34:39" x14ac:dyDescent="0.35">
      <c r="AH7405" s="21"/>
      <c r="AI7405" s="21"/>
      <c r="AJ7405" s="21"/>
      <c r="AK7405" s="21"/>
      <c r="AM7405" s="26" t="s">
        <v>38</v>
      </c>
    </row>
    <row r="7406" spans="34:39" x14ac:dyDescent="0.35">
      <c r="AH7406" s="21"/>
      <c r="AI7406" s="21"/>
      <c r="AJ7406" s="21"/>
      <c r="AK7406" s="21"/>
      <c r="AM7406" s="26" t="s">
        <v>38</v>
      </c>
    </row>
    <row r="7407" spans="34:39" x14ac:dyDescent="0.35">
      <c r="AH7407" s="21"/>
      <c r="AI7407" s="21"/>
      <c r="AJ7407" s="21"/>
      <c r="AK7407" s="21"/>
      <c r="AM7407" s="26" t="s">
        <v>38</v>
      </c>
    </row>
    <row r="7408" spans="34:39" x14ac:dyDescent="0.35">
      <c r="AH7408" s="21"/>
      <c r="AI7408" s="21"/>
      <c r="AJ7408" s="21"/>
      <c r="AK7408" s="21"/>
      <c r="AM7408" s="26" t="s">
        <v>38</v>
      </c>
    </row>
    <row r="7409" spans="34:39" x14ac:dyDescent="0.35">
      <c r="AH7409" s="21"/>
      <c r="AI7409" s="21"/>
      <c r="AJ7409" s="21"/>
      <c r="AK7409" s="21"/>
      <c r="AM7409" s="26" t="s">
        <v>38</v>
      </c>
    </row>
    <row r="7410" spans="34:39" x14ac:dyDescent="0.35">
      <c r="AH7410" s="21"/>
      <c r="AI7410" s="21"/>
      <c r="AJ7410" s="21"/>
      <c r="AK7410" s="21"/>
      <c r="AM7410" s="26" t="s">
        <v>38</v>
      </c>
    </row>
    <row r="7411" spans="34:39" x14ac:dyDescent="0.35">
      <c r="AH7411" s="21"/>
      <c r="AI7411" s="21"/>
      <c r="AJ7411" s="21"/>
      <c r="AK7411" s="21"/>
      <c r="AM7411" s="26" t="s">
        <v>38</v>
      </c>
    </row>
    <row r="7412" spans="34:39" x14ac:dyDescent="0.35">
      <c r="AH7412" s="21"/>
      <c r="AI7412" s="21"/>
      <c r="AJ7412" s="21"/>
      <c r="AK7412" s="21"/>
      <c r="AM7412" s="26" t="s">
        <v>38</v>
      </c>
    </row>
    <row r="7413" spans="34:39" x14ac:dyDescent="0.35">
      <c r="AH7413" s="21"/>
      <c r="AI7413" s="21"/>
      <c r="AJ7413" s="21"/>
      <c r="AK7413" s="21"/>
      <c r="AM7413" s="26" t="s">
        <v>38</v>
      </c>
    </row>
    <row r="7414" spans="34:39" x14ac:dyDescent="0.35">
      <c r="AH7414" s="21"/>
      <c r="AI7414" s="21"/>
      <c r="AJ7414" s="21"/>
      <c r="AK7414" s="21"/>
      <c r="AM7414" s="26" t="s">
        <v>38</v>
      </c>
    </row>
    <row r="7415" spans="34:39" x14ac:dyDescent="0.35">
      <c r="AH7415" s="21"/>
      <c r="AI7415" s="21"/>
      <c r="AJ7415" s="21"/>
      <c r="AK7415" s="21"/>
      <c r="AM7415" s="26" t="s">
        <v>38</v>
      </c>
    </row>
    <row r="7416" spans="34:39" x14ac:dyDescent="0.35">
      <c r="AH7416" s="21"/>
      <c r="AI7416" s="21"/>
      <c r="AJ7416" s="21"/>
      <c r="AK7416" s="21"/>
      <c r="AM7416" s="26" t="s">
        <v>38</v>
      </c>
    </row>
    <row r="7417" spans="34:39" x14ac:dyDescent="0.35">
      <c r="AH7417" s="21"/>
      <c r="AI7417" s="21"/>
      <c r="AJ7417" s="21"/>
      <c r="AK7417" s="21"/>
      <c r="AM7417" s="26" t="s">
        <v>38</v>
      </c>
    </row>
    <row r="7418" spans="34:39" x14ac:dyDescent="0.35">
      <c r="AH7418" s="21"/>
      <c r="AI7418" s="21"/>
      <c r="AJ7418" s="21"/>
      <c r="AK7418" s="21"/>
      <c r="AM7418" s="26" t="s">
        <v>38</v>
      </c>
    </row>
    <row r="7419" spans="34:39" x14ac:dyDescent="0.35">
      <c r="AH7419" s="21"/>
      <c r="AI7419" s="21"/>
      <c r="AJ7419" s="21"/>
      <c r="AK7419" s="21"/>
      <c r="AM7419" s="26" t="s">
        <v>38</v>
      </c>
    </row>
    <row r="7420" spans="34:39" x14ac:dyDescent="0.35">
      <c r="AH7420" s="21"/>
      <c r="AI7420" s="21"/>
      <c r="AJ7420" s="21"/>
      <c r="AK7420" s="21"/>
      <c r="AM7420" s="26" t="s">
        <v>38</v>
      </c>
    </row>
    <row r="7421" spans="34:39" x14ac:dyDescent="0.35">
      <c r="AH7421" s="21"/>
      <c r="AI7421" s="21"/>
      <c r="AJ7421" s="21"/>
      <c r="AK7421" s="21"/>
      <c r="AM7421" s="26" t="s">
        <v>38</v>
      </c>
    </row>
    <row r="7422" spans="34:39" x14ac:dyDescent="0.35">
      <c r="AH7422" s="21"/>
      <c r="AI7422" s="21"/>
      <c r="AJ7422" s="21"/>
      <c r="AK7422" s="21"/>
      <c r="AM7422" s="26" t="s">
        <v>38</v>
      </c>
    </row>
    <row r="7423" spans="34:39" x14ac:dyDescent="0.35">
      <c r="AH7423" s="21"/>
      <c r="AI7423" s="21"/>
      <c r="AJ7423" s="21"/>
      <c r="AK7423" s="21"/>
      <c r="AM7423" s="26" t="s">
        <v>38</v>
      </c>
    </row>
    <row r="7424" spans="34:39" x14ac:dyDescent="0.35">
      <c r="AH7424" s="21"/>
      <c r="AI7424" s="21"/>
      <c r="AJ7424" s="21"/>
      <c r="AK7424" s="21"/>
      <c r="AM7424" s="26" t="s">
        <v>38</v>
      </c>
    </row>
    <row r="7425" spans="34:39" x14ac:dyDescent="0.35">
      <c r="AH7425" s="21"/>
      <c r="AI7425" s="21"/>
      <c r="AJ7425" s="21"/>
      <c r="AK7425" s="21"/>
      <c r="AM7425" s="26" t="s">
        <v>38</v>
      </c>
    </row>
    <row r="7426" spans="34:39" x14ac:dyDescent="0.35">
      <c r="AH7426" s="21"/>
      <c r="AI7426" s="21"/>
      <c r="AJ7426" s="21"/>
      <c r="AK7426" s="21"/>
      <c r="AM7426" s="26" t="s">
        <v>38</v>
      </c>
    </row>
    <row r="7427" spans="34:39" x14ac:dyDescent="0.35">
      <c r="AH7427" s="21"/>
      <c r="AI7427" s="21"/>
      <c r="AJ7427" s="21"/>
      <c r="AK7427" s="21"/>
      <c r="AM7427" s="26" t="s">
        <v>38</v>
      </c>
    </row>
    <row r="7428" spans="34:39" x14ac:dyDescent="0.35">
      <c r="AH7428" s="21"/>
      <c r="AI7428" s="21"/>
      <c r="AJ7428" s="21"/>
      <c r="AK7428" s="21"/>
      <c r="AM7428" s="26" t="s">
        <v>38</v>
      </c>
    </row>
    <row r="7429" spans="34:39" x14ac:dyDescent="0.35">
      <c r="AH7429" s="21"/>
      <c r="AI7429" s="21"/>
      <c r="AJ7429" s="21"/>
      <c r="AK7429" s="21"/>
      <c r="AM7429" s="26" t="s">
        <v>38</v>
      </c>
    </row>
    <row r="7430" spans="34:39" x14ac:dyDescent="0.35">
      <c r="AH7430" s="21"/>
      <c r="AI7430" s="21"/>
      <c r="AJ7430" s="21"/>
      <c r="AK7430" s="21"/>
      <c r="AM7430" s="26" t="s">
        <v>38</v>
      </c>
    </row>
    <row r="7431" spans="34:39" x14ac:dyDescent="0.35">
      <c r="AH7431" s="21"/>
      <c r="AI7431" s="21"/>
      <c r="AJ7431" s="21"/>
      <c r="AK7431" s="21"/>
      <c r="AM7431" s="26" t="s">
        <v>38</v>
      </c>
    </row>
    <row r="7432" spans="34:39" x14ac:dyDescent="0.35">
      <c r="AH7432" s="21"/>
      <c r="AI7432" s="21"/>
      <c r="AJ7432" s="21"/>
      <c r="AK7432" s="21"/>
      <c r="AM7432" s="26" t="s">
        <v>38</v>
      </c>
    </row>
    <row r="7433" spans="34:39" x14ac:dyDescent="0.35">
      <c r="AH7433" s="21"/>
      <c r="AI7433" s="21"/>
      <c r="AJ7433" s="21"/>
      <c r="AK7433" s="21"/>
      <c r="AM7433" s="26" t="s">
        <v>38</v>
      </c>
    </row>
    <row r="7434" spans="34:39" x14ac:dyDescent="0.35">
      <c r="AH7434" s="21"/>
      <c r="AI7434" s="21"/>
      <c r="AJ7434" s="21"/>
      <c r="AK7434" s="21"/>
      <c r="AM7434" s="26" t="s">
        <v>38</v>
      </c>
    </row>
    <row r="7435" spans="34:39" x14ac:dyDescent="0.35">
      <c r="AH7435" s="21"/>
      <c r="AI7435" s="21"/>
      <c r="AJ7435" s="21"/>
      <c r="AK7435" s="21"/>
      <c r="AM7435" s="26" t="s">
        <v>38</v>
      </c>
    </row>
    <row r="7436" spans="34:39" x14ac:dyDescent="0.35">
      <c r="AH7436" s="21"/>
      <c r="AI7436" s="21"/>
      <c r="AJ7436" s="21"/>
      <c r="AK7436" s="21"/>
      <c r="AM7436" s="26" t="s">
        <v>38</v>
      </c>
    </row>
    <row r="7437" spans="34:39" x14ac:dyDescent="0.35">
      <c r="AH7437" s="21"/>
      <c r="AI7437" s="21"/>
      <c r="AJ7437" s="21"/>
      <c r="AK7437" s="21"/>
      <c r="AM7437" s="26" t="s">
        <v>38</v>
      </c>
    </row>
    <row r="7438" spans="34:39" x14ac:dyDescent="0.35">
      <c r="AH7438" s="21"/>
      <c r="AI7438" s="21"/>
      <c r="AJ7438" s="21"/>
      <c r="AK7438" s="21"/>
      <c r="AM7438" s="26" t="s">
        <v>38</v>
      </c>
    </row>
    <row r="7439" spans="34:39" x14ac:dyDescent="0.35">
      <c r="AH7439" s="21"/>
      <c r="AI7439" s="21"/>
      <c r="AJ7439" s="21"/>
      <c r="AK7439" s="21"/>
      <c r="AM7439" s="26" t="s">
        <v>38</v>
      </c>
    </row>
    <row r="7440" spans="34:39" x14ac:dyDescent="0.35">
      <c r="AH7440" s="21"/>
      <c r="AI7440" s="21"/>
      <c r="AJ7440" s="21"/>
      <c r="AK7440" s="21"/>
      <c r="AM7440" s="26" t="s">
        <v>38</v>
      </c>
    </row>
    <row r="7441" spans="34:39" x14ac:dyDescent="0.35">
      <c r="AH7441" s="21"/>
      <c r="AI7441" s="21"/>
      <c r="AJ7441" s="21"/>
      <c r="AK7441" s="21"/>
      <c r="AM7441" s="26" t="s">
        <v>38</v>
      </c>
    </row>
    <row r="7442" spans="34:39" x14ac:dyDescent="0.35">
      <c r="AH7442" s="21"/>
      <c r="AI7442" s="21"/>
      <c r="AJ7442" s="21"/>
      <c r="AK7442" s="21"/>
      <c r="AM7442" s="26" t="s">
        <v>38</v>
      </c>
    </row>
    <row r="7443" spans="34:39" x14ac:dyDescent="0.35">
      <c r="AH7443" s="21"/>
      <c r="AI7443" s="21"/>
      <c r="AJ7443" s="21"/>
      <c r="AK7443" s="21"/>
      <c r="AM7443" s="26" t="s">
        <v>38</v>
      </c>
    </row>
    <row r="7444" spans="34:39" x14ac:dyDescent="0.35">
      <c r="AH7444" s="21"/>
      <c r="AI7444" s="21"/>
      <c r="AJ7444" s="21"/>
      <c r="AK7444" s="21"/>
      <c r="AM7444" s="26" t="s">
        <v>38</v>
      </c>
    </row>
    <row r="7445" spans="34:39" x14ac:dyDescent="0.35">
      <c r="AH7445" s="21"/>
      <c r="AI7445" s="21"/>
      <c r="AJ7445" s="21"/>
      <c r="AK7445" s="21"/>
      <c r="AM7445" s="26" t="s">
        <v>38</v>
      </c>
    </row>
    <row r="7446" spans="34:39" x14ac:dyDescent="0.35">
      <c r="AH7446" s="21"/>
      <c r="AI7446" s="21"/>
      <c r="AJ7446" s="21"/>
      <c r="AK7446" s="21"/>
      <c r="AM7446" s="26" t="s">
        <v>38</v>
      </c>
    </row>
    <row r="7447" spans="34:39" x14ac:dyDescent="0.35">
      <c r="AH7447" s="21"/>
      <c r="AI7447" s="21"/>
      <c r="AJ7447" s="21"/>
      <c r="AK7447" s="21"/>
      <c r="AM7447" s="26" t="s">
        <v>38</v>
      </c>
    </row>
    <row r="7448" spans="34:39" x14ac:dyDescent="0.35">
      <c r="AH7448" s="21"/>
      <c r="AI7448" s="21"/>
      <c r="AJ7448" s="21"/>
      <c r="AK7448" s="21"/>
      <c r="AM7448" s="26" t="s">
        <v>38</v>
      </c>
    </row>
    <row r="7449" spans="34:39" x14ac:dyDescent="0.35">
      <c r="AH7449" s="21"/>
      <c r="AI7449" s="21"/>
      <c r="AJ7449" s="21"/>
      <c r="AK7449" s="21"/>
      <c r="AM7449" s="26" t="s">
        <v>38</v>
      </c>
    </row>
    <row r="7450" spans="34:39" x14ac:dyDescent="0.35">
      <c r="AH7450" s="21"/>
      <c r="AI7450" s="21"/>
      <c r="AJ7450" s="21"/>
      <c r="AK7450" s="21"/>
      <c r="AM7450" s="26" t="s">
        <v>38</v>
      </c>
    </row>
    <row r="7451" spans="34:39" x14ac:dyDescent="0.35">
      <c r="AH7451" s="21"/>
      <c r="AI7451" s="21"/>
      <c r="AJ7451" s="21"/>
      <c r="AK7451" s="21"/>
      <c r="AM7451" s="26" t="s">
        <v>38</v>
      </c>
    </row>
    <row r="7452" spans="34:39" x14ac:dyDescent="0.35">
      <c r="AH7452" s="21"/>
      <c r="AI7452" s="21"/>
      <c r="AJ7452" s="21"/>
      <c r="AK7452" s="21"/>
      <c r="AM7452" s="26" t="s">
        <v>38</v>
      </c>
    </row>
    <row r="7453" spans="34:39" x14ac:dyDescent="0.35">
      <c r="AH7453" s="21"/>
      <c r="AI7453" s="21"/>
      <c r="AJ7453" s="21"/>
      <c r="AK7453" s="21"/>
      <c r="AM7453" s="26" t="s">
        <v>38</v>
      </c>
    </row>
    <row r="7454" spans="34:39" x14ac:dyDescent="0.35">
      <c r="AH7454" s="21"/>
      <c r="AI7454" s="21"/>
      <c r="AJ7454" s="21"/>
      <c r="AK7454" s="21"/>
      <c r="AM7454" s="26" t="s">
        <v>38</v>
      </c>
    </row>
    <row r="7455" spans="34:39" x14ac:dyDescent="0.35">
      <c r="AH7455" s="21"/>
      <c r="AI7455" s="21"/>
      <c r="AJ7455" s="21"/>
      <c r="AK7455" s="21"/>
      <c r="AM7455" s="26" t="s">
        <v>38</v>
      </c>
    </row>
    <row r="7456" spans="34:39" x14ac:dyDescent="0.35">
      <c r="AH7456" s="21"/>
      <c r="AI7456" s="21"/>
      <c r="AJ7456" s="21"/>
      <c r="AK7456" s="21"/>
      <c r="AM7456" s="26" t="s">
        <v>38</v>
      </c>
    </row>
    <row r="7457" spans="34:39" x14ac:dyDescent="0.35">
      <c r="AH7457" s="21"/>
      <c r="AI7457" s="21"/>
      <c r="AJ7457" s="21"/>
      <c r="AK7457" s="21"/>
      <c r="AM7457" s="26" t="s">
        <v>38</v>
      </c>
    </row>
    <row r="7458" spans="34:39" x14ac:dyDescent="0.35">
      <c r="AH7458" s="21"/>
      <c r="AI7458" s="21"/>
      <c r="AJ7458" s="21"/>
      <c r="AK7458" s="21"/>
      <c r="AM7458" s="26" t="s">
        <v>38</v>
      </c>
    </row>
    <row r="7459" spans="34:39" x14ac:dyDescent="0.35">
      <c r="AH7459" s="21"/>
      <c r="AI7459" s="21"/>
      <c r="AJ7459" s="21"/>
      <c r="AK7459" s="21"/>
      <c r="AM7459" s="26" t="s">
        <v>38</v>
      </c>
    </row>
    <row r="7460" spans="34:39" x14ac:dyDescent="0.35">
      <c r="AH7460" s="21"/>
      <c r="AI7460" s="21"/>
      <c r="AJ7460" s="21"/>
      <c r="AK7460" s="21"/>
      <c r="AM7460" s="26" t="s">
        <v>38</v>
      </c>
    </row>
    <row r="7461" spans="34:39" x14ac:dyDescent="0.35">
      <c r="AH7461" s="21"/>
      <c r="AI7461" s="21"/>
      <c r="AJ7461" s="21"/>
      <c r="AK7461" s="21"/>
      <c r="AM7461" s="26" t="s">
        <v>38</v>
      </c>
    </row>
    <row r="7462" spans="34:39" x14ac:dyDescent="0.35">
      <c r="AH7462" s="21"/>
      <c r="AI7462" s="21"/>
      <c r="AJ7462" s="21"/>
      <c r="AK7462" s="21"/>
      <c r="AM7462" s="26" t="s">
        <v>38</v>
      </c>
    </row>
    <row r="7463" spans="34:39" x14ac:dyDescent="0.35">
      <c r="AH7463" s="21"/>
      <c r="AI7463" s="21"/>
      <c r="AJ7463" s="21"/>
      <c r="AK7463" s="21"/>
      <c r="AM7463" s="26" t="s">
        <v>38</v>
      </c>
    </row>
    <row r="7464" spans="34:39" x14ac:dyDescent="0.35">
      <c r="AH7464" s="21"/>
      <c r="AI7464" s="21"/>
      <c r="AJ7464" s="21"/>
      <c r="AK7464" s="21"/>
      <c r="AM7464" s="26" t="s">
        <v>38</v>
      </c>
    </row>
    <row r="7465" spans="34:39" x14ac:dyDescent="0.35">
      <c r="AH7465" s="21"/>
      <c r="AI7465" s="21"/>
      <c r="AJ7465" s="21"/>
      <c r="AK7465" s="21"/>
      <c r="AM7465" s="26" t="s">
        <v>38</v>
      </c>
    </row>
    <row r="7466" spans="34:39" x14ac:dyDescent="0.35">
      <c r="AH7466" s="21"/>
      <c r="AI7466" s="21"/>
      <c r="AJ7466" s="21"/>
      <c r="AK7466" s="21"/>
      <c r="AM7466" s="26" t="s">
        <v>38</v>
      </c>
    </row>
    <row r="7467" spans="34:39" x14ac:dyDescent="0.35">
      <c r="AH7467" s="21"/>
      <c r="AI7467" s="21"/>
      <c r="AJ7467" s="21"/>
      <c r="AK7467" s="21"/>
      <c r="AM7467" s="26" t="s">
        <v>38</v>
      </c>
    </row>
    <row r="7468" spans="34:39" x14ac:dyDescent="0.35">
      <c r="AH7468" s="21"/>
      <c r="AI7468" s="21"/>
      <c r="AJ7468" s="21"/>
      <c r="AK7468" s="21"/>
      <c r="AM7468" s="26" t="s">
        <v>38</v>
      </c>
    </row>
    <row r="7469" spans="34:39" x14ac:dyDescent="0.35">
      <c r="AH7469" s="21"/>
      <c r="AI7469" s="21"/>
      <c r="AJ7469" s="21"/>
      <c r="AK7469" s="21"/>
      <c r="AM7469" s="26" t="s">
        <v>38</v>
      </c>
    </row>
    <row r="7470" spans="34:39" x14ac:dyDescent="0.35">
      <c r="AH7470" s="21"/>
      <c r="AI7470" s="21"/>
      <c r="AJ7470" s="21"/>
      <c r="AK7470" s="21"/>
      <c r="AM7470" s="26" t="s">
        <v>38</v>
      </c>
    </row>
    <row r="7471" spans="34:39" x14ac:dyDescent="0.35">
      <c r="AH7471" s="21"/>
      <c r="AI7471" s="21"/>
      <c r="AJ7471" s="21"/>
      <c r="AK7471" s="21"/>
      <c r="AM7471" s="26" t="s">
        <v>38</v>
      </c>
    </row>
    <row r="7472" spans="34:39" x14ac:dyDescent="0.35">
      <c r="AH7472" s="21"/>
      <c r="AI7472" s="21"/>
      <c r="AJ7472" s="21"/>
      <c r="AK7472" s="21"/>
      <c r="AM7472" s="26" t="s">
        <v>38</v>
      </c>
    </row>
    <row r="7473" spans="34:39" x14ac:dyDescent="0.35">
      <c r="AH7473" s="21"/>
      <c r="AI7473" s="21"/>
      <c r="AJ7473" s="21"/>
      <c r="AK7473" s="21"/>
      <c r="AM7473" s="26" t="s">
        <v>38</v>
      </c>
    </row>
    <row r="7474" spans="34:39" x14ac:dyDescent="0.35">
      <c r="AH7474" s="21"/>
      <c r="AI7474" s="21"/>
      <c r="AJ7474" s="21"/>
      <c r="AK7474" s="21"/>
      <c r="AM7474" s="26" t="s">
        <v>38</v>
      </c>
    </row>
    <row r="7475" spans="34:39" x14ac:dyDescent="0.35">
      <c r="AH7475" s="21"/>
      <c r="AI7475" s="21"/>
      <c r="AJ7475" s="21"/>
      <c r="AK7475" s="21"/>
      <c r="AM7475" s="26" t="s">
        <v>38</v>
      </c>
    </row>
    <row r="7476" spans="34:39" x14ac:dyDescent="0.35">
      <c r="AH7476" s="21"/>
      <c r="AI7476" s="21"/>
      <c r="AJ7476" s="21"/>
      <c r="AK7476" s="21"/>
      <c r="AM7476" s="26" t="s">
        <v>38</v>
      </c>
    </row>
    <row r="7477" spans="34:39" x14ac:dyDescent="0.35">
      <c r="AH7477" s="21"/>
      <c r="AI7477" s="21"/>
      <c r="AJ7477" s="21"/>
      <c r="AK7477" s="21"/>
      <c r="AM7477" s="26" t="s">
        <v>38</v>
      </c>
    </row>
    <row r="7478" spans="34:39" x14ac:dyDescent="0.35">
      <c r="AH7478" s="21"/>
      <c r="AI7478" s="21"/>
      <c r="AJ7478" s="21"/>
      <c r="AK7478" s="21"/>
      <c r="AM7478" s="26" t="s">
        <v>38</v>
      </c>
    </row>
    <row r="7479" spans="34:39" x14ac:dyDescent="0.35">
      <c r="AH7479" s="21"/>
      <c r="AI7479" s="21"/>
      <c r="AJ7479" s="21"/>
      <c r="AK7479" s="21"/>
      <c r="AM7479" s="26" t="s">
        <v>38</v>
      </c>
    </row>
    <row r="7480" spans="34:39" x14ac:dyDescent="0.35">
      <c r="AH7480" s="21"/>
      <c r="AI7480" s="21"/>
      <c r="AJ7480" s="21"/>
      <c r="AK7480" s="21"/>
      <c r="AM7480" s="26" t="s">
        <v>38</v>
      </c>
    </row>
    <row r="7481" spans="34:39" x14ac:dyDescent="0.35">
      <c r="AH7481" s="21"/>
      <c r="AI7481" s="21"/>
      <c r="AJ7481" s="21"/>
      <c r="AK7481" s="21"/>
      <c r="AM7481" s="26" t="s">
        <v>38</v>
      </c>
    </row>
    <row r="7482" spans="34:39" x14ac:dyDescent="0.35">
      <c r="AH7482" s="21"/>
      <c r="AI7482" s="21"/>
      <c r="AJ7482" s="21"/>
      <c r="AK7482" s="21"/>
      <c r="AM7482" s="26" t="s">
        <v>38</v>
      </c>
    </row>
    <row r="7483" spans="34:39" x14ac:dyDescent="0.35">
      <c r="AH7483" s="21"/>
      <c r="AI7483" s="21"/>
      <c r="AJ7483" s="21"/>
      <c r="AK7483" s="21"/>
      <c r="AM7483" s="26" t="s">
        <v>38</v>
      </c>
    </row>
    <row r="7484" spans="34:39" x14ac:dyDescent="0.35">
      <c r="AH7484" s="21"/>
      <c r="AI7484" s="21"/>
      <c r="AJ7484" s="21"/>
      <c r="AK7484" s="21"/>
      <c r="AM7484" s="26" t="s">
        <v>38</v>
      </c>
    </row>
    <row r="7485" spans="34:39" x14ac:dyDescent="0.35">
      <c r="AH7485" s="21"/>
      <c r="AI7485" s="21"/>
      <c r="AJ7485" s="21"/>
      <c r="AK7485" s="21"/>
      <c r="AM7485" s="26" t="s">
        <v>38</v>
      </c>
    </row>
    <row r="7486" spans="34:39" x14ac:dyDescent="0.35">
      <c r="AH7486" s="21"/>
      <c r="AI7486" s="21"/>
      <c r="AJ7486" s="21"/>
      <c r="AK7486" s="21"/>
      <c r="AM7486" s="26" t="s">
        <v>38</v>
      </c>
    </row>
    <row r="7487" spans="34:39" x14ac:dyDescent="0.35">
      <c r="AH7487" s="21"/>
      <c r="AI7487" s="21"/>
      <c r="AJ7487" s="21"/>
      <c r="AK7487" s="21"/>
      <c r="AM7487" s="26" t="s">
        <v>38</v>
      </c>
    </row>
    <row r="7488" spans="34:39" x14ac:dyDescent="0.35">
      <c r="AH7488" s="21"/>
      <c r="AI7488" s="21"/>
      <c r="AJ7488" s="21"/>
      <c r="AK7488" s="21"/>
      <c r="AM7488" s="26" t="s">
        <v>38</v>
      </c>
    </row>
    <row r="7489" spans="34:39" x14ac:dyDescent="0.35">
      <c r="AH7489" s="21"/>
      <c r="AI7489" s="21"/>
      <c r="AJ7489" s="21"/>
      <c r="AK7489" s="21"/>
      <c r="AM7489" s="26" t="s">
        <v>38</v>
      </c>
    </row>
    <row r="7490" spans="34:39" x14ac:dyDescent="0.35">
      <c r="AH7490" s="21"/>
      <c r="AI7490" s="21"/>
      <c r="AJ7490" s="21"/>
      <c r="AK7490" s="21"/>
      <c r="AM7490" s="26" t="s">
        <v>38</v>
      </c>
    </row>
    <row r="7491" spans="34:39" x14ac:dyDescent="0.35">
      <c r="AH7491" s="21"/>
      <c r="AI7491" s="21"/>
      <c r="AJ7491" s="21"/>
      <c r="AK7491" s="21"/>
      <c r="AM7491" s="26" t="s">
        <v>38</v>
      </c>
    </row>
    <row r="7492" spans="34:39" x14ac:dyDescent="0.35">
      <c r="AH7492" s="21"/>
      <c r="AI7492" s="21"/>
      <c r="AJ7492" s="21"/>
      <c r="AK7492" s="21"/>
      <c r="AM7492" s="26" t="s">
        <v>38</v>
      </c>
    </row>
    <row r="7493" spans="34:39" x14ac:dyDescent="0.35">
      <c r="AH7493" s="21"/>
      <c r="AI7493" s="21"/>
      <c r="AJ7493" s="21"/>
      <c r="AK7493" s="21"/>
      <c r="AM7493" s="26" t="s">
        <v>38</v>
      </c>
    </row>
    <row r="7494" spans="34:39" x14ac:dyDescent="0.35">
      <c r="AH7494" s="21"/>
      <c r="AI7494" s="21"/>
      <c r="AJ7494" s="21"/>
      <c r="AK7494" s="21"/>
      <c r="AM7494" s="26" t="s">
        <v>38</v>
      </c>
    </row>
    <row r="7495" spans="34:39" x14ac:dyDescent="0.35">
      <c r="AH7495" s="21"/>
      <c r="AI7495" s="21"/>
      <c r="AJ7495" s="21"/>
      <c r="AK7495" s="21"/>
      <c r="AM7495" s="26" t="s">
        <v>38</v>
      </c>
    </row>
    <row r="7496" spans="34:39" x14ac:dyDescent="0.35">
      <c r="AH7496" s="21"/>
      <c r="AI7496" s="21"/>
      <c r="AJ7496" s="21"/>
      <c r="AK7496" s="21"/>
      <c r="AM7496" s="26" t="s">
        <v>38</v>
      </c>
    </row>
    <row r="7497" spans="34:39" x14ac:dyDescent="0.35">
      <c r="AH7497" s="21"/>
      <c r="AI7497" s="21"/>
      <c r="AJ7497" s="21"/>
      <c r="AK7497" s="21"/>
      <c r="AM7497" s="26" t="s">
        <v>38</v>
      </c>
    </row>
    <row r="7498" spans="34:39" x14ac:dyDescent="0.35">
      <c r="AH7498" s="21"/>
      <c r="AI7498" s="21"/>
      <c r="AJ7498" s="21"/>
      <c r="AK7498" s="21"/>
      <c r="AM7498" s="26" t="s">
        <v>38</v>
      </c>
    </row>
    <row r="7499" spans="34:39" x14ac:dyDescent="0.35">
      <c r="AH7499" s="21"/>
      <c r="AI7499" s="21"/>
      <c r="AJ7499" s="21"/>
      <c r="AK7499" s="21"/>
      <c r="AM7499" s="26" t="s">
        <v>38</v>
      </c>
    </row>
    <row r="7500" spans="34:39" x14ac:dyDescent="0.35">
      <c r="AH7500" s="21"/>
      <c r="AI7500" s="21"/>
      <c r="AJ7500" s="21"/>
      <c r="AK7500" s="21"/>
      <c r="AM7500" s="26" t="s">
        <v>38</v>
      </c>
    </row>
    <row r="7501" spans="34:39" x14ac:dyDescent="0.35">
      <c r="AH7501" s="21"/>
      <c r="AI7501" s="21"/>
      <c r="AJ7501" s="21"/>
      <c r="AK7501" s="21"/>
      <c r="AM7501" s="26" t="s">
        <v>38</v>
      </c>
    </row>
    <row r="7502" spans="34:39" x14ac:dyDescent="0.35">
      <c r="AH7502" s="21"/>
      <c r="AI7502" s="21"/>
      <c r="AJ7502" s="21"/>
      <c r="AK7502" s="21"/>
      <c r="AM7502" s="26" t="s">
        <v>38</v>
      </c>
    </row>
    <row r="7503" spans="34:39" x14ac:dyDescent="0.35">
      <c r="AH7503" s="21"/>
      <c r="AI7503" s="21"/>
      <c r="AJ7503" s="21"/>
      <c r="AK7503" s="21"/>
      <c r="AM7503" s="26" t="s">
        <v>38</v>
      </c>
    </row>
    <row r="7504" spans="34:39" x14ac:dyDescent="0.35">
      <c r="AH7504" s="21"/>
      <c r="AI7504" s="21"/>
      <c r="AJ7504" s="21"/>
      <c r="AK7504" s="21"/>
      <c r="AM7504" s="26" t="s">
        <v>38</v>
      </c>
    </row>
    <row r="7505" spans="34:39" x14ac:dyDescent="0.35">
      <c r="AH7505" s="21"/>
      <c r="AI7505" s="21"/>
      <c r="AJ7505" s="21"/>
      <c r="AK7505" s="21"/>
      <c r="AM7505" s="26" t="s">
        <v>38</v>
      </c>
    </row>
    <row r="7506" spans="34:39" x14ac:dyDescent="0.35">
      <c r="AH7506" s="21"/>
      <c r="AI7506" s="21"/>
      <c r="AJ7506" s="21"/>
      <c r="AK7506" s="21"/>
      <c r="AM7506" s="26" t="s">
        <v>38</v>
      </c>
    </row>
    <row r="7507" spans="34:39" x14ac:dyDescent="0.35">
      <c r="AH7507" s="21"/>
      <c r="AI7507" s="21"/>
      <c r="AJ7507" s="21"/>
      <c r="AK7507" s="21"/>
      <c r="AM7507" s="26" t="s">
        <v>38</v>
      </c>
    </row>
    <row r="7508" spans="34:39" x14ac:dyDescent="0.35">
      <c r="AH7508" s="21"/>
      <c r="AI7508" s="21"/>
      <c r="AJ7508" s="21"/>
      <c r="AK7508" s="21"/>
      <c r="AM7508" s="26" t="s">
        <v>38</v>
      </c>
    </row>
    <row r="7509" spans="34:39" x14ac:dyDescent="0.35">
      <c r="AH7509" s="21"/>
      <c r="AI7509" s="21"/>
      <c r="AJ7509" s="21"/>
      <c r="AK7509" s="21"/>
      <c r="AM7509" s="26" t="s">
        <v>38</v>
      </c>
    </row>
    <row r="7510" spans="34:39" x14ac:dyDescent="0.35">
      <c r="AH7510" s="21"/>
      <c r="AI7510" s="21"/>
      <c r="AJ7510" s="21"/>
      <c r="AK7510" s="21"/>
      <c r="AM7510" s="26" t="s">
        <v>38</v>
      </c>
    </row>
    <row r="7511" spans="34:39" x14ac:dyDescent="0.35">
      <c r="AH7511" s="21"/>
      <c r="AI7511" s="21"/>
      <c r="AJ7511" s="21"/>
      <c r="AK7511" s="21"/>
      <c r="AM7511" s="26" t="s">
        <v>38</v>
      </c>
    </row>
    <row r="7512" spans="34:39" x14ac:dyDescent="0.35">
      <c r="AH7512" s="21"/>
      <c r="AI7512" s="21"/>
      <c r="AJ7512" s="21"/>
      <c r="AK7512" s="21"/>
      <c r="AM7512" s="26" t="s">
        <v>38</v>
      </c>
    </row>
    <row r="7513" spans="34:39" x14ac:dyDescent="0.35">
      <c r="AH7513" s="21"/>
      <c r="AI7513" s="21"/>
      <c r="AJ7513" s="21"/>
      <c r="AK7513" s="21"/>
      <c r="AM7513" s="26" t="s">
        <v>38</v>
      </c>
    </row>
    <row r="7514" spans="34:39" x14ac:dyDescent="0.35">
      <c r="AH7514" s="21"/>
      <c r="AI7514" s="21"/>
      <c r="AJ7514" s="21"/>
      <c r="AK7514" s="21"/>
      <c r="AM7514" s="26" t="s">
        <v>38</v>
      </c>
    </row>
    <row r="7515" spans="34:39" x14ac:dyDescent="0.35">
      <c r="AH7515" s="21"/>
      <c r="AI7515" s="21"/>
      <c r="AJ7515" s="21"/>
      <c r="AK7515" s="21"/>
      <c r="AM7515" s="26" t="s">
        <v>38</v>
      </c>
    </row>
    <row r="7516" spans="34:39" x14ac:dyDescent="0.35">
      <c r="AH7516" s="21"/>
      <c r="AI7516" s="21"/>
      <c r="AJ7516" s="21"/>
      <c r="AK7516" s="21"/>
      <c r="AM7516" s="26" t="s">
        <v>38</v>
      </c>
    </row>
    <row r="7517" spans="34:39" x14ac:dyDescent="0.35">
      <c r="AH7517" s="21"/>
      <c r="AI7517" s="21"/>
      <c r="AJ7517" s="21"/>
      <c r="AK7517" s="21"/>
      <c r="AM7517" s="26" t="s">
        <v>38</v>
      </c>
    </row>
    <row r="7518" spans="34:39" x14ac:dyDescent="0.35">
      <c r="AH7518" s="21"/>
      <c r="AI7518" s="21"/>
      <c r="AJ7518" s="21"/>
      <c r="AK7518" s="21"/>
      <c r="AM7518" s="26" t="s">
        <v>38</v>
      </c>
    </row>
    <row r="7519" spans="34:39" x14ac:dyDescent="0.35">
      <c r="AH7519" s="21"/>
      <c r="AI7519" s="21"/>
      <c r="AJ7519" s="21"/>
      <c r="AK7519" s="21"/>
      <c r="AM7519" s="26" t="s">
        <v>38</v>
      </c>
    </row>
    <row r="7520" spans="34:39" x14ac:dyDescent="0.35">
      <c r="AH7520" s="21"/>
      <c r="AI7520" s="21"/>
      <c r="AJ7520" s="21"/>
      <c r="AK7520" s="21"/>
      <c r="AM7520" s="26" t="s">
        <v>38</v>
      </c>
    </row>
    <row r="7521" spans="34:39" x14ac:dyDescent="0.35">
      <c r="AH7521" s="21"/>
      <c r="AI7521" s="21"/>
      <c r="AJ7521" s="21"/>
      <c r="AK7521" s="21"/>
      <c r="AM7521" s="26" t="s">
        <v>38</v>
      </c>
    </row>
    <row r="7522" spans="34:39" x14ac:dyDescent="0.35">
      <c r="AH7522" s="21"/>
      <c r="AI7522" s="21"/>
      <c r="AJ7522" s="21"/>
      <c r="AK7522" s="21"/>
      <c r="AM7522" s="26" t="s">
        <v>38</v>
      </c>
    </row>
    <row r="7523" spans="34:39" x14ac:dyDescent="0.35">
      <c r="AH7523" s="21"/>
      <c r="AI7523" s="21"/>
      <c r="AJ7523" s="21"/>
      <c r="AK7523" s="21"/>
      <c r="AM7523" s="26" t="s">
        <v>38</v>
      </c>
    </row>
    <row r="7524" spans="34:39" x14ac:dyDescent="0.35">
      <c r="AH7524" s="21"/>
      <c r="AI7524" s="21"/>
      <c r="AJ7524" s="21"/>
      <c r="AK7524" s="21"/>
      <c r="AM7524" s="26" t="s">
        <v>38</v>
      </c>
    </row>
    <row r="7525" spans="34:39" x14ac:dyDescent="0.35">
      <c r="AH7525" s="21"/>
      <c r="AI7525" s="21"/>
      <c r="AJ7525" s="21"/>
      <c r="AK7525" s="21"/>
      <c r="AM7525" s="26" t="s">
        <v>38</v>
      </c>
    </row>
    <row r="7526" spans="34:39" x14ac:dyDescent="0.35">
      <c r="AH7526" s="21"/>
      <c r="AI7526" s="21"/>
      <c r="AJ7526" s="21"/>
      <c r="AK7526" s="21"/>
      <c r="AM7526" s="26" t="s">
        <v>38</v>
      </c>
    </row>
    <row r="7527" spans="34:39" x14ac:dyDescent="0.35">
      <c r="AH7527" s="21"/>
      <c r="AI7527" s="21"/>
      <c r="AJ7527" s="21"/>
      <c r="AK7527" s="21"/>
      <c r="AM7527" s="26" t="s">
        <v>38</v>
      </c>
    </row>
    <row r="7528" spans="34:39" x14ac:dyDescent="0.35">
      <c r="AH7528" s="21"/>
      <c r="AI7528" s="21"/>
      <c r="AJ7528" s="21"/>
      <c r="AK7528" s="21"/>
      <c r="AM7528" s="26" t="s">
        <v>38</v>
      </c>
    </row>
    <row r="7529" spans="34:39" x14ac:dyDescent="0.35">
      <c r="AH7529" s="21"/>
      <c r="AI7529" s="21"/>
      <c r="AJ7529" s="21"/>
      <c r="AK7529" s="21"/>
      <c r="AM7529" s="26" t="s">
        <v>38</v>
      </c>
    </row>
    <row r="7530" spans="34:39" x14ac:dyDescent="0.35">
      <c r="AH7530" s="21"/>
      <c r="AI7530" s="21"/>
      <c r="AJ7530" s="21"/>
      <c r="AK7530" s="21"/>
      <c r="AM7530" s="26" t="s">
        <v>38</v>
      </c>
    </row>
    <row r="7531" spans="34:39" x14ac:dyDescent="0.35">
      <c r="AH7531" s="21"/>
      <c r="AI7531" s="21"/>
      <c r="AJ7531" s="21"/>
      <c r="AK7531" s="21"/>
      <c r="AM7531" s="26" t="s">
        <v>38</v>
      </c>
    </row>
    <row r="7532" spans="34:39" x14ac:dyDescent="0.35">
      <c r="AH7532" s="21"/>
      <c r="AI7532" s="21"/>
      <c r="AJ7532" s="21"/>
      <c r="AK7532" s="21"/>
      <c r="AM7532" s="26" t="s">
        <v>38</v>
      </c>
    </row>
    <row r="7533" spans="34:39" x14ac:dyDescent="0.35">
      <c r="AH7533" s="21"/>
      <c r="AI7533" s="21"/>
      <c r="AJ7533" s="21"/>
      <c r="AK7533" s="21"/>
      <c r="AM7533" s="26" t="s">
        <v>38</v>
      </c>
    </row>
    <row r="7534" spans="34:39" x14ac:dyDescent="0.35">
      <c r="AH7534" s="21"/>
      <c r="AI7534" s="21"/>
      <c r="AJ7534" s="21"/>
      <c r="AK7534" s="21"/>
      <c r="AM7534" s="26" t="s">
        <v>38</v>
      </c>
    </row>
    <row r="7535" spans="34:39" x14ac:dyDescent="0.35">
      <c r="AH7535" s="21"/>
      <c r="AI7535" s="21"/>
      <c r="AJ7535" s="21"/>
      <c r="AK7535" s="21"/>
      <c r="AM7535" s="26" t="s">
        <v>38</v>
      </c>
    </row>
    <row r="7536" spans="34:39" x14ac:dyDescent="0.35">
      <c r="AH7536" s="21"/>
      <c r="AI7536" s="21"/>
      <c r="AJ7536" s="21"/>
      <c r="AK7536" s="21"/>
      <c r="AM7536" s="26" t="s">
        <v>38</v>
      </c>
    </row>
    <row r="7537" spans="34:39" x14ac:dyDescent="0.35">
      <c r="AH7537" s="21"/>
      <c r="AI7537" s="21"/>
      <c r="AJ7537" s="21"/>
      <c r="AK7537" s="21"/>
      <c r="AM7537" s="26" t="s">
        <v>38</v>
      </c>
    </row>
    <row r="7538" spans="34:39" x14ac:dyDescent="0.35">
      <c r="AH7538" s="21"/>
      <c r="AI7538" s="21"/>
      <c r="AJ7538" s="21"/>
      <c r="AK7538" s="21"/>
      <c r="AM7538" s="26" t="s">
        <v>38</v>
      </c>
    </row>
    <row r="7539" spans="34:39" x14ac:dyDescent="0.35">
      <c r="AH7539" s="21"/>
      <c r="AI7539" s="21"/>
      <c r="AJ7539" s="21"/>
      <c r="AK7539" s="21"/>
      <c r="AM7539" s="26" t="s">
        <v>38</v>
      </c>
    </row>
    <row r="7540" spans="34:39" x14ac:dyDescent="0.35">
      <c r="AH7540" s="21"/>
      <c r="AI7540" s="21"/>
      <c r="AJ7540" s="21"/>
      <c r="AK7540" s="21"/>
      <c r="AM7540" s="26" t="s">
        <v>38</v>
      </c>
    </row>
    <row r="7541" spans="34:39" x14ac:dyDescent="0.35">
      <c r="AH7541" s="21"/>
      <c r="AI7541" s="21"/>
      <c r="AJ7541" s="21"/>
      <c r="AK7541" s="21"/>
      <c r="AM7541" s="26" t="s">
        <v>38</v>
      </c>
    </row>
    <row r="7542" spans="34:39" x14ac:dyDescent="0.35">
      <c r="AH7542" s="21"/>
      <c r="AI7542" s="21"/>
      <c r="AJ7542" s="21"/>
      <c r="AK7542" s="21"/>
      <c r="AM7542" s="26" t="s">
        <v>38</v>
      </c>
    </row>
    <row r="7543" spans="34:39" x14ac:dyDescent="0.35">
      <c r="AH7543" s="21"/>
      <c r="AI7543" s="21"/>
      <c r="AJ7543" s="21"/>
      <c r="AK7543" s="21"/>
      <c r="AM7543" s="26" t="s">
        <v>38</v>
      </c>
    </row>
    <row r="7544" spans="34:39" x14ac:dyDescent="0.35">
      <c r="AH7544" s="21"/>
      <c r="AI7544" s="21"/>
      <c r="AJ7544" s="21"/>
      <c r="AK7544" s="21"/>
      <c r="AM7544" s="26" t="s">
        <v>38</v>
      </c>
    </row>
    <row r="7545" spans="34:39" x14ac:dyDescent="0.35">
      <c r="AH7545" s="21"/>
      <c r="AI7545" s="21"/>
      <c r="AJ7545" s="21"/>
      <c r="AK7545" s="21"/>
      <c r="AM7545" s="26" t="s">
        <v>38</v>
      </c>
    </row>
    <row r="7546" spans="34:39" x14ac:dyDescent="0.35">
      <c r="AH7546" s="21"/>
      <c r="AI7546" s="21"/>
      <c r="AJ7546" s="21"/>
      <c r="AK7546" s="21"/>
      <c r="AM7546" s="26" t="s">
        <v>38</v>
      </c>
    </row>
    <row r="7547" spans="34:39" x14ac:dyDescent="0.35">
      <c r="AH7547" s="21"/>
      <c r="AI7547" s="21"/>
      <c r="AJ7547" s="21"/>
      <c r="AK7547" s="21"/>
      <c r="AM7547" s="26" t="s">
        <v>38</v>
      </c>
    </row>
    <row r="7548" spans="34:39" x14ac:dyDescent="0.35">
      <c r="AH7548" s="21"/>
      <c r="AI7548" s="21"/>
      <c r="AJ7548" s="21"/>
      <c r="AK7548" s="21"/>
      <c r="AM7548" s="26" t="s">
        <v>38</v>
      </c>
    </row>
    <row r="7549" spans="34:39" x14ac:dyDescent="0.35">
      <c r="AH7549" s="21"/>
      <c r="AI7549" s="21"/>
      <c r="AJ7549" s="21"/>
      <c r="AK7549" s="21"/>
      <c r="AM7549" s="26" t="s">
        <v>38</v>
      </c>
    </row>
    <row r="7550" spans="34:39" x14ac:dyDescent="0.35">
      <c r="AH7550" s="21"/>
      <c r="AI7550" s="21"/>
      <c r="AJ7550" s="21"/>
      <c r="AK7550" s="21"/>
      <c r="AM7550" s="26" t="s">
        <v>38</v>
      </c>
    </row>
    <row r="7551" spans="34:39" x14ac:dyDescent="0.35">
      <c r="AH7551" s="21"/>
      <c r="AI7551" s="21"/>
      <c r="AJ7551" s="21"/>
      <c r="AK7551" s="21"/>
      <c r="AM7551" s="26" t="s">
        <v>38</v>
      </c>
    </row>
    <row r="7552" spans="34:39" x14ac:dyDescent="0.35">
      <c r="AH7552" s="21"/>
      <c r="AI7552" s="21"/>
      <c r="AJ7552" s="21"/>
      <c r="AK7552" s="21"/>
      <c r="AM7552" s="26" t="s">
        <v>38</v>
      </c>
    </row>
    <row r="7553" spans="34:39" x14ac:dyDescent="0.35">
      <c r="AH7553" s="21"/>
      <c r="AI7553" s="21"/>
      <c r="AJ7553" s="21"/>
      <c r="AK7553" s="21"/>
      <c r="AM7553" s="26" t="s">
        <v>38</v>
      </c>
    </row>
    <row r="7554" spans="34:39" x14ac:dyDescent="0.35">
      <c r="AH7554" s="21"/>
      <c r="AI7554" s="21"/>
      <c r="AJ7554" s="21"/>
      <c r="AK7554" s="21"/>
      <c r="AM7554" s="26" t="s">
        <v>38</v>
      </c>
    </row>
    <row r="7555" spans="34:39" x14ac:dyDescent="0.35">
      <c r="AH7555" s="21"/>
      <c r="AI7555" s="21"/>
      <c r="AJ7555" s="21"/>
      <c r="AK7555" s="21"/>
      <c r="AM7555" s="26" t="s">
        <v>38</v>
      </c>
    </row>
    <row r="7556" spans="34:39" x14ac:dyDescent="0.35">
      <c r="AH7556" s="21"/>
      <c r="AI7556" s="21"/>
      <c r="AJ7556" s="21"/>
      <c r="AK7556" s="21"/>
      <c r="AM7556" s="26" t="s">
        <v>38</v>
      </c>
    </row>
    <row r="7557" spans="34:39" x14ac:dyDescent="0.35">
      <c r="AH7557" s="21"/>
      <c r="AI7557" s="21"/>
      <c r="AJ7557" s="21"/>
      <c r="AK7557" s="21"/>
      <c r="AM7557" s="26" t="s">
        <v>38</v>
      </c>
    </row>
    <row r="7558" spans="34:39" x14ac:dyDescent="0.35">
      <c r="AH7558" s="21"/>
      <c r="AI7558" s="21"/>
      <c r="AJ7558" s="21"/>
      <c r="AK7558" s="21"/>
      <c r="AM7558" s="26" t="s">
        <v>38</v>
      </c>
    </row>
    <row r="7559" spans="34:39" x14ac:dyDescent="0.35">
      <c r="AH7559" s="21"/>
      <c r="AI7559" s="21"/>
      <c r="AJ7559" s="21"/>
      <c r="AK7559" s="21"/>
      <c r="AM7559" s="26" t="s">
        <v>38</v>
      </c>
    </row>
    <row r="7560" spans="34:39" x14ac:dyDescent="0.35">
      <c r="AH7560" s="21"/>
      <c r="AI7560" s="21"/>
      <c r="AJ7560" s="21"/>
      <c r="AK7560" s="21"/>
      <c r="AM7560" s="26" t="s">
        <v>38</v>
      </c>
    </row>
    <row r="7561" spans="34:39" x14ac:dyDescent="0.35">
      <c r="AH7561" s="21"/>
      <c r="AI7561" s="21"/>
      <c r="AJ7561" s="21"/>
      <c r="AK7561" s="21"/>
      <c r="AM7561" s="26" t="s">
        <v>38</v>
      </c>
    </row>
    <row r="7562" spans="34:39" x14ac:dyDescent="0.35">
      <c r="AH7562" s="21"/>
      <c r="AI7562" s="21"/>
      <c r="AJ7562" s="21"/>
      <c r="AK7562" s="21"/>
      <c r="AM7562" s="26" t="s">
        <v>38</v>
      </c>
    </row>
    <row r="7563" spans="34:39" x14ac:dyDescent="0.35">
      <c r="AH7563" s="21"/>
      <c r="AI7563" s="21"/>
      <c r="AJ7563" s="21"/>
      <c r="AK7563" s="21"/>
      <c r="AM7563" s="26" t="s">
        <v>38</v>
      </c>
    </row>
    <row r="7564" spans="34:39" x14ac:dyDescent="0.35">
      <c r="AH7564" s="21"/>
      <c r="AI7564" s="21"/>
      <c r="AJ7564" s="21"/>
      <c r="AK7564" s="21"/>
      <c r="AM7564" s="26" t="s">
        <v>38</v>
      </c>
    </row>
    <row r="7565" spans="34:39" x14ac:dyDescent="0.35">
      <c r="AH7565" s="21"/>
      <c r="AI7565" s="21"/>
      <c r="AJ7565" s="21"/>
      <c r="AK7565" s="21"/>
      <c r="AM7565" s="26" t="s">
        <v>38</v>
      </c>
    </row>
    <row r="7566" spans="34:39" x14ac:dyDescent="0.35">
      <c r="AH7566" s="21"/>
      <c r="AI7566" s="21"/>
      <c r="AJ7566" s="21"/>
      <c r="AK7566" s="21"/>
      <c r="AM7566" s="26" t="s">
        <v>38</v>
      </c>
    </row>
    <row r="7567" spans="34:39" x14ac:dyDescent="0.35">
      <c r="AH7567" s="21"/>
      <c r="AI7567" s="21"/>
      <c r="AJ7567" s="21"/>
      <c r="AK7567" s="21"/>
      <c r="AM7567" s="26" t="s">
        <v>38</v>
      </c>
    </row>
    <row r="7568" spans="34:39" x14ac:dyDescent="0.35">
      <c r="AH7568" s="21"/>
      <c r="AI7568" s="21"/>
      <c r="AJ7568" s="21"/>
      <c r="AK7568" s="21"/>
      <c r="AM7568" s="26" t="s">
        <v>38</v>
      </c>
    </row>
    <row r="7569" spans="34:39" x14ac:dyDescent="0.35">
      <c r="AH7569" s="21"/>
      <c r="AI7569" s="21"/>
      <c r="AJ7569" s="21"/>
      <c r="AK7569" s="21"/>
      <c r="AM7569" s="26" t="s">
        <v>38</v>
      </c>
    </row>
    <row r="7570" spans="34:39" x14ac:dyDescent="0.35">
      <c r="AH7570" s="21"/>
      <c r="AI7570" s="21"/>
      <c r="AJ7570" s="21"/>
      <c r="AK7570" s="21"/>
      <c r="AM7570" s="26" t="s">
        <v>38</v>
      </c>
    </row>
    <row r="7571" spans="34:39" x14ac:dyDescent="0.35">
      <c r="AH7571" s="21"/>
      <c r="AI7571" s="21"/>
      <c r="AJ7571" s="21"/>
      <c r="AK7571" s="21"/>
      <c r="AM7571" s="26" t="s">
        <v>38</v>
      </c>
    </row>
    <row r="7572" spans="34:39" x14ac:dyDescent="0.35">
      <c r="AH7572" s="21"/>
      <c r="AI7572" s="21"/>
      <c r="AJ7572" s="21"/>
      <c r="AK7572" s="21"/>
      <c r="AM7572" s="26" t="s">
        <v>38</v>
      </c>
    </row>
    <row r="7573" spans="34:39" x14ac:dyDescent="0.35">
      <c r="AH7573" s="21"/>
      <c r="AI7573" s="21"/>
      <c r="AJ7573" s="21"/>
      <c r="AK7573" s="21"/>
      <c r="AM7573" s="26" t="s">
        <v>38</v>
      </c>
    </row>
    <row r="7574" spans="34:39" x14ac:dyDescent="0.35">
      <c r="AH7574" s="21"/>
      <c r="AI7574" s="21"/>
      <c r="AJ7574" s="21"/>
      <c r="AK7574" s="21"/>
      <c r="AM7574" s="26" t="s">
        <v>38</v>
      </c>
    </row>
    <row r="7575" spans="34:39" x14ac:dyDescent="0.35">
      <c r="AH7575" s="21"/>
      <c r="AI7575" s="21"/>
      <c r="AJ7575" s="21"/>
      <c r="AK7575" s="21"/>
      <c r="AM7575" s="26" t="s">
        <v>38</v>
      </c>
    </row>
    <row r="7576" spans="34:39" x14ac:dyDescent="0.35">
      <c r="AH7576" s="21"/>
      <c r="AI7576" s="21"/>
      <c r="AJ7576" s="21"/>
      <c r="AK7576" s="21"/>
      <c r="AM7576" s="26" t="s">
        <v>38</v>
      </c>
    </row>
    <row r="7577" spans="34:39" x14ac:dyDescent="0.35">
      <c r="AH7577" s="21"/>
      <c r="AI7577" s="21"/>
      <c r="AJ7577" s="21"/>
      <c r="AK7577" s="21"/>
      <c r="AM7577" s="26" t="s">
        <v>38</v>
      </c>
    </row>
    <row r="7578" spans="34:39" x14ac:dyDescent="0.35">
      <c r="AH7578" s="21"/>
      <c r="AI7578" s="21"/>
      <c r="AJ7578" s="21"/>
      <c r="AK7578" s="21"/>
      <c r="AM7578" s="26" t="s">
        <v>38</v>
      </c>
    </row>
    <row r="7579" spans="34:39" x14ac:dyDescent="0.35">
      <c r="AH7579" s="21"/>
      <c r="AI7579" s="21"/>
      <c r="AJ7579" s="21"/>
      <c r="AK7579" s="21"/>
      <c r="AM7579" s="26" t="s">
        <v>38</v>
      </c>
    </row>
    <row r="7580" spans="34:39" x14ac:dyDescent="0.35">
      <c r="AH7580" s="21"/>
      <c r="AI7580" s="21"/>
      <c r="AJ7580" s="21"/>
      <c r="AK7580" s="21"/>
      <c r="AM7580" s="26" t="s">
        <v>38</v>
      </c>
    </row>
    <row r="7581" spans="34:39" x14ac:dyDescent="0.35">
      <c r="AH7581" s="21"/>
      <c r="AI7581" s="21"/>
      <c r="AJ7581" s="21"/>
      <c r="AK7581" s="21"/>
      <c r="AM7581" s="26" t="s">
        <v>38</v>
      </c>
    </row>
    <row r="7582" spans="34:39" x14ac:dyDescent="0.35">
      <c r="AH7582" s="21"/>
      <c r="AI7582" s="21"/>
      <c r="AJ7582" s="21"/>
      <c r="AK7582" s="21"/>
      <c r="AM7582" s="26" t="s">
        <v>38</v>
      </c>
    </row>
    <row r="7583" spans="34:39" x14ac:dyDescent="0.35">
      <c r="AH7583" s="21"/>
      <c r="AI7583" s="21"/>
      <c r="AJ7583" s="21"/>
      <c r="AK7583" s="21"/>
      <c r="AM7583" s="26" t="s">
        <v>38</v>
      </c>
    </row>
    <row r="7584" spans="34:39" x14ac:dyDescent="0.35">
      <c r="AH7584" s="21"/>
      <c r="AI7584" s="21"/>
      <c r="AJ7584" s="21"/>
      <c r="AK7584" s="21"/>
      <c r="AM7584" s="26" t="s">
        <v>38</v>
      </c>
    </row>
    <row r="7585" spans="34:39" x14ac:dyDescent="0.35">
      <c r="AH7585" s="21"/>
      <c r="AI7585" s="21"/>
      <c r="AJ7585" s="21"/>
      <c r="AK7585" s="21"/>
      <c r="AM7585" s="26" t="s">
        <v>38</v>
      </c>
    </row>
    <row r="7586" spans="34:39" x14ac:dyDescent="0.35">
      <c r="AH7586" s="21"/>
      <c r="AI7586" s="21"/>
      <c r="AJ7586" s="21"/>
      <c r="AK7586" s="21"/>
      <c r="AM7586" s="26" t="s">
        <v>38</v>
      </c>
    </row>
    <row r="7587" spans="34:39" x14ac:dyDescent="0.35">
      <c r="AH7587" s="21"/>
      <c r="AI7587" s="21"/>
      <c r="AJ7587" s="21"/>
      <c r="AK7587" s="21"/>
      <c r="AM7587" s="26" t="s">
        <v>38</v>
      </c>
    </row>
    <row r="7588" spans="34:39" x14ac:dyDescent="0.35">
      <c r="AH7588" s="21"/>
      <c r="AI7588" s="21"/>
      <c r="AJ7588" s="21"/>
      <c r="AK7588" s="21"/>
      <c r="AM7588" s="26" t="s">
        <v>38</v>
      </c>
    </row>
    <row r="7589" spans="34:39" x14ac:dyDescent="0.35">
      <c r="AH7589" s="21"/>
      <c r="AI7589" s="21"/>
      <c r="AJ7589" s="21"/>
      <c r="AK7589" s="21"/>
      <c r="AM7589" s="26" t="s">
        <v>38</v>
      </c>
    </row>
    <row r="7590" spans="34:39" x14ac:dyDescent="0.35">
      <c r="AH7590" s="21"/>
      <c r="AI7590" s="21"/>
      <c r="AJ7590" s="21"/>
      <c r="AK7590" s="21"/>
      <c r="AM7590" s="26" t="s">
        <v>38</v>
      </c>
    </row>
    <row r="7591" spans="34:39" x14ac:dyDescent="0.35">
      <c r="AH7591" s="21"/>
      <c r="AI7591" s="21"/>
      <c r="AJ7591" s="21"/>
      <c r="AK7591" s="21"/>
      <c r="AM7591" s="26" t="s">
        <v>38</v>
      </c>
    </row>
    <row r="7592" spans="34:39" x14ac:dyDescent="0.35">
      <c r="AH7592" s="21"/>
      <c r="AI7592" s="21"/>
      <c r="AJ7592" s="21"/>
      <c r="AK7592" s="21"/>
      <c r="AM7592" s="26" t="s">
        <v>38</v>
      </c>
    </row>
    <row r="7593" spans="34:39" x14ac:dyDescent="0.35">
      <c r="AH7593" s="21"/>
      <c r="AI7593" s="21"/>
      <c r="AJ7593" s="21"/>
      <c r="AK7593" s="21"/>
      <c r="AM7593" s="26" t="s">
        <v>38</v>
      </c>
    </row>
    <row r="7594" spans="34:39" x14ac:dyDescent="0.35">
      <c r="AH7594" s="21"/>
      <c r="AI7594" s="21"/>
      <c r="AJ7594" s="21"/>
      <c r="AK7594" s="21"/>
      <c r="AM7594" s="26" t="s">
        <v>38</v>
      </c>
    </row>
    <row r="7595" spans="34:39" x14ac:dyDescent="0.35">
      <c r="AH7595" s="21"/>
      <c r="AI7595" s="21"/>
      <c r="AJ7595" s="21"/>
      <c r="AK7595" s="21"/>
      <c r="AM7595" s="26" t="s">
        <v>38</v>
      </c>
    </row>
    <row r="7596" spans="34:39" x14ac:dyDescent="0.35">
      <c r="AH7596" s="21"/>
      <c r="AI7596" s="21"/>
      <c r="AJ7596" s="21"/>
      <c r="AK7596" s="21"/>
      <c r="AM7596" s="26" t="s">
        <v>38</v>
      </c>
    </row>
    <row r="7597" spans="34:39" x14ac:dyDescent="0.35">
      <c r="AH7597" s="21"/>
      <c r="AI7597" s="21"/>
      <c r="AJ7597" s="21"/>
      <c r="AK7597" s="21"/>
      <c r="AM7597" s="26" t="s">
        <v>38</v>
      </c>
    </row>
    <row r="7598" spans="34:39" x14ac:dyDescent="0.35">
      <c r="AH7598" s="21"/>
      <c r="AI7598" s="21"/>
      <c r="AJ7598" s="21"/>
      <c r="AK7598" s="21"/>
      <c r="AM7598" s="26" t="s">
        <v>38</v>
      </c>
    </row>
    <row r="7599" spans="34:39" x14ac:dyDescent="0.35">
      <c r="AH7599" s="21"/>
      <c r="AI7599" s="21"/>
      <c r="AJ7599" s="21"/>
      <c r="AK7599" s="21"/>
      <c r="AM7599" s="26" t="s">
        <v>38</v>
      </c>
    </row>
    <row r="7600" spans="34:39" x14ac:dyDescent="0.35">
      <c r="AH7600" s="21"/>
      <c r="AI7600" s="21"/>
      <c r="AJ7600" s="21"/>
      <c r="AK7600" s="21"/>
      <c r="AM7600" s="26" t="s">
        <v>38</v>
      </c>
    </row>
    <row r="7601" spans="34:39" x14ac:dyDescent="0.35">
      <c r="AH7601" s="21"/>
      <c r="AI7601" s="21"/>
      <c r="AJ7601" s="21"/>
      <c r="AK7601" s="21"/>
      <c r="AM7601" s="26" t="s">
        <v>38</v>
      </c>
    </row>
    <row r="7602" spans="34:39" x14ac:dyDescent="0.35">
      <c r="AH7602" s="21"/>
      <c r="AI7602" s="21"/>
      <c r="AJ7602" s="21"/>
      <c r="AK7602" s="21"/>
      <c r="AM7602" s="26" t="s">
        <v>38</v>
      </c>
    </row>
    <row r="7603" spans="34:39" x14ac:dyDescent="0.35">
      <c r="AH7603" s="21"/>
      <c r="AI7603" s="21"/>
      <c r="AJ7603" s="21"/>
      <c r="AK7603" s="21"/>
      <c r="AM7603" s="26" t="s">
        <v>38</v>
      </c>
    </row>
    <row r="7604" spans="34:39" x14ac:dyDescent="0.35">
      <c r="AH7604" s="21"/>
      <c r="AI7604" s="21"/>
      <c r="AJ7604" s="21"/>
      <c r="AK7604" s="21"/>
      <c r="AM7604" s="26" t="s">
        <v>38</v>
      </c>
    </row>
    <row r="7605" spans="34:39" x14ac:dyDescent="0.35">
      <c r="AH7605" s="21"/>
      <c r="AI7605" s="21"/>
      <c r="AJ7605" s="21"/>
      <c r="AK7605" s="21"/>
      <c r="AM7605" s="26" t="s">
        <v>38</v>
      </c>
    </row>
    <row r="7606" spans="34:39" x14ac:dyDescent="0.35">
      <c r="AH7606" s="21"/>
      <c r="AI7606" s="21"/>
      <c r="AJ7606" s="21"/>
      <c r="AK7606" s="21"/>
      <c r="AM7606" s="26" t="s">
        <v>38</v>
      </c>
    </row>
    <row r="7607" spans="34:39" x14ac:dyDescent="0.35">
      <c r="AH7607" s="21"/>
      <c r="AI7607" s="21"/>
      <c r="AJ7607" s="21"/>
      <c r="AK7607" s="21"/>
      <c r="AM7607" s="26" t="s">
        <v>38</v>
      </c>
    </row>
    <row r="7608" spans="34:39" x14ac:dyDescent="0.35">
      <c r="AH7608" s="21"/>
      <c r="AI7608" s="21"/>
      <c r="AJ7608" s="21"/>
      <c r="AK7608" s="21"/>
      <c r="AM7608" s="26" t="s">
        <v>38</v>
      </c>
    </row>
    <row r="7609" spans="34:39" x14ac:dyDescent="0.35">
      <c r="AH7609" s="21"/>
      <c r="AI7609" s="21"/>
      <c r="AJ7609" s="21"/>
      <c r="AK7609" s="21"/>
      <c r="AM7609" s="26" t="s">
        <v>38</v>
      </c>
    </row>
    <row r="7610" spans="34:39" x14ac:dyDescent="0.35">
      <c r="AH7610" s="21"/>
      <c r="AI7610" s="21"/>
      <c r="AJ7610" s="21"/>
      <c r="AK7610" s="21"/>
      <c r="AM7610" s="26" t="s">
        <v>38</v>
      </c>
    </row>
    <row r="7611" spans="34:39" x14ac:dyDescent="0.35">
      <c r="AH7611" s="21"/>
      <c r="AI7611" s="21"/>
      <c r="AJ7611" s="21"/>
      <c r="AK7611" s="21"/>
      <c r="AM7611" s="26" t="s">
        <v>38</v>
      </c>
    </row>
    <row r="7612" spans="34:39" x14ac:dyDescent="0.35">
      <c r="AH7612" s="21"/>
      <c r="AI7612" s="21"/>
      <c r="AJ7612" s="21"/>
      <c r="AK7612" s="21"/>
      <c r="AM7612" s="26" t="s">
        <v>38</v>
      </c>
    </row>
    <row r="7613" spans="34:39" x14ac:dyDescent="0.35">
      <c r="AH7613" s="21"/>
      <c r="AI7613" s="21"/>
      <c r="AJ7613" s="21"/>
      <c r="AK7613" s="21"/>
      <c r="AM7613" s="26" t="s">
        <v>38</v>
      </c>
    </row>
    <row r="7614" spans="34:39" x14ac:dyDescent="0.35">
      <c r="AH7614" s="21"/>
      <c r="AI7614" s="21"/>
      <c r="AJ7614" s="21"/>
      <c r="AK7614" s="21"/>
      <c r="AM7614" s="26" t="s">
        <v>38</v>
      </c>
    </row>
    <row r="7615" spans="34:39" x14ac:dyDescent="0.35">
      <c r="AH7615" s="21"/>
      <c r="AI7615" s="21"/>
      <c r="AJ7615" s="21"/>
      <c r="AK7615" s="21"/>
      <c r="AM7615" s="26" t="s">
        <v>38</v>
      </c>
    </row>
    <row r="7616" spans="34:39" x14ac:dyDescent="0.35">
      <c r="AH7616" s="21"/>
      <c r="AI7616" s="21"/>
      <c r="AJ7616" s="21"/>
      <c r="AK7616" s="21"/>
      <c r="AM7616" s="26" t="s">
        <v>38</v>
      </c>
    </row>
    <row r="7617" spans="34:39" x14ac:dyDescent="0.35">
      <c r="AH7617" s="21"/>
      <c r="AI7617" s="21"/>
      <c r="AJ7617" s="21"/>
      <c r="AK7617" s="21"/>
      <c r="AM7617" s="26" t="s">
        <v>38</v>
      </c>
    </row>
    <row r="7618" spans="34:39" x14ac:dyDescent="0.35">
      <c r="AH7618" s="21"/>
      <c r="AI7618" s="21"/>
      <c r="AJ7618" s="21"/>
      <c r="AK7618" s="21"/>
      <c r="AM7618" s="26" t="s">
        <v>38</v>
      </c>
    </row>
    <row r="7619" spans="34:39" x14ac:dyDescent="0.35">
      <c r="AH7619" s="21"/>
      <c r="AI7619" s="21"/>
      <c r="AJ7619" s="21"/>
      <c r="AK7619" s="21"/>
      <c r="AM7619" s="26" t="s">
        <v>38</v>
      </c>
    </row>
    <row r="7620" spans="34:39" x14ac:dyDescent="0.35">
      <c r="AH7620" s="21"/>
      <c r="AI7620" s="21"/>
      <c r="AJ7620" s="21"/>
      <c r="AK7620" s="21"/>
      <c r="AM7620" s="26" t="s">
        <v>38</v>
      </c>
    </row>
    <row r="7621" spans="34:39" x14ac:dyDescent="0.35">
      <c r="AH7621" s="21"/>
      <c r="AI7621" s="21"/>
      <c r="AJ7621" s="21"/>
      <c r="AK7621" s="21"/>
      <c r="AM7621" s="26" t="s">
        <v>38</v>
      </c>
    </row>
    <row r="7622" spans="34:39" x14ac:dyDescent="0.35">
      <c r="AH7622" s="21"/>
      <c r="AI7622" s="21"/>
      <c r="AJ7622" s="21"/>
      <c r="AK7622" s="21"/>
      <c r="AM7622" s="26" t="s">
        <v>38</v>
      </c>
    </row>
    <row r="7623" spans="34:39" x14ac:dyDescent="0.35">
      <c r="AH7623" s="21"/>
      <c r="AI7623" s="21"/>
      <c r="AJ7623" s="21"/>
      <c r="AK7623" s="21"/>
      <c r="AM7623" s="26" t="s">
        <v>38</v>
      </c>
    </row>
    <row r="7624" spans="34:39" x14ac:dyDescent="0.35">
      <c r="AH7624" s="21"/>
      <c r="AI7624" s="21"/>
      <c r="AJ7624" s="21"/>
      <c r="AK7624" s="21"/>
      <c r="AM7624" s="26" t="s">
        <v>38</v>
      </c>
    </row>
    <row r="7625" spans="34:39" x14ac:dyDescent="0.35">
      <c r="AH7625" s="21"/>
      <c r="AI7625" s="21"/>
      <c r="AJ7625" s="21"/>
      <c r="AK7625" s="21"/>
      <c r="AM7625" s="26" t="s">
        <v>38</v>
      </c>
    </row>
    <row r="7626" spans="34:39" x14ac:dyDescent="0.35">
      <c r="AH7626" s="21"/>
      <c r="AI7626" s="21"/>
      <c r="AJ7626" s="21"/>
      <c r="AK7626" s="21"/>
      <c r="AM7626" s="26" t="s">
        <v>38</v>
      </c>
    </row>
    <row r="7627" spans="34:39" x14ac:dyDescent="0.35">
      <c r="AH7627" s="21"/>
      <c r="AI7627" s="21"/>
      <c r="AJ7627" s="21"/>
      <c r="AK7627" s="21"/>
      <c r="AM7627" s="26" t="s">
        <v>38</v>
      </c>
    </row>
    <row r="7628" spans="34:39" x14ac:dyDescent="0.35">
      <c r="AH7628" s="21"/>
      <c r="AI7628" s="21"/>
      <c r="AJ7628" s="21"/>
      <c r="AK7628" s="21"/>
      <c r="AM7628" s="26" t="s">
        <v>38</v>
      </c>
    </row>
    <row r="7629" spans="34:39" x14ac:dyDescent="0.35">
      <c r="AH7629" s="21"/>
      <c r="AI7629" s="21"/>
      <c r="AJ7629" s="21"/>
      <c r="AK7629" s="21"/>
      <c r="AM7629" s="26" t="s">
        <v>38</v>
      </c>
    </row>
    <row r="7630" spans="34:39" x14ac:dyDescent="0.35">
      <c r="AH7630" s="21"/>
      <c r="AI7630" s="21"/>
      <c r="AJ7630" s="21"/>
      <c r="AK7630" s="21"/>
      <c r="AM7630" s="26" t="s">
        <v>38</v>
      </c>
    </row>
    <row r="7631" spans="34:39" x14ac:dyDescent="0.35">
      <c r="AH7631" s="21"/>
      <c r="AI7631" s="21"/>
      <c r="AJ7631" s="21"/>
      <c r="AK7631" s="21"/>
      <c r="AM7631" s="26" t="s">
        <v>38</v>
      </c>
    </row>
    <row r="7632" spans="34:39" x14ac:dyDescent="0.35">
      <c r="AH7632" s="21"/>
      <c r="AI7632" s="21"/>
      <c r="AJ7632" s="21"/>
      <c r="AK7632" s="21"/>
      <c r="AM7632" s="26" t="s">
        <v>38</v>
      </c>
    </row>
    <row r="7633" spans="34:39" x14ac:dyDescent="0.35">
      <c r="AH7633" s="21"/>
      <c r="AI7633" s="21"/>
      <c r="AJ7633" s="21"/>
      <c r="AK7633" s="21"/>
      <c r="AM7633" s="26" t="s">
        <v>38</v>
      </c>
    </row>
    <row r="7634" spans="34:39" x14ac:dyDescent="0.35">
      <c r="AH7634" s="21"/>
      <c r="AI7634" s="21"/>
      <c r="AJ7634" s="21"/>
      <c r="AK7634" s="21"/>
      <c r="AM7634" s="26" t="s">
        <v>38</v>
      </c>
    </row>
    <row r="7635" spans="34:39" x14ac:dyDescent="0.35">
      <c r="AH7635" s="21"/>
      <c r="AI7635" s="21"/>
      <c r="AJ7635" s="21"/>
      <c r="AK7635" s="21"/>
      <c r="AM7635" s="26" t="s">
        <v>38</v>
      </c>
    </row>
    <row r="7636" spans="34:39" x14ac:dyDescent="0.35">
      <c r="AH7636" s="21"/>
      <c r="AI7636" s="21"/>
      <c r="AJ7636" s="21"/>
      <c r="AK7636" s="21"/>
      <c r="AM7636" s="26" t="s">
        <v>38</v>
      </c>
    </row>
    <row r="7637" spans="34:39" x14ac:dyDescent="0.35">
      <c r="AH7637" s="21"/>
      <c r="AI7637" s="21"/>
      <c r="AJ7637" s="21"/>
      <c r="AK7637" s="21"/>
      <c r="AM7637" s="26" t="s">
        <v>38</v>
      </c>
    </row>
    <row r="7638" spans="34:39" x14ac:dyDescent="0.35">
      <c r="AH7638" s="21"/>
      <c r="AI7638" s="21"/>
      <c r="AJ7638" s="21"/>
      <c r="AK7638" s="21"/>
      <c r="AM7638" s="26" t="s">
        <v>38</v>
      </c>
    </row>
    <row r="7639" spans="34:39" x14ac:dyDescent="0.35">
      <c r="AH7639" s="21"/>
      <c r="AI7639" s="21"/>
      <c r="AJ7639" s="21"/>
      <c r="AK7639" s="21"/>
      <c r="AM7639" s="26" t="s">
        <v>38</v>
      </c>
    </row>
    <row r="7640" spans="34:39" x14ac:dyDescent="0.35">
      <c r="AH7640" s="21"/>
      <c r="AI7640" s="21"/>
      <c r="AJ7640" s="21"/>
      <c r="AK7640" s="21"/>
      <c r="AM7640" s="26" t="s">
        <v>38</v>
      </c>
    </row>
    <row r="7641" spans="34:39" x14ac:dyDescent="0.35">
      <c r="AH7641" s="21"/>
      <c r="AI7641" s="21"/>
      <c r="AJ7641" s="21"/>
      <c r="AK7641" s="21"/>
      <c r="AM7641" s="26" t="s">
        <v>38</v>
      </c>
    </row>
    <row r="7642" spans="34:39" x14ac:dyDescent="0.35">
      <c r="AH7642" s="21"/>
      <c r="AI7642" s="21"/>
      <c r="AJ7642" s="21"/>
      <c r="AK7642" s="21"/>
      <c r="AM7642" s="26" t="s">
        <v>38</v>
      </c>
    </row>
    <row r="7643" spans="34:39" x14ac:dyDescent="0.35">
      <c r="AH7643" s="21"/>
      <c r="AI7643" s="21"/>
      <c r="AJ7643" s="21"/>
      <c r="AK7643" s="21"/>
      <c r="AM7643" s="26" t="s">
        <v>38</v>
      </c>
    </row>
    <row r="7644" spans="34:39" x14ac:dyDescent="0.35">
      <c r="AH7644" s="21"/>
      <c r="AI7644" s="21"/>
      <c r="AJ7644" s="21"/>
      <c r="AK7644" s="21"/>
      <c r="AM7644" s="26" t="s">
        <v>38</v>
      </c>
    </row>
    <row r="7645" spans="34:39" x14ac:dyDescent="0.35">
      <c r="AH7645" s="21"/>
      <c r="AI7645" s="21"/>
      <c r="AJ7645" s="21"/>
      <c r="AK7645" s="21"/>
      <c r="AM7645" s="26" t="s">
        <v>38</v>
      </c>
    </row>
    <row r="7646" spans="34:39" x14ac:dyDescent="0.35">
      <c r="AH7646" s="21"/>
      <c r="AI7646" s="21"/>
      <c r="AJ7646" s="21"/>
      <c r="AK7646" s="21"/>
      <c r="AM7646" s="26" t="s">
        <v>38</v>
      </c>
    </row>
    <row r="7647" spans="34:39" x14ac:dyDescent="0.35">
      <c r="AH7647" s="21"/>
      <c r="AI7647" s="21"/>
      <c r="AJ7647" s="21"/>
      <c r="AK7647" s="21"/>
      <c r="AM7647" s="26" t="s">
        <v>38</v>
      </c>
    </row>
    <row r="7648" spans="34:39" x14ac:dyDescent="0.35">
      <c r="AH7648" s="21"/>
      <c r="AI7648" s="21"/>
      <c r="AJ7648" s="21"/>
      <c r="AK7648" s="21"/>
      <c r="AM7648" s="26" t="s">
        <v>38</v>
      </c>
    </row>
    <row r="7649" spans="34:39" x14ac:dyDescent="0.35">
      <c r="AH7649" s="21"/>
      <c r="AI7649" s="21"/>
      <c r="AJ7649" s="21"/>
      <c r="AK7649" s="21"/>
      <c r="AM7649" s="26" t="s">
        <v>38</v>
      </c>
    </row>
    <row r="7650" spans="34:39" x14ac:dyDescent="0.35">
      <c r="AH7650" s="21"/>
      <c r="AI7650" s="21"/>
      <c r="AJ7650" s="21"/>
      <c r="AK7650" s="21"/>
      <c r="AM7650" s="26" t="s">
        <v>38</v>
      </c>
    </row>
    <row r="7651" spans="34:39" x14ac:dyDescent="0.35">
      <c r="AH7651" s="21"/>
      <c r="AI7651" s="21"/>
      <c r="AJ7651" s="21"/>
      <c r="AK7651" s="21"/>
      <c r="AM7651" s="26" t="s">
        <v>38</v>
      </c>
    </row>
    <row r="7652" spans="34:39" x14ac:dyDescent="0.35">
      <c r="AH7652" s="21"/>
      <c r="AI7652" s="21"/>
      <c r="AJ7652" s="21"/>
      <c r="AK7652" s="21"/>
      <c r="AM7652" s="26" t="s">
        <v>38</v>
      </c>
    </row>
    <row r="7653" spans="34:39" x14ac:dyDescent="0.35">
      <c r="AH7653" s="21"/>
      <c r="AI7653" s="21"/>
      <c r="AJ7653" s="21"/>
      <c r="AK7653" s="21"/>
      <c r="AM7653" s="26" t="s">
        <v>38</v>
      </c>
    </row>
    <row r="7654" spans="34:39" x14ac:dyDescent="0.35">
      <c r="AH7654" s="21"/>
      <c r="AI7654" s="21"/>
      <c r="AJ7654" s="21"/>
      <c r="AK7654" s="21"/>
      <c r="AM7654" s="26" t="s">
        <v>38</v>
      </c>
    </row>
    <row r="7655" spans="34:39" x14ac:dyDescent="0.35">
      <c r="AH7655" s="21"/>
      <c r="AI7655" s="21"/>
      <c r="AJ7655" s="21"/>
      <c r="AK7655" s="21"/>
      <c r="AM7655" s="26" t="s">
        <v>38</v>
      </c>
    </row>
    <row r="7656" spans="34:39" x14ac:dyDescent="0.35">
      <c r="AH7656" s="21"/>
      <c r="AI7656" s="21"/>
      <c r="AJ7656" s="21"/>
      <c r="AK7656" s="21"/>
      <c r="AM7656" s="26" t="s">
        <v>38</v>
      </c>
    </row>
    <row r="7657" spans="34:39" x14ac:dyDescent="0.35">
      <c r="AH7657" s="21"/>
      <c r="AI7657" s="21"/>
      <c r="AJ7657" s="21"/>
      <c r="AK7657" s="21"/>
      <c r="AM7657" s="26" t="s">
        <v>38</v>
      </c>
    </row>
    <row r="7658" spans="34:39" x14ac:dyDescent="0.35">
      <c r="AH7658" s="21"/>
      <c r="AI7658" s="21"/>
      <c r="AJ7658" s="21"/>
      <c r="AK7658" s="21"/>
      <c r="AM7658" s="26" t="s">
        <v>38</v>
      </c>
    </row>
    <row r="7659" spans="34:39" x14ac:dyDescent="0.35">
      <c r="AH7659" s="21"/>
      <c r="AI7659" s="21"/>
      <c r="AJ7659" s="21"/>
      <c r="AK7659" s="21"/>
      <c r="AM7659" s="26" t="s">
        <v>38</v>
      </c>
    </row>
    <row r="7660" spans="34:39" x14ac:dyDescent="0.35">
      <c r="AH7660" s="21"/>
      <c r="AI7660" s="21"/>
      <c r="AJ7660" s="21"/>
      <c r="AK7660" s="21"/>
      <c r="AM7660" s="26" t="s">
        <v>38</v>
      </c>
    </row>
    <row r="7661" spans="34:39" x14ac:dyDescent="0.35">
      <c r="AH7661" s="21"/>
      <c r="AI7661" s="21"/>
      <c r="AJ7661" s="21"/>
      <c r="AK7661" s="21"/>
      <c r="AM7661" s="26" t="s">
        <v>38</v>
      </c>
    </row>
    <row r="7662" spans="34:39" x14ac:dyDescent="0.35">
      <c r="AH7662" s="21"/>
      <c r="AI7662" s="21"/>
      <c r="AJ7662" s="21"/>
      <c r="AK7662" s="21"/>
      <c r="AM7662" s="26" t="s">
        <v>38</v>
      </c>
    </row>
    <row r="7663" spans="34:39" x14ac:dyDescent="0.35">
      <c r="AH7663" s="21"/>
      <c r="AI7663" s="21"/>
      <c r="AJ7663" s="21"/>
      <c r="AK7663" s="21"/>
      <c r="AM7663" s="26" t="s">
        <v>38</v>
      </c>
    </row>
    <row r="7664" spans="34:39" x14ac:dyDescent="0.35">
      <c r="AH7664" s="21"/>
      <c r="AI7664" s="21"/>
      <c r="AJ7664" s="21"/>
      <c r="AK7664" s="21"/>
      <c r="AM7664" s="26" t="s">
        <v>38</v>
      </c>
    </row>
    <row r="7665" spans="34:39" x14ac:dyDescent="0.35">
      <c r="AH7665" s="21"/>
      <c r="AI7665" s="21"/>
      <c r="AJ7665" s="21"/>
      <c r="AK7665" s="21"/>
      <c r="AM7665" s="26" t="s">
        <v>38</v>
      </c>
    </row>
    <row r="7666" spans="34:39" x14ac:dyDescent="0.35">
      <c r="AH7666" s="21"/>
      <c r="AI7666" s="21"/>
      <c r="AJ7666" s="21"/>
      <c r="AK7666" s="21"/>
      <c r="AM7666" s="26" t="s">
        <v>38</v>
      </c>
    </row>
    <row r="7667" spans="34:39" x14ac:dyDescent="0.35">
      <c r="AH7667" s="21"/>
      <c r="AI7667" s="21"/>
      <c r="AJ7667" s="21"/>
      <c r="AK7667" s="21"/>
      <c r="AM7667" s="26" t="s">
        <v>38</v>
      </c>
    </row>
    <row r="7668" spans="34:39" x14ac:dyDescent="0.35">
      <c r="AH7668" s="21"/>
      <c r="AI7668" s="21"/>
      <c r="AJ7668" s="21"/>
      <c r="AK7668" s="21"/>
      <c r="AM7668" s="26" t="s">
        <v>38</v>
      </c>
    </row>
    <row r="7669" spans="34:39" x14ac:dyDescent="0.35">
      <c r="AH7669" s="21"/>
      <c r="AI7669" s="21"/>
      <c r="AJ7669" s="21"/>
      <c r="AK7669" s="21"/>
      <c r="AM7669" s="26" t="s">
        <v>38</v>
      </c>
    </row>
    <row r="7670" spans="34:39" x14ac:dyDescent="0.35">
      <c r="AH7670" s="21"/>
      <c r="AI7670" s="21"/>
      <c r="AJ7670" s="21"/>
      <c r="AK7670" s="21"/>
      <c r="AM7670" s="26" t="s">
        <v>38</v>
      </c>
    </row>
    <row r="7671" spans="34:39" x14ac:dyDescent="0.35">
      <c r="AH7671" s="21"/>
      <c r="AI7671" s="21"/>
      <c r="AJ7671" s="21"/>
      <c r="AK7671" s="21"/>
      <c r="AM7671" s="26" t="s">
        <v>38</v>
      </c>
    </row>
    <row r="7672" spans="34:39" x14ac:dyDescent="0.35">
      <c r="AH7672" s="21"/>
      <c r="AI7672" s="21"/>
      <c r="AJ7672" s="21"/>
      <c r="AK7672" s="21"/>
      <c r="AM7672" s="26" t="s">
        <v>38</v>
      </c>
    </row>
    <row r="7673" spans="34:39" x14ac:dyDescent="0.35">
      <c r="AH7673" s="21"/>
      <c r="AI7673" s="21"/>
      <c r="AJ7673" s="21"/>
      <c r="AK7673" s="21"/>
      <c r="AM7673" s="26" t="s">
        <v>38</v>
      </c>
    </row>
    <row r="7674" spans="34:39" x14ac:dyDescent="0.35">
      <c r="AH7674" s="21"/>
      <c r="AI7674" s="21"/>
      <c r="AJ7674" s="21"/>
      <c r="AK7674" s="21"/>
      <c r="AM7674" s="26" t="s">
        <v>38</v>
      </c>
    </row>
    <row r="7675" spans="34:39" x14ac:dyDescent="0.35">
      <c r="AH7675" s="21"/>
      <c r="AI7675" s="21"/>
      <c r="AJ7675" s="21"/>
      <c r="AK7675" s="21"/>
      <c r="AM7675" s="26" t="s">
        <v>38</v>
      </c>
    </row>
    <row r="7676" spans="34:39" x14ac:dyDescent="0.35">
      <c r="AH7676" s="21"/>
      <c r="AI7676" s="21"/>
      <c r="AJ7676" s="21"/>
      <c r="AK7676" s="21"/>
      <c r="AM7676" s="26" t="s">
        <v>38</v>
      </c>
    </row>
    <row r="7677" spans="34:39" x14ac:dyDescent="0.35">
      <c r="AH7677" s="21"/>
      <c r="AI7677" s="21"/>
      <c r="AJ7677" s="21"/>
      <c r="AK7677" s="21"/>
      <c r="AM7677" s="26" t="s">
        <v>38</v>
      </c>
    </row>
    <row r="7678" spans="34:39" x14ac:dyDescent="0.35">
      <c r="AH7678" s="21"/>
      <c r="AI7678" s="21"/>
      <c r="AJ7678" s="21"/>
      <c r="AK7678" s="21"/>
      <c r="AM7678" s="26" t="s">
        <v>38</v>
      </c>
    </row>
    <row r="7679" spans="34:39" x14ac:dyDescent="0.35">
      <c r="AH7679" s="21"/>
      <c r="AI7679" s="21"/>
      <c r="AJ7679" s="21"/>
      <c r="AK7679" s="21"/>
      <c r="AM7679" s="26" t="s">
        <v>38</v>
      </c>
    </row>
    <row r="7680" spans="34:39" x14ac:dyDescent="0.35">
      <c r="AH7680" s="21"/>
      <c r="AI7680" s="21"/>
      <c r="AJ7680" s="21"/>
      <c r="AK7680" s="21"/>
      <c r="AM7680" s="26" t="s">
        <v>38</v>
      </c>
    </row>
    <row r="7681" spans="34:39" x14ac:dyDescent="0.35">
      <c r="AH7681" s="21"/>
      <c r="AI7681" s="21"/>
      <c r="AJ7681" s="21"/>
      <c r="AK7681" s="21"/>
      <c r="AM7681" s="26" t="s">
        <v>38</v>
      </c>
    </row>
    <row r="7682" spans="34:39" x14ac:dyDescent="0.35">
      <c r="AH7682" s="21"/>
      <c r="AI7682" s="21"/>
      <c r="AJ7682" s="21"/>
      <c r="AK7682" s="21"/>
      <c r="AM7682" s="26" t="s">
        <v>38</v>
      </c>
    </row>
    <row r="7683" spans="34:39" x14ac:dyDescent="0.35">
      <c r="AH7683" s="21"/>
      <c r="AI7683" s="21"/>
      <c r="AJ7683" s="21"/>
      <c r="AK7683" s="21"/>
      <c r="AM7683" s="26" t="s">
        <v>38</v>
      </c>
    </row>
    <row r="7684" spans="34:39" x14ac:dyDescent="0.35">
      <c r="AH7684" s="21"/>
      <c r="AI7684" s="21"/>
      <c r="AJ7684" s="21"/>
      <c r="AK7684" s="21"/>
      <c r="AM7684" s="26" t="s">
        <v>38</v>
      </c>
    </row>
    <row r="7685" spans="34:39" x14ac:dyDescent="0.35">
      <c r="AH7685" s="21"/>
      <c r="AI7685" s="21"/>
      <c r="AJ7685" s="21"/>
      <c r="AK7685" s="21"/>
      <c r="AM7685" s="26" t="s">
        <v>38</v>
      </c>
    </row>
    <row r="7686" spans="34:39" x14ac:dyDescent="0.35">
      <c r="AH7686" s="21"/>
      <c r="AI7686" s="21"/>
      <c r="AJ7686" s="21"/>
      <c r="AK7686" s="21"/>
      <c r="AM7686" s="26" t="s">
        <v>38</v>
      </c>
    </row>
    <row r="7687" spans="34:39" x14ac:dyDescent="0.35">
      <c r="AH7687" s="21"/>
      <c r="AI7687" s="21"/>
      <c r="AJ7687" s="21"/>
      <c r="AK7687" s="21"/>
      <c r="AM7687" s="26" t="s">
        <v>38</v>
      </c>
    </row>
    <row r="7688" spans="34:39" x14ac:dyDescent="0.35">
      <c r="AH7688" s="21"/>
      <c r="AI7688" s="21"/>
      <c r="AJ7688" s="21"/>
      <c r="AK7688" s="21"/>
      <c r="AM7688" s="26" t="s">
        <v>38</v>
      </c>
    </row>
    <row r="7689" spans="34:39" x14ac:dyDescent="0.35">
      <c r="AH7689" s="21"/>
      <c r="AI7689" s="21"/>
      <c r="AJ7689" s="21"/>
      <c r="AK7689" s="21"/>
      <c r="AM7689" s="26" t="s">
        <v>38</v>
      </c>
    </row>
    <row r="7690" spans="34:39" x14ac:dyDescent="0.35">
      <c r="AH7690" s="21"/>
      <c r="AI7690" s="21"/>
      <c r="AJ7690" s="21"/>
      <c r="AK7690" s="21"/>
      <c r="AM7690" s="26" t="s">
        <v>38</v>
      </c>
    </row>
    <row r="7691" spans="34:39" x14ac:dyDescent="0.35">
      <c r="AH7691" s="21"/>
      <c r="AI7691" s="21"/>
      <c r="AJ7691" s="21"/>
      <c r="AK7691" s="21"/>
      <c r="AM7691" s="26" t="s">
        <v>38</v>
      </c>
    </row>
    <row r="7692" spans="34:39" x14ac:dyDescent="0.35">
      <c r="AH7692" s="21"/>
      <c r="AI7692" s="21"/>
      <c r="AJ7692" s="21"/>
      <c r="AK7692" s="21"/>
      <c r="AM7692" s="26" t="s">
        <v>38</v>
      </c>
    </row>
    <row r="7693" spans="34:39" x14ac:dyDescent="0.35">
      <c r="AH7693" s="21"/>
      <c r="AI7693" s="21"/>
      <c r="AJ7693" s="21"/>
      <c r="AK7693" s="21"/>
      <c r="AM7693" s="26" t="s">
        <v>38</v>
      </c>
    </row>
    <row r="7694" spans="34:39" x14ac:dyDescent="0.35">
      <c r="AH7694" s="21"/>
      <c r="AI7694" s="21"/>
      <c r="AJ7694" s="21"/>
      <c r="AK7694" s="21"/>
      <c r="AM7694" s="26" t="s">
        <v>38</v>
      </c>
    </row>
    <row r="7695" spans="34:39" x14ac:dyDescent="0.35">
      <c r="AH7695" s="21"/>
      <c r="AI7695" s="21"/>
      <c r="AJ7695" s="21"/>
      <c r="AK7695" s="21"/>
      <c r="AM7695" s="26" t="s">
        <v>38</v>
      </c>
    </row>
    <row r="7696" spans="34:39" x14ac:dyDescent="0.35">
      <c r="AH7696" s="21"/>
      <c r="AI7696" s="21"/>
      <c r="AJ7696" s="21"/>
      <c r="AK7696" s="21"/>
      <c r="AM7696" s="26" t="s">
        <v>38</v>
      </c>
    </row>
    <row r="7697" spans="34:39" x14ac:dyDescent="0.35">
      <c r="AH7697" s="21"/>
      <c r="AI7697" s="21"/>
      <c r="AJ7697" s="21"/>
      <c r="AK7697" s="21"/>
      <c r="AM7697" s="26" t="s">
        <v>38</v>
      </c>
    </row>
    <row r="7698" spans="34:39" x14ac:dyDescent="0.35">
      <c r="AH7698" s="21"/>
      <c r="AI7698" s="21"/>
      <c r="AJ7698" s="21"/>
      <c r="AK7698" s="21"/>
      <c r="AM7698" s="26" t="s">
        <v>38</v>
      </c>
    </row>
    <row r="7699" spans="34:39" x14ac:dyDescent="0.35">
      <c r="AH7699" s="21"/>
      <c r="AI7699" s="21"/>
      <c r="AJ7699" s="21"/>
      <c r="AK7699" s="21"/>
      <c r="AM7699" s="26" t="s">
        <v>38</v>
      </c>
    </row>
    <row r="7700" spans="34:39" x14ac:dyDescent="0.35">
      <c r="AH7700" s="21"/>
      <c r="AI7700" s="21"/>
      <c r="AJ7700" s="21"/>
      <c r="AK7700" s="21"/>
      <c r="AM7700" s="26" t="s">
        <v>38</v>
      </c>
    </row>
    <row r="7701" spans="34:39" x14ac:dyDescent="0.35">
      <c r="AH7701" s="21"/>
      <c r="AI7701" s="21"/>
      <c r="AJ7701" s="21"/>
      <c r="AK7701" s="21"/>
      <c r="AM7701" s="26" t="s">
        <v>38</v>
      </c>
    </row>
    <row r="7702" spans="34:39" x14ac:dyDescent="0.35">
      <c r="AH7702" s="21"/>
      <c r="AI7702" s="21"/>
      <c r="AJ7702" s="21"/>
      <c r="AK7702" s="21"/>
      <c r="AM7702" s="26" t="s">
        <v>38</v>
      </c>
    </row>
    <row r="7703" spans="34:39" x14ac:dyDescent="0.35">
      <c r="AH7703" s="21"/>
      <c r="AI7703" s="21"/>
      <c r="AJ7703" s="21"/>
      <c r="AK7703" s="21"/>
      <c r="AM7703" s="26" t="s">
        <v>38</v>
      </c>
    </row>
    <row r="7704" spans="34:39" x14ac:dyDescent="0.35">
      <c r="AH7704" s="21"/>
      <c r="AI7704" s="21"/>
      <c r="AJ7704" s="21"/>
      <c r="AK7704" s="21"/>
      <c r="AM7704" s="26" t="s">
        <v>38</v>
      </c>
    </row>
    <row r="7705" spans="34:39" x14ac:dyDescent="0.35">
      <c r="AH7705" s="21"/>
      <c r="AI7705" s="21"/>
      <c r="AJ7705" s="21"/>
      <c r="AK7705" s="21"/>
      <c r="AM7705" s="26" t="s">
        <v>38</v>
      </c>
    </row>
    <row r="7706" spans="34:39" x14ac:dyDescent="0.35">
      <c r="AH7706" s="21"/>
      <c r="AI7706" s="21"/>
      <c r="AJ7706" s="21"/>
      <c r="AK7706" s="21"/>
      <c r="AM7706" s="26" t="s">
        <v>38</v>
      </c>
    </row>
    <row r="7707" spans="34:39" x14ac:dyDescent="0.35">
      <c r="AH7707" s="21"/>
      <c r="AI7707" s="21"/>
      <c r="AJ7707" s="21"/>
      <c r="AK7707" s="21"/>
      <c r="AM7707" s="26" t="s">
        <v>38</v>
      </c>
    </row>
    <row r="7708" spans="34:39" x14ac:dyDescent="0.35">
      <c r="AH7708" s="21"/>
      <c r="AI7708" s="21"/>
      <c r="AJ7708" s="21"/>
      <c r="AK7708" s="21"/>
      <c r="AM7708" s="26" t="s">
        <v>38</v>
      </c>
    </row>
    <row r="7709" spans="34:39" x14ac:dyDescent="0.35">
      <c r="AH7709" s="21"/>
      <c r="AI7709" s="21"/>
      <c r="AJ7709" s="21"/>
      <c r="AK7709" s="21"/>
      <c r="AM7709" s="26" t="s">
        <v>38</v>
      </c>
    </row>
    <row r="7710" spans="34:39" x14ac:dyDescent="0.35">
      <c r="AH7710" s="21"/>
      <c r="AI7710" s="21"/>
      <c r="AJ7710" s="21"/>
      <c r="AK7710" s="21"/>
      <c r="AM7710" s="26" t="s">
        <v>38</v>
      </c>
    </row>
    <row r="7711" spans="34:39" x14ac:dyDescent="0.35">
      <c r="AH7711" s="21"/>
      <c r="AI7711" s="21"/>
      <c r="AJ7711" s="21"/>
      <c r="AK7711" s="21"/>
      <c r="AM7711" s="26" t="s">
        <v>38</v>
      </c>
    </row>
    <row r="7712" spans="34:39" x14ac:dyDescent="0.35">
      <c r="AH7712" s="21"/>
      <c r="AI7712" s="21"/>
      <c r="AJ7712" s="21"/>
      <c r="AK7712" s="21"/>
      <c r="AM7712" s="26" t="s">
        <v>38</v>
      </c>
    </row>
    <row r="7713" spans="34:39" x14ac:dyDescent="0.35">
      <c r="AH7713" s="21"/>
      <c r="AI7713" s="21"/>
      <c r="AJ7713" s="21"/>
      <c r="AK7713" s="21"/>
      <c r="AM7713" s="26" t="s">
        <v>38</v>
      </c>
    </row>
    <row r="7714" spans="34:39" x14ac:dyDescent="0.35">
      <c r="AH7714" s="21"/>
      <c r="AI7714" s="21"/>
      <c r="AJ7714" s="21"/>
      <c r="AK7714" s="21"/>
      <c r="AM7714" s="26" t="s">
        <v>38</v>
      </c>
    </row>
    <row r="7715" spans="34:39" x14ac:dyDescent="0.35">
      <c r="AH7715" s="21"/>
      <c r="AI7715" s="21"/>
      <c r="AJ7715" s="21"/>
      <c r="AK7715" s="21"/>
      <c r="AM7715" s="26" t="s">
        <v>38</v>
      </c>
    </row>
    <row r="7716" spans="34:39" x14ac:dyDescent="0.35">
      <c r="AH7716" s="21"/>
      <c r="AI7716" s="21"/>
      <c r="AJ7716" s="21"/>
      <c r="AK7716" s="21"/>
      <c r="AM7716" s="26" t="s">
        <v>38</v>
      </c>
    </row>
    <row r="7717" spans="34:39" x14ac:dyDescent="0.35">
      <c r="AH7717" s="21"/>
      <c r="AI7717" s="21"/>
      <c r="AJ7717" s="21"/>
      <c r="AK7717" s="21"/>
      <c r="AM7717" s="26" t="s">
        <v>38</v>
      </c>
    </row>
    <row r="7718" spans="34:39" x14ac:dyDescent="0.35">
      <c r="AH7718" s="21"/>
      <c r="AI7718" s="21"/>
      <c r="AJ7718" s="21"/>
      <c r="AK7718" s="21"/>
      <c r="AM7718" s="26" t="s">
        <v>38</v>
      </c>
    </row>
    <row r="7719" spans="34:39" x14ac:dyDescent="0.35">
      <c r="AH7719" s="21"/>
      <c r="AI7719" s="21"/>
      <c r="AJ7719" s="21"/>
      <c r="AK7719" s="21"/>
      <c r="AM7719" s="26" t="s">
        <v>38</v>
      </c>
    </row>
    <row r="7720" spans="34:39" x14ac:dyDescent="0.35">
      <c r="AH7720" s="21"/>
      <c r="AI7720" s="21"/>
      <c r="AJ7720" s="21"/>
      <c r="AK7720" s="21"/>
      <c r="AM7720" s="26" t="s">
        <v>38</v>
      </c>
    </row>
    <row r="7721" spans="34:39" x14ac:dyDescent="0.35">
      <c r="AH7721" s="21"/>
      <c r="AI7721" s="21"/>
      <c r="AJ7721" s="21"/>
      <c r="AK7721" s="21"/>
      <c r="AM7721" s="26" t="s">
        <v>38</v>
      </c>
    </row>
    <row r="7722" spans="34:39" x14ac:dyDescent="0.35">
      <c r="AH7722" s="21"/>
      <c r="AI7722" s="21"/>
      <c r="AJ7722" s="21"/>
      <c r="AK7722" s="21"/>
      <c r="AM7722" s="26" t="s">
        <v>38</v>
      </c>
    </row>
    <row r="7723" spans="34:39" x14ac:dyDescent="0.35">
      <c r="AH7723" s="21"/>
      <c r="AI7723" s="21"/>
      <c r="AJ7723" s="21"/>
      <c r="AK7723" s="21"/>
      <c r="AM7723" s="26" t="s">
        <v>38</v>
      </c>
    </row>
    <row r="7724" spans="34:39" x14ac:dyDescent="0.35">
      <c r="AH7724" s="21"/>
      <c r="AI7724" s="21"/>
      <c r="AJ7724" s="21"/>
      <c r="AK7724" s="21"/>
      <c r="AM7724" s="26" t="s">
        <v>38</v>
      </c>
    </row>
    <row r="7725" spans="34:39" x14ac:dyDescent="0.35">
      <c r="AH7725" s="21"/>
      <c r="AI7725" s="21"/>
      <c r="AJ7725" s="21"/>
      <c r="AK7725" s="21"/>
      <c r="AM7725" s="26" t="s">
        <v>38</v>
      </c>
    </row>
    <row r="7726" spans="34:39" x14ac:dyDescent="0.35">
      <c r="AH7726" s="21"/>
      <c r="AI7726" s="21"/>
      <c r="AJ7726" s="21"/>
      <c r="AK7726" s="21"/>
      <c r="AM7726" s="26" t="s">
        <v>38</v>
      </c>
    </row>
    <row r="7727" spans="34:39" x14ac:dyDescent="0.35">
      <c r="AH7727" s="21"/>
      <c r="AI7727" s="21"/>
      <c r="AJ7727" s="21"/>
      <c r="AK7727" s="21"/>
      <c r="AM7727" s="26" t="s">
        <v>38</v>
      </c>
    </row>
    <row r="7728" spans="34:39" x14ac:dyDescent="0.35">
      <c r="AH7728" s="21"/>
      <c r="AI7728" s="21"/>
      <c r="AJ7728" s="21"/>
      <c r="AK7728" s="21"/>
      <c r="AM7728" s="26" t="s">
        <v>38</v>
      </c>
    </row>
    <row r="7729" spans="34:39" x14ac:dyDescent="0.35">
      <c r="AH7729" s="21"/>
      <c r="AI7729" s="21"/>
      <c r="AJ7729" s="21"/>
      <c r="AK7729" s="21"/>
      <c r="AM7729" s="26" t="s">
        <v>38</v>
      </c>
    </row>
    <row r="7730" spans="34:39" x14ac:dyDescent="0.35">
      <c r="AH7730" s="21"/>
      <c r="AI7730" s="21"/>
      <c r="AJ7730" s="21"/>
      <c r="AK7730" s="21"/>
      <c r="AM7730" s="26" t="s">
        <v>38</v>
      </c>
    </row>
    <row r="7731" spans="34:39" x14ac:dyDescent="0.35">
      <c r="AH7731" s="21"/>
      <c r="AI7731" s="21"/>
      <c r="AJ7731" s="21"/>
      <c r="AK7731" s="21"/>
      <c r="AM7731" s="26" t="s">
        <v>38</v>
      </c>
    </row>
    <row r="7732" spans="34:39" x14ac:dyDescent="0.35">
      <c r="AH7732" s="21"/>
      <c r="AI7732" s="21"/>
      <c r="AJ7732" s="21"/>
      <c r="AK7732" s="21"/>
      <c r="AM7732" s="26" t="s">
        <v>38</v>
      </c>
    </row>
    <row r="7733" spans="34:39" x14ac:dyDescent="0.35">
      <c r="AH7733" s="21"/>
      <c r="AI7733" s="21"/>
      <c r="AJ7733" s="21"/>
      <c r="AK7733" s="21"/>
      <c r="AM7733" s="26" t="s">
        <v>38</v>
      </c>
    </row>
    <row r="7734" spans="34:39" x14ac:dyDescent="0.35">
      <c r="AH7734" s="21"/>
      <c r="AI7734" s="21"/>
      <c r="AJ7734" s="21"/>
      <c r="AK7734" s="21"/>
      <c r="AM7734" s="26" t="s">
        <v>38</v>
      </c>
    </row>
    <row r="7735" spans="34:39" x14ac:dyDescent="0.35">
      <c r="AH7735" s="21"/>
      <c r="AI7735" s="21"/>
      <c r="AJ7735" s="21"/>
      <c r="AK7735" s="21"/>
      <c r="AM7735" s="26" t="s">
        <v>38</v>
      </c>
    </row>
    <row r="7736" spans="34:39" x14ac:dyDescent="0.35">
      <c r="AH7736" s="21"/>
      <c r="AI7736" s="21"/>
      <c r="AJ7736" s="21"/>
      <c r="AK7736" s="21"/>
      <c r="AM7736" s="26" t="s">
        <v>38</v>
      </c>
    </row>
    <row r="7737" spans="34:39" x14ac:dyDescent="0.35">
      <c r="AH7737" s="21"/>
      <c r="AI7737" s="21"/>
      <c r="AJ7737" s="21"/>
      <c r="AK7737" s="21"/>
      <c r="AM7737" s="26" t="s">
        <v>38</v>
      </c>
    </row>
    <row r="7738" spans="34:39" x14ac:dyDescent="0.35">
      <c r="AH7738" s="21"/>
      <c r="AI7738" s="21"/>
      <c r="AJ7738" s="21"/>
      <c r="AK7738" s="21"/>
      <c r="AM7738" s="26" t="s">
        <v>38</v>
      </c>
    </row>
    <row r="7739" spans="34:39" x14ac:dyDescent="0.35">
      <c r="AH7739" s="21"/>
      <c r="AI7739" s="21"/>
      <c r="AJ7739" s="21"/>
      <c r="AK7739" s="21"/>
      <c r="AM7739" s="26" t="s">
        <v>38</v>
      </c>
    </row>
    <row r="7740" spans="34:39" x14ac:dyDescent="0.35">
      <c r="AH7740" s="21"/>
      <c r="AI7740" s="21"/>
      <c r="AJ7740" s="21"/>
      <c r="AK7740" s="21"/>
      <c r="AM7740" s="26" t="s">
        <v>38</v>
      </c>
    </row>
    <row r="7741" spans="34:39" x14ac:dyDescent="0.35">
      <c r="AH7741" s="21"/>
      <c r="AI7741" s="21"/>
      <c r="AJ7741" s="21"/>
      <c r="AK7741" s="21"/>
      <c r="AM7741" s="26" t="s">
        <v>38</v>
      </c>
    </row>
    <row r="7742" spans="34:39" x14ac:dyDescent="0.35">
      <c r="AH7742" s="21"/>
      <c r="AI7742" s="21"/>
      <c r="AJ7742" s="21"/>
      <c r="AK7742" s="21"/>
      <c r="AM7742" s="26" t="s">
        <v>38</v>
      </c>
    </row>
    <row r="7743" spans="34:39" x14ac:dyDescent="0.35">
      <c r="AH7743" s="21"/>
      <c r="AI7743" s="21"/>
      <c r="AJ7743" s="21"/>
      <c r="AK7743" s="21"/>
      <c r="AM7743" s="26" t="s">
        <v>38</v>
      </c>
    </row>
    <row r="7744" spans="34:39" x14ac:dyDescent="0.35">
      <c r="AH7744" s="21"/>
      <c r="AI7744" s="21"/>
      <c r="AJ7744" s="21"/>
      <c r="AK7744" s="21"/>
      <c r="AM7744" s="26" t="s">
        <v>38</v>
      </c>
    </row>
    <row r="7745" spans="34:39" x14ac:dyDescent="0.35">
      <c r="AH7745" s="21"/>
      <c r="AI7745" s="21"/>
      <c r="AJ7745" s="21"/>
      <c r="AK7745" s="21"/>
      <c r="AM7745" s="26" t="s">
        <v>38</v>
      </c>
    </row>
    <row r="7746" spans="34:39" x14ac:dyDescent="0.35">
      <c r="AH7746" s="21"/>
      <c r="AI7746" s="21"/>
      <c r="AJ7746" s="21"/>
      <c r="AK7746" s="21"/>
      <c r="AM7746" s="26" t="s">
        <v>38</v>
      </c>
    </row>
    <row r="7747" spans="34:39" x14ac:dyDescent="0.35">
      <c r="AH7747" s="21"/>
      <c r="AI7747" s="21"/>
      <c r="AJ7747" s="21"/>
      <c r="AK7747" s="21"/>
      <c r="AM7747" s="26" t="s">
        <v>38</v>
      </c>
    </row>
    <row r="7748" spans="34:39" x14ac:dyDescent="0.35">
      <c r="AH7748" s="21"/>
      <c r="AI7748" s="21"/>
      <c r="AJ7748" s="21"/>
      <c r="AK7748" s="21"/>
      <c r="AM7748" s="26" t="s">
        <v>38</v>
      </c>
    </row>
    <row r="7749" spans="34:39" x14ac:dyDescent="0.35">
      <c r="AH7749" s="21"/>
      <c r="AI7749" s="21"/>
      <c r="AJ7749" s="21"/>
      <c r="AK7749" s="21"/>
      <c r="AM7749" s="26" t="s">
        <v>38</v>
      </c>
    </row>
    <row r="7750" spans="34:39" x14ac:dyDescent="0.35">
      <c r="AH7750" s="21"/>
      <c r="AI7750" s="21"/>
      <c r="AJ7750" s="21"/>
      <c r="AK7750" s="21"/>
      <c r="AM7750" s="26" t="s">
        <v>38</v>
      </c>
    </row>
    <row r="7751" spans="34:39" x14ac:dyDescent="0.35">
      <c r="AH7751" s="21"/>
      <c r="AI7751" s="21"/>
      <c r="AJ7751" s="21"/>
      <c r="AK7751" s="21"/>
      <c r="AM7751" s="26" t="s">
        <v>38</v>
      </c>
    </row>
    <row r="7752" spans="34:39" x14ac:dyDescent="0.35">
      <c r="AH7752" s="21"/>
      <c r="AI7752" s="21"/>
      <c r="AJ7752" s="21"/>
      <c r="AK7752" s="21"/>
      <c r="AM7752" s="26" t="s">
        <v>38</v>
      </c>
    </row>
    <row r="7753" spans="34:39" x14ac:dyDescent="0.35">
      <c r="AH7753" s="21"/>
      <c r="AI7753" s="21"/>
      <c r="AJ7753" s="21"/>
      <c r="AK7753" s="21"/>
      <c r="AM7753" s="26" t="s">
        <v>38</v>
      </c>
    </row>
    <row r="7754" spans="34:39" x14ac:dyDescent="0.35">
      <c r="AH7754" s="21"/>
      <c r="AI7754" s="21"/>
      <c r="AJ7754" s="21"/>
      <c r="AK7754" s="21"/>
      <c r="AM7754" s="26" t="s">
        <v>38</v>
      </c>
    </row>
    <row r="7755" spans="34:39" x14ac:dyDescent="0.35">
      <c r="AH7755" s="21"/>
      <c r="AI7755" s="21"/>
      <c r="AJ7755" s="21"/>
      <c r="AK7755" s="21"/>
      <c r="AM7755" s="26" t="s">
        <v>38</v>
      </c>
    </row>
    <row r="7756" spans="34:39" x14ac:dyDescent="0.35">
      <c r="AH7756" s="21"/>
      <c r="AI7756" s="21"/>
      <c r="AJ7756" s="21"/>
      <c r="AK7756" s="21"/>
      <c r="AM7756" s="26" t="s">
        <v>38</v>
      </c>
    </row>
    <row r="7757" spans="34:39" x14ac:dyDescent="0.35">
      <c r="AH7757" s="21"/>
      <c r="AI7757" s="21"/>
      <c r="AJ7757" s="21"/>
      <c r="AK7757" s="21"/>
      <c r="AM7757" s="26" t="s">
        <v>38</v>
      </c>
    </row>
    <row r="7758" spans="34:39" x14ac:dyDescent="0.35">
      <c r="AH7758" s="21"/>
      <c r="AI7758" s="21"/>
      <c r="AJ7758" s="21"/>
      <c r="AK7758" s="21"/>
      <c r="AM7758" s="26" t="s">
        <v>38</v>
      </c>
    </row>
    <row r="7759" spans="34:39" x14ac:dyDescent="0.35">
      <c r="AH7759" s="21"/>
      <c r="AI7759" s="21"/>
      <c r="AJ7759" s="21"/>
      <c r="AK7759" s="21"/>
      <c r="AM7759" s="26" t="s">
        <v>38</v>
      </c>
    </row>
    <row r="7760" spans="34:39" x14ac:dyDescent="0.35">
      <c r="AH7760" s="21"/>
      <c r="AI7760" s="21"/>
      <c r="AJ7760" s="21"/>
      <c r="AK7760" s="21"/>
      <c r="AM7760" s="26" t="s">
        <v>38</v>
      </c>
    </row>
    <row r="7761" spans="34:39" x14ac:dyDescent="0.35">
      <c r="AH7761" s="21"/>
      <c r="AI7761" s="21"/>
      <c r="AJ7761" s="21"/>
      <c r="AK7761" s="21"/>
      <c r="AM7761" s="26" t="s">
        <v>38</v>
      </c>
    </row>
    <row r="7762" spans="34:39" x14ac:dyDescent="0.35">
      <c r="AH7762" s="21"/>
      <c r="AI7762" s="21"/>
      <c r="AJ7762" s="21"/>
      <c r="AK7762" s="21"/>
      <c r="AM7762" s="26" t="s">
        <v>38</v>
      </c>
    </row>
    <row r="7763" spans="34:39" x14ac:dyDescent="0.35">
      <c r="AH7763" s="21"/>
      <c r="AI7763" s="21"/>
      <c r="AJ7763" s="21"/>
      <c r="AK7763" s="21"/>
      <c r="AM7763" s="26" t="s">
        <v>38</v>
      </c>
    </row>
    <row r="7764" spans="34:39" x14ac:dyDescent="0.35">
      <c r="AH7764" s="21"/>
      <c r="AI7764" s="21"/>
      <c r="AJ7764" s="21"/>
      <c r="AK7764" s="21"/>
      <c r="AM7764" s="26" t="s">
        <v>38</v>
      </c>
    </row>
    <row r="7765" spans="34:39" x14ac:dyDescent="0.35">
      <c r="AH7765" s="21"/>
      <c r="AI7765" s="21"/>
      <c r="AJ7765" s="21"/>
      <c r="AK7765" s="21"/>
      <c r="AM7765" s="26" t="s">
        <v>38</v>
      </c>
    </row>
    <row r="7766" spans="34:39" x14ac:dyDescent="0.35">
      <c r="AH7766" s="21"/>
      <c r="AI7766" s="21"/>
      <c r="AJ7766" s="21"/>
      <c r="AK7766" s="21"/>
      <c r="AM7766" s="26" t="s">
        <v>38</v>
      </c>
    </row>
    <row r="7767" spans="34:39" x14ac:dyDescent="0.35">
      <c r="AH7767" s="21"/>
      <c r="AI7767" s="21"/>
      <c r="AJ7767" s="21"/>
      <c r="AK7767" s="21"/>
      <c r="AM7767" s="26" t="s">
        <v>38</v>
      </c>
    </row>
    <row r="7768" spans="34:39" x14ac:dyDescent="0.35">
      <c r="AH7768" s="21"/>
      <c r="AI7768" s="21"/>
      <c r="AJ7768" s="21"/>
      <c r="AK7768" s="21"/>
      <c r="AM7768" s="26" t="s">
        <v>38</v>
      </c>
    </row>
    <row r="7769" spans="34:39" x14ac:dyDescent="0.35">
      <c r="AH7769" s="21"/>
      <c r="AI7769" s="21"/>
      <c r="AJ7769" s="21"/>
      <c r="AK7769" s="21"/>
      <c r="AM7769" s="26" t="s">
        <v>38</v>
      </c>
    </row>
    <row r="7770" spans="34:39" x14ac:dyDescent="0.35">
      <c r="AH7770" s="21"/>
      <c r="AI7770" s="21"/>
      <c r="AJ7770" s="21"/>
      <c r="AK7770" s="21"/>
      <c r="AM7770" s="26" t="s">
        <v>38</v>
      </c>
    </row>
    <row r="7771" spans="34:39" x14ac:dyDescent="0.35">
      <c r="AH7771" s="21"/>
      <c r="AI7771" s="21"/>
      <c r="AJ7771" s="21"/>
      <c r="AK7771" s="21"/>
      <c r="AM7771" s="26" t="s">
        <v>38</v>
      </c>
    </row>
    <row r="7772" spans="34:39" x14ac:dyDescent="0.35">
      <c r="AH7772" s="21"/>
      <c r="AI7772" s="21"/>
      <c r="AJ7772" s="21"/>
      <c r="AK7772" s="21"/>
      <c r="AM7772" s="26" t="s">
        <v>38</v>
      </c>
    </row>
    <row r="7773" spans="34:39" x14ac:dyDescent="0.35">
      <c r="AH7773" s="21"/>
      <c r="AI7773" s="21"/>
      <c r="AJ7773" s="21"/>
      <c r="AK7773" s="21"/>
      <c r="AM7773" s="26" t="s">
        <v>38</v>
      </c>
    </row>
    <row r="7774" spans="34:39" x14ac:dyDescent="0.35">
      <c r="AH7774" s="21"/>
      <c r="AI7774" s="21"/>
      <c r="AJ7774" s="21"/>
      <c r="AK7774" s="21"/>
      <c r="AM7774" s="26" t="s">
        <v>38</v>
      </c>
    </row>
    <row r="7775" spans="34:39" x14ac:dyDescent="0.35">
      <c r="AH7775" s="21"/>
      <c r="AI7775" s="21"/>
      <c r="AJ7775" s="21"/>
      <c r="AK7775" s="21"/>
      <c r="AM7775" s="26" t="s">
        <v>38</v>
      </c>
    </row>
    <row r="7776" spans="34:39" x14ac:dyDescent="0.35">
      <c r="AH7776" s="21"/>
      <c r="AI7776" s="21"/>
      <c r="AJ7776" s="21"/>
      <c r="AK7776" s="21"/>
      <c r="AM7776" s="26" t="s">
        <v>38</v>
      </c>
    </row>
    <row r="7777" spans="34:39" x14ac:dyDescent="0.35">
      <c r="AH7777" s="21"/>
      <c r="AI7777" s="21"/>
      <c r="AJ7777" s="21"/>
      <c r="AK7777" s="21"/>
      <c r="AM7777" s="26" t="s">
        <v>38</v>
      </c>
    </row>
    <row r="7778" spans="34:39" x14ac:dyDescent="0.35">
      <c r="AH7778" s="21"/>
      <c r="AI7778" s="21"/>
      <c r="AJ7778" s="21"/>
      <c r="AK7778" s="21"/>
      <c r="AM7778" s="26" t="s">
        <v>38</v>
      </c>
    </row>
    <row r="7779" spans="34:39" x14ac:dyDescent="0.35">
      <c r="AH7779" s="21"/>
      <c r="AI7779" s="21"/>
      <c r="AJ7779" s="21"/>
      <c r="AK7779" s="21"/>
      <c r="AM7779" s="26" t="s">
        <v>38</v>
      </c>
    </row>
    <row r="7780" spans="34:39" x14ac:dyDescent="0.35">
      <c r="AH7780" s="21"/>
      <c r="AI7780" s="21"/>
      <c r="AJ7780" s="21"/>
      <c r="AK7780" s="21"/>
      <c r="AM7780" s="26" t="s">
        <v>38</v>
      </c>
    </row>
    <row r="7781" spans="34:39" x14ac:dyDescent="0.35">
      <c r="AH7781" s="21"/>
      <c r="AI7781" s="21"/>
      <c r="AJ7781" s="21"/>
      <c r="AK7781" s="21"/>
      <c r="AM7781" s="26" t="s">
        <v>38</v>
      </c>
    </row>
    <row r="7782" spans="34:39" x14ac:dyDescent="0.35">
      <c r="AH7782" s="21"/>
      <c r="AI7782" s="21"/>
      <c r="AJ7782" s="21"/>
      <c r="AK7782" s="21"/>
      <c r="AM7782" s="26" t="s">
        <v>38</v>
      </c>
    </row>
    <row r="7783" spans="34:39" x14ac:dyDescent="0.35">
      <c r="AH7783" s="21"/>
      <c r="AI7783" s="21"/>
      <c r="AJ7783" s="21"/>
      <c r="AK7783" s="21"/>
      <c r="AM7783" s="26" t="s">
        <v>38</v>
      </c>
    </row>
    <row r="7784" spans="34:39" x14ac:dyDescent="0.35">
      <c r="AH7784" s="21"/>
      <c r="AI7784" s="21"/>
      <c r="AJ7784" s="21"/>
      <c r="AK7784" s="21"/>
      <c r="AM7784" s="26" t="s">
        <v>38</v>
      </c>
    </row>
    <row r="7785" spans="34:39" x14ac:dyDescent="0.35">
      <c r="AH7785" s="21"/>
      <c r="AI7785" s="21"/>
      <c r="AJ7785" s="21"/>
      <c r="AK7785" s="21"/>
      <c r="AM7785" s="26" t="s">
        <v>38</v>
      </c>
    </row>
    <row r="7786" spans="34:39" x14ac:dyDescent="0.35">
      <c r="AH7786" s="21"/>
      <c r="AI7786" s="21"/>
      <c r="AJ7786" s="21"/>
      <c r="AK7786" s="21"/>
      <c r="AM7786" s="26" t="s">
        <v>38</v>
      </c>
    </row>
    <row r="7787" spans="34:39" x14ac:dyDescent="0.35">
      <c r="AH7787" s="21"/>
      <c r="AI7787" s="21"/>
      <c r="AJ7787" s="21"/>
      <c r="AK7787" s="21"/>
      <c r="AM7787" s="26" t="s">
        <v>38</v>
      </c>
    </row>
    <row r="7788" spans="34:39" x14ac:dyDescent="0.35">
      <c r="AH7788" s="21"/>
      <c r="AI7788" s="21"/>
      <c r="AJ7788" s="21"/>
      <c r="AK7788" s="21"/>
      <c r="AM7788" s="26" t="s">
        <v>38</v>
      </c>
    </row>
    <row r="7789" spans="34:39" x14ac:dyDescent="0.35">
      <c r="AH7789" s="21"/>
      <c r="AI7789" s="21"/>
      <c r="AJ7789" s="21"/>
      <c r="AK7789" s="21"/>
      <c r="AM7789" s="26" t="s">
        <v>38</v>
      </c>
    </row>
    <row r="7790" spans="34:39" x14ac:dyDescent="0.35">
      <c r="AH7790" s="21"/>
      <c r="AI7790" s="21"/>
      <c r="AJ7790" s="21"/>
      <c r="AK7790" s="21"/>
      <c r="AM7790" s="26" t="s">
        <v>38</v>
      </c>
    </row>
    <row r="7791" spans="34:39" x14ac:dyDescent="0.35">
      <c r="AH7791" s="21"/>
      <c r="AI7791" s="21"/>
      <c r="AJ7791" s="21"/>
      <c r="AK7791" s="21"/>
      <c r="AM7791" s="26" t="s">
        <v>38</v>
      </c>
    </row>
    <row r="7792" spans="34:39" x14ac:dyDescent="0.35">
      <c r="AH7792" s="21"/>
      <c r="AI7792" s="21"/>
      <c r="AJ7792" s="21"/>
      <c r="AK7792" s="21"/>
      <c r="AM7792" s="26" t="s">
        <v>38</v>
      </c>
    </row>
    <row r="7793" spans="34:39" x14ac:dyDescent="0.35">
      <c r="AH7793" s="21"/>
      <c r="AI7793" s="21"/>
      <c r="AJ7793" s="21"/>
      <c r="AK7793" s="21"/>
      <c r="AM7793" s="26" t="s">
        <v>38</v>
      </c>
    </row>
    <row r="7794" spans="34:39" x14ac:dyDescent="0.35">
      <c r="AH7794" s="21"/>
      <c r="AI7794" s="21"/>
      <c r="AJ7794" s="21"/>
      <c r="AK7794" s="21"/>
      <c r="AM7794" s="26" t="s">
        <v>38</v>
      </c>
    </row>
    <row r="7795" spans="34:39" x14ac:dyDescent="0.35">
      <c r="AH7795" s="21"/>
      <c r="AI7795" s="21"/>
      <c r="AJ7795" s="21"/>
      <c r="AK7795" s="21"/>
      <c r="AM7795" s="26" t="s">
        <v>38</v>
      </c>
    </row>
    <row r="7796" spans="34:39" x14ac:dyDescent="0.35">
      <c r="AH7796" s="21"/>
      <c r="AI7796" s="21"/>
      <c r="AJ7796" s="21"/>
      <c r="AK7796" s="21"/>
      <c r="AM7796" s="26" t="s">
        <v>38</v>
      </c>
    </row>
    <row r="7797" spans="34:39" x14ac:dyDescent="0.35">
      <c r="AH7797" s="21"/>
      <c r="AI7797" s="21"/>
      <c r="AJ7797" s="21"/>
      <c r="AK7797" s="21"/>
      <c r="AM7797" s="26" t="s">
        <v>38</v>
      </c>
    </row>
    <row r="7798" spans="34:39" x14ac:dyDescent="0.35">
      <c r="AH7798" s="21"/>
      <c r="AI7798" s="21"/>
      <c r="AJ7798" s="21"/>
      <c r="AK7798" s="21"/>
      <c r="AM7798" s="26" t="s">
        <v>38</v>
      </c>
    </row>
    <row r="7799" spans="34:39" x14ac:dyDescent="0.35">
      <c r="AH7799" s="21"/>
      <c r="AI7799" s="21"/>
      <c r="AJ7799" s="21"/>
      <c r="AK7799" s="21"/>
      <c r="AM7799" s="26" t="s">
        <v>38</v>
      </c>
    </row>
    <row r="7800" spans="34:39" x14ac:dyDescent="0.35">
      <c r="AH7800" s="21"/>
      <c r="AI7800" s="21"/>
      <c r="AJ7800" s="21"/>
      <c r="AK7800" s="21"/>
      <c r="AM7800" s="26" t="s">
        <v>38</v>
      </c>
    </row>
    <row r="7801" spans="34:39" x14ac:dyDescent="0.35">
      <c r="AH7801" s="21"/>
      <c r="AI7801" s="21"/>
      <c r="AJ7801" s="21"/>
      <c r="AK7801" s="21"/>
      <c r="AM7801" s="26" t="s">
        <v>38</v>
      </c>
    </row>
    <row r="7802" spans="34:39" x14ac:dyDescent="0.35">
      <c r="AH7802" s="21"/>
      <c r="AI7802" s="21"/>
      <c r="AJ7802" s="21"/>
      <c r="AK7802" s="21"/>
      <c r="AM7802" s="26" t="s">
        <v>38</v>
      </c>
    </row>
    <row r="7803" spans="34:39" x14ac:dyDescent="0.35">
      <c r="AH7803" s="21"/>
      <c r="AI7803" s="21"/>
      <c r="AJ7803" s="21"/>
      <c r="AK7803" s="21"/>
      <c r="AM7803" s="26" t="s">
        <v>38</v>
      </c>
    </row>
    <row r="7804" spans="34:39" x14ac:dyDescent="0.35">
      <c r="AH7804" s="21"/>
      <c r="AI7804" s="21"/>
      <c r="AJ7804" s="21"/>
      <c r="AK7804" s="21"/>
      <c r="AM7804" s="26" t="s">
        <v>38</v>
      </c>
    </row>
    <row r="7805" spans="34:39" x14ac:dyDescent="0.35">
      <c r="AH7805" s="21"/>
      <c r="AI7805" s="21"/>
      <c r="AJ7805" s="21"/>
      <c r="AK7805" s="21"/>
      <c r="AM7805" s="26" t="s">
        <v>38</v>
      </c>
    </row>
    <row r="7806" spans="34:39" x14ac:dyDescent="0.35">
      <c r="AH7806" s="21"/>
      <c r="AI7806" s="21"/>
      <c r="AJ7806" s="21"/>
      <c r="AK7806" s="21"/>
      <c r="AM7806" s="26" t="s">
        <v>38</v>
      </c>
    </row>
    <row r="7807" spans="34:39" x14ac:dyDescent="0.35">
      <c r="AH7807" s="21"/>
      <c r="AI7807" s="21"/>
      <c r="AJ7807" s="21"/>
      <c r="AK7807" s="21"/>
      <c r="AM7807" s="26" t="s">
        <v>38</v>
      </c>
    </row>
    <row r="7808" spans="34:39" x14ac:dyDescent="0.35">
      <c r="AH7808" s="21"/>
      <c r="AI7808" s="21"/>
      <c r="AJ7808" s="21"/>
      <c r="AK7808" s="21"/>
      <c r="AM7808" s="26" t="s">
        <v>38</v>
      </c>
    </row>
    <row r="7809" spans="34:39" x14ac:dyDescent="0.35">
      <c r="AH7809" s="21"/>
      <c r="AI7809" s="21"/>
      <c r="AJ7809" s="21"/>
      <c r="AK7809" s="21"/>
      <c r="AM7809" s="26" t="s">
        <v>38</v>
      </c>
    </row>
    <row r="7810" spans="34:39" x14ac:dyDescent="0.35">
      <c r="AH7810" s="21"/>
      <c r="AI7810" s="21"/>
      <c r="AJ7810" s="21"/>
      <c r="AK7810" s="21"/>
      <c r="AM7810" s="26" t="s">
        <v>38</v>
      </c>
    </row>
    <row r="7811" spans="34:39" x14ac:dyDescent="0.35">
      <c r="AH7811" s="21"/>
      <c r="AI7811" s="21"/>
      <c r="AJ7811" s="21"/>
      <c r="AK7811" s="21"/>
      <c r="AM7811" s="26" t="s">
        <v>38</v>
      </c>
    </row>
    <row r="7812" spans="34:39" x14ac:dyDescent="0.35">
      <c r="AH7812" s="21"/>
      <c r="AI7812" s="21"/>
      <c r="AJ7812" s="21"/>
      <c r="AK7812" s="21"/>
      <c r="AM7812" s="26" t="s">
        <v>38</v>
      </c>
    </row>
    <row r="7813" spans="34:39" x14ac:dyDescent="0.35">
      <c r="AH7813" s="21"/>
      <c r="AI7813" s="21"/>
      <c r="AJ7813" s="21"/>
      <c r="AK7813" s="21"/>
      <c r="AM7813" s="26" t="s">
        <v>38</v>
      </c>
    </row>
    <row r="7814" spans="34:39" x14ac:dyDescent="0.35">
      <c r="AH7814" s="21"/>
      <c r="AI7814" s="21"/>
      <c r="AJ7814" s="21"/>
      <c r="AK7814" s="21"/>
      <c r="AM7814" s="26" t="s">
        <v>38</v>
      </c>
    </row>
    <row r="7815" spans="34:39" x14ac:dyDescent="0.35">
      <c r="AH7815" s="21"/>
      <c r="AI7815" s="21"/>
      <c r="AJ7815" s="21"/>
      <c r="AK7815" s="21"/>
      <c r="AM7815" s="26" t="s">
        <v>38</v>
      </c>
    </row>
    <row r="7816" spans="34:39" x14ac:dyDescent="0.35">
      <c r="AH7816" s="21"/>
      <c r="AI7816" s="21"/>
      <c r="AJ7816" s="21"/>
      <c r="AK7816" s="21"/>
      <c r="AM7816" s="26" t="s">
        <v>38</v>
      </c>
    </row>
    <row r="7817" spans="34:39" x14ac:dyDescent="0.35">
      <c r="AH7817" s="21"/>
      <c r="AI7817" s="21"/>
      <c r="AJ7817" s="21"/>
      <c r="AK7817" s="21"/>
      <c r="AM7817" s="26" t="s">
        <v>38</v>
      </c>
    </row>
    <row r="7818" spans="34:39" x14ac:dyDescent="0.35">
      <c r="AH7818" s="21"/>
      <c r="AI7818" s="21"/>
      <c r="AJ7818" s="21"/>
      <c r="AK7818" s="21"/>
      <c r="AM7818" s="26" t="s">
        <v>38</v>
      </c>
    </row>
    <row r="7819" spans="34:39" x14ac:dyDescent="0.35">
      <c r="AH7819" s="21"/>
      <c r="AI7819" s="21"/>
      <c r="AJ7819" s="21"/>
      <c r="AK7819" s="21"/>
      <c r="AM7819" s="26" t="s">
        <v>38</v>
      </c>
    </row>
    <row r="7820" spans="34:39" x14ac:dyDescent="0.35">
      <c r="AH7820" s="21"/>
      <c r="AI7820" s="21"/>
      <c r="AJ7820" s="21"/>
      <c r="AK7820" s="21"/>
      <c r="AM7820" s="26" t="s">
        <v>38</v>
      </c>
    </row>
    <row r="7821" spans="34:39" x14ac:dyDescent="0.35">
      <c r="AH7821" s="21"/>
      <c r="AI7821" s="21"/>
      <c r="AJ7821" s="21"/>
      <c r="AK7821" s="21"/>
      <c r="AM7821" s="26" t="s">
        <v>38</v>
      </c>
    </row>
    <row r="7822" spans="34:39" x14ac:dyDescent="0.35">
      <c r="AH7822" s="21"/>
      <c r="AI7822" s="21"/>
      <c r="AJ7822" s="21"/>
      <c r="AK7822" s="21"/>
      <c r="AM7822" s="26" t="s">
        <v>38</v>
      </c>
    </row>
    <row r="7823" spans="34:39" x14ac:dyDescent="0.35">
      <c r="AH7823" s="21"/>
      <c r="AI7823" s="21"/>
      <c r="AJ7823" s="21"/>
      <c r="AK7823" s="21"/>
      <c r="AM7823" s="26" t="s">
        <v>38</v>
      </c>
    </row>
    <row r="7824" spans="34:39" x14ac:dyDescent="0.35">
      <c r="AH7824" s="21"/>
      <c r="AI7824" s="21"/>
      <c r="AJ7824" s="21"/>
      <c r="AK7824" s="21"/>
      <c r="AM7824" s="26" t="s">
        <v>38</v>
      </c>
    </row>
    <row r="7825" spans="34:39" x14ac:dyDescent="0.35">
      <c r="AH7825" s="21"/>
      <c r="AI7825" s="21"/>
      <c r="AJ7825" s="21"/>
      <c r="AK7825" s="21"/>
      <c r="AM7825" s="26" t="s">
        <v>38</v>
      </c>
    </row>
    <row r="7826" spans="34:39" x14ac:dyDescent="0.35">
      <c r="AH7826" s="21"/>
      <c r="AI7826" s="21"/>
      <c r="AJ7826" s="21"/>
      <c r="AK7826" s="21"/>
      <c r="AM7826" s="26" t="s">
        <v>38</v>
      </c>
    </row>
    <row r="7827" spans="34:39" x14ac:dyDescent="0.35">
      <c r="AH7827" s="21"/>
      <c r="AI7827" s="21"/>
      <c r="AJ7827" s="21"/>
      <c r="AK7827" s="21"/>
      <c r="AM7827" s="26" t="s">
        <v>38</v>
      </c>
    </row>
    <row r="7828" spans="34:39" x14ac:dyDescent="0.35">
      <c r="AH7828" s="21"/>
      <c r="AI7828" s="21"/>
      <c r="AJ7828" s="21"/>
      <c r="AK7828" s="21"/>
      <c r="AM7828" s="26" t="s">
        <v>38</v>
      </c>
    </row>
    <row r="7829" spans="34:39" x14ac:dyDescent="0.35">
      <c r="AH7829" s="21"/>
      <c r="AI7829" s="21"/>
      <c r="AJ7829" s="21"/>
      <c r="AK7829" s="21"/>
      <c r="AM7829" s="26" t="s">
        <v>38</v>
      </c>
    </row>
    <row r="7830" spans="34:39" x14ac:dyDescent="0.35">
      <c r="AH7830" s="21"/>
      <c r="AI7830" s="21"/>
      <c r="AJ7830" s="21"/>
      <c r="AK7830" s="21"/>
      <c r="AM7830" s="26" t="s">
        <v>38</v>
      </c>
    </row>
    <row r="7831" spans="34:39" x14ac:dyDescent="0.35">
      <c r="AH7831" s="21"/>
      <c r="AI7831" s="21"/>
      <c r="AJ7831" s="21"/>
      <c r="AK7831" s="21"/>
      <c r="AM7831" s="26" t="s">
        <v>38</v>
      </c>
    </row>
    <row r="7832" spans="34:39" x14ac:dyDescent="0.35">
      <c r="AH7832" s="21"/>
      <c r="AI7832" s="21"/>
      <c r="AJ7832" s="21"/>
      <c r="AK7832" s="21"/>
      <c r="AM7832" s="26" t="s">
        <v>38</v>
      </c>
    </row>
    <row r="7833" spans="34:39" x14ac:dyDescent="0.35">
      <c r="AH7833" s="21"/>
      <c r="AI7833" s="21"/>
      <c r="AJ7833" s="21"/>
      <c r="AK7833" s="21"/>
      <c r="AM7833" s="26" t="s">
        <v>38</v>
      </c>
    </row>
    <row r="7834" spans="34:39" x14ac:dyDescent="0.35">
      <c r="AH7834" s="21"/>
      <c r="AI7834" s="21"/>
      <c r="AJ7834" s="21"/>
      <c r="AK7834" s="21"/>
      <c r="AM7834" s="26" t="s">
        <v>38</v>
      </c>
    </row>
    <row r="7835" spans="34:39" x14ac:dyDescent="0.35">
      <c r="AH7835" s="21"/>
      <c r="AI7835" s="21"/>
      <c r="AJ7835" s="21"/>
      <c r="AK7835" s="21"/>
      <c r="AM7835" s="26" t="s">
        <v>38</v>
      </c>
    </row>
    <row r="7836" spans="34:39" x14ac:dyDescent="0.35">
      <c r="AH7836" s="21"/>
      <c r="AI7836" s="21"/>
      <c r="AJ7836" s="21"/>
      <c r="AK7836" s="21"/>
      <c r="AM7836" s="26" t="s">
        <v>38</v>
      </c>
    </row>
    <row r="7837" spans="34:39" x14ac:dyDescent="0.35">
      <c r="AH7837" s="21"/>
      <c r="AI7837" s="21"/>
      <c r="AJ7837" s="21"/>
      <c r="AK7837" s="21"/>
      <c r="AM7837" s="26" t="s">
        <v>38</v>
      </c>
    </row>
    <row r="7838" spans="34:39" x14ac:dyDescent="0.35">
      <c r="AH7838" s="21"/>
      <c r="AI7838" s="21"/>
      <c r="AJ7838" s="21"/>
      <c r="AK7838" s="21"/>
      <c r="AM7838" s="26" t="s">
        <v>38</v>
      </c>
    </row>
    <row r="7839" spans="34:39" x14ac:dyDescent="0.35">
      <c r="AH7839" s="21"/>
      <c r="AI7839" s="21"/>
      <c r="AJ7839" s="21"/>
      <c r="AK7839" s="21"/>
      <c r="AM7839" s="26" t="s">
        <v>38</v>
      </c>
    </row>
    <row r="7840" spans="34:39" x14ac:dyDescent="0.35">
      <c r="AH7840" s="21"/>
      <c r="AI7840" s="21"/>
      <c r="AJ7840" s="21"/>
      <c r="AK7840" s="21"/>
      <c r="AM7840" s="26" t="s">
        <v>38</v>
      </c>
    </row>
    <row r="7841" spans="34:39" x14ac:dyDescent="0.35">
      <c r="AH7841" s="21"/>
      <c r="AI7841" s="21"/>
      <c r="AJ7841" s="21"/>
      <c r="AK7841" s="21"/>
      <c r="AM7841" s="26" t="s">
        <v>38</v>
      </c>
    </row>
    <row r="7842" spans="34:39" x14ac:dyDescent="0.35">
      <c r="AH7842" s="21"/>
      <c r="AI7842" s="21"/>
      <c r="AJ7842" s="21"/>
      <c r="AK7842" s="21"/>
      <c r="AM7842" s="26" t="s">
        <v>38</v>
      </c>
    </row>
    <row r="7843" spans="34:39" x14ac:dyDescent="0.35">
      <c r="AH7843" s="21"/>
      <c r="AI7843" s="21"/>
      <c r="AJ7843" s="21"/>
      <c r="AK7843" s="21"/>
      <c r="AM7843" s="26" t="s">
        <v>38</v>
      </c>
    </row>
    <row r="7844" spans="34:39" x14ac:dyDescent="0.35">
      <c r="AH7844" s="21"/>
      <c r="AI7844" s="21"/>
      <c r="AJ7844" s="21"/>
      <c r="AK7844" s="21"/>
      <c r="AM7844" s="26" t="s">
        <v>38</v>
      </c>
    </row>
    <row r="7845" spans="34:39" x14ac:dyDescent="0.35">
      <c r="AH7845" s="21"/>
      <c r="AI7845" s="21"/>
      <c r="AJ7845" s="21"/>
      <c r="AK7845" s="21"/>
      <c r="AM7845" s="26" t="s">
        <v>38</v>
      </c>
    </row>
    <row r="7846" spans="34:39" x14ac:dyDescent="0.35">
      <c r="AH7846" s="21"/>
      <c r="AI7846" s="21"/>
      <c r="AJ7846" s="21"/>
      <c r="AK7846" s="21"/>
      <c r="AM7846" s="26" t="s">
        <v>38</v>
      </c>
    </row>
    <row r="7847" spans="34:39" x14ac:dyDescent="0.35">
      <c r="AH7847" s="21"/>
      <c r="AI7847" s="21"/>
      <c r="AJ7847" s="21"/>
      <c r="AK7847" s="21"/>
      <c r="AM7847" s="26" t="s">
        <v>38</v>
      </c>
    </row>
    <row r="7848" spans="34:39" x14ac:dyDescent="0.35">
      <c r="AH7848" s="21"/>
      <c r="AI7848" s="21"/>
      <c r="AJ7848" s="21"/>
      <c r="AK7848" s="21"/>
      <c r="AM7848" s="26" t="s">
        <v>38</v>
      </c>
    </row>
    <row r="7849" spans="34:39" x14ac:dyDescent="0.35">
      <c r="AH7849" s="21"/>
      <c r="AI7849" s="21"/>
      <c r="AJ7849" s="21"/>
      <c r="AK7849" s="21"/>
      <c r="AM7849" s="26" t="s">
        <v>38</v>
      </c>
    </row>
    <row r="7850" spans="34:39" x14ac:dyDescent="0.35">
      <c r="AH7850" s="21"/>
      <c r="AI7850" s="21"/>
      <c r="AJ7850" s="21"/>
      <c r="AK7850" s="21"/>
      <c r="AM7850" s="26" t="s">
        <v>38</v>
      </c>
    </row>
    <row r="7851" spans="34:39" x14ac:dyDescent="0.35">
      <c r="AH7851" s="21"/>
      <c r="AI7851" s="21"/>
      <c r="AJ7851" s="21"/>
      <c r="AK7851" s="21"/>
      <c r="AM7851" s="26" t="s">
        <v>38</v>
      </c>
    </row>
    <row r="7852" spans="34:39" x14ac:dyDescent="0.35">
      <c r="AH7852" s="21"/>
      <c r="AI7852" s="21"/>
      <c r="AJ7852" s="21"/>
      <c r="AK7852" s="21"/>
      <c r="AM7852" s="26" t="s">
        <v>38</v>
      </c>
    </row>
    <row r="7853" spans="34:39" x14ac:dyDescent="0.35">
      <c r="AH7853" s="21"/>
      <c r="AI7853" s="21"/>
      <c r="AJ7853" s="21"/>
      <c r="AK7853" s="21"/>
      <c r="AM7853" s="26" t="s">
        <v>38</v>
      </c>
    </row>
    <row r="7854" spans="34:39" x14ac:dyDescent="0.35">
      <c r="AH7854" s="21"/>
      <c r="AI7854" s="21"/>
      <c r="AJ7854" s="21"/>
      <c r="AK7854" s="21"/>
      <c r="AM7854" s="26" t="s">
        <v>38</v>
      </c>
    </row>
    <row r="7855" spans="34:39" x14ac:dyDescent="0.35">
      <c r="AH7855" s="21"/>
      <c r="AI7855" s="21"/>
      <c r="AJ7855" s="21"/>
      <c r="AK7855" s="21"/>
      <c r="AM7855" s="26" t="s">
        <v>38</v>
      </c>
    </row>
    <row r="7856" spans="34:39" x14ac:dyDescent="0.35">
      <c r="AH7856" s="21"/>
      <c r="AI7856" s="21"/>
      <c r="AJ7856" s="21"/>
      <c r="AK7856" s="21"/>
      <c r="AM7856" s="26" t="s">
        <v>38</v>
      </c>
    </row>
    <row r="7857" spans="34:39" x14ac:dyDescent="0.35">
      <c r="AH7857" s="21"/>
      <c r="AI7857" s="21"/>
      <c r="AJ7857" s="21"/>
      <c r="AK7857" s="21"/>
      <c r="AM7857" s="26" t="s">
        <v>38</v>
      </c>
    </row>
    <row r="7858" spans="34:39" x14ac:dyDescent="0.35">
      <c r="AH7858" s="21"/>
      <c r="AI7858" s="21"/>
      <c r="AJ7858" s="21"/>
      <c r="AK7858" s="21"/>
      <c r="AM7858" s="26" t="s">
        <v>38</v>
      </c>
    </row>
    <row r="7859" spans="34:39" x14ac:dyDescent="0.35">
      <c r="AH7859" s="21"/>
      <c r="AI7859" s="21"/>
      <c r="AJ7859" s="21"/>
      <c r="AK7859" s="21"/>
      <c r="AM7859" s="26" t="s">
        <v>38</v>
      </c>
    </row>
    <row r="7860" spans="34:39" x14ac:dyDescent="0.35">
      <c r="AH7860" s="21"/>
      <c r="AI7860" s="21"/>
      <c r="AJ7860" s="21"/>
      <c r="AK7860" s="21"/>
      <c r="AM7860" s="26" t="s">
        <v>38</v>
      </c>
    </row>
    <row r="7861" spans="34:39" x14ac:dyDescent="0.35">
      <c r="AH7861" s="21"/>
      <c r="AI7861" s="21"/>
      <c r="AJ7861" s="21"/>
      <c r="AK7861" s="21"/>
      <c r="AM7861" s="26" t="s">
        <v>38</v>
      </c>
    </row>
    <row r="7862" spans="34:39" x14ac:dyDescent="0.35">
      <c r="AH7862" s="21"/>
      <c r="AI7862" s="21"/>
      <c r="AJ7862" s="21"/>
      <c r="AK7862" s="21"/>
      <c r="AM7862" s="26" t="s">
        <v>38</v>
      </c>
    </row>
    <row r="7863" spans="34:39" x14ac:dyDescent="0.35">
      <c r="AH7863" s="21"/>
      <c r="AI7863" s="21"/>
      <c r="AJ7863" s="21"/>
      <c r="AK7863" s="21"/>
      <c r="AM7863" s="26" t="s">
        <v>38</v>
      </c>
    </row>
    <row r="7864" spans="34:39" x14ac:dyDescent="0.35">
      <c r="AH7864" s="21"/>
      <c r="AI7864" s="21"/>
      <c r="AJ7864" s="21"/>
      <c r="AK7864" s="21"/>
      <c r="AM7864" s="26" t="s">
        <v>38</v>
      </c>
    </row>
    <row r="7865" spans="34:39" x14ac:dyDescent="0.35">
      <c r="AH7865" s="21"/>
      <c r="AI7865" s="21"/>
      <c r="AJ7865" s="21"/>
      <c r="AK7865" s="21"/>
      <c r="AM7865" s="26" t="s">
        <v>38</v>
      </c>
    </row>
    <row r="7866" spans="34:39" x14ac:dyDescent="0.35">
      <c r="AH7866" s="21"/>
      <c r="AI7866" s="21"/>
      <c r="AJ7866" s="21"/>
      <c r="AK7866" s="21"/>
      <c r="AM7866" s="26" t="s">
        <v>38</v>
      </c>
    </row>
    <row r="7867" spans="34:39" x14ac:dyDescent="0.35">
      <c r="AH7867" s="21"/>
      <c r="AI7867" s="21"/>
      <c r="AJ7867" s="21"/>
      <c r="AK7867" s="21"/>
      <c r="AM7867" s="26" t="s">
        <v>38</v>
      </c>
    </row>
    <row r="7868" spans="34:39" x14ac:dyDescent="0.35">
      <c r="AH7868" s="21"/>
      <c r="AI7868" s="21"/>
      <c r="AJ7868" s="21"/>
      <c r="AK7868" s="21"/>
      <c r="AM7868" s="26" t="s">
        <v>38</v>
      </c>
    </row>
    <row r="7869" spans="34:39" x14ac:dyDescent="0.35">
      <c r="AH7869" s="21"/>
      <c r="AI7869" s="21"/>
      <c r="AJ7869" s="21"/>
      <c r="AK7869" s="21"/>
      <c r="AM7869" s="26" t="s">
        <v>38</v>
      </c>
    </row>
    <row r="7870" spans="34:39" x14ac:dyDescent="0.35">
      <c r="AH7870" s="21"/>
      <c r="AI7870" s="21"/>
      <c r="AJ7870" s="21"/>
      <c r="AK7870" s="21"/>
      <c r="AM7870" s="26" t="s">
        <v>38</v>
      </c>
    </row>
    <row r="7871" spans="34:39" x14ac:dyDescent="0.35">
      <c r="AH7871" s="21"/>
      <c r="AI7871" s="21"/>
      <c r="AJ7871" s="21"/>
      <c r="AK7871" s="21"/>
      <c r="AM7871" s="26" t="s">
        <v>38</v>
      </c>
    </row>
    <row r="7872" spans="34:39" x14ac:dyDescent="0.35">
      <c r="AH7872" s="21"/>
      <c r="AI7872" s="21"/>
      <c r="AJ7872" s="21"/>
      <c r="AK7872" s="21"/>
      <c r="AM7872" s="26" t="s">
        <v>38</v>
      </c>
    </row>
    <row r="7873" spans="34:39" x14ac:dyDescent="0.35">
      <c r="AH7873" s="21"/>
      <c r="AI7873" s="21"/>
      <c r="AJ7873" s="21"/>
      <c r="AK7873" s="21"/>
      <c r="AM7873" s="26" t="s">
        <v>38</v>
      </c>
    </row>
    <row r="7874" spans="34:39" x14ac:dyDescent="0.35">
      <c r="AH7874" s="21"/>
      <c r="AI7874" s="21"/>
      <c r="AJ7874" s="21"/>
      <c r="AK7874" s="21"/>
      <c r="AM7874" s="26" t="s">
        <v>38</v>
      </c>
    </row>
    <row r="7875" spans="34:39" x14ac:dyDescent="0.35">
      <c r="AH7875" s="21"/>
      <c r="AI7875" s="21"/>
      <c r="AJ7875" s="21"/>
      <c r="AK7875" s="21"/>
      <c r="AM7875" s="26" t="s">
        <v>38</v>
      </c>
    </row>
    <row r="7876" spans="34:39" x14ac:dyDescent="0.35">
      <c r="AH7876" s="21"/>
      <c r="AI7876" s="21"/>
      <c r="AJ7876" s="21"/>
      <c r="AK7876" s="21"/>
      <c r="AM7876" s="26" t="s">
        <v>38</v>
      </c>
    </row>
    <row r="7877" spans="34:39" x14ac:dyDescent="0.35">
      <c r="AH7877" s="21"/>
      <c r="AI7877" s="21"/>
      <c r="AJ7877" s="21"/>
      <c r="AK7877" s="21"/>
      <c r="AM7877" s="26" t="s">
        <v>38</v>
      </c>
    </row>
    <row r="7878" spans="34:39" x14ac:dyDescent="0.35">
      <c r="AH7878" s="21"/>
      <c r="AI7878" s="21"/>
      <c r="AJ7878" s="21"/>
      <c r="AK7878" s="21"/>
      <c r="AM7878" s="26" t="s">
        <v>38</v>
      </c>
    </row>
    <row r="7879" spans="34:39" x14ac:dyDescent="0.35">
      <c r="AH7879" s="21"/>
      <c r="AI7879" s="21"/>
      <c r="AJ7879" s="21"/>
      <c r="AK7879" s="21"/>
      <c r="AM7879" s="26" t="s">
        <v>38</v>
      </c>
    </row>
    <row r="7880" spans="34:39" x14ac:dyDescent="0.35">
      <c r="AH7880" s="21"/>
      <c r="AI7880" s="21"/>
      <c r="AJ7880" s="21"/>
      <c r="AK7880" s="21"/>
      <c r="AM7880" s="26" t="s">
        <v>38</v>
      </c>
    </row>
    <row r="7881" spans="34:39" x14ac:dyDescent="0.35">
      <c r="AH7881" s="21"/>
      <c r="AI7881" s="21"/>
      <c r="AJ7881" s="21"/>
      <c r="AK7881" s="21"/>
      <c r="AM7881" s="26" t="s">
        <v>38</v>
      </c>
    </row>
    <row r="7882" spans="34:39" x14ac:dyDescent="0.35">
      <c r="AH7882" s="21"/>
      <c r="AI7882" s="21"/>
      <c r="AJ7882" s="21"/>
      <c r="AK7882" s="21"/>
      <c r="AM7882" s="26" t="s">
        <v>38</v>
      </c>
    </row>
    <row r="7883" spans="34:39" x14ac:dyDescent="0.35">
      <c r="AH7883" s="21"/>
      <c r="AI7883" s="21"/>
      <c r="AJ7883" s="21"/>
      <c r="AK7883" s="21"/>
      <c r="AM7883" s="26" t="s">
        <v>38</v>
      </c>
    </row>
    <row r="7884" spans="34:39" x14ac:dyDescent="0.35">
      <c r="AH7884" s="21"/>
      <c r="AI7884" s="21"/>
      <c r="AJ7884" s="21"/>
      <c r="AK7884" s="21"/>
      <c r="AM7884" s="26" t="s">
        <v>38</v>
      </c>
    </row>
    <row r="7885" spans="34:39" x14ac:dyDescent="0.35">
      <c r="AH7885" s="21"/>
      <c r="AI7885" s="21"/>
      <c r="AJ7885" s="21"/>
      <c r="AK7885" s="21"/>
      <c r="AM7885" s="26" t="s">
        <v>38</v>
      </c>
    </row>
    <row r="7886" spans="34:39" x14ac:dyDescent="0.35">
      <c r="AH7886" s="21"/>
      <c r="AI7886" s="21"/>
      <c r="AJ7886" s="21"/>
      <c r="AK7886" s="21"/>
      <c r="AM7886" s="26" t="s">
        <v>38</v>
      </c>
    </row>
    <row r="7887" spans="34:39" x14ac:dyDescent="0.35">
      <c r="AH7887" s="21"/>
      <c r="AI7887" s="21"/>
      <c r="AJ7887" s="21"/>
      <c r="AK7887" s="21"/>
      <c r="AM7887" s="26" t="s">
        <v>38</v>
      </c>
    </row>
    <row r="7888" spans="34:39" x14ac:dyDescent="0.35">
      <c r="AH7888" s="21"/>
      <c r="AI7888" s="21"/>
      <c r="AJ7888" s="21"/>
      <c r="AK7888" s="21"/>
      <c r="AM7888" s="26" t="s">
        <v>38</v>
      </c>
    </row>
    <row r="7889" spans="34:39" x14ac:dyDescent="0.35">
      <c r="AH7889" s="21"/>
      <c r="AI7889" s="21"/>
      <c r="AJ7889" s="21"/>
      <c r="AK7889" s="21"/>
      <c r="AM7889" s="26" t="s">
        <v>38</v>
      </c>
    </row>
    <row r="7890" spans="34:39" x14ac:dyDescent="0.35">
      <c r="AH7890" s="21"/>
      <c r="AI7890" s="21"/>
      <c r="AJ7890" s="21"/>
      <c r="AK7890" s="21"/>
      <c r="AM7890" s="26" t="s">
        <v>38</v>
      </c>
    </row>
    <row r="7891" spans="34:39" x14ac:dyDescent="0.35">
      <c r="AH7891" s="21"/>
      <c r="AI7891" s="21"/>
      <c r="AJ7891" s="21"/>
      <c r="AK7891" s="21"/>
      <c r="AM7891" s="26" t="s">
        <v>38</v>
      </c>
    </row>
    <row r="7892" spans="34:39" x14ac:dyDescent="0.35">
      <c r="AH7892" s="21"/>
      <c r="AI7892" s="21"/>
      <c r="AJ7892" s="21"/>
      <c r="AK7892" s="21"/>
      <c r="AM7892" s="26" t="s">
        <v>38</v>
      </c>
    </row>
    <row r="7893" spans="34:39" x14ac:dyDescent="0.35">
      <c r="AH7893" s="21"/>
      <c r="AI7893" s="21"/>
      <c r="AJ7893" s="21"/>
      <c r="AK7893" s="21"/>
      <c r="AM7893" s="26" t="s">
        <v>38</v>
      </c>
    </row>
    <row r="7894" spans="34:39" x14ac:dyDescent="0.35">
      <c r="AH7894" s="21"/>
      <c r="AI7894" s="21"/>
      <c r="AJ7894" s="21"/>
      <c r="AK7894" s="21"/>
      <c r="AM7894" s="26" t="s">
        <v>38</v>
      </c>
    </row>
    <row r="7895" spans="34:39" x14ac:dyDescent="0.35">
      <c r="AH7895" s="21"/>
      <c r="AI7895" s="21"/>
      <c r="AJ7895" s="21"/>
      <c r="AK7895" s="21"/>
      <c r="AM7895" s="26" t="s">
        <v>38</v>
      </c>
    </row>
    <row r="7896" spans="34:39" x14ac:dyDescent="0.35">
      <c r="AH7896" s="21"/>
      <c r="AI7896" s="21"/>
      <c r="AJ7896" s="21"/>
      <c r="AK7896" s="21"/>
      <c r="AM7896" s="26" t="s">
        <v>38</v>
      </c>
    </row>
    <row r="7897" spans="34:39" x14ac:dyDescent="0.35">
      <c r="AH7897" s="21"/>
      <c r="AI7897" s="21"/>
      <c r="AJ7897" s="21"/>
      <c r="AK7897" s="21"/>
      <c r="AM7897" s="26" t="s">
        <v>38</v>
      </c>
    </row>
    <row r="7898" spans="34:39" x14ac:dyDescent="0.35">
      <c r="AH7898" s="21"/>
      <c r="AI7898" s="21"/>
      <c r="AJ7898" s="21"/>
      <c r="AK7898" s="21"/>
      <c r="AM7898" s="26" t="s">
        <v>38</v>
      </c>
    </row>
    <row r="7899" spans="34:39" x14ac:dyDescent="0.35">
      <c r="AH7899" s="21"/>
      <c r="AI7899" s="21"/>
      <c r="AJ7899" s="21"/>
      <c r="AK7899" s="21"/>
      <c r="AM7899" s="26" t="s">
        <v>38</v>
      </c>
    </row>
    <row r="7900" spans="34:39" x14ac:dyDescent="0.35">
      <c r="AH7900" s="21"/>
      <c r="AI7900" s="21"/>
      <c r="AJ7900" s="21"/>
      <c r="AK7900" s="21"/>
      <c r="AM7900" s="26" t="s">
        <v>38</v>
      </c>
    </row>
    <row r="7901" spans="34:39" x14ac:dyDescent="0.35">
      <c r="AH7901" s="21"/>
      <c r="AI7901" s="21"/>
      <c r="AJ7901" s="21"/>
      <c r="AK7901" s="21"/>
      <c r="AM7901" s="26" t="s">
        <v>38</v>
      </c>
    </row>
    <row r="7902" spans="34:39" x14ac:dyDescent="0.35">
      <c r="AH7902" s="21"/>
      <c r="AI7902" s="21"/>
      <c r="AJ7902" s="21"/>
      <c r="AK7902" s="21"/>
      <c r="AM7902" s="26" t="s">
        <v>38</v>
      </c>
    </row>
    <row r="7903" spans="34:39" x14ac:dyDescent="0.35">
      <c r="AH7903" s="21"/>
      <c r="AI7903" s="21"/>
      <c r="AJ7903" s="21"/>
      <c r="AK7903" s="21"/>
      <c r="AM7903" s="26" t="s">
        <v>38</v>
      </c>
    </row>
    <row r="7904" spans="34:39" x14ac:dyDescent="0.35">
      <c r="AH7904" s="21"/>
      <c r="AI7904" s="21"/>
      <c r="AJ7904" s="21"/>
      <c r="AK7904" s="21"/>
      <c r="AM7904" s="26" t="s">
        <v>38</v>
      </c>
    </row>
    <row r="7905" spans="34:39" x14ac:dyDescent="0.35">
      <c r="AH7905" s="21"/>
      <c r="AI7905" s="21"/>
      <c r="AJ7905" s="21"/>
      <c r="AK7905" s="21"/>
      <c r="AM7905" s="26" t="s">
        <v>38</v>
      </c>
    </row>
    <row r="7906" spans="34:39" x14ac:dyDescent="0.35">
      <c r="AH7906" s="21"/>
      <c r="AI7906" s="21"/>
      <c r="AJ7906" s="21"/>
      <c r="AK7906" s="21"/>
      <c r="AM7906" s="26" t="s">
        <v>38</v>
      </c>
    </row>
    <row r="7907" spans="34:39" x14ac:dyDescent="0.35">
      <c r="AH7907" s="21"/>
      <c r="AI7907" s="21"/>
      <c r="AJ7907" s="21"/>
      <c r="AK7907" s="21"/>
      <c r="AM7907" s="26" t="s">
        <v>38</v>
      </c>
    </row>
    <row r="7908" spans="34:39" x14ac:dyDescent="0.35">
      <c r="AH7908" s="21"/>
      <c r="AI7908" s="21"/>
      <c r="AJ7908" s="21"/>
      <c r="AK7908" s="21"/>
      <c r="AM7908" s="26" t="s">
        <v>38</v>
      </c>
    </row>
    <row r="7909" spans="34:39" x14ac:dyDescent="0.35">
      <c r="AH7909" s="21"/>
      <c r="AI7909" s="21"/>
      <c r="AJ7909" s="21"/>
      <c r="AK7909" s="21"/>
      <c r="AM7909" s="26" t="s">
        <v>38</v>
      </c>
    </row>
    <row r="7910" spans="34:39" x14ac:dyDescent="0.35">
      <c r="AH7910" s="21"/>
      <c r="AI7910" s="21"/>
      <c r="AJ7910" s="21"/>
      <c r="AK7910" s="21"/>
      <c r="AM7910" s="26" t="s">
        <v>38</v>
      </c>
    </row>
    <row r="7911" spans="34:39" x14ac:dyDescent="0.35">
      <c r="AH7911" s="21"/>
      <c r="AI7911" s="21"/>
      <c r="AJ7911" s="21"/>
      <c r="AK7911" s="21"/>
      <c r="AM7911" s="26" t="s">
        <v>38</v>
      </c>
    </row>
    <row r="7912" spans="34:39" x14ac:dyDescent="0.35">
      <c r="AH7912" s="21"/>
      <c r="AI7912" s="21"/>
      <c r="AJ7912" s="21"/>
      <c r="AK7912" s="21"/>
      <c r="AM7912" s="26" t="s">
        <v>38</v>
      </c>
    </row>
    <row r="7913" spans="34:39" x14ac:dyDescent="0.35">
      <c r="AH7913" s="21"/>
      <c r="AI7913" s="21"/>
      <c r="AJ7913" s="21"/>
      <c r="AK7913" s="21"/>
      <c r="AM7913" s="26" t="s">
        <v>38</v>
      </c>
    </row>
    <row r="7914" spans="34:39" x14ac:dyDescent="0.35">
      <c r="AH7914" s="21"/>
      <c r="AI7914" s="21"/>
      <c r="AJ7914" s="21"/>
      <c r="AK7914" s="21"/>
      <c r="AM7914" s="26" t="s">
        <v>38</v>
      </c>
    </row>
    <row r="7915" spans="34:39" x14ac:dyDescent="0.35">
      <c r="AH7915" s="21"/>
      <c r="AI7915" s="21"/>
      <c r="AJ7915" s="21"/>
      <c r="AK7915" s="21"/>
      <c r="AM7915" s="26" t="s">
        <v>38</v>
      </c>
    </row>
    <row r="7916" spans="34:39" x14ac:dyDescent="0.35">
      <c r="AH7916" s="21"/>
      <c r="AI7916" s="21"/>
      <c r="AJ7916" s="21"/>
      <c r="AK7916" s="21"/>
      <c r="AM7916" s="26" t="s">
        <v>38</v>
      </c>
    </row>
    <row r="7917" spans="34:39" x14ac:dyDescent="0.35">
      <c r="AH7917" s="21"/>
      <c r="AI7917" s="21"/>
      <c r="AJ7917" s="21"/>
      <c r="AK7917" s="21"/>
      <c r="AM7917" s="26" t="s">
        <v>38</v>
      </c>
    </row>
    <row r="7918" spans="34:39" x14ac:dyDescent="0.35">
      <c r="AH7918" s="21"/>
      <c r="AI7918" s="21"/>
      <c r="AJ7918" s="21"/>
      <c r="AK7918" s="21"/>
      <c r="AM7918" s="26" t="s">
        <v>38</v>
      </c>
    </row>
    <row r="7919" spans="34:39" x14ac:dyDescent="0.35">
      <c r="AH7919" s="21"/>
      <c r="AI7919" s="21"/>
      <c r="AJ7919" s="21"/>
      <c r="AK7919" s="21"/>
      <c r="AM7919" s="26" t="s">
        <v>38</v>
      </c>
    </row>
    <row r="7920" spans="34:39" x14ac:dyDescent="0.35">
      <c r="AH7920" s="21"/>
      <c r="AI7920" s="21"/>
      <c r="AJ7920" s="21"/>
      <c r="AK7920" s="21"/>
      <c r="AM7920" s="26" t="s">
        <v>38</v>
      </c>
    </row>
    <row r="7921" spans="34:39" x14ac:dyDescent="0.35">
      <c r="AH7921" s="21"/>
      <c r="AI7921" s="21"/>
      <c r="AJ7921" s="21"/>
      <c r="AK7921" s="21"/>
      <c r="AM7921" s="26" t="s">
        <v>38</v>
      </c>
    </row>
    <row r="7922" spans="34:39" x14ac:dyDescent="0.35">
      <c r="AH7922" s="21"/>
      <c r="AI7922" s="21"/>
      <c r="AJ7922" s="21"/>
      <c r="AK7922" s="21"/>
      <c r="AM7922" s="26" t="s">
        <v>38</v>
      </c>
    </row>
    <row r="7923" spans="34:39" x14ac:dyDescent="0.35">
      <c r="AH7923" s="21"/>
      <c r="AI7923" s="21"/>
      <c r="AJ7923" s="21"/>
      <c r="AK7923" s="21"/>
      <c r="AM7923" s="26" t="s">
        <v>38</v>
      </c>
    </row>
    <row r="7924" spans="34:39" x14ac:dyDescent="0.35">
      <c r="AH7924" s="21"/>
      <c r="AI7924" s="21"/>
      <c r="AJ7924" s="21"/>
      <c r="AK7924" s="21"/>
      <c r="AM7924" s="26" t="s">
        <v>38</v>
      </c>
    </row>
    <row r="7925" spans="34:39" x14ac:dyDescent="0.35">
      <c r="AH7925" s="21"/>
      <c r="AI7925" s="21"/>
      <c r="AJ7925" s="21"/>
      <c r="AK7925" s="21"/>
      <c r="AM7925" s="26" t="s">
        <v>38</v>
      </c>
    </row>
    <row r="7926" spans="34:39" x14ac:dyDescent="0.35">
      <c r="AH7926" s="21"/>
      <c r="AI7926" s="21"/>
      <c r="AJ7926" s="21"/>
      <c r="AK7926" s="21"/>
      <c r="AM7926" s="26" t="s">
        <v>38</v>
      </c>
    </row>
    <row r="7927" spans="34:39" x14ac:dyDescent="0.35">
      <c r="AH7927" s="21"/>
      <c r="AI7927" s="21"/>
      <c r="AJ7927" s="21"/>
      <c r="AK7927" s="21"/>
      <c r="AM7927" s="26" t="s">
        <v>38</v>
      </c>
    </row>
    <row r="7928" spans="34:39" x14ac:dyDescent="0.35">
      <c r="AH7928" s="21"/>
      <c r="AI7928" s="21"/>
      <c r="AJ7928" s="21"/>
      <c r="AK7928" s="21"/>
      <c r="AM7928" s="26" t="s">
        <v>38</v>
      </c>
    </row>
    <row r="7929" spans="34:39" x14ac:dyDescent="0.35">
      <c r="AH7929" s="21"/>
      <c r="AI7929" s="21"/>
      <c r="AJ7929" s="21"/>
      <c r="AK7929" s="21"/>
      <c r="AM7929" s="26" t="s">
        <v>38</v>
      </c>
    </row>
    <row r="7930" spans="34:39" x14ac:dyDescent="0.35">
      <c r="AH7930" s="21"/>
      <c r="AI7930" s="21"/>
      <c r="AJ7930" s="21"/>
      <c r="AK7930" s="21"/>
      <c r="AM7930" s="26" t="s">
        <v>38</v>
      </c>
    </row>
    <row r="7931" spans="34:39" x14ac:dyDescent="0.35">
      <c r="AH7931" s="21"/>
      <c r="AI7931" s="21"/>
      <c r="AJ7931" s="21"/>
      <c r="AK7931" s="21"/>
      <c r="AM7931" s="26" t="s">
        <v>38</v>
      </c>
    </row>
    <row r="7932" spans="34:39" x14ac:dyDescent="0.35">
      <c r="AH7932" s="21"/>
      <c r="AI7932" s="21"/>
      <c r="AJ7932" s="21"/>
      <c r="AK7932" s="21"/>
      <c r="AM7932" s="26" t="s">
        <v>38</v>
      </c>
    </row>
    <row r="7933" spans="34:39" x14ac:dyDescent="0.35">
      <c r="AH7933" s="21"/>
      <c r="AI7933" s="21"/>
      <c r="AJ7933" s="21"/>
      <c r="AK7933" s="21"/>
      <c r="AM7933" s="26" t="s">
        <v>38</v>
      </c>
    </row>
    <row r="7934" spans="34:39" x14ac:dyDescent="0.35">
      <c r="AH7934" s="21"/>
      <c r="AI7934" s="21"/>
      <c r="AJ7934" s="21"/>
      <c r="AK7934" s="21"/>
      <c r="AM7934" s="26" t="s">
        <v>38</v>
      </c>
    </row>
    <row r="7935" spans="34:39" x14ac:dyDescent="0.35">
      <c r="AH7935" s="21"/>
      <c r="AI7935" s="21"/>
      <c r="AJ7935" s="21"/>
      <c r="AK7935" s="21"/>
      <c r="AM7935" s="26" t="s">
        <v>38</v>
      </c>
    </row>
    <row r="7936" spans="34:39" x14ac:dyDescent="0.35">
      <c r="AH7936" s="21"/>
      <c r="AI7936" s="21"/>
      <c r="AJ7936" s="21"/>
      <c r="AK7936" s="21"/>
      <c r="AM7936" s="26" t="s">
        <v>38</v>
      </c>
    </row>
    <row r="7937" spans="34:39" x14ac:dyDescent="0.35">
      <c r="AH7937" s="21"/>
      <c r="AI7937" s="21"/>
      <c r="AJ7937" s="21"/>
      <c r="AK7937" s="21"/>
      <c r="AM7937" s="26" t="s">
        <v>38</v>
      </c>
    </row>
    <row r="7938" spans="34:39" x14ac:dyDescent="0.35">
      <c r="AH7938" s="21"/>
      <c r="AI7938" s="21"/>
      <c r="AJ7938" s="21"/>
      <c r="AK7938" s="21"/>
      <c r="AM7938" s="26" t="s">
        <v>38</v>
      </c>
    </row>
    <row r="7939" spans="34:39" x14ac:dyDescent="0.35">
      <c r="AH7939" s="21"/>
      <c r="AI7939" s="21"/>
      <c r="AJ7939" s="21"/>
      <c r="AK7939" s="21"/>
      <c r="AM7939" s="26" t="s">
        <v>38</v>
      </c>
    </row>
    <row r="7940" spans="34:39" x14ac:dyDescent="0.35">
      <c r="AH7940" s="21"/>
      <c r="AI7940" s="21"/>
      <c r="AJ7940" s="21"/>
      <c r="AK7940" s="21"/>
      <c r="AM7940" s="26" t="s">
        <v>38</v>
      </c>
    </row>
    <row r="7941" spans="34:39" x14ac:dyDescent="0.35">
      <c r="AH7941" s="21"/>
      <c r="AI7941" s="21"/>
      <c r="AJ7941" s="21"/>
      <c r="AK7941" s="21"/>
      <c r="AM7941" s="26" t="s">
        <v>38</v>
      </c>
    </row>
    <row r="7942" spans="34:39" x14ac:dyDescent="0.35">
      <c r="AH7942" s="21"/>
      <c r="AI7942" s="21"/>
      <c r="AJ7942" s="21"/>
      <c r="AK7942" s="21"/>
      <c r="AM7942" s="26" t="s">
        <v>38</v>
      </c>
    </row>
    <row r="7943" spans="34:39" x14ac:dyDescent="0.35">
      <c r="AH7943" s="21"/>
      <c r="AI7943" s="21"/>
      <c r="AJ7943" s="21"/>
      <c r="AK7943" s="21"/>
      <c r="AM7943" s="26" t="s">
        <v>38</v>
      </c>
    </row>
    <row r="7944" spans="34:39" x14ac:dyDescent="0.35">
      <c r="AH7944" s="21"/>
      <c r="AI7944" s="21"/>
      <c r="AJ7944" s="21"/>
      <c r="AK7944" s="21"/>
      <c r="AM7944" s="26" t="s">
        <v>38</v>
      </c>
    </row>
    <row r="7945" spans="34:39" x14ac:dyDescent="0.35">
      <c r="AH7945" s="21"/>
      <c r="AI7945" s="21"/>
      <c r="AJ7945" s="21"/>
      <c r="AK7945" s="21"/>
      <c r="AM7945" s="26" t="s">
        <v>38</v>
      </c>
    </row>
    <row r="7946" spans="34:39" x14ac:dyDescent="0.35">
      <c r="AH7946" s="21"/>
      <c r="AI7946" s="21"/>
      <c r="AJ7946" s="21"/>
      <c r="AK7946" s="21"/>
      <c r="AM7946" s="26" t="s">
        <v>38</v>
      </c>
    </row>
    <row r="7947" spans="34:39" x14ac:dyDescent="0.35">
      <c r="AH7947" s="21"/>
      <c r="AI7947" s="21"/>
      <c r="AJ7947" s="21"/>
      <c r="AK7947" s="21"/>
      <c r="AM7947" s="26" t="s">
        <v>38</v>
      </c>
    </row>
    <row r="7948" spans="34:39" x14ac:dyDescent="0.35">
      <c r="AH7948" s="21"/>
      <c r="AI7948" s="21"/>
      <c r="AJ7948" s="21"/>
      <c r="AK7948" s="21"/>
      <c r="AM7948" s="26" t="s">
        <v>38</v>
      </c>
    </row>
    <row r="7949" spans="34:39" x14ac:dyDescent="0.35">
      <c r="AH7949" s="21"/>
      <c r="AI7949" s="21"/>
      <c r="AJ7949" s="21"/>
      <c r="AK7949" s="21"/>
      <c r="AM7949" s="26" t="s">
        <v>38</v>
      </c>
    </row>
    <row r="7950" spans="34:39" x14ac:dyDescent="0.35">
      <c r="AH7950" s="21"/>
      <c r="AI7950" s="21"/>
      <c r="AJ7950" s="21"/>
      <c r="AK7950" s="21"/>
      <c r="AM7950" s="26" t="s">
        <v>38</v>
      </c>
    </row>
    <row r="7951" spans="34:39" x14ac:dyDescent="0.35">
      <c r="AH7951" s="21"/>
      <c r="AI7951" s="21"/>
      <c r="AJ7951" s="21"/>
      <c r="AK7951" s="21"/>
      <c r="AM7951" s="26" t="s">
        <v>38</v>
      </c>
    </row>
    <row r="7952" spans="34:39" x14ac:dyDescent="0.35">
      <c r="AH7952" s="21"/>
      <c r="AI7952" s="21"/>
      <c r="AJ7952" s="21"/>
      <c r="AK7952" s="21"/>
      <c r="AM7952" s="26" t="s">
        <v>38</v>
      </c>
    </row>
    <row r="7953" spans="34:39" x14ac:dyDescent="0.35">
      <c r="AH7953" s="21"/>
      <c r="AI7953" s="21"/>
      <c r="AJ7953" s="21"/>
      <c r="AK7953" s="21"/>
      <c r="AM7953" s="26" t="s">
        <v>38</v>
      </c>
    </row>
    <row r="7954" spans="34:39" x14ac:dyDescent="0.35">
      <c r="AH7954" s="21"/>
      <c r="AI7954" s="21"/>
      <c r="AJ7954" s="21"/>
      <c r="AK7954" s="21"/>
      <c r="AM7954" s="26" t="s">
        <v>38</v>
      </c>
    </row>
    <row r="7955" spans="34:39" x14ac:dyDescent="0.35">
      <c r="AH7955" s="21"/>
      <c r="AI7955" s="21"/>
      <c r="AJ7955" s="21"/>
      <c r="AK7955" s="21"/>
      <c r="AM7955" s="26" t="s">
        <v>38</v>
      </c>
    </row>
    <row r="7956" spans="34:39" x14ac:dyDescent="0.35">
      <c r="AH7956" s="21"/>
      <c r="AI7956" s="21"/>
      <c r="AJ7956" s="21"/>
      <c r="AK7956" s="21"/>
      <c r="AM7956" s="26" t="s">
        <v>38</v>
      </c>
    </row>
    <row r="7957" spans="34:39" x14ac:dyDescent="0.35">
      <c r="AH7957" s="21"/>
      <c r="AI7957" s="21"/>
      <c r="AJ7957" s="21"/>
      <c r="AK7957" s="21"/>
      <c r="AM7957" s="26" t="s">
        <v>38</v>
      </c>
    </row>
    <row r="7958" spans="34:39" x14ac:dyDescent="0.35">
      <c r="AH7958" s="21"/>
      <c r="AI7958" s="21"/>
      <c r="AJ7958" s="21"/>
      <c r="AK7958" s="21"/>
      <c r="AM7958" s="26" t="s">
        <v>38</v>
      </c>
    </row>
    <row r="7959" spans="34:39" x14ac:dyDescent="0.35">
      <c r="AH7959" s="21"/>
      <c r="AI7959" s="21"/>
      <c r="AJ7959" s="21"/>
      <c r="AK7959" s="21"/>
      <c r="AM7959" s="26" t="s">
        <v>38</v>
      </c>
    </row>
    <row r="7960" spans="34:39" x14ac:dyDescent="0.35">
      <c r="AH7960" s="21"/>
      <c r="AI7960" s="21"/>
      <c r="AJ7960" s="21"/>
      <c r="AK7960" s="21"/>
      <c r="AM7960" s="26" t="s">
        <v>38</v>
      </c>
    </row>
    <row r="7961" spans="34:39" x14ac:dyDescent="0.35">
      <c r="AH7961" s="21"/>
      <c r="AI7961" s="21"/>
      <c r="AJ7961" s="21"/>
      <c r="AK7961" s="21"/>
      <c r="AM7961" s="26" t="s">
        <v>38</v>
      </c>
    </row>
    <row r="7962" spans="34:39" x14ac:dyDescent="0.35">
      <c r="AH7962" s="21"/>
      <c r="AI7962" s="21"/>
      <c r="AJ7962" s="21"/>
      <c r="AK7962" s="21"/>
      <c r="AM7962" s="26" t="s">
        <v>38</v>
      </c>
    </row>
    <row r="7963" spans="34:39" x14ac:dyDescent="0.35">
      <c r="AH7963" s="21"/>
      <c r="AI7963" s="21"/>
      <c r="AJ7963" s="21"/>
      <c r="AK7963" s="21"/>
      <c r="AM7963" s="26" t="s">
        <v>38</v>
      </c>
    </row>
    <row r="7964" spans="34:39" x14ac:dyDescent="0.35">
      <c r="AH7964" s="21"/>
      <c r="AI7964" s="21"/>
      <c r="AJ7964" s="21"/>
      <c r="AK7964" s="21"/>
      <c r="AM7964" s="26" t="s">
        <v>38</v>
      </c>
    </row>
    <row r="7965" spans="34:39" x14ac:dyDescent="0.35">
      <c r="AH7965" s="21"/>
      <c r="AI7965" s="21"/>
      <c r="AJ7965" s="21"/>
      <c r="AK7965" s="21"/>
      <c r="AM7965" s="26" t="s">
        <v>38</v>
      </c>
    </row>
    <row r="7966" spans="34:39" x14ac:dyDescent="0.35">
      <c r="AH7966" s="21"/>
      <c r="AI7966" s="21"/>
      <c r="AJ7966" s="21"/>
      <c r="AK7966" s="21"/>
      <c r="AM7966" s="26" t="s">
        <v>38</v>
      </c>
    </row>
    <row r="7967" spans="34:39" x14ac:dyDescent="0.35">
      <c r="AH7967" s="21"/>
      <c r="AI7967" s="21"/>
      <c r="AJ7967" s="21"/>
      <c r="AK7967" s="21"/>
      <c r="AM7967" s="26" t="s">
        <v>38</v>
      </c>
    </row>
    <row r="7968" spans="34:39" x14ac:dyDescent="0.35">
      <c r="AH7968" s="21"/>
      <c r="AI7968" s="21"/>
      <c r="AJ7968" s="21"/>
      <c r="AK7968" s="21"/>
      <c r="AM7968" s="26" t="s">
        <v>38</v>
      </c>
    </row>
    <row r="7969" spans="34:39" x14ac:dyDescent="0.35">
      <c r="AH7969" s="21"/>
      <c r="AI7969" s="21"/>
      <c r="AJ7969" s="21"/>
      <c r="AK7969" s="21"/>
      <c r="AM7969" s="26" t="s">
        <v>38</v>
      </c>
    </row>
    <row r="7970" spans="34:39" x14ac:dyDescent="0.35">
      <c r="AH7970" s="21"/>
      <c r="AI7970" s="21"/>
      <c r="AJ7970" s="21"/>
      <c r="AK7970" s="21"/>
      <c r="AM7970" s="26" t="s">
        <v>38</v>
      </c>
    </row>
    <row r="7971" spans="34:39" x14ac:dyDescent="0.35">
      <c r="AH7971" s="21"/>
      <c r="AI7971" s="21"/>
      <c r="AJ7971" s="21"/>
      <c r="AK7971" s="21"/>
      <c r="AM7971" s="26" t="s">
        <v>38</v>
      </c>
    </row>
    <row r="7972" spans="34:39" x14ac:dyDescent="0.35">
      <c r="AH7972" s="21"/>
      <c r="AI7972" s="21"/>
      <c r="AJ7972" s="21"/>
      <c r="AK7972" s="21"/>
      <c r="AM7972" s="26" t="s">
        <v>38</v>
      </c>
    </row>
    <row r="7973" spans="34:39" x14ac:dyDescent="0.35">
      <c r="AH7973" s="21"/>
      <c r="AI7973" s="21"/>
      <c r="AJ7973" s="21"/>
      <c r="AK7973" s="21"/>
      <c r="AM7973" s="26" t="s">
        <v>38</v>
      </c>
    </row>
    <row r="7974" spans="34:39" x14ac:dyDescent="0.35">
      <c r="AH7974" s="21"/>
      <c r="AI7974" s="21"/>
      <c r="AJ7974" s="21"/>
      <c r="AK7974" s="21"/>
      <c r="AM7974" s="26" t="s">
        <v>38</v>
      </c>
    </row>
    <row r="7975" spans="34:39" x14ac:dyDescent="0.35">
      <c r="AH7975" s="21"/>
      <c r="AI7975" s="21"/>
      <c r="AJ7975" s="21"/>
      <c r="AK7975" s="21"/>
      <c r="AM7975" s="26" t="s">
        <v>38</v>
      </c>
    </row>
    <row r="7976" spans="34:39" x14ac:dyDescent="0.35">
      <c r="AH7976" s="21"/>
      <c r="AI7976" s="21"/>
      <c r="AJ7976" s="21"/>
      <c r="AK7976" s="21"/>
      <c r="AM7976" s="26" t="s">
        <v>38</v>
      </c>
    </row>
    <row r="7977" spans="34:39" x14ac:dyDescent="0.35">
      <c r="AH7977" s="21"/>
      <c r="AI7977" s="21"/>
      <c r="AJ7977" s="21"/>
      <c r="AK7977" s="21"/>
      <c r="AM7977" s="26" t="s">
        <v>38</v>
      </c>
    </row>
    <row r="7978" spans="34:39" x14ac:dyDescent="0.35">
      <c r="AH7978" s="21"/>
      <c r="AI7978" s="21"/>
      <c r="AJ7978" s="21"/>
      <c r="AK7978" s="21"/>
      <c r="AM7978" s="26" t="s">
        <v>38</v>
      </c>
    </row>
    <row r="7979" spans="34:39" x14ac:dyDescent="0.35">
      <c r="AH7979" s="21"/>
      <c r="AI7979" s="21"/>
      <c r="AJ7979" s="21"/>
      <c r="AK7979" s="21"/>
      <c r="AM7979" s="26" t="s">
        <v>38</v>
      </c>
    </row>
    <row r="7980" spans="34:39" x14ac:dyDescent="0.35">
      <c r="AH7980" s="21"/>
      <c r="AI7980" s="21"/>
      <c r="AJ7980" s="21"/>
      <c r="AK7980" s="21"/>
      <c r="AM7980" s="26" t="s">
        <v>38</v>
      </c>
    </row>
    <row r="7981" spans="34:39" x14ac:dyDescent="0.35">
      <c r="AH7981" s="21"/>
      <c r="AI7981" s="21"/>
      <c r="AJ7981" s="21"/>
      <c r="AK7981" s="21"/>
      <c r="AM7981" s="26" t="s">
        <v>38</v>
      </c>
    </row>
    <row r="7982" spans="34:39" x14ac:dyDescent="0.35">
      <c r="AH7982" s="21"/>
      <c r="AI7982" s="21"/>
      <c r="AJ7982" s="21"/>
      <c r="AK7982" s="21"/>
      <c r="AM7982" s="26" t="s">
        <v>38</v>
      </c>
    </row>
    <row r="7983" spans="34:39" x14ac:dyDescent="0.35">
      <c r="AH7983" s="21"/>
      <c r="AI7983" s="21"/>
      <c r="AJ7983" s="21"/>
      <c r="AK7983" s="21"/>
      <c r="AM7983" s="26" t="s">
        <v>38</v>
      </c>
    </row>
    <row r="7984" spans="34:39" x14ac:dyDescent="0.35">
      <c r="AH7984" s="21"/>
      <c r="AI7984" s="21"/>
      <c r="AJ7984" s="21"/>
      <c r="AK7984" s="21"/>
      <c r="AM7984" s="26" t="s">
        <v>38</v>
      </c>
    </row>
    <row r="7985" spans="34:39" x14ac:dyDescent="0.35">
      <c r="AH7985" s="21"/>
      <c r="AI7985" s="21"/>
      <c r="AJ7985" s="21"/>
      <c r="AK7985" s="21"/>
      <c r="AM7985" s="26" t="s">
        <v>38</v>
      </c>
    </row>
    <row r="7986" spans="34:39" x14ac:dyDescent="0.35">
      <c r="AH7986" s="21"/>
      <c r="AI7986" s="21"/>
      <c r="AJ7986" s="21"/>
      <c r="AK7986" s="21"/>
      <c r="AM7986" s="26" t="s">
        <v>38</v>
      </c>
    </row>
    <row r="7987" spans="34:39" x14ac:dyDescent="0.35">
      <c r="AH7987" s="21"/>
      <c r="AI7987" s="21"/>
      <c r="AJ7987" s="21"/>
      <c r="AK7987" s="21"/>
      <c r="AM7987" s="26" t="s">
        <v>38</v>
      </c>
    </row>
    <row r="7988" spans="34:39" x14ac:dyDescent="0.35">
      <c r="AH7988" s="21"/>
      <c r="AI7988" s="21"/>
      <c r="AJ7988" s="21"/>
      <c r="AK7988" s="21"/>
      <c r="AM7988" s="26" t="s">
        <v>38</v>
      </c>
    </row>
    <row r="7989" spans="34:39" x14ac:dyDescent="0.35">
      <c r="AH7989" s="21"/>
      <c r="AI7989" s="21"/>
      <c r="AJ7989" s="21"/>
      <c r="AK7989" s="21"/>
      <c r="AM7989" s="26" t="s">
        <v>38</v>
      </c>
    </row>
    <row r="7990" spans="34:39" x14ac:dyDescent="0.35">
      <c r="AH7990" s="21"/>
      <c r="AI7990" s="21"/>
      <c r="AJ7990" s="21"/>
      <c r="AK7990" s="21"/>
      <c r="AM7990" s="26" t="s">
        <v>38</v>
      </c>
    </row>
    <row r="7991" spans="34:39" x14ac:dyDescent="0.35">
      <c r="AH7991" s="21"/>
      <c r="AI7991" s="21"/>
      <c r="AJ7991" s="21"/>
      <c r="AK7991" s="21"/>
      <c r="AM7991" s="26" t="s">
        <v>38</v>
      </c>
    </row>
    <row r="7992" spans="34:39" x14ac:dyDescent="0.35">
      <c r="AH7992" s="21"/>
      <c r="AI7992" s="21"/>
      <c r="AJ7992" s="21"/>
      <c r="AK7992" s="21"/>
      <c r="AM7992" s="26" t="s">
        <v>38</v>
      </c>
    </row>
    <row r="7993" spans="34:39" x14ac:dyDescent="0.35">
      <c r="AH7993" s="21"/>
      <c r="AI7993" s="21"/>
      <c r="AJ7993" s="21"/>
      <c r="AK7993" s="21"/>
      <c r="AM7993" s="26" t="s">
        <v>38</v>
      </c>
    </row>
    <row r="7994" spans="34:39" x14ac:dyDescent="0.35">
      <c r="AH7994" s="21"/>
      <c r="AI7994" s="21"/>
      <c r="AJ7994" s="21"/>
      <c r="AK7994" s="21"/>
      <c r="AM7994" s="26" t="s">
        <v>38</v>
      </c>
    </row>
    <row r="7995" spans="34:39" x14ac:dyDescent="0.35">
      <c r="AH7995" s="21"/>
      <c r="AI7995" s="21"/>
      <c r="AJ7995" s="21"/>
      <c r="AK7995" s="21"/>
      <c r="AM7995" s="26" t="s">
        <v>38</v>
      </c>
    </row>
    <row r="7996" spans="34:39" x14ac:dyDescent="0.35">
      <c r="AH7996" s="21"/>
      <c r="AI7996" s="21"/>
      <c r="AJ7996" s="21"/>
      <c r="AK7996" s="21"/>
      <c r="AM7996" s="26" t="s">
        <v>38</v>
      </c>
    </row>
    <row r="7997" spans="34:39" x14ac:dyDescent="0.35">
      <c r="AH7997" s="21"/>
      <c r="AI7997" s="21"/>
      <c r="AJ7997" s="21"/>
      <c r="AK7997" s="21"/>
      <c r="AM7997" s="26" t="s">
        <v>38</v>
      </c>
    </row>
    <row r="7998" spans="34:39" x14ac:dyDescent="0.35">
      <c r="AH7998" s="21"/>
      <c r="AI7998" s="21"/>
      <c r="AJ7998" s="21"/>
      <c r="AK7998" s="21"/>
      <c r="AM7998" s="26" t="s">
        <v>38</v>
      </c>
    </row>
    <row r="7999" spans="34:39" x14ac:dyDescent="0.35">
      <c r="AH7999" s="21"/>
      <c r="AI7999" s="21"/>
      <c r="AJ7999" s="21"/>
      <c r="AK7999" s="21"/>
      <c r="AM7999" s="26" t="s">
        <v>38</v>
      </c>
    </row>
    <row r="8000" spans="34:39" x14ac:dyDescent="0.35">
      <c r="AH8000" s="21"/>
      <c r="AI8000" s="21"/>
      <c r="AJ8000" s="21"/>
      <c r="AK8000" s="21"/>
      <c r="AM8000" s="26" t="s">
        <v>38</v>
      </c>
    </row>
    <row r="8001" spans="34:39" x14ac:dyDescent="0.35">
      <c r="AH8001" s="21"/>
      <c r="AI8001" s="21"/>
      <c r="AJ8001" s="21"/>
      <c r="AK8001" s="21"/>
      <c r="AM8001" s="26" t="s">
        <v>38</v>
      </c>
    </row>
    <row r="8002" spans="34:39" x14ac:dyDescent="0.35">
      <c r="AH8002" s="21"/>
      <c r="AI8002" s="21"/>
      <c r="AJ8002" s="21"/>
      <c r="AK8002" s="21"/>
      <c r="AM8002" s="26" t="s">
        <v>38</v>
      </c>
    </row>
    <row r="8003" spans="34:39" x14ac:dyDescent="0.35">
      <c r="AH8003" s="21"/>
      <c r="AI8003" s="21"/>
      <c r="AJ8003" s="21"/>
      <c r="AK8003" s="21"/>
      <c r="AM8003" s="26" t="s">
        <v>38</v>
      </c>
    </row>
    <row r="8004" spans="34:39" x14ac:dyDescent="0.35">
      <c r="AH8004" s="21"/>
      <c r="AI8004" s="21"/>
      <c r="AJ8004" s="21"/>
      <c r="AK8004" s="21"/>
      <c r="AM8004" s="26" t="s">
        <v>38</v>
      </c>
    </row>
    <row r="8005" spans="34:39" x14ac:dyDescent="0.35">
      <c r="AH8005" s="21"/>
      <c r="AI8005" s="21"/>
      <c r="AJ8005" s="21"/>
      <c r="AK8005" s="21"/>
      <c r="AM8005" s="26" t="s">
        <v>38</v>
      </c>
    </row>
    <row r="8006" spans="34:39" x14ac:dyDescent="0.35">
      <c r="AH8006" s="21"/>
      <c r="AI8006" s="21"/>
      <c r="AJ8006" s="21"/>
      <c r="AK8006" s="21"/>
      <c r="AM8006" s="26" t="s">
        <v>38</v>
      </c>
    </row>
    <row r="8007" spans="34:39" x14ac:dyDescent="0.35">
      <c r="AH8007" s="21"/>
      <c r="AI8007" s="21"/>
      <c r="AJ8007" s="21"/>
      <c r="AK8007" s="21"/>
      <c r="AM8007" s="26" t="s">
        <v>38</v>
      </c>
    </row>
    <row r="8008" spans="34:39" x14ac:dyDescent="0.35">
      <c r="AH8008" s="21"/>
      <c r="AI8008" s="21"/>
      <c r="AJ8008" s="21"/>
      <c r="AK8008" s="21"/>
      <c r="AM8008" s="26" t="s">
        <v>38</v>
      </c>
    </row>
    <row r="8009" spans="34:39" x14ac:dyDescent="0.35">
      <c r="AM8009" s="26" t="s">
        <v>38</v>
      </c>
    </row>
    <row r="8010" spans="34:39" x14ac:dyDescent="0.35">
      <c r="AM8010" s="26" t="s">
        <v>38</v>
      </c>
    </row>
    <row r="8011" spans="34:39" x14ac:dyDescent="0.35">
      <c r="AM8011" s="26" t="s">
        <v>38</v>
      </c>
    </row>
    <row r="8012" spans="34:39" x14ac:dyDescent="0.35">
      <c r="AM8012" s="26" t="s">
        <v>38</v>
      </c>
    </row>
    <row r="8013" spans="34:39" x14ac:dyDescent="0.35">
      <c r="AM8013" s="26" t="s">
        <v>38</v>
      </c>
    </row>
    <row r="8014" spans="34:39" x14ac:dyDescent="0.35">
      <c r="AM8014" s="26" t="s">
        <v>38</v>
      </c>
    </row>
    <row r="8015" spans="34:39" x14ac:dyDescent="0.35">
      <c r="AM8015" s="26" t="s">
        <v>38</v>
      </c>
    </row>
    <row r="8016" spans="34:39" x14ac:dyDescent="0.35">
      <c r="AM8016" s="26" t="s">
        <v>38</v>
      </c>
    </row>
    <row r="8017" spans="39:39" x14ac:dyDescent="0.35">
      <c r="AM8017" s="26" t="s">
        <v>38</v>
      </c>
    </row>
    <row r="8018" spans="39:39" x14ac:dyDescent="0.35">
      <c r="AM8018" s="26" t="s">
        <v>38</v>
      </c>
    </row>
    <row r="8019" spans="39:39" x14ac:dyDescent="0.35">
      <c r="AM8019" s="26" t="s">
        <v>38</v>
      </c>
    </row>
    <row r="8020" spans="39:39" x14ac:dyDescent="0.35">
      <c r="AM8020" s="26" t="s">
        <v>38</v>
      </c>
    </row>
    <row r="8021" spans="39:39" x14ac:dyDescent="0.35">
      <c r="AM8021" s="26" t="s">
        <v>38</v>
      </c>
    </row>
    <row r="8022" spans="39:39" x14ac:dyDescent="0.35">
      <c r="AM8022" s="26" t="s">
        <v>38</v>
      </c>
    </row>
    <row r="8023" spans="39:39" x14ac:dyDescent="0.35">
      <c r="AM8023" s="26" t="s">
        <v>38</v>
      </c>
    </row>
    <row r="8024" spans="39:39" x14ac:dyDescent="0.35">
      <c r="AM8024" s="26" t="s">
        <v>38</v>
      </c>
    </row>
    <row r="8025" spans="39:39" x14ac:dyDescent="0.35">
      <c r="AM8025" s="26" t="s">
        <v>38</v>
      </c>
    </row>
    <row r="8026" spans="39:39" x14ac:dyDescent="0.35">
      <c r="AM8026" s="26" t="s">
        <v>38</v>
      </c>
    </row>
    <row r="8027" spans="39:39" x14ac:dyDescent="0.35">
      <c r="AM8027" s="26" t="s">
        <v>38</v>
      </c>
    </row>
    <row r="8028" spans="39:39" x14ac:dyDescent="0.35">
      <c r="AM8028" s="26" t="s">
        <v>38</v>
      </c>
    </row>
    <row r="8029" spans="39:39" x14ac:dyDescent="0.35">
      <c r="AM8029" s="26" t="s">
        <v>38</v>
      </c>
    </row>
    <row r="8030" spans="39:39" x14ac:dyDescent="0.35">
      <c r="AM8030" s="26" t="s">
        <v>38</v>
      </c>
    </row>
    <row r="8031" spans="39:39" x14ac:dyDescent="0.35">
      <c r="AM8031" s="26" t="s">
        <v>38</v>
      </c>
    </row>
    <row r="8032" spans="39:39" x14ac:dyDescent="0.35">
      <c r="AM8032" s="26" t="s">
        <v>38</v>
      </c>
    </row>
    <row r="8033" spans="39:39" x14ac:dyDescent="0.35">
      <c r="AM8033" s="26" t="s">
        <v>38</v>
      </c>
    </row>
    <row r="8034" spans="39:39" x14ac:dyDescent="0.35">
      <c r="AM8034" s="26" t="s">
        <v>38</v>
      </c>
    </row>
  </sheetData>
  <autoFilter ref="A6:AN8036" xr:uid="{00000000-0001-0000-0100-000000000000}"/>
  <pageMargins left="0.7" right="0.7" top="0.75" bottom="0.75" header="0.51180555555555496" footer="0.51180555555555496"/>
  <pageSetup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ADA5F-87E5-4EF6-900E-372144EAA407}">
  <sheetPr>
    <tabColor rgb="FF002060"/>
  </sheetPr>
  <dimension ref="A1:AK446"/>
  <sheetViews>
    <sheetView workbookViewId="0">
      <selection activeCell="B42" sqref="B42"/>
    </sheetView>
  </sheetViews>
  <sheetFormatPr defaultRowHeight="14.5" x14ac:dyDescent="0.35"/>
  <cols>
    <col min="3" max="3" width="18.453125" customWidth="1"/>
  </cols>
  <sheetData>
    <row r="1" spans="1:37" x14ac:dyDescent="0.35">
      <c r="A1" s="89" t="s">
        <v>1512</v>
      </c>
      <c r="B1" s="89" t="s">
        <v>1517</v>
      </c>
      <c r="C1" s="89" t="s">
        <v>1518</v>
      </c>
      <c r="D1" s="89" t="s">
        <v>1519</v>
      </c>
      <c r="E1" s="89" t="s">
        <v>586</v>
      </c>
      <c r="F1" s="89" t="s">
        <v>1520</v>
      </c>
      <c r="G1" s="89" t="s">
        <v>1521</v>
      </c>
      <c r="H1" s="89" t="s">
        <v>1522</v>
      </c>
      <c r="I1" s="89" t="s">
        <v>1523</v>
      </c>
      <c r="J1" s="89" t="s">
        <v>1524</v>
      </c>
      <c r="K1" s="89" t="s">
        <v>1525</v>
      </c>
      <c r="L1" s="89" t="s">
        <v>1526</v>
      </c>
      <c r="M1" s="89" t="s">
        <v>1527</v>
      </c>
      <c r="N1" s="89" t="s">
        <v>1528</v>
      </c>
      <c r="O1" s="89" t="s">
        <v>1529</v>
      </c>
      <c r="P1" s="89" t="s">
        <v>1530</v>
      </c>
      <c r="Q1" s="89" t="s">
        <v>1531</v>
      </c>
      <c r="R1" s="89" t="s">
        <v>1532</v>
      </c>
      <c r="S1" s="89" t="s">
        <v>1533</v>
      </c>
      <c r="T1" s="89" t="s">
        <v>1534</v>
      </c>
      <c r="U1" s="89" t="s">
        <v>1535</v>
      </c>
      <c r="V1" s="89" t="s">
        <v>1536</v>
      </c>
      <c r="W1" s="89" t="s">
        <v>593</v>
      </c>
      <c r="X1" s="89" t="s">
        <v>594</v>
      </c>
      <c r="Y1" s="89" t="s">
        <v>608</v>
      </c>
      <c r="Z1" s="89" t="s">
        <v>1537</v>
      </c>
      <c r="AA1" s="89" t="s">
        <v>1538</v>
      </c>
      <c r="AB1" s="89" t="s">
        <v>607</v>
      </c>
      <c r="AC1" s="89" t="s">
        <v>1539</v>
      </c>
      <c r="AD1" s="89" t="s">
        <v>1540</v>
      </c>
      <c r="AE1" s="89" t="s">
        <v>1541</v>
      </c>
      <c r="AF1" s="89" t="s">
        <v>1542</v>
      </c>
      <c r="AG1" s="89" t="s">
        <v>1543</v>
      </c>
      <c r="AH1" s="89" t="s">
        <v>1544</v>
      </c>
      <c r="AJ1" s="159" t="s">
        <v>13</v>
      </c>
      <c r="AK1" s="91" t="s">
        <v>3378</v>
      </c>
    </row>
    <row r="2" spans="1:37" x14ac:dyDescent="0.35">
      <c r="A2" s="89" t="str">
        <f>LEFT(B2,LEN(B2)-3)</f>
        <v>686M</v>
      </c>
      <c r="B2" s="89" t="s">
        <v>1175</v>
      </c>
      <c r="C2" s="89" t="s">
        <v>1176</v>
      </c>
      <c r="D2" s="89" t="s">
        <v>361</v>
      </c>
      <c r="E2" s="89" t="s">
        <v>1545</v>
      </c>
      <c r="F2" s="89" t="s">
        <v>1546</v>
      </c>
      <c r="G2" s="89" t="s">
        <v>70</v>
      </c>
      <c r="H2" s="89" t="s">
        <v>70</v>
      </c>
      <c r="I2" s="89" t="s">
        <v>1547</v>
      </c>
      <c r="J2" s="89">
        <v>0</v>
      </c>
      <c r="K2" s="89" t="s">
        <v>53</v>
      </c>
      <c r="L2" s="89" t="s">
        <v>1548</v>
      </c>
      <c r="M2" s="89" t="s">
        <v>51</v>
      </c>
      <c r="N2" s="89" t="s">
        <v>1549</v>
      </c>
      <c r="O2" s="89" t="s">
        <v>615</v>
      </c>
      <c r="P2" s="89" t="s">
        <v>1550</v>
      </c>
      <c r="Q2" s="89" t="s">
        <v>629</v>
      </c>
      <c r="R2" s="89">
        <v>24</v>
      </c>
      <c r="S2" s="89" t="s">
        <v>1551</v>
      </c>
      <c r="T2" s="89" t="s">
        <v>1551</v>
      </c>
      <c r="U2" s="89" t="s">
        <v>1552</v>
      </c>
      <c r="V2" s="89" t="s">
        <v>1553</v>
      </c>
      <c r="W2" s="89" t="s">
        <v>663</v>
      </c>
      <c r="X2" s="89" t="s">
        <v>78</v>
      </c>
      <c r="Y2" s="89" t="s">
        <v>619</v>
      </c>
      <c r="Z2" s="89" t="s">
        <v>68</v>
      </c>
      <c r="AA2" s="89" t="s">
        <v>67</v>
      </c>
      <c r="AB2" s="89">
        <v>1</v>
      </c>
      <c r="AC2" s="89">
        <v>6</v>
      </c>
      <c r="AD2" s="89">
        <v>1</v>
      </c>
      <c r="AE2" s="89" t="s">
        <v>283</v>
      </c>
      <c r="AF2" s="90">
        <v>41224</v>
      </c>
      <c r="AG2" s="90">
        <v>43580</v>
      </c>
      <c r="AH2" s="90">
        <v>44681</v>
      </c>
    </row>
    <row r="3" spans="1:37" x14ac:dyDescent="0.35">
      <c r="A3" s="89" t="str">
        <f t="shared" ref="A3:A56" si="0">LEFT(B3,LEN(B3)-3)</f>
        <v>139P</v>
      </c>
      <c r="B3" s="89" t="s">
        <v>969</v>
      </c>
      <c r="C3" s="89" t="s">
        <v>970</v>
      </c>
      <c r="D3" s="89" t="s">
        <v>197</v>
      </c>
      <c r="E3" s="89" t="s">
        <v>1554</v>
      </c>
      <c r="F3" s="89" t="s">
        <v>1546</v>
      </c>
      <c r="G3" s="89" t="s">
        <v>70</v>
      </c>
      <c r="H3" s="89" t="s">
        <v>70</v>
      </c>
      <c r="I3" s="89" t="s">
        <v>1547</v>
      </c>
      <c r="J3" s="89">
        <v>0</v>
      </c>
      <c r="K3" s="89" t="s">
        <v>53</v>
      </c>
      <c r="L3" s="89" t="s">
        <v>1548</v>
      </c>
      <c r="M3" s="89" t="s">
        <v>51</v>
      </c>
      <c r="N3" s="89" t="s">
        <v>1549</v>
      </c>
      <c r="O3" s="89" t="s">
        <v>615</v>
      </c>
      <c r="P3" s="89" t="s">
        <v>1550</v>
      </c>
      <c r="Q3" s="89" t="s">
        <v>629</v>
      </c>
      <c r="R3" s="89">
        <v>24</v>
      </c>
      <c r="S3" s="89" t="s">
        <v>1551</v>
      </c>
      <c r="T3" s="89" t="s">
        <v>1551</v>
      </c>
      <c r="U3" s="89" t="s">
        <v>1552</v>
      </c>
      <c r="V3" s="89" t="s">
        <v>1553</v>
      </c>
      <c r="W3" s="89" t="s">
        <v>628</v>
      </c>
      <c r="X3" s="89" t="s">
        <v>117</v>
      </c>
      <c r="Y3" s="89" t="s">
        <v>619</v>
      </c>
      <c r="Z3" s="89" t="s">
        <v>68</v>
      </c>
      <c r="AA3" s="89" t="s">
        <v>67</v>
      </c>
      <c r="AB3" s="89">
        <v>1</v>
      </c>
      <c r="AC3" s="89">
        <v>6</v>
      </c>
      <c r="AD3" s="89">
        <v>1</v>
      </c>
      <c r="AE3" s="89" t="s">
        <v>283</v>
      </c>
      <c r="AF3" s="90">
        <v>41244</v>
      </c>
      <c r="AG3" s="90">
        <v>43580</v>
      </c>
      <c r="AH3" s="90">
        <v>44681</v>
      </c>
    </row>
    <row r="4" spans="1:37" x14ac:dyDescent="0.35">
      <c r="A4" s="89" t="str">
        <f t="shared" si="0"/>
        <v>139T</v>
      </c>
      <c r="B4" s="89" t="s">
        <v>971</v>
      </c>
      <c r="C4" s="89" t="s">
        <v>972</v>
      </c>
      <c r="D4" s="89" t="s">
        <v>198</v>
      </c>
      <c r="E4" s="89" t="s">
        <v>973</v>
      </c>
      <c r="F4" s="89" t="s">
        <v>1546</v>
      </c>
      <c r="G4" s="89" t="s">
        <v>70</v>
      </c>
      <c r="H4" s="89" t="s">
        <v>70</v>
      </c>
      <c r="I4" s="89" t="s">
        <v>1547</v>
      </c>
      <c r="J4" s="89">
        <v>0</v>
      </c>
      <c r="K4" s="89" t="s">
        <v>53</v>
      </c>
      <c r="L4" s="89" t="s">
        <v>1548</v>
      </c>
      <c r="M4" s="89" t="s">
        <v>51</v>
      </c>
      <c r="N4" s="89" t="s">
        <v>1549</v>
      </c>
      <c r="O4" s="89" t="s">
        <v>615</v>
      </c>
      <c r="P4" s="89" t="s">
        <v>1550</v>
      </c>
      <c r="Q4" s="89" t="s">
        <v>629</v>
      </c>
      <c r="R4" s="89">
        <v>24</v>
      </c>
      <c r="S4" s="89" t="s">
        <v>1551</v>
      </c>
      <c r="T4" s="89" t="s">
        <v>1551</v>
      </c>
      <c r="U4" s="89" t="s">
        <v>1552</v>
      </c>
      <c r="V4" s="89" t="s">
        <v>1553</v>
      </c>
      <c r="W4" s="89" t="s">
        <v>677</v>
      </c>
      <c r="X4" s="89" t="s">
        <v>66</v>
      </c>
      <c r="Y4" s="89" t="s">
        <v>619</v>
      </c>
      <c r="Z4" s="89" t="s">
        <v>68</v>
      </c>
      <c r="AA4" s="89" t="s">
        <v>67</v>
      </c>
      <c r="AB4" s="89">
        <v>1</v>
      </c>
      <c r="AC4" s="89">
        <v>6</v>
      </c>
      <c r="AD4" s="89">
        <v>1</v>
      </c>
      <c r="AE4" s="89" t="s">
        <v>283</v>
      </c>
      <c r="AF4" s="90">
        <v>41247</v>
      </c>
      <c r="AG4" s="90">
        <v>43585</v>
      </c>
      <c r="AH4" s="90">
        <v>44681</v>
      </c>
    </row>
    <row r="5" spans="1:37" x14ac:dyDescent="0.35">
      <c r="A5" s="89" t="str">
        <f t="shared" si="0"/>
        <v>139U</v>
      </c>
      <c r="B5" s="89" t="s">
        <v>974</v>
      </c>
      <c r="C5" s="89" t="s">
        <v>975</v>
      </c>
      <c r="D5" s="89" t="s">
        <v>199</v>
      </c>
      <c r="E5" s="89" t="s">
        <v>976</v>
      </c>
      <c r="F5" s="89" t="s">
        <v>1546</v>
      </c>
      <c r="G5" s="89" t="s">
        <v>70</v>
      </c>
      <c r="H5" s="89" t="s">
        <v>70</v>
      </c>
      <c r="I5" s="89" t="s">
        <v>1547</v>
      </c>
      <c r="J5" s="89">
        <v>0</v>
      </c>
      <c r="K5" s="89" t="s">
        <v>53</v>
      </c>
      <c r="L5" s="89" t="s">
        <v>1548</v>
      </c>
      <c r="M5" s="89" t="s">
        <v>51</v>
      </c>
      <c r="N5" s="89" t="s">
        <v>1549</v>
      </c>
      <c r="O5" s="89" t="s">
        <v>615</v>
      </c>
      <c r="P5" s="89" t="s">
        <v>1550</v>
      </c>
      <c r="Q5" s="89" t="s">
        <v>629</v>
      </c>
      <c r="R5" s="89">
        <v>24</v>
      </c>
      <c r="S5" s="89" t="s">
        <v>1551</v>
      </c>
      <c r="T5" s="89" t="s">
        <v>1551</v>
      </c>
      <c r="U5" s="89" t="s">
        <v>1552</v>
      </c>
      <c r="V5" s="89" t="s">
        <v>1553</v>
      </c>
      <c r="W5" s="89" t="s">
        <v>644</v>
      </c>
      <c r="X5" s="89" t="s">
        <v>102</v>
      </c>
      <c r="Y5" s="89" t="s">
        <v>619</v>
      </c>
      <c r="Z5" s="89" t="s">
        <v>68</v>
      </c>
      <c r="AA5" s="89" t="s">
        <v>67</v>
      </c>
      <c r="AB5" s="89">
        <v>1</v>
      </c>
      <c r="AC5" s="89">
        <v>6</v>
      </c>
      <c r="AD5" s="89">
        <v>1</v>
      </c>
      <c r="AE5" s="89" t="s">
        <v>283</v>
      </c>
      <c r="AF5" s="90">
        <v>41250</v>
      </c>
      <c r="AG5" s="90">
        <v>43573</v>
      </c>
      <c r="AH5" s="90">
        <v>44681</v>
      </c>
    </row>
    <row r="6" spans="1:37" x14ac:dyDescent="0.35">
      <c r="A6" s="89" t="str">
        <f t="shared" si="0"/>
        <v>494J</v>
      </c>
      <c r="B6" s="89" t="s">
        <v>1480</v>
      </c>
      <c r="C6" s="89" t="s">
        <v>1481</v>
      </c>
      <c r="D6" s="89" t="s">
        <v>274</v>
      </c>
      <c r="E6" s="89" t="s">
        <v>1482</v>
      </c>
      <c r="F6" s="89" t="s">
        <v>1546</v>
      </c>
      <c r="G6" s="89" t="s">
        <v>70</v>
      </c>
      <c r="H6" s="89" t="s">
        <v>70</v>
      </c>
      <c r="I6" s="89" t="s">
        <v>1547</v>
      </c>
      <c r="J6" s="89">
        <v>0</v>
      </c>
      <c r="K6" s="89" t="s">
        <v>53</v>
      </c>
      <c r="L6" s="89" t="s">
        <v>1548</v>
      </c>
      <c r="M6" s="89" t="s">
        <v>51</v>
      </c>
      <c r="N6" s="89" t="s">
        <v>1549</v>
      </c>
      <c r="O6" s="89" t="s">
        <v>615</v>
      </c>
      <c r="P6" s="89" t="s">
        <v>1550</v>
      </c>
      <c r="Q6" s="89" t="s">
        <v>629</v>
      </c>
      <c r="R6" s="89">
        <v>15</v>
      </c>
      <c r="S6" s="89" t="s">
        <v>1555</v>
      </c>
      <c r="T6" s="89" t="s">
        <v>1555</v>
      </c>
      <c r="U6" s="89" t="s">
        <v>1552</v>
      </c>
      <c r="V6" s="89" t="s">
        <v>1553</v>
      </c>
      <c r="W6" s="89" t="s">
        <v>644</v>
      </c>
      <c r="X6" s="89" t="s">
        <v>102</v>
      </c>
      <c r="Y6" s="89" t="s">
        <v>619</v>
      </c>
      <c r="Z6" s="89" t="s">
        <v>68</v>
      </c>
      <c r="AA6" s="89" t="s">
        <v>67</v>
      </c>
      <c r="AB6" s="89">
        <v>1</v>
      </c>
      <c r="AC6" s="89">
        <v>6</v>
      </c>
      <c r="AD6" s="89">
        <v>1</v>
      </c>
      <c r="AE6" s="89" t="s">
        <v>283</v>
      </c>
      <c r="AF6" s="90">
        <v>41381</v>
      </c>
      <c r="AG6" s="90">
        <v>43581</v>
      </c>
      <c r="AH6" s="90">
        <v>44681</v>
      </c>
    </row>
    <row r="7" spans="1:37" x14ac:dyDescent="0.35">
      <c r="A7" s="89" t="str">
        <f t="shared" si="0"/>
        <v>0169</v>
      </c>
      <c r="B7" s="89" t="s">
        <v>934</v>
      </c>
      <c r="C7" s="89" t="s">
        <v>935</v>
      </c>
      <c r="D7" s="89" t="s">
        <v>166</v>
      </c>
      <c r="E7" s="89" t="s">
        <v>936</v>
      </c>
      <c r="F7" s="89" t="s">
        <v>1546</v>
      </c>
      <c r="G7" s="89" t="s">
        <v>70</v>
      </c>
      <c r="H7" s="89" t="s">
        <v>70</v>
      </c>
      <c r="I7" s="89" t="s">
        <v>1560</v>
      </c>
      <c r="J7" s="89">
        <v>1</v>
      </c>
      <c r="K7" s="89" t="s">
        <v>53</v>
      </c>
      <c r="L7" s="89" t="s">
        <v>1548</v>
      </c>
      <c r="M7" s="91"/>
      <c r="N7" s="89" t="s">
        <v>1549</v>
      </c>
      <c r="O7" s="89" t="s">
        <v>615</v>
      </c>
      <c r="P7" s="89" t="s">
        <v>1550</v>
      </c>
      <c r="Q7" s="89" t="s">
        <v>629</v>
      </c>
      <c r="R7" s="89">
        <v>24</v>
      </c>
      <c r="S7" s="89" t="s">
        <v>1551</v>
      </c>
      <c r="T7" s="89" t="s">
        <v>1551</v>
      </c>
      <c r="U7" s="89" t="s">
        <v>1552</v>
      </c>
      <c r="V7" s="89" t="s">
        <v>1553</v>
      </c>
      <c r="W7" s="89" t="s">
        <v>644</v>
      </c>
      <c r="X7" s="89" t="s">
        <v>102</v>
      </c>
      <c r="Y7" s="89" t="s">
        <v>619</v>
      </c>
      <c r="Z7" s="89" t="s">
        <v>68</v>
      </c>
      <c r="AA7" s="89" t="s">
        <v>67</v>
      </c>
      <c r="AB7" s="89">
        <v>1</v>
      </c>
      <c r="AC7" s="89">
        <v>6</v>
      </c>
      <c r="AD7" s="89">
        <v>1</v>
      </c>
      <c r="AE7" s="89" t="s">
        <v>285</v>
      </c>
      <c r="AF7" s="90">
        <v>367</v>
      </c>
      <c r="AG7" s="90">
        <v>44067</v>
      </c>
      <c r="AH7" s="90">
        <v>45169</v>
      </c>
    </row>
    <row r="8" spans="1:37" x14ac:dyDescent="0.35">
      <c r="A8" s="89" t="str">
        <f t="shared" si="0"/>
        <v>032L</v>
      </c>
      <c r="B8" s="89" t="s">
        <v>954</v>
      </c>
      <c r="C8" s="89" t="s">
        <v>955</v>
      </c>
      <c r="D8" s="89" t="s">
        <v>180</v>
      </c>
      <c r="E8" s="89" t="s">
        <v>956</v>
      </c>
      <c r="F8" s="89" t="s">
        <v>1546</v>
      </c>
      <c r="G8" s="89" t="s">
        <v>70</v>
      </c>
      <c r="H8" s="89" t="s">
        <v>70</v>
      </c>
      <c r="I8" s="91"/>
      <c r="J8" s="89">
        <v>0</v>
      </c>
      <c r="K8" s="89" t="s">
        <v>53</v>
      </c>
      <c r="L8" s="89" t="s">
        <v>1548</v>
      </c>
      <c r="M8" s="91"/>
      <c r="N8" s="89" t="s">
        <v>1549</v>
      </c>
      <c r="O8" s="89" t="s">
        <v>615</v>
      </c>
      <c r="P8" s="89" t="s">
        <v>1550</v>
      </c>
      <c r="Q8" s="89" t="s">
        <v>629</v>
      </c>
      <c r="R8" s="89">
        <v>24</v>
      </c>
      <c r="S8" s="89" t="s">
        <v>1551</v>
      </c>
      <c r="T8" s="89" t="s">
        <v>1555</v>
      </c>
      <c r="U8" s="89" t="s">
        <v>1552</v>
      </c>
      <c r="V8" s="89" t="s">
        <v>1561</v>
      </c>
      <c r="W8" s="89" t="s">
        <v>628</v>
      </c>
      <c r="X8" s="89" t="s">
        <v>117</v>
      </c>
      <c r="Y8" s="89" t="s">
        <v>619</v>
      </c>
      <c r="Z8" s="89" t="s">
        <v>68</v>
      </c>
      <c r="AA8" s="89" t="s">
        <v>67</v>
      </c>
      <c r="AB8" s="89">
        <v>1</v>
      </c>
      <c r="AC8" s="89">
        <v>6</v>
      </c>
      <c r="AD8" s="89">
        <v>1</v>
      </c>
      <c r="AE8" s="89" t="s">
        <v>0</v>
      </c>
      <c r="AF8" s="90">
        <v>367</v>
      </c>
      <c r="AG8" s="90">
        <v>44715</v>
      </c>
      <c r="AH8" s="90">
        <v>45818</v>
      </c>
    </row>
    <row r="9" spans="1:37" x14ac:dyDescent="0.35">
      <c r="A9" s="89" t="str">
        <f t="shared" si="0"/>
        <v>334R</v>
      </c>
      <c r="B9" s="89" t="s">
        <v>1023</v>
      </c>
      <c r="C9" s="89" t="s">
        <v>1024</v>
      </c>
      <c r="D9" s="89" t="s">
        <v>232</v>
      </c>
      <c r="E9" s="89" t="s">
        <v>1562</v>
      </c>
      <c r="F9" s="89" t="s">
        <v>1546</v>
      </c>
      <c r="G9" s="89" t="s">
        <v>70</v>
      </c>
      <c r="H9" s="89" t="s">
        <v>70</v>
      </c>
      <c r="I9" s="91"/>
      <c r="J9" s="89">
        <v>0</v>
      </c>
      <c r="K9" s="89" t="s">
        <v>53</v>
      </c>
      <c r="L9" s="89" t="s">
        <v>1548</v>
      </c>
      <c r="M9" s="91"/>
      <c r="N9" s="89" t="s">
        <v>1549</v>
      </c>
      <c r="O9" s="89" t="s">
        <v>615</v>
      </c>
      <c r="P9" s="89" t="s">
        <v>1550</v>
      </c>
      <c r="Q9" s="89" t="s">
        <v>629</v>
      </c>
      <c r="R9" s="89">
        <v>24</v>
      </c>
      <c r="S9" s="89" t="s">
        <v>1551</v>
      </c>
      <c r="T9" s="89" t="s">
        <v>1555</v>
      </c>
      <c r="U9" s="89" t="s">
        <v>1552</v>
      </c>
      <c r="V9" s="89" t="s">
        <v>1561</v>
      </c>
      <c r="W9" s="89" t="s">
        <v>644</v>
      </c>
      <c r="X9" s="89" t="s">
        <v>102</v>
      </c>
      <c r="Y9" s="89" t="s">
        <v>619</v>
      </c>
      <c r="Z9" s="89" t="s">
        <v>68</v>
      </c>
      <c r="AA9" s="89" t="s">
        <v>67</v>
      </c>
      <c r="AB9" s="89">
        <v>1</v>
      </c>
      <c r="AC9" s="89">
        <v>6</v>
      </c>
      <c r="AD9" s="89">
        <v>1</v>
      </c>
      <c r="AE9" s="89" t="s">
        <v>0</v>
      </c>
      <c r="AF9" s="90">
        <v>367</v>
      </c>
      <c r="AG9" s="90">
        <v>44725</v>
      </c>
      <c r="AH9" s="90">
        <v>45818</v>
      </c>
    </row>
    <row r="10" spans="1:37" x14ac:dyDescent="0.35">
      <c r="A10" s="89" t="str">
        <f t="shared" si="0"/>
        <v>305P</v>
      </c>
      <c r="B10" s="89" t="s">
        <v>1012</v>
      </c>
      <c r="C10" s="89" t="s">
        <v>1013</v>
      </c>
      <c r="D10" s="89" t="s">
        <v>228</v>
      </c>
      <c r="E10" s="89" t="s">
        <v>1014</v>
      </c>
      <c r="F10" s="89" t="s">
        <v>1546</v>
      </c>
      <c r="G10" s="89" t="s">
        <v>70</v>
      </c>
      <c r="H10" s="89" t="s">
        <v>70</v>
      </c>
      <c r="I10" s="91"/>
      <c r="J10" s="89">
        <v>0</v>
      </c>
      <c r="K10" s="89" t="s">
        <v>53</v>
      </c>
      <c r="L10" s="89" t="s">
        <v>1548</v>
      </c>
      <c r="M10" s="91"/>
      <c r="N10" s="89" t="s">
        <v>1549</v>
      </c>
      <c r="O10" s="89" t="s">
        <v>615</v>
      </c>
      <c r="P10" s="89" t="s">
        <v>1550</v>
      </c>
      <c r="Q10" s="89" t="s">
        <v>629</v>
      </c>
      <c r="R10" s="89">
        <v>24</v>
      </c>
      <c r="S10" s="89" t="s">
        <v>1551</v>
      </c>
      <c r="T10" s="89" t="s">
        <v>1555</v>
      </c>
      <c r="U10" s="89" t="s">
        <v>1552</v>
      </c>
      <c r="V10" s="89" t="s">
        <v>1561</v>
      </c>
      <c r="W10" s="89" t="s">
        <v>645</v>
      </c>
      <c r="X10" s="89" t="s">
        <v>100</v>
      </c>
      <c r="Y10" s="89" t="s">
        <v>619</v>
      </c>
      <c r="Z10" s="89" t="s">
        <v>68</v>
      </c>
      <c r="AA10" s="89" t="s">
        <v>67</v>
      </c>
      <c r="AB10" s="89">
        <v>1</v>
      </c>
      <c r="AC10" s="89">
        <v>6</v>
      </c>
      <c r="AD10" s="89">
        <v>1</v>
      </c>
      <c r="AE10" s="89" t="s">
        <v>0</v>
      </c>
      <c r="AF10" s="90">
        <v>367</v>
      </c>
      <c r="AG10" s="90">
        <v>44725</v>
      </c>
      <c r="AH10" s="90">
        <v>45818</v>
      </c>
    </row>
    <row r="11" spans="1:37" x14ac:dyDescent="0.35">
      <c r="A11" s="89" t="str">
        <f t="shared" si="0"/>
        <v>305Q</v>
      </c>
      <c r="B11" s="89" t="s">
        <v>1015</v>
      </c>
      <c r="C11" s="89" t="s">
        <v>1016</v>
      </c>
      <c r="D11" s="89" t="s">
        <v>229</v>
      </c>
      <c r="E11" s="89" t="s">
        <v>1017</v>
      </c>
      <c r="F11" s="89" t="s">
        <v>1546</v>
      </c>
      <c r="G11" s="89" t="s">
        <v>70</v>
      </c>
      <c r="H11" s="89" t="s">
        <v>70</v>
      </c>
      <c r="I11" s="91"/>
      <c r="J11" s="89">
        <v>0</v>
      </c>
      <c r="K11" s="89" t="s">
        <v>53</v>
      </c>
      <c r="L11" s="89" t="s">
        <v>1548</v>
      </c>
      <c r="M11" s="91"/>
      <c r="N11" s="89" t="s">
        <v>1549</v>
      </c>
      <c r="O11" s="89" t="s">
        <v>615</v>
      </c>
      <c r="P11" s="89" t="s">
        <v>1550</v>
      </c>
      <c r="Q11" s="89" t="s">
        <v>629</v>
      </c>
      <c r="R11" s="89">
        <v>15</v>
      </c>
      <c r="S11" s="89" t="s">
        <v>1551</v>
      </c>
      <c r="T11" s="89" t="s">
        <v>1555</v>
      </c>
      <c r="U11" s="89" t="s">
        <v>1552</v>
      </c>
      <c r="V11" s="89" t="s">
        <v>1561</v>
      </c>
      <c r="W11" s="89" t="s">
        <v>663</v>
      </c>
      <c r="X11" s="89" t="s">
        <v>78</v>
      </c>
      <c r="Y11" s="89" t="s">
        <v>619</v>
      </c>
      <c r="Z11" s="89" t="s">
        <v>68</v>
      </c>
      <c r="AA11" s="89" t="s">
        <v>67</v>
      </c>
      <c r="AB11" s="89">
        <v>1</v>
      </c>
      <c r="AC11" s="89">
        <v>6</v>
      </c>
      <c r="AD11" s="89">
        <v>1</v>
      </c>
      <c r="AE11" s="89" t="s">
        <v>0</v>
      </c>
      <c r="AF11" s="90">
        <v>367</v>
      </c>
      <c r="AG11" s="90">
        <v>44725</v>
      </c>
      <c r="AH11" s="90">
        <v>45818</v>
      </c>
    </row>
    <row r="12" spans="1:37" x14ac:dyDescent="0.35">
      <c r="A12" s="89" t="str">
        <f t="shared" si="0"/>
        <v>320T</v>
      </c>
      <c r="B12" s="89" t="s">
        <v>1021</v>
      </c>
      <c r="C12" s="89" t="s">
        <v>1022</v>
      </c>
      <c r="D12" s="89" t="s">
        <v>231</v>
      </c>
      <c r="E12" s="89" t="s">
        <v>1563</v>
      </c>
      <c r="F12" s="89" t="s">
        <v>1546</v>
      </c>
      <c r="G12" s="89" t="s">
        <v>70</v>
      </c>
      <c r="H12" s="89" t="s">
        <v>70</v>
      </c>
      <c r="I12" s="91"/>
      <c r="J12" s="89">
        <v>1</v>
      </c>
      <c r="K12" s="89" t="s">
        <v>53</v>
      </c>
      <c r="L12" s="89" t="s">
        <v>1548</v>
      </c>
      <c r="M12" s="91"/>
      <c r="N12" s="89" t="s">
        <v>1549</v>
      </c>
      <c r="O12" s="89" t="s">
        <v>615</v>
      </c>
      <c r="P12" s="89" t="s">
        <v>1550</v>
      </c>
      <c r="Q12" s="89" t="s">
        <v>629</v>
      </c>
      <c r="R12" s="89">
        <v>24</v>
      </c>
      <c r="S12" s="89" t="s">
        <v>1551</v>
      </c>
      <c r="T12" s="89" t="s">
        <v>1555</v>
      </c>
      <c r="U12" s="89" t="s">
        <v>1552</v>
      </c>
      <c r="V12" s="89" t="s">
        <v>1561</v>
      </c>
      <c r="W12" s="89" t="s">
        <v>644</v>
      </c>
      <c r="X12" s="89" t="s">
        <v>102</v>
      </c>
      <c r="Y12" s="89" t="s">
        <v>619</v>
      </c>
      <c r="Z12" s="89" t="s">
        <v>68</v>
      </c>
      <c r="AA12" s="89" t="s">
        <v>67</v>
      </c>
      <c r="AB12" s="89">
        <v>1</v>
      </c>
      <c r="AC12" s="89">
        <v>6</v>
      </c>
      <c r="AD12" s="89">
        <v>1</v>
      </c>
      <c r="AE12" s="89" t="s">
        <v>0</v>
      </c>
      <c r="AF12" s="90">
        <v>367</v>
      </c>
      <c r="AG12" s="90">
        <v>44726</v>
      </c>
      <c r="AH12" s="90">
        <v>45818</v>
      </c>
    </row>
    <row r="13" spans="1:37" x14ac:dyDescent="0.35">
      <c r="A13" s="89" t="str">
        <f t="shared" si="0"/>
        <v>355T</v>
      </c>
      <c r="B13" s="89" t="s">
        <v>1032</v>
      </c>
      <c r="C13" s="89" t="s">
        <v>1033</v>
      </c>
      <c r="D13" s="89" t="s">
        <v>240</v>
      </c>
      <c r="E13" s="89" t="s">
        <v>1034</v>
      </c>
      <c r="F13" s="89" t="s">
        <v>1546</v>
      </c>
      <c r="G13" s="89" t="s">
        <v>70</v>
      </c>
      <c r="H13" s="89" t="s">
        <v>70</v>
      </c>
      <c r="I13" s="89" t="s">
        <v>1547</v>
      </c>
      <c r="J13" s="89">
        <v>0</v>
      </c>
      <c r="K13" s="89" t="s">
        <v>53</v>
      </c>
      <c r="L13" s="89" t="s">
        <v>1548</v>
      </c>
      <c r="M13" s="91"/>
      <c r="N13" s="89" t="s">
        <v>1549</v>
      </c>
      <c r="O13" s="89" t="s">
        <v>615</v>
      </c>
      <c r="P13" s="89" t="s">
        <v>1550</v>
      </c>
      <c r="Q13" s="89" t="s">
        <v>629</v>
      </c>
      <c r="R13" s="89">
        <v>15</v>
      </c>
      <c r="S13" s="89" t="s">
        <v>1555</v>
      </c>
      <c r="T13" s="89" t="s">
        <v>1555</v>
      </c>
      <c r="U13" s="89" t="s">
        <v>1552</v>
      </c>
      <c r="V13" s="89" t="s">
        <v>1561</v>
      </c>
      <c r="W13" s="89" t="s">
        <v>663</v>
      </c>
      <c r="X13" s="89" t="s">
        <v>78</v>
      </c>
      <c r="Y13" s="89" t="s">
        <v>619</v>
      </c>
      <c r="Z13" s="89" t="s">
        <v>68</v>
      </c>
      <c r="AA13" s="89" t="s">
        <v>67</v>
      </c>
      <c r="AB13" s="89">
        <v>1</v>
      </c>
      <c r="AC13" s="89">
        <v>6</v>
      </c>
      <c r="AD13" s="89">
        <v>1</v>
      </c>
      <c r="AE13" s="89" t="s">
        <v>0</v>
      </c>
      <c r="AF13" s="90">
        <v>367</v>
      </c>
      <c r="AG13" s="90">
        <v>44726</v>
      </c>
      <c r="AH13" s="90">
        <v>45818</v>
      </c>
    </row>
    <row r="14" spans="1:37" x14ac:dyDescent="0.35">
      <c r="A14" s="89" t="str">
        <f t="shared" si="0"/>
        <v>355U</v>
      </c>
      <c r="B14" s="89" t="s">
        <v>1035</v>
      </c>
      <c r="C14" s="89" t="s">
        <v>1036</v>
      </c>
      <c r="D14" s="89" t="s">
        <v>241</v>
      </c>
      <c r="E14" s="89" t="s">
        <v>1037</v>
      </c>
      <c r="F14" s="89" t="s">
        <v>1546</v>
      </c>
      <c r="G14" s="89" t="s">
        <v>70</v>
      </c>
      <c r="H14" s="89" t="s">
        <v>70</v>
      </c>
      <c r="I14" s="89" t="s">
        <v>1547</v>
      </c>
      <c r="J14" s="89">
        <v>0</v>
      </c>
      <c r="K14" s="89" t="s">
        <v>53</v>
      </c>
      <c r="L14" s="89" t="s">
        <v>1548</v>
      </c>
      <c r="M14" s="91"/>
      <c r="N14" s="89" t="s">
        <v>1549</v>
      </c>
      <c r="O14" s="89" t="s">
        <v>615</v>
      </c>
      <c r="P14" s="89" t="s">
        <v>1550</v>
      </c>
      <c r="Q14" s="89" t="s">
        <v>629</v>
      </c>
      <c r="R14" s="89">
        <v>15</v>
      </c>
      <c r="S14" s="89" t="s">
        <v>1555</v>
      </c>
      <c r="T14" s="89" t="s">
        <v>1555</v>
      </c>
      <c r="U14" s="89" t="s">
        <v>1552</v>
      </c>
      <c r="V14" s="89" t="s">
        <v>1561</v>
      </c>
      <c r="W14" s="89" t="s">
        <v>677</v>
      </c>
      <c r="X14" s="89" t="s">
        <v>66</v>
      </c>
      <c r="Y14" s="89" t="s">
        <v>619</v>
      </c>
      <c r="Z14" s="89" t="s">
        <v>68</v>
      </c>
      <c r="AA14" s="89" t="s">
        <v>67</v>
      </c>
      <c r="AB14" s="89">
        <v>1</v>
      </c>
      <c r="AC14" s="89">
        <v>6</v>
      </c>
      <c r="AD14" s="89">
        <v>1</v>
      </c>
      <c r="AE14" s="89" t="s">
        <v>0</v>
      </c>
      <c r="AF14" s="90">
        <v>367</v>
      </c>
      <c r="AG14" s="90">
        <v>44726</v>
      </c>
      <c r="AH14" s="90">
        <v>45818</v>
      </c>
    </row>
    <row r="15" spans="1:37" x14ac:dyDescent="0.35">
      <c r="A15" s="89" t="str">
        <f t="shared" si="0"/>
        <v>355V</v>
      </c>
      <c r="B15" s="89" t="s">
        <v>1038</v>
      </c>
      <c r="C15" s="89" t="s">
        <v>1039</v>
      </c>
      <c r="D15" s="89" t="s">
        <v>242</v>
      </c>
      <c r="E15" s="89" t="s">
        <v>1040</v>
      </c>
      <c r="F15" s="89" t="s">
        <v>1546</v>
      </c>
      <c r="G15" s="89" t="s">
        <v>70</v>
      </c>
      <c r="H15" s="89" t="s">
        <v>70</v>
      </c>
      <c r="I15" s="89" t="s">
        <v>1547</v>
      </c>
      <c r="J15" s="89">
        <v>0</v>
      </c>
      <c r="K15" s="89" t="s">
        <v>53</v>
      </c>
      <c r="L15" s="89" t="s">
        <v>1548</v>
      </c>
      <c r="M15" s="91"/>
      <c r="N15" s="89" t="s">
        <v>1549</v>
      </c>
      <c r="O15" s="89" t="s">
        <v>615</v>
      </c>
      <c r="P15" s="89" t="s">
        <v>1550</v>
      </c>
      <c r="Q15" s="89" t="s">
        <v>629</v>
      </c>
      <c r="R15" s="89">
        <v>24</v>
      </c>
      <c r="S15" s="89" t="s">
        <v>1551</v>
      </c>
      <c r="T15" s="89" t="s">
        <v>1555</v>
      </c>
      <c r="U15" s="89" t="s">
        <v>1552</v>
      </c>
      <c r="V15" s="89" t="s">
        <v>1561</v>
      </c>
      <c r="W15" s="89" t="s">
        <v>645</v>
      </c>
      <c r="X15" s="89" t="s">
        <v>100</v>
      </c>
      <c r="Y15" s="89" t="s">
        <v>619</v>
      </c>
      <c r="Z15" s="89" t="s">
        <v>68</v>
      </c>
      <c r="AA15" s="89" t="s">
        <v>67</v>
      </c>
      <c r="AB15" s="89">
        <v>1</v>
      </c>
      <c r="AC15" s="89">
        <v>6</v>
      </c>
      <c r="AD15" s="89">
        <v>1</v>
      </c>
      <c r="AE15" s="89" t="s">
        <v>0</v>
      </c>
      <c r="AF15" s="90">
        <v>367</v>
      </c>
      <c r="AG15" s="90">
        <v>44726</v>
      </c>
      <c r="AH15" s="90">
        <v>45818</v>
      </c>
    </row>
    <row r="16" spans="1:37" x14ac:dyDescent="0.35">
      <c r="A16" s="89" t="str">
        <f t="shared" si="0"/>
        <v>355X</v>
      </c>
      <c r="B16" s="89" t="s">
        <v>1041</v>
      </c>
      <c r="C16" s="89" t="s">
        <v>1042</v>
      </c>
      <c r="D16" s="89" t="s">
        <v>243</v>
      </c>
      <c r="E16" s="89" t="s">
        <v>1043</v>
      </c>
      <c r="F16" s="89" t="s">
        <v>1546</v>
      </c>
      <c r="G16" s="89" t="s">
        <v>70</v>
      </c>
      <c r="H16" s="89" t="s">
        <v>70</v>
      </c>
      <c r="I16" s="89" t="s">
        <v>1547</v>
      </c>
      <c r="J16" s="89">
        <v>0</v>
      </c>
      <c r="K16" s="89" t="s">
        <v>53</v>
      </c>
      <c r="L16" s="89" t="s">
        <v>1548</v>
      </c>
      <c r="M16" s="91"/>
      <c r="N16" s="89" t="s">
        <v>1549</v>
      </c>
      <c r="O16" s="89" t="s">
        <v>615</v>
      </c>
      <c r="P16" s="89" t="s">
        <v>1550</v>
      </c>
      <c r="Q16" s="89" t="s">
        <v>629</v>
      </c>
      <c r="R16" s="89">
        <v>24</v>
      </c>
      <c r="S16" s="89" t="s">
        <v>1551</v>
      </c>
      <c r="T16" s="89" t="s">
        <v>1555</v>
      </c>
      <c r="U16" s="89" t="s">
        <v>1552</v>
      </c>
      <c r="V16" s="89" t="s">
        <v>1561</v>
      </c>
      <c r="W16" s="89" t="s">
        <v>645</v>
      </c>
      <c r="X16" s="89" t="s">
        <v>100</v>
      </c>
      <c r="Y16" s="89" t="s">
        <v>619</v>
      </c>
      <c r="Z16" s="89" t="s">
        <v>68</v>
      </c>
      <c r="AA16" s="89" t="s">
        <v>67</v>
      </c>
      <c r="AB16" s="89">
        <v>1</v>
      </c>
      <c r="AC16" s="89">
        <v>6</v>
      </c>
      <c r="AD16" s="89">
        <v>1</v>
      </c>
      <c r="AE16" s="89" t="s">
        <v>0</v>
      </c>
      <c r="AF16" s="90">
        <v>367</v>
      </c>
      <c r="AG16" s="90">
        <v>44727</v>
      </c>
      <c r="AH16" s="90">
        <v>45818</v>
      </c>
    </row>
    <row r="17" spans="1:34" x14ac:dyDescent="0.35">
      <c r="A17" s="89" t="str">
        <f t="shared" si="0"/>
        <v>356A</v>
      </c>
      <c r="B17" s="89" t="s">
        <v>1044</v>
      </c>
      <c r="C17" s="89" t="s">
        <v>1045</v>
      </c>
      <c r="D17" s="89" t="s">
        <v>245</v>
      </c>
      <c r="E17" s="89" t="s">
        <v>1046</v>
      </c>
      <c r="F17" s="89" t="s">
        <v>1546</v>
      </c>
      <c r="G17" s="89" t="s">
        <v>70</v>
      </c>
      <c r="H17" s="89" t="s">
        <v>70</v>
      </c>
      <c r="I17" s="89" t="s">
        <v>1547</v>
      </c>
      <c r="J17" s="89">
        <v>0</v>
      </c>
      <c r="K17" s="89" t="s">
        <v>53</v>
      </c>
      <c r="L17" s="89" t="s">
        <v>1548</v>
      </c>
      <c r="M17" s="91"/>
      <c r="N17" s="89" t="s">
        <v>1549</v>
      </c>
      <c r="O17" s="89" t="s">
        <v>615</v>
      </c>
      <c r="P17" s="89" t="s">
        <v>1550</v>
      </c>
      <c r="Q17" s="89" t="s">
        <v>629</v>
      </c>
      <c r="R17" s="89">
        <v>15</v>
      </c>
      <c r="S17" s="89" t="s">
        <v>1564</v>
      </c>
      <c r="T17" s="89" t="s">
        <v>1555</v>
      </c>
      <c r="U17" s="89" t="s">
        <v>1552</v>
      </c>
      <c r="V17" s="89" t="s">
        <v>1561</v>
      </c>
      <c r="W17" s="89" t="s">
        <v>663</v>
      </c>
      <c r="X17" s="89" t="s">
        <v>78</v>
      </c>
      <c r="Y17" s="89" t="s">
        <v>619</v>
      </c>
      <c r="Z17" s="89" t="s">
        <v>68</v>
      </c>
      <c r="AA17" s="89" t="s">
        <v>67</v>
      </c>
      <c r="AB17" s="89">
        <v>1</v>
      </c>
      <c r="AC17" s="89">
        <v>6</v>
      </c>
      <c r="AD17" s="89">
        <v>1</v>
      </c>
      <c r="AE17" s="89" t="s">
        <v>0</v>
      </c>
      <c r="AF17" s="90">
        <v>367</v>
      </c>
      <c r="AG17" s="90">
        <v>44727</v>
      </c>
      <c r="AH17" s="90">
        <v>45818</v>
      </c>
    </row>
    <row r="18" spans="1:34" x14ac:dyDescent="0.35">
      <c r="A18" s="89" t="str">
        <f t="shared" si="0"/>
        <v>365K</v>
      </c>
      <c r="B18" s="89" t="s">
        <v>1047</v>
      </c>
      <c r="C18" s="89" t="s">
        <v>1048</v>
      </c>
      <c r="D18" s="89" t="s">
        <v>246</v>
      </c>
      <c r="E18" s="89" t="s">
        <v>1049</v>
      </c>
      <c r="F18" s="89" t="s">
        <v>1546</v>
      </c>
      <c r="G18" s="89" t="s">
        <v>70</v>
      </c>
      <c r="H18" s="89" t="s">
        <v>70</v>
      </c>
      <c r="I18" s="89" t="s">
        <v>1547</v>
      </c>
      <c r="J18" s="89">
        <v>0</v>
      </c>
      <c r="K18" s="89" t="s">
        <v>53</v>
      </c>
      <c r="L18" s="89" t="s">
        <v>1548</v>
      </c>
      <c r="M18" s="91"/>
      <c r="N18" s="89" t="s">
        <v>1549</v>
      </c>
      <c r="O18" s="89" t="s">
        <v>615</v>
      </c>
      <c r="P18" s="89" t="s">
        <v>1550</v>
      </c>
      <c r="Q18" s="89" t="s">
        <v>629</v>
      </c>
      <c r="R18" s="89">
        <v>15</v>
      </c>
      <c r="S18" s="89" t="s">
        <v>1551</v>
      </c>
      <c r="T18" s="89" t="s">
        <v>1555</v>
      </c>
      <c r="U18" s="89" t="s">
        <v>1552</v>
      </c>
      <c r="V18" s="89" t="s">
        <v>1561</v>
      </c>
      <c r="W18" s="89" t="s">
        <v>628</v>
      </c>
      <c r="X18" s="89" t="s">
        <v>117</v>
      </c>
      <c r="Y18" s="89" t="s">
        <v>619</v>
      </c>
      <c r="Z18" s="89" t="s">
        <v>68</v>
      </c>
      <c r="AA18" s="89" t="s">
        <v>67</v>
      </c>
      <c r="AB18" s="89">
        <v>1</v>
      </c>
      <c r="AC18" s="89">
        <v>6</v>
      </c>
      <c r="AD18" s="89">
        <v>1</v>
      </c>
      <c r="AE18" s="89" t="s">
        <v>0</v>
      </c>
      <c r="AF18" s="90">
        <v>367</v>
      </c>
      <c r="AG18" s="90">
        <v>44727</v>
      </c>
      <c r="AH18" s="90">
        <v>45818</v>
      </c>
    </row>
    <row r="19" spans="1:34" x14ac:dyDescent="0.35">
      <c r="A19" s="89" t="str">
        <f t="shared" si="0"/>
        <v>365L</v>
      </c>
      <c r="B19" s="89" t="s">
        <v>1050</v>
      </c>
      <c r="C19" s="89" t="s">
        <v>1051</v>
      </c>
      <c r="D19" s="89" t="s">
        <v>247</v>
      </c>
      <c r="E19" s="89" t="s">
        <v>1052</v>
      </c>
      <c r="F19" s="89" t="s">
        <v>1546</v>
      </c>
      <c r="G19" s="89" t="s">
        <v>70</v>
      </c>
      <c r="H19" s="89" t="s">
        <v>70</v>
      </c>
      <c r="I19" s="89" t="s">
        <v>1547</v>
      </c>
      <c r="J19" s="89">
        <v>0</v>
      </c>
      <c r="K19" s="89" t="s">
        <v>53</v>
      </c>
      <c r="L19" s="89" t="s">
        <v>1548</v>
      </c>
      <c r="M19" s="91"/>
      <c r="N19" s="89" t="s">
        <v>1549</v>
      </c>
      <c r="O19" s="89" t="s">
        <v>615</v>
      </c>
      <c r="P19" s="89" t="s">
        <v>1550</v>
      </c>
      <c r="Q19" s="89" t="s">
        <v>629</v>
      </c>
      <c r="R19" s="89">
        <v>15</v>
      </c>
      <c r="S19" s="89" t="s">
        <v>1551</v>
      </c>
      <c r="T19" s="89" t="s">
        <v>1555</v>
      </c>
      <c r="U19" s="89" t="s">
        <v>1552</v>
      </c>
      <c r="V19" s="89" t="s">
        <v>1561</v>
      </c>
      <c r="W19" s="89" t="s">
        <v>677</v>
      </c>
      <c r="X19" s="89" t="s">
        <v>66</v>
      </c>
      <c r="Y19" s="89" t="s">
        <v>619</v>
      </c>
      <c r="Z19" s="89" t="s">
        <v>68</v>
      </c>
      <c r="AA19" s="89" t="s">
        <v>67</v>
      </c>
      <c r="AB19" s="89">
        <v>1</v>
      </c>
      <c r="AC19" s="89">
        <v>6</v>
      </c>
      <c r="AD19" s="89">
        <v>1</v>
      </c>
      <c r="AE19" s="89" t="s">
        <v>0</v>
      </c>
      <c r="AF19" s="90">
        <v>367</v>
      </c>
      <c r="AG19" s="90">
        <v>44727</v>
      </c>
      <c r="AH19" s="90">
        <v>45818</v>
      </c>
    </row>
    <row r="20" spans="1:34" x14ac:dyDescent="0.35">
      <c r="A20" s="89" t="str">
        <f t="shared" si="0"/>
        <v>00VC</v>
      </c>
      <c r="B20" s="89" t="s">
        <v>917</v>
      </c>
      <c r="C20" s="89" t="s">
        <v>918</v>
      </c>
      <c r="D20" s="89" t="s">
        <v>158</v>
      </c>
      <c r="E20" s="89" t="s">
        <v>919</v>
      </c>
      <c r="F20" s="89" t="s">
        <v>1546</v>
      </c>
      <c r="G20" s="89" t="s">
        <v>70</v>
      </c>
      <c r="H20" s="89" t="s">
        <v>70</v>
      </c>
      <c r="I20" s="89" t="s">
        <v>1559</v>
      </c>
      <c r="J20" s="89">
        <v>1</v>
      </c>
      <c r="K20" s="89" t="s">
        <v>53</v>
      </c>
      <c r="L20" s="89" t="s">
        <v>1548</v>
      </c>
      <c r="M20" s="91"/>
      <c r="N20" s="89" t="s">
        <v>1549</v>
      </c>
      <c r="O20" s="89" t="s">
        <v>615</v>
      </c>
      <c r="P20" s="89" t="s">
        <v>1550</v>
      </c>
      <c r="Q20" s="89" t="s">
        <v>629</v>
      </c>
      <c r="R20" s="89">
        <v>24</v>
      </c>
      <c r="S20" s="89" t="s">
        <v>1551</v>
      </c>
      <c r="T20" s="89" t="s">
        <v>1551</v>
      </c>
      <c r="U20" s="89" t="s">
        <v>1552</v>
      </c>
      <c r="V20" s="89" t="s">
        <v>1561</v>
      </c>
      <c r="W20" s="89" t="s">
        <v>628</v>
      </c>
      <c r="X20" s="89" t="s">
        <v>117</v>
      </c>
      <c r="Y20" s="89" t="s">
        <v>619</v>
      </c>
      <c r="Z20" s="89" t="s">
        <v>68</v>
      </c>
      <c r="AA20" s="89" t="s">
        <v>67</v>
      </c>
      <c r="AB20" s="89">
        <v>1</v>
      </c>
      <c r="AC20" s="89">
        <v>6</v>
      </c>
      <c r="AD20" s="89">
        <v>1</v>
      </c>
      <c r="AE20" s="89" t="s">
        <v>0</v>
      </c>
      <c r="AF20" s="90">
        <v>367</v>
      </c>
      <c r="AG20" s="90">
        <v>44728</v>
      </c>
      <c r="AH20" s="90">
        <v>45818</v>
      </c>
    </row>
    <row r="21" spans="1:34" x14ac:dyDescent="0.35">
      <c r="A21" s="89" t="str">
        <f t="shared" si="0"/>
        <v>519C</v>
      </c>
      <c r="B21" s="89" t="s">
        <v>1093</v>
      </c>
      <c r="C21" s="89" t="s">
        <v>1094</v>
      </c>
      <c r="D21" s="89" t="s">
        <v>291</v>
      </c>
      <c r="E21" s="89" t="s">
        <v>1095</v>
      </c>
      <c r="F21" s="89" t="s">
        <v>1546</v>
      </c>
      <c r="G21" s="89" t="s">
        <v>70</v>
      </c>
      <c r="H21" s="89" t="s">
        <v>70</v>
      </c>
      <c r="I21" s="89" t="s">
        <v>1547</v>
      </c>
      <c r="J21" s="89">
        <v>0</v>
      </c>
      <c r="K21" s="89" t="s">
        <v>53</v>
      </c>
      <c r="L21" s="89" t="s">
        <v>1548</v>
      </c>
      <c r="M21" s="91"/>
      <c r="N21" s="89" t="s">
        <v>1549</v>
      </c>
      <c r="O21" s="89" t="s">
        <v>615</v>
      </c>
      <c r="P21" s="89" t="s">
        <v>1550</v>
      </c>
      <c r="Q21" s="89" t="s">
        <v>629</v>
      </c>
      <c r="R21" s="89">
        <v>15</v>
      </c>
      <c r="S21" s="89" t="s">
        <v>1555</v>
      </c>
      <c r="T21" s="89" t="s">
        <v>1555</v>
      </c>
      <c r="U21" s="89" t="s">
        <v>1552</v>
      </c>
      <c r="V21" s="89" t="s">
        <v>1561</v>
      </c>
      <c r="W21" s="89" t="s">
        <v>663</v>
      </c>
      <c r="X21" s="89" t="s">
        <v>78</v>
      </c>
      <c r="Y21" s="89" t="s">
        <v>619</v>
      </c>
      <c r="Z21" s="89" t="s">
        <v>68</v>
      </c>
      <c r="AA21" s="89" t="s">
        <v>67</v>
      </c>
      <c r="AB21" s="89">
        <v>1</v>
      </c>
      <c r="AC21" s="89">
        <v>6</v>
      </c>
      <c r="AD21" s="89">
        <v>1</v>
      </c>
      <c r="AE21" s="89" t="s">
        <v>0</v>
      </c>
      <c r="AF21" s="90">
        <v>367</v>
      </c>
      <c r="AG21" s="90">
        <v>44728</v>
      </c>
      <c r="AH21" s="90">
        <v>45818</v>
      </c>
    </row>
    <row r="22" spans="1:34" x14ac:dyDescent="0.35">
      <c r="A22" s="89" t="str">
        <f t="shared" si="0"/>
        <v>686V</v>
      </c>
      <c r="B22" s="89" t="s">
        <v>1179</v>
      </c>
      <c r="C22" s="89" t="s">
        <v>1180</v>
      </c>
      <c r="D22" s="89" t="s">
        <v>363</v>
      </c>
      <c r="E22" s="89" t="s">
        <v>1565</v>
      </c>
      <c r="F22" s="89" t="s">
        <v>1546</v>
      </c>
      <c r="G22" s="89" t="s">
        <v>70</v>
      </c>
      <c r="H22" s="89" t="s">
        <v>70</v>
      </c>
      <c r="I22" s="89" t="s">
        <v>1566</v>
      </c>
      <c r="J22" s="89">
        <v>1</v>
      </c>
      <c r="K22" s="89" t="s">
        <v>53</v>
      </c>
      <c r="L22" s="89" t="s">
        <v>1548</v>
      </c>
      <c r="M22" s="91"/>
      <c r="N22" s="89" t="s">
        <v>1549</v>
      </c>
      <c r="O22" s="89" t="s">
        <v>615</v>
      </c>
      <c r="P22" s="89" t="s">
        <v>1550</v>
      </c>
      <c r="Q22" s="89" t="s">
        <v>629</v>
      </c>
      <c r="R22" s="89">
        <v>24</v>
      </c>
      <c r="S22" s="89" t="s">
        <v>1551</v>
      </c>
      <c r="T22" s="89" t="s">
        <v>1555</v>
      </c>
      <c r="U22" s="89" t="s">
        <v>1552</v>
      </c>
      <c r="V22" s="89" t="s">
        <v>1561</v>
      </c>
      <c r="W22" s="89" t="s">
        <v>628</v>
      </c>
      <c r="X22" s="89" t="s">
        <v>117</v>
      </c>
      <c r="Y22" s="89" t="s">
        <v>619</v>
      </c>
      <c r="Z22" s="89" t="s">
        <v>68</v>
      </c>
      <c r="AA22" s="89" t="s">
        <v>67</v>
      </c>
      <c r="AB22" s="89">
        <v>1</v>
      </c>
      <c r="AC22" s="89">
        <v>6</v>
      </c>
      <c r="AD22" s="89">
        <v>1</v>
      </c>
      <c r="AE22" s="89" t="s">
        <v>0</v>
      </c>
      <c r="AF22" s="90">
        <v>367</v>
      </c>
      <c r="AG22" s="90">
        <v>44728</v>
      </c>
      <c r="AH22" s="90">
        <v>45818</v>
      </c>
    </row>
    <row r="23" spans="1:34" x14ac:dyDescent="0.35">
      <c r="A23" s="89" t="str">
        <f t="shared" si="0"/>
        <v>031V</v>
      </c>
      <c r="B23" s="89" t="s">
        <v>1567</v>
      </c>
      <c r="C23" s="89" t="s">
        <v>1568</v>
      </c>
      <c r="D23" s="89" t="s">
        <v>179</v>
      </c>
      <c r="E23" s="89" t="s">
        <v>1569</v>
      </c>
      <c r="F23" s="89" t="s">
        <v>1546</v>
      </c>
      <c r="G23" s="89" t="s">
        <v>70</v>
      </c>
      <c r="H23" s="89" t="s">
        <v>70</v>
      </c>
      <c r="I23" s="91"/>
      <c r="J23" s="89">
        <v>0</v>
      </c>
      <c r="K23" s="89" t="s">
        <v>53</v>
      </c>
      <c r="L23" s="89" t="s">
        <v>1548</v>
      </c>
      <c r="M23" s="91"/>
      <c r="N23" s="89" t="s">
        <v>1549</v>
      </c>
      <c r="O23" s="89" t="s">
        <v>615</v>
      </c>
      <c r="P23" s="89" t="s">
        <v>1550</v>
      </c>
      <c r="Q23" s="89" t="s">
        <v>629</v>
      </c>
      <c r="R23" s="89">
        <v>24</v>
      </c>
      <c r="S23" s="89" t="s">
        <v>1551</v>
      </c>
      <c r="T23" s="89" t="s">
        <v>1555</v>
      </c>
      <c r="U23" s="89" t="s">
        <v>1552</v>
      </c>
      <c r="V23" s="89" t="s">
        <v>1561</v>
      </c>
      <c r="W23" s="89" t="s">
        <v>656</v>
      </c>
      <c r="X23" s="89" t="s">
        <v>92</v>
      </c>
      <c r="Y23" s="89" t="s">
        <v>619</v>
      </c>
      <c r="Z23" s="89" t="s">
        <v>68</v>
      </c>
      <c r="AA23" s="89" t="s">
        <v>67</v>
      </c>
      <c r="AB23" s="89">
        <v>1</v>
      </c>
      <c r="AC23" s="89">
        <v>6</v>
      </c>
      <c r="AD23" s="89">
        <v>1</v>
      </c>
      <c r="AE23" s="89" t="s">
        <v>0</v>
      </c>
      <c r="AF23" s="90">
        <v>367</v>
      </c>
      <c r="AG23" s="90">
        <v>44798</v>
      </c>
      <c r="AH23" s="90">
        <v>45879</v>
      </c>
    </row>
    <row r="24" spans="1:34" x14ac:dyDescent="0.35">
      <c r="A24" s="89" t="str">
        <f t="shared" si="0"/>
        <v>01H0</v>
      </c>
      <c r="B24" s="89" t="s">
        <v>1476</v>
      </c>
      <c r="C24" s="89" t="s">
        <v>1477</v>
      </c>
      <c r="D24" s="89" t="s">
        <v>267</v>
      </c>
      <c r="E24" s="89" t="s">
        <v>1570</v>
      </c>
      <c r="F24" s="89" t="s">
        <v>1546</v>
      </c>
      <c r="G24" s="89" t="s">
        <v>70</v>
      </c>
      <c r="H24" s="89" t="s">
        <v>70</v>
      </c>
      <c r="I24" s="91"/>
      <c r="J24" s="89">
        <v>0</v>
      </c>
      <c r="K24" s="89" t="s">
        <v>53</v>
      </c>
      <c r="L24" s="89" t="s">
        <v>1548</v>
      </c>
      <c r="M24" s="91"/>
      <c r="N24" s="89" t="s">
        <v>1549</v>
      </c>
      <c r="O24" s="89" t="s">
        <v>615</v>
      </c>
      <c r="P24" s="89" t="s">
        <v>1550</v>
      </c>
      <c r="Q24" s="89" t="s">
        <v>629</v>
      </c>
      <c r="R24" s="89">
        <v>24</v>
      </c>
      <c r="S24" s="89" t="s">
        <v>1551</v>
      </c>
      <c r="T24" s="89" t="s">
        <v>1555</v>
      </c>
      <c r="U24" s="89" t="s">
        <v>1552</v>
      </c>
      <c r="V24" s="89" t="s">
        <v>1553</v>
      </c>
      <c r="W24" s="89" t="s">
        <v>677</v>
      </c>
      <c r="X24" s="89" t="s">
        <v>66</v>
      </c>
      <c r="Y24" s="89" t="s">
        <v>619</v>
      </c>
      <c r="Z24" s="89" t="s">
        <v>68</v>
      </c>
      <c r="AA24" s="89" t="s">
        <v>67</v>
      </c>
      <c r="AB24" s="89">
        <v>1</v>
      </c>
      <c r="AC24" s="89">
        <v>6</v>
      </c>
      <c r="AD24" s="89">
        <v>1</v>
      </c>
      <c r="AE24" s="89" t="s">
        <v>0</v>
      </c>
      <c r="AF24" s="90">
        <v>367</v>
      </c>
      <c r="AG24" s="90">
        <v>44727</v>
      </c>
      <c r="AH24" s="90">
        <v>45818</v>
      </c>
    </row>
    <row r="25" spans="1:34" x14ac:dyDescent="0.35">
      <c r="A25" s="89" t="str">
        <f t="shared" si="0"/>
        <v>315E</v>
      </c>
      <c r="B25" s="89" t="s">
        <v>1018</v>
      </c>
      <c r="C25" s="89" t="s">
        <v>1019</v>
      </c>
      <c r="D25" s="89" t="s">
        <v>230</v>
      </c>
      <c r="E25" s="89" t="s">
        <v>1020</v>
      </c>
      <c r="F25" s="89" t="s">
        <v>1546</v>
      </c>
      <c r="G25" s="89" t="s">
        <v>70</v>
      </c>
      <c r="H25" s="89" t="s">
        <v>70</v>
      </c>
      <c r="I25" s="89" t="s">
        <v>1547</v>
      </c>
      <c r="J25" s="89">
        <v>0</v>
      </c>
      <c r="K25" s="89" t="s">
        <v>53</v>
      </c>
      <c r="L25" s="89" t="s">
        <v>1548</v>
      </c>
      <c r="M25" s="91"/>
      <c r="N25" s="89" t="s">
        <v>1549</v>
      </c>
      <c r="O25" s="89" t="s">
        <v>615</v>
      </c>
      <c r="P25" s="89" t="s">
        <v>1550</v>
      </c>
      <c r="Q25" s="89" t="s">
        <v>629</v>
      </c>
      <c r="R25" s="89">
        <v>24</v>
      </c>
      <c r="S25" s="89" t="s">
        <v>1551</v>
      </c>
      <c r="T25" s="89" t="s">
        <v>1555</v>
      </c>
      <c r="U25" s="89" t="s">
        <v>1552</v>
      </c>
      <c r="V25" s="89" t="s">
        <v>1553</v>
      </c>
      <c r="W25" s="89" t="s">
        <v>644</v>
      </c>
      <c r="X25" s="89" t="s">
        <v>102</v>
      </c>
      <c r="Y25" s="89" t="s">
        <v>619</v>
      </c>
      <c r="Z25" s="89" t="s">
        <v>68</v>
      </c>
      <c r="AA25" s="89" t="s">
        <v>67</v>
      </c>
      <c r="AB25" s="89">
        <v>1</v>
      </c>
      <c r="AC25" s="89">
        <v>6</v>
      </c>
      <c r="AD25" s="89">
        <v>1</v>
      </c>
      <c r="AE25" s="89" t="s">
        <v>0</v>
      </c>
      <c r="AF25" s="90">
        <v>367</v>
      </c>
      <c r="AG25" s="90">
        <v>44729</v>
      </c>
      <c r="AH25" s="90">
        <v>45818</v>
      </c>
    </row>
    <row r="26" spans="1:34" x14ac:dyDescent="0.35">
      <c r="A26" s="89" t="str">
        <f t="shared" si="0"/>
        <v>334U</v>
      </c>
      <c r="B26" s="89" t="s">
        <v>1025</v>
      </c>
      <c r="C26" s="89" t="s">
        <v>1026</v>
      </c>
      <c r="D26" s="89" t="s">
        <v>233</v>
      </c>
      <c r="E26" s="89" t="s">
        <v>1027</v>
      </c>
      <c r="F26" s="89" t="s">
        <v>1546</v>
      </c>
      <c r="G26" s="89" t="s">
        <v>70</v>
      </c>
      <c r="H26" s="89" t="s">
        <v>70</v>
      </c>
      <c r="I26" s="91"/>
      <c r="J26" s="89">
        <v>0</v>
      </c>
      <c r="K26" s="89" t="s">
        <v>53</v>
      </c>
      <c r="L26" s="89" t="s">
        <v>1548</v>
      </c>
      <c r="M26" s="91"/>
      <c r="N26" s="89" t="s">
        <v>1549</v>
      </c>
      <c r="O26" s="89" t="s">
        <v>615</v>
      </c>
      <c r="P26" s="89" t="s">
        <v>1550</v>
      </c>
      <c r="Q26" s="89" t="s">
        <v>629</v>
      </c>
      <c r="R26" s="89">
        <v>15</v>
      </c>
      <c r="S26" s="89" t="s">
        <v>1551</v>
      </c>
      <c r="T26" s="89" t="s">
        <v>1555</v>
      </c>
      <c r="U26" s="89" t="s">
        <v>1552</v>
      </c>
      <c r="V26" s="89" t="s">
        <v>1561</v>
      </c>
      <c r="W26" s="89" t="s">
        <v>656</v>
      </c>
      <c r="X26" s="89" t="s">
        <v>92</v>
      </c>
      <c r="Y26" s="89" t="s">
        <v>619</v>
      </c>
      <c r="Z26" s="89" t="s">
        <v>68</v>
      </c>
      <c r="AA26" s="89" t="s">
        <v>67</v>
      </c>
      <c r="AB26" s="89">
        <v>1</v>
      </c>
      <c r="AC26" s="89">
        <v>6</v>
      </c>
      <c r="AD26" s="89">
        <v>1</v>
      </c>
      <c r="AE26" s="89" t="s">
        <v>0</v>
      </c>
      <c r="AF26" s="90">
        <v>367</v>
      </c>
      <c r="AG26" s="90">
        <v>44729</v>
      </c>
      <c r="AH26" s="90">
        <v>45818</v>
      </c>
    </row>
    <row r="27" spans="1:34" x14ac:dyDescent="0.35">
      <c r="A27" s="89" t="str">
        <f t="shared" si="0"/>
        <v>01B2</v>
      </c>
      <c r="B27" s="89" t="s">
        <v>951</v>
      </c>
      <c r="C27" s="89" t="s">
        <v>952</v>
      </c>
      <c r="D27" s="89" t="s">
        <v>177</v>
      </c>
      <c r="E27" s="89" t="s">
        <v>953</v>
      </c>
      <c r="F27" s="89" t="s">
        <v>1546</v>
      </c>
      <c r="G27" s="89" t="s">
        <v>70</v>
      </c>
      <c r="H27" s="89" t="s">
        <v>70</v>
      </c>
      <c r="I27" s="89" t="s">
        <v>1547</v>
      </c>
      <c r="J27" s="89">
        <v>0</v>
      </c>
      <c r="K27" s="89" t="s">
        <v>53</v>
      </c>
      <c r="L27" s="89" t="s">
        <v>1548</v>
      </c>
      <c r="M27" s="91"/>
      <c r="N27" s="89" t="s">
        <v>1549</v>
      </c>
      <c r="O27" s="89" t="s">
        <v>615</v>
      </c>
      <c r="P27" s="89" t="s">
        <v>1550</v>
      </c>
      <c r="Q27" s="89" t="s">
        <v>629</v>
      </c>
      <c r="R27" s="89">
        <v>24</v>
      </c>
      <c r="S27" s="89" t="s">
        <v>1551</v>
      </c>
      <c r="T27" s="89" t="s">
        <v>1555</v>
      </c>
      <c r="U27" s="89" t="s">
        <v>1552</v>
      </c>
      <c r="V27" s="89" t="s">
        <v>1561</v>
      </c>
      <c r="W27" s="89" t="s">
        <v>649</v>
      </c>
      <c r="X27" s="89" t="s">
        <v>76</v>
      </c>
      <c r="Y27" s="89" t="s">
        <v>619</v>
      </c>
      <c r="Z27" s="89" t="s">
        <v>68</v>
      </c>
      <c r="AA27" s="89" t="s">
        <v>67</v>
      </c>
      <c r="AB27" s="89">
        <v>1</v>
      </c>
      <c r="AC27" s="89">
        <v>6</v>
      </c>
      <c r="AD27" s="89">
        <v>1</v>
      </c>
      <c r="AE27" s="89" t="s">
        <v>0</v>
      </c>
      <c r="AF27" s="90">
        <v>367</v>
      </c>
      <c r="AG27" s="90">
        <v>44729</v>
      </c>
      <c r="AH27" s="90">
        <v>45818</v>
      </c>
    </row>
    <row r="28" spans="1:34" x14ac:dyDescent="0.35">
      <c r="A28" s="89" t="str">
        <f t="shared" si="0"/>
        <v>016U</v>
      </c>
      <c r="B28" s="89" t="s">
        <v>1318</v>
      </c>
      <c r="C28" s="89" t="s">
        <v>1571</v>
      </c>
      <c r="D28" s="89" t="s">
        <v>168</v>
      </c>
      <c r="E28" s="89" t="s">
        <v>1319</v>
      </c>
      <c r="F28" s="89" t="s">
        <v>1546</v>
      </c>
      <c r="G28" s="89" t="s">
        <v>70</v>
      </c>
      <c r="H28" s="89" t="s">
        <v>70</v>
      </c>
      <c r="I28" s="89" t="s">
        <v>1547</v>
      </c>
      <c r="J28" s="89">
        <v>0</v>
      </c>
      <c r="K28" s="89" t="s">
        <v>53</v>
      </c>
      <c r="L28" s="89" t="s">
        <v>1548</v>
      </c>
      <c r="M28" s="91"/>
      <c r="N28" s="89" t="s">
        <v>1549</v>
      </c>
      <c r="O28" s="89" t="s">
        <v>615</v>
      </c>
      <c r="P28" s="89" t="s">
        <v>1550</v>
      </c>
      <c r="Q28" s="89" t="s">
        <v>657</v>
      </c>
      <c r="R28" s="89">
        <v>24</v>
      </c>
      <c r="S28" s="89" t="s">
        <v>1551</v>
      </c>
      <c r="T28" s="89" t="s">
        <v>1555</v>
      </c>
      <c r="U28" s="89" t="s">
        <v>1552</v>
      </c>
      <c r="V28" s="89" t="s">
        <v>1561</v>
      </c>
      <c r="W28" s="89" t="s">
        <v>645</v>
      </c>
      <c r="X28" s="89" t="s">
        <v>100</v>
      </c>
      <c r="Y28" s="89" t="s">
        <v>619</v>
      </c>
      <c r="Z28" s="89" t="s">
        <v>68</v>
      </c>
      <c r="AA28" s="89" t="s">
        <v>67</v>
      </c>
      <c r="AB28" s="89">
        <v>1</v>
      </c>
      <c r="AC28" s="89">
        <v>6</v>
      </c>
      <c r="AD28" s="89">
        <v>1</v>
      </c>
      <c r="AE28" s="89" t="s">
        <v>0</v>
      </c>
      <c r="AF28" s="90">
        <v>367</v>
      </c>
      <c r="AG28" s="90">
        <v>44729</v>
      </c>
      <c r="AH28" s="90">
        <v>45818</v>
      </c>
    </row>
    <row r="29" spans="1:34" x14ac:dyDescent="0.35">
      <c r="A29" s="89" t="str">
        <f t="shared" si="0"/>
        <v>611Z</v>
      </c>
      <c r="B29" s="89" t="s">
        <v>1121</v>
      </c>
      <c r="C29" s="89" t="s">
        <v>1122</v>
      </c>
      <c r="D29" s="89" t="s">
        <v>310</v>
      </c>
      <c r="E29" s="89" t="s">
        <v>1572</v>
      </c>
      <c r="F29" s="89" t="s">
        <v>1546</v>
      </c>
      <c r="G29" s="89" t="s">
        <v>70</v>
      </c>
      <c r="H29" s="89" t="s">
        <v>70</v>
      </c>
      <c r="I29" s="89" t="s">
        <v>1547</v>
      </c>
      <c r="J29" s="89">
        <v>0</v>
      </c>
      <c r="K29" s="89" t="s">
        <v>53</v>
      </c>
      <c r="L29" s="89" t="s">
        <v>1548</v>
      </c>
      <c r="M29" s="91"/>
      <c r="N29" s="89" t="s">
        <v>1549</v>
      </c>
      <c r="O29" s="89" t="s">
        <v>615</v>
      </c>
      <c r="P29" s="89" t="s">
        <v>1550</v>
      </c>
      <c r="Q29" s="89" t="s">
        <v>629</v>
      </c>
      <c r="R29" s="89">
        <v>15</v>
      </c>
      <c r="S29" s="89" t="s">
        <v>1555</v>
      </c>
      <c r="T29" s="89" t="s">
        <v>1555</v>
      </c>
      <c r="U29" s="89" t="s">
        <v>1552</v>
      </c>
      <c r="V29" s="89" t="s">
        <v>1561</v>
      </c>
      <c r="W29" s="89" t="s">
        <v>677</v>
      </c>
      <c r="X29" s="89" t="s">
        <v>66</v>
      </c>
      <c r="Y29" s="89" t="s">
        <v>619</v>
      </c>
      <c r="Z29" s="89" t="s">
        <v>68</v>
      </c>
      <c r="AA29" s="89" t="s">
        <v>67</v>
      </c>
      <c r="AB29" s="89">
        <v>1</v>
      </c>
      <c r="AC29" s="89">
        <v>6</v>
      </c>
      <c r="AD29" s="89">
        <v>1</v>
      </c>
      <c r="AE29" s="89" t="s">
        <v>0</v>
      </c>
      <c r="AF29" s="90">
        <v>367</v>
      </c>
      <c r="AG29" s="90">
        <v>44729</v>
      </c>
      <c r="AH29" s="90">
        <v>45818</v>
      </c>
    </row>
    <row r="30" spans="1:34" x14ac:dyDescent="0.35">
      <c r="A30" s="89" t="str">
        <f t="shared" si="0"/>
        <v>144Z</v>
      </c>
      <c r="B30" s="89" t="s">
        <v>980</v>
      </c>
      <c r="C30" s="89" t="s">
        <v>981</v>
      </c>
      <c r="D30" s="89" t="s">
        <v>202</v>
      </c>
      <c r="E30" s="89" t="s">
        <v>1573</v>
      </c>
      <c r="F30" s="89" t="s">
        <v>1546</v>
      </c>
      <c r="G30" s="89" t="s">
        <v>70</v>
      </c>
      <c r="H30" s="89" t="s">
        <v>70</v>
      </c>
      <c r="I30" s="89" t="s">
        <v>1574</v>
      </c>
      <c r="J30" s="89">
        <v>0</v>
      </c>
      <c r="K30" s="89" t="s">
        <v>53</v>
      </c>
      <c r="L30" s="89" t="s">
        <v>1548</v>
      </c>
      <c r="M30" s="91"/>
      <c r="N30" s="89" t="s">
        <v>1549</v>
      </c>
      <c r="O30" s="89" t="s">
        <v>615</v>
      </c>
      <c r="P30" s="89" t="s">
        <v>1550</v>
      </c>
      <c r="Q30" s="89" t="s">
        <v>629</v>
      </c>
      <c r="R30" s="89">
        <v>24</v>
      </c>
      <c r="S30" s="89" t="s">
        <v>1551</v>
      </c>
      <c r="T30" s="89" t="s">
        <v>1555</v>
      </c>
      <c r="U30" s="89" t="s">
        <v>1552</v>
      </c>
      <c r="V30" s="89" t="s">
        <v>1561</v>
      </c>
      <c r="W30" s="89" t="s">
        <v>644</v>
      </c>
      <c r="X30" s="89" t="s">
        <v>102</v>
      </c>
      <c r="Y30" s="89" t="s">
        <v>619</v>
      </c>
      <c r="Z30" s="89" t="s">
        <v>68</v>
      </c>
      <c r="AA30" s="89" t="s">
        <v>67</v>
      </c>
      <c r="AB30" s="89">
        <v>1</v>
      </c>
      <c r="AC30" s="89">
        <v>6</v>
      </c>
      <c r="AD30" s="89">
        <v>1</v>
      </c>
      <c r="AE30" s="89" t="s">
        <v>0</v>
      </c>
      <c r="AF30" s="90">
        <v>367</v>
      </c>
      <c r="AG30" s="90">
        <v>44725</v>
      </c>
      <c r="AH30" s="90">
        <v>45818</v>
      </c>
    </row>
    <row r="31" spans="1:34" x14ac:dyDescent="0.35">
      <c r="A31" s="89" t="str">
        <f t="shared" si="0"/>
        <v>164E</v>
      </c>
      <c r="B31" s="89" t="s">
        <v>985</v>
      </c>
      <c r="C31" s="89" t="s">
        <v>986</v>
      </c>
      <c r="D31" s="89" t="s">
        <v>205</v>
      </c>
      <c r="E31" s="89" t="s">
        <v>987</v>
      </c>
      <c r="F31" s="89" t="s">
        <v>1546</v>
      </c>
      <c r="G31" s="89" t="s">
        <v>70</v>
      </c>
      <c r="H31" s="89" t="s">
        <v>70</v>
      </c>
      <c r="I31" s="91"/>
      <c r="J31" s="89">
        <v>0</v>
      </c>
      <c r="K31" s="89" t="s">
        <v>53</v>
      </c>
      <c r="L31" s="89" t="s">
        <v>1548</v>
      </c>
      <c r="M31" s="91"/>
      <c r="N31" s="89" t="s">
        <v>1549</v>
      </c>
      <c r="O31" s="89" t="s">
        <v>615</v>
      </c>
      <c r="P31" s="89" t="s">
        <v>1550</v>
      </c>
      <c r="Q31" s="89" t="s">
        <v>629</v>
      </c>
      <c r="R31" s="89">
        <v>24</v>
      </c>
      <c r="S31" s="89" t="s">
        <v>1551</v>
      </c>
      <c r="T31" s="89" t="s">
        <v>1555</v>
      </c>
      <c r="U31" s="89" t="s">
        <v>1552</v>
      </c>
      <c r="V31" s="89" t="s">
        <v>1561</v>
      </c>
      <c r="W31" s="89" t="s">
        <v>628</v>
      </c>
      <c r="X31" s="89" t="s">
        <v>117</v>
      </c>
      <c r="Y31" s="89" t="s">
        <v>619</v>
      </c>
      <c r="Z31" s="89" t="s">
        <v>68</v>
      </c>
      <c r="AA31" s="89" t="s">
        <v>67</v>
      </c>
      <c r="AB31" s="89">
        <v>1</v>
      </c>
      <c r="AC31" s="89">
        <v>6</v>
      </c>
      <c r="AD31" s="89">
        <v>1</v>
      </c>
      <c r="AE31" s="89" t="s">
        <v>0</v>
      </c>
      <c r="AF31" s="90">
        <v>367</v>
      </c>
      <c r="AG31" s="90">
        <v>44725</v>
      </c>
      <c r="AH31" s="90">
        <v>45818</v>
      </c>
    </row>
    <row r="32" spans="1:34" x14ac:dyDescent="0.35">
      <c r="A32" s="89" t="str">
        <f t="shared" si="0"/>
        <v>699B</v>
      </c>
      <c r="B32" s="89" t="s">
        <v>1575</v>
      </c>
      <c r="C32" s="89" t="s">
        <v>1576</v>
      </c>
      <c r="D32" s="89" t="s">
        <v>390</v>
      </c>
      <c r="E32" s="89" t="s">
        <v>1577</v>
      </c>
      <c r="F32" s="89" t="s">
        <v>1546</v>
      </c>
      <c r="G32" s="89" t="s">
        <v>70</v>
      </c>
      <c r="H32" s="89" t="s">
        <v>70</v>
      </c>
      <c r="I32" s="89" t="s">
        <v>1547</v>
      </c>
      <c r="J32" s="89">
        <v>0</v>
      </c>
      <c r="K32" s="89" t="s">
        <v>53</v>
      </c>
      <c r="L32" s="89" t="s">
        <v>1548</v>
      </c>
      <c r="M32" s="91"/>
      <c r="N32" s="89" t="s">
        <v>1549</v>
      </c>
      <c r="O32" s="89" t="s">
        <v>615</v>
      </c>
      <c r="P32" s="89" t="s">
        <v>1550</v>
      </c>
      <c r="Q32" s="89" t="s">
        <v>629</v>
      </c>
      <c r="R32" s="89">
        <v>15</v>
      </c>
      <c r="S32" s="89" t="s">
        <v>1555</v>
      </c>
      <c r="T32" s="89" t="s">
        <v>1555</v>
      </c>
      <c r="U32" s="89" t="s">
        <v>1552</v>
      </c>
      <c r="V32" s="89" t="s">
        <v>1561</v>
      </c>
      <c r="W32" s="89" t="s">
        <v>645</v>
      </c>
      <c r="X32" s="89" t="s">
        <v>100</v>
      </c>
      <c r="Y32" s="89" t="s">
        <v>619</v>
      </c>
      <c r="Z32" s="89" t="s">
        <v>68</v>
      </c>
      <c r="AA32" s="89" t="s">
        <v>67</v>
      </c>
      <c r="AB32" s="89">
        <v>1</v>
      </c>
      <c r="AC32" s="89">
        <v>6</v>
      </c>
      <c r="AD32" s="89">
        <v>1</v>
      </c>
      <c r="AE32" s="89" t="s">
        <v>0</v>
      </c>
      <c r="AF32" s="90">
        <v>367</v>
      </c>
      <c r="AG32" s="90">
        <v>44727</v>
      </c>
      <c r="AH32" s="90">
        <v>45818</v>
      </c>
    </row>
    <row r="33" spans="1:37" x14ac:dyDescent="0.35">
      <c r="A33" s="89" t="str">
        <f t="shared" si="0"/>
        <v>383P</v>
      </c>
      <c r="B33" s="89" t="s">
        <v>1059</v>
      </c>
      <c r="C33" s="89" t="s">
        <v>1060</v>
      </c>
      <c r="D33" s="89" t="s">
        <v>251</v>
      </c>
      <c r="E33" s="89" t="s">
        <v>1061</v>
      </c>
      <c r="F33" s="89" t="s">
        <v>1546</v>
      </c>
      <c r="G33" s="89" t="s">
        <v>70</v>
      </c>
      <c r="H33" s="89" t="s">
        <v>70</v>
      </c>
      <c r="I33" s="89" t="s">
        <v>1547</v>
      </c>
      <c r="J33" s="89">
        <v>0</v>
      </c>
      <c r="K33" s="89" t="s">
        <v>53</v>
      </c>
      <c r="L33" s="89" t="s">
        <v>1548</v>
      </c>
      <c r="M33" s="91"/>
      <c r="N33" s="89" t="s">
        <v>1549</v>
      </c>
      <c r="O33" s="89" t="s">
        <v>615</v>
      </c>
      <c r="P33" s="89" t="s">
        <v>1550</v>
      </c>
      <c r="Q33" s="89" t="s">
        <v>629</v>
      </c>
      <c r="R33" s="89">
        <v>24</v>
      </c>
      <c r="S33" s="89" t="s">
        <v>1551</v>
      </c>
      <c r="T33" s="89" t="s">
        <v>1555</v>
      </c>
      <c r="U33" s="89" t="s">
        <v>1552</v>
      </c>
      <c r="V33" s="89" t="s">
        <v>1561</v>
      </c>
      <c r="W33" s="89" t="s">
        <v>644</v>
      </c>
      <c r="X33" s="89" t="s">
        <v>102</v>
      </c>
      <c r="Y33" s="89" t="s">
        <v>619</v>
      </c>
      <c r="Z33" s="89" t="s">
        <v>68</v>
      </c>
      <c r="AA33" s="89" t="s">
        <v>67</v>
      </c>
      <c r="AB33" s="89">
        <v>1</v>
      </c>
      <c r="AC33" s="89">
        <v>6</v>
      </c>
      <c r="AD33" s="89">
        <v>1</v>
      </c>
      <c r="AE33" s="89" t="s">
        <v>0</v>
      </c>
      <c r="AF33" s="90">
        <v>367</v>
      </c>
      <c r="AG33" s="90">
        <v>44727</v>
      </c>
      <c r="AH33" s="90">
        <v>45818</v>
      </c>
    </row>
    <row r="34" spans="1:37" x14ac:dyDescent="0.35">
      <c r="A34" s="89" t="str">
        <f t="shared" si="0"/>
        <v>383Q</v>
      </c>
      <c r="B34" s="89" t="s">
        <v>1062</v>
      </c>
      <c r="C34" s="89" t="s">
        <v>1063</v>
      </c>
      <c r="D34" s="89" t="s">
        <v>252</v>
      </c>
      <c r="E34" s="89" t="s">
        <v>1064</v>
      </c>
      <c r="F34" s="89" t="s">
        <v>1546</v>
      </c>
      <c r="G34" s="89" t="s">
        <v>70</v>
      </c>
      <c r="H34" s="89" t="s">
        <v>70</v>
      </c>
      <c r="I34" s="89" t="s">
        <v>1547</v>
      </c>
      <c r="J34" s="89">
        <v>0</v>
      </c>
      <c r="K34" s="89" t="s">
        <v>53</v>
      </c>
      <c r="L34" s="89" t="s">
        <v>1548</v>
      </c>
      <c r="M34" s="91"/>
      <c r="N34" s="89" t="s">
        <v>1549</v>
      </c>
      <c r="O34" s="89" t="s">
        <v>615</v>
      </c>
      <c r="P34" s="89" t="s">
        <v>1550</v>
      </c>
      <c r="Q34" s="89" t="s">
        <v>629</v>
      </c>
      <c r="R34" s="89">
        <v>24</v>
      </c>
      <c r="S34" s="89" t="s">
        <v>1551</v>
      </c>
      <c r="T34" s="89" t="s">
        <v>1555</v>
      </c>
      <c r="U34" s="89" t="s">
        <v>1552</v>
      </c>
      <c r="V34" s="89" t="s">
        <v>1561</v>
      </c>
      <c r="W34" s="89" t="s">
        <v>644</v>
      </c>
      <c r="X34" s="89" t="s">
        <v>102</v>
      </c>
      <c r="Y34" s="89" t="s">
        <v>619</v>
      </c>
      <c r="Z34" s="89" t="s">
        <v>68</v>
      </c>
      <c r="AA34" s="89" t="s">
        <v>67</v>
      </c>
      <c r="AB34" s="89">
        <v>1</v>
      </c>
      <c r="AC34" s="89">
        <v>6</v>
      </c>
      <c r="AD34" s="89">
        <v>1</v>
      </c>
      <c r="AE34" s="89" t="s">
        <v>0</v>
      </c>
      <c r="AF34" s="90">
        <v>367</v>
      </c>
      <c r="AG34" s="90">
        <v>44727</v>
      </c>
      <c r="AH34" s="90">
        <v>45818</v>
      </c>
    </row>
    <row r="35" spans="1:37" x14ac:dyDescent="0.35">
      <c r="A35" s="89" t="str">
        <f t="shared" si="0"/>
        <v>383T</v>
      </c>
      <c r="B35" s="89" t="s">
        <v>1065</v>
      </c>
      <c r="C35" s="89" t="s">
        <v>1066</v>
      </c>
      <c r="D35" s="89" t="s">
        <v>253</v>
      </c>
      <c r="E35" s="89" t="s">
        <v>1067</v>
      </c>
      <c r="F35" s="89" t="s">
        <v>1546</v>
      </c>
      <c r="G35" s="89" t="s">
        <v>70</v>
      </c>
      <c r="H35" s="89" t="s">
        <v>70</v>
      </c>
      <c r="I35" s="89" t="s">
        <v>1547</v>
      </c>
      <c r="J35" s="89">
        <v>0</v>
      </c>
      <c r="K35" s="89" t="s">
        <v>53</v>
      </c>
      <c r="L35" s="89" t="s">
        <v>1548</v>
      </c>
      <c r="M35" s="91"/>
      <c r="N35" s="89" t="s">
        <v>1549</v>
      </c>
      <c r="O35" s="89" t="s">
        <v>615</v>
      </c>
      <c r="P35" s="89" t="s">
        <v>1550</v>
      </c>
      <c r="Q35" s="89" t="s">
        <v>629</v>
      </c>
      <c r="R35" s="89">
        <v>24</v>
      </c>
      <c r="S35" s="89" t="s">
        <v>1551</v>
      </c>
      <c r="T35" s="89" t="s">
        <v>1555</v>
      </c>
      <c r="U35" s="89" t="s">
        <v>1552</v>
      </c>
      <c r="V35" s="89" t="s">
        <v>1561</v>
      </c>
      <c r="W35" s="89" t="s">
        <v>644</v>
      </c>
      <c r="X35" s="89" t="s">
        <v>102</v>
      </c>
      <c r="Y35" s="89" t="s">
        <v>619</v>
      </c>
      <c r="Z35" s="89" t="s">
        <v>68</v>
      </c>
      <c r="AA35" s="89" t="s">
        <v>67</v>
      </c>
      <c r="AB35" s="89">
        <v>1</v>
      </c>
      <c r="AC35" s="89">
        <v>6</v>
      </c>
      <c r="AD35" s="89">
        <v>1</v>
      </c>
      <c r="AE35" s="89" t="s">
        <v>0</v>
      </c>
      <c r="AF35" s="90">
        <v>367</v>
      </c>
      <c r="AG35" s="90">
        <v>44728</v>
      </c>
      <c r="AH35" s="90">
        <v>45818</v>
      </c>
    </row>
    <row r="36" spans="1:37" x14ac:dyDescent="0.35">
      <c r="A36" s="89" t="str">
        <f t="shared" si="0"/>
        <v>657F</v>
      </c>
      <c r="B36" s="89" t="s">
        <v>1578</v>
      </c>
      <c r="C36" s="89" t="s">
        <v>1579</v>
      </c>
      <c r="D36" s="89" t="s">
        <v>343</v>
      </c>
      <c r="E36" s="89" t="s">
        <v>1580</v>
      </c>
      <c r="F36" s="89" t="s">
        <v>1546</v>
      </c>
      <c r="G36" s="89" t="s">
        <v>70</v>
      </c>
      <c r="H36" s="89" t="s">
        <v>70</v>
      </c>
      <c r="I36" s="91"/>
      <c r="J36" s="89">
        <v>0</v>
      </c>
      <c r="K36" s="89" t="s">
        <v>53</v>
      </c>
      <c r="L36" s="89" t="s">
        <v>1548</v>
      </c>
      <c r="M36" s="91"/>
      <c r="N36" s="89" t="s">
        <v>1549</v>
      </c>
      <c r="O36" s="89" t="s">
        <v>615</v>
      </c>
      <c r="P36" s="89" t="s">
        <v>1550</v>
      </c>
      <c r="Q36" s="89" t="s">
        <v>629</v>
      </c>
      <c r="R36" s="89">
        <v>24</v>
      </c>
      <c r="S36" s="89" t="s">
        <v>1551</v>
      </c>
      <c r="T36" s="89" t="s">
        <v>1555</v>
      </c>
      <c r="U36" s="89" t="s">
        <v>1552</v>
      </c>
      <c r="V36" s="89" t="s">
        <v>1561</v>
      </c>
      <c r="W36" s="89" t="s">
        <v>644</v>
      </c>
      <c r="X36" s="89" t="s">
        <v>102</v>
      </c>
      <c r="Y36" s="89" t="s">
        <v>619</v>
      </c>
      <c r="Z36" s="89" t="s">
        <v>68</v>
      </c>
      <c r="AA36" s="89" t="s">
        <v>67</v>
      </c>
      <c r="AB36" s="89">
        <v>1</v>
      </c>
      <c r="AC36" s="89">
        <v>6</v>
      </c>
      <c r="AD36" s="89">
        <v>1</v>
      </c>
      <c r="AE36" s="89" t="s">
        <v>0</v>
      </c>
      <c r="AF36" s="90">
        <v>367</v>
      </c>
      <c r="AG36" s="90">
        <v>44726</v>
      </c>
      <c r="AH36" s="90">
        <v>45818</v>
      </c>
    </row>
    <row r="37" spans="1:37" x14ac:dyDescent="0.35">
      <c r="A37" s="89" t="str">
        <f t="shared" si="0"/>
        <v>694F</v>
      </c>
      <c r="B37" s="89" t="s">
        <v>1581</v>
      </c>
      <c r="C37" s="89" t="s">
        <v>1582</v>
      </c>
      <c r="D37" s="89" t="s">
        <v>379</v>
      </c>
      <c r="E37" s="89" t="s">
        <v>1583</v>
      </c>
      <c r="F37" s="89" t="s">
        <v>1546</v>
      </c>
      <c r="G37" s="89" t="s">
        <v>70</v>
      </c>
      <c r="H37" s="89" t="s">
        <v>70</v>
      </c>
      <c r="I37" s="91"/>
      <c r="J37" s="89">
        <v>1</v>
      </c>
      <c r="K37" s="89" t="s">
        <v>53</v>
      </c>
      <c r="L37" s="89" t="s">
        <v>1548</v>
      </c>
      <c r="M37" s="91"/>
      <c r="N37" s="89" t="s">
        <v>1549</v>
      </c>
      <c r="O37" s="89" t="s">
        <v>615</v>
      </c>
      <c r="P37" s="89" t="s">
        <v>1550</v>
      </c>
      <c r="Q37" s="89" t="s">
        <v>629</v>
      </c>
      <c r="R37" s="89">
        <v>24</v>
      </c>
      <c r="S37" s="89" t="s">
        <v>1551</v>
      </c>
      <c r="T37" s="89" t="s">
        <v>1555</v>
      </c>
      <c r="U37" s="89" t="s">
        <v>1552</v>
      </c>
      <c r="V37" s="89" t="s">
        <v>1561</v>
      </c>
      <c r="W37" s="89" t="s">
        <v>644</v>
      </c>
      <c r="X37" s="89" t="s">
        <v>102</v>
      </c>
      <c r="Y37" s="89" t="s">
        <v>619</v>
      </c>
      <c r="Z37" s="89" t="s">
        <v>68</v>
      </c>
      <c r="AA37" s="89" t="s">
        <v>67</v>
      </c>
      <c r="AB37" s="89">
        <v>1</v>
      </c>
      <c r="AC37" s="89">
        <v>6</v>
      </c>
      <c r="AD37" s="89">
        <v>1</v>
      </c>
      <c r="AE37" s="89" t="s">
        <v>0</v>
      </c>
      <c r="AF37" s="90">
        <v>367</v>
      </c>
      <c r="AG37" s="90">
        <v>44726</v>
      </c>
      <c r="AH37" s="90">
        <v>45818</v>
      </c>
    </row>
    <row r="38" spans="1:37" x14ac:dyDescent="0.35">
      <c r="A38" s="89" t="str">
        <f t="shared" si="0"/>
        <v>5762</v>
      </c>
      <c r="B38" s="89" t="s">
        <v>1584</v>
      </c>
      <c r="C38" s="89" t="s">
        <v>1585</v>
      </c>
      <c r="D38" s="89" t="s">
        <v>300</v>
      </c>
      <c r="E38" s="89" t="s">
        <v>1586</v>
      </c>
      <c r="F38" s="89" t="s">
        <v>1546</v>
      </c>
      <c r="G38" s="89" t="s">
        <v>70</v>
      </c>
      <c r="H38" s="89" t="s">
        <v>70</v>
      </c>
      <c r="I38" s="91"/>
      <c r="J38" s="89">
        <v>0</v>
      </c>
      <c r="K38" s="89" t="s">
        <v>53</v>
      </c>
      <c r="L38" s="89" t="s">
        <v>1548</v>
      </c>
      <c r="M38" s="91"/>
      <c r="N38" s="89" t="s">
        <v>1549</v>
      </c>
      <c r="O38" s="89" t="s">
        <v>615</v>
      </c>
      <c r="P38" s="89" t="s">
        <v>1550</v>
      </c>
      <c r="Q38" s="89" t="s">
        <v>629</v>
      </c>
      <c r="R38" s="89">
        <v>24</v>
      </c>
      <c r="S38" s="89" t="s">
        <v>1551</v>
      </c>
      <c r="T38" s="89" t="s">
        <v>1555</v>
      </c>
      <c r="U38" s="89" t="s">
        <v>1552</v>
      </c>
      <c r="V38" s="89" t="s">
        <v>1561</v>
      </c>
      <c r="W38" s="89" t="s">
        <v>644</v>
      </c>
      <c r="X38" s="89" t="s">
        <v>102</v>
      </c>
      <c r="Y38" s="89" t="s">
        <v>619</v>
      </c>
      <c r="Z38" s="89" t="s">
        <v>68</v>
      </c>
      <c r="AA38" s="89" t="s">
        <v>67</v>
      </c>
      <c r="AB38" s="89">
        <v>1</v>
      </c>
      <c r="AC38" s="89">
        <v>6</v>
      </c>
      <c r="AD38" s="89">
        <v>1</v>
      </c>
      <c r="AE38" s="89" t="s">
        <v>0</v>
      </c>
      <c r="AF38" s="90">
        <v>367</v>
      </c>
      <c r="AG38" s="90">
        <v>44730</v>
      </c>
      <c r="AH38" s="90">
        <v>45818</v>
      </c>
    </row>
    <row r="39" spans="1:37" x14ac:dyDescent="0.35">
      <c r="A39" s="89" t="str">
        <f t="shared" si="0"/>
        <v>536X</v>
      </c>
      <c r="B39" s="89" t="s">
        <v>1099</v>
      </c>
      <c r="C39" s="89" t="s">
        <v>1100</v>
      </c>
      <c r="D39" s="89" t="s">
        <v>293</v>
      </c>
      <c r="E39" s="89" t="s">
        <v>1101</v>
      </c>
      <c r="F39" s="89" t="s">
        <v>1546</v>
      </c>
      <c r="G39" s="89" t="s">
        <v>70</v>
      </c>
      <c r="H39" s="89" t="s">
        <v>70</v>
      </c>
      <c r="I39" s="91"/>
      <c r="J39" s="89">
        <v>0</v>
      </c>
      <c r="K39" s="89" t="s">
        <v>53</v>
      </c>
      <c r="L39" s="89" t="s">
        <v>1548</v>
      </c>
      <c r="M39" s="91"/>
      <c r="N39" s="89" t="s">
        <v>1549</v>
      </c>
      <c r="O39" s="89" t="s">
        <v>615</v>
      </c>
      <c r="P39" s="89" t="s">
        <v>1550</v>
      </c>
      <c r="Q39" s="89" t="s">
        <v>629</v>
      </c>
      <c r="R39" s="89">
        <v>24</v>
      </c>
      <c r="S39" s="89" t="s">
        <v>1551</v>
      </c>
      <c r="T39" s="89" t="s">
        <v>1555</v>
      </c>
      <c r="U39" s="89" t="s">
        <v>1552</v>
      </c>
      <c r="V39" s="89" t="s">
        <v>1561</v>
      </c>
      <c r="W39" s="89" t="s">
        <v>656</v>
      </c>
      <c r="X39" s="89" t="s">
        <v>92</v>
      </c>
      <c r="Y39" s="89" t="s">
        <v>619</v>
      </c>
      <c r="Z39" s="89" t="s">
        <v>68</v>
      </c>
      <c r="AA39" s="89" t="s">
        <v>67</v>
      </c>
      <c r="AB39" s="89">
        <v>1</v>
      </c>
      <c r="AC39" s="89">
        <v>6</v>
      </c>
      <c r="AD39" s="89">
        <v>1</v>
      </c>
      <c r="AE39" s="89" t="s">
        <v>0</v>
      </c>
      <c r="AF39" s="90">
        <v>367</v>
      </c>
      <c r="AG39" s="90">
        <v>44728</v>
      </c>
      <c r="AH39" s="90">
        <v>45818</v>
      </c>
    </row>
    <row r="40" spans="1:37" x14ac:dyDescent="0.35">
      <c r="A40" s="89" t="str">
        <f t="shared" si="0"/>
        <v>334Z</v>
      </c>
      <c r="B40" s="89" t="s">
        <v>1028</v>
      </c>
      <c r="C40" s="89" t="s">
        <v>1029</v>
      </c>
      <c r="D40" s="89" t="s">
        <v>235</v>
      </c>
      <c r="E40" s="89" t="s">
        <v>1587</v>
      </c>
      <c r="F40" s="89" t="s">
        <v>1546</v>
      </c>
      <c r="G40" s="89" t="s">
        <v>70</v>
      </c>
      <c r="H40" s="89" t="s">
        <v>70</v>
      </c>
      <c r="I40" s="89" t="s">
        <v>1547</v>
      </c>
      <c r="J40" s="89">
        <v>0</v>
      </c>
      <c r="K40" s="89" t="s">
        <v>53</v>
      </c>
      <c r="L40" s="89" t="s">
        <v>1548</v>
      </c>
      <c r="M40" s="91"/>
      <c r="N40" s="89" t="s">
        <v>1549</v>
      </c>
      <c r="O40" s="89" t="s">
        <v>615</v>
      </c>
      <c r="P40" s="89" t="s">
        <v>1550</v>
      </c>
      <c r="Q40" s="89" t="s">
        <v>629</v>
      </c>
      <c r="R40" s="89">
        <v>24</v>
      </c>
      <c r="S40" s="89" t="s">
        <v>1551</v>
      </c>
      <c r="T40" s="89" t="s">
        <v>1555</v>
      </c>
      <c r="U40" s="89" t="s">
        <v>1552</v>
      </c>
      <c r="V40" s="89" t="s">
        <v>1561</v>
      </c>
      <c r="W40" s="89" t="s">
        <v>644</v>
      </c>
      <c r="X40" s="89" t="s">
        <v>102</v>
      </c>
      <c r="Y40" s="89" t="s">
        <v>619</v>
      </c>
      <c r="Z40" s="89" t="s">
        <v>68</v>
      </c>
      <c r="AA40" s="89" t="s">
        <v>67</v>
      </c>
      <c r="AB40" s="89">
        <v>1</v>
      </c>
      <c r="AC40" s="89">
        <v>6</v>
      </c>
      <c r="AD40" s="89">
        <v>1</v>
      </c>
      <c r="AE40" s="89" t="s">
        <v>0</v>
      </c>
      <c r="AF40" s="90">
        <v>367</v>
      </c>
      <c r="AG40" s="90">
        <v>44726</v>
      </c>
      <c r="AH40" s="90">
        <v>45818</v>
      </c>
    </row>
    <row r="41" spans="1:37" x14ac:dyDescent="0.35">
      <c r="A41" s="89" t="str">
        <f t="shared" si="0"/>
        <v>226L</v>
      </c>
      <c r="B41" s="89" t="s">
        <v>995</v>
      </c>
      <c r="C41" s="89" t="s">
        <v>996</v>
      </c>
      <c r="D41" s="89" t="s">
        <v>214</v>
      </c>
      <c r="E41" s="89" t="s">
        <v>997</v>
      </c>
      <c r="F41" s="89" t="s">
        <v>1546</v>
      </c>
      <c r="G41" s="89" t="s">
        <v>70</v>
      </c>
      <c r="H41" s="89" t="s">
        <v>70</v>
      </c>
      <c r="I41" s="91"/>
      <c r="J41" s="89">
        <v>0</v>
      </c>
      <c r="K41" s="89" t="s">
        <v>53</v>
      </c>
      <c r="L41" s="89" t="s">
        <v>1548</v>
      </c>
      <c r="M41" s="91"/>
      <c r="N41" s="89" t="s">
        <v>1549</v>
      </c>
      <c r="O41" s="89" t="s">
        <v>615</v>
      </c>
      <c r="P41" s="89" t="s">
        <v>1550</v>
      </c>
      <c r="Q41" s="89" t="s">
        <v>629</v>
      </c>
      <c r="R41" s="89">
        <v>24</v>
      </c>
      <c r="S41" s="89" t="s">
        <v>1551</v>
      </c>
      <c r="T41" s="89" t="s">
        <v>1555</v>
      </c>
      <c r="U41" s="89" t="s">
        <v>1552</v>
      </c>
      <c r="V41" s="89" t="s">
        <v>1561</v>
      </c>
      <c r="W41" s="89" t="s">
        <v>628</v>
      </c>
      <c r="X41" s="89" t="s">
        <v>117</v>
      </c>
      <c r="Y41" s="89" t="s">
        <v>619</v>
      </c>
      <c r="Z41" s="89" t="s">
        <v>68</v>
      </c>
      <c r="AA41" s="89" t="s">
        <v>67</v>
      </c>
      <c r="AB41" s="89">
        <v>1</v>
      </c>
      <c r="AC41" s="89">
        <v>6</v>
      </c>
      <c r="AD41" s="89">
        <v>1</v>
      </c>
      <c r="AE41" s="89" t="s">
        <v>0</v>
      </c>
      <c r="AF41" s="90">
        <v>367</v>
      </c>
      <c r="AG41" s="90">
        <v>44727</v>
      </c>
      <c r="AH41" s="90">
        <v>45818</v>
      </c>
    </row>
    <row r="42" spans="1:37" x14ac:dyDescent="0.35">
      <c r="A42" s="89" t="str">
        <f t="shared" si="0"/>
        <v>ZZ4A</v>
      </c>
      <c r="B42" s="89" t="s">
        <v>1305</v>
      </c>
      <c r="C42" s="89" t="s">
        <v>1306</v>
      </c>
      <c r="D42" s="89" t="s">
        <v>556</v>
      </c>
      <c r="E42" s="89" t="s">
        <v>1307</v>
      </c>
      <c r="F42" s="89" t="s">
        <v>1546</v>
      </c>
      <c r="G42" s="89" t="s">
        <v>70</v>
      </c>
      <c r="H42" s="89" t="s">
        <v>70</v>
      </c>
      <c r="I42" s="89" t="s">
        <v>1547</v>
      </c>
      <c r="J42" s="89">
        <v>0</v>
      </c>
      <c r="K42" s="26" t="s">
        <v>38</v>
      </c>
      <c r="L42" s="89" t="s">
        <v>1588</v>
      </c>
      <c r="M42" s="91"/>
      <c r="N42" s="89" t="s">
        <v>1549</v>
      </c>
      <c r="O42" s="89" t="s">
        <v>615</v>
      </c>
      <c r="P42" s="89" t="s">
        <v>1550</v>
      </c>
      <c r="Q42" s="89" t="s">
        <v>629</v>
      </c>
      <c r="R42" s="89">
        <v>15</v>
      </c>
      <c r="S42" s="89" t="s">
        <v>1555</v>
      </c>
      <c r="T42" s="89" t="s">
        <v>1555</v>
      </c>
      <c r="U42" s="89" t="s">
        <v>1552</v>
      </c>
      <c r="V42" s="89" t="s">
        <v>1561</v>
      </c>
      <c r="W42" s="89" t="s">
        <v>663</v>
      </c>
      <c r="X42" s="89" t="s">
        <v>78</v>
      </c>
      <c r="Y42" s="89" t="s">
        <v>619</v>
      </c>
      <c r="Z42" s="89" t="s">
        <v>68</v>
      </c>
      <c r="AA42" s="89" t="s">
        <v>67</v>
      </c>
      <c r="AB42" s="89">
        <v>1</v>
      </c>
      <c r="AC42" s="89">
        <v>6</v>
      </c>
      <c r="AD42" s="89">
        <v>1</v>
      </c>
      <c r="AE42" s="89" t="s">
        <v>0</v>
      </c>
      <c r="AF42" s="90">
        <v>367</v>
      </c>
      <c r="AG42" s="90">
        <v>44748</v>
      </c>
      <c r="AH42" s="90">
        <v>45848</v>
      </c>
      <c r="AJ42" t="e">
        <f>VLOOKUP(A42,'1'!B:Q,16,0)</f>
        <v>#N/A</v>
      </c>
      <c r="AK42" s="96" t="e">
        <f>AJ42/250</f>
        <v>#N/A</v>
      </c>
    </row>
    <row r="43" spans="1:37" x14ac:dyDescent="0.35">
      <c r="A43" s="89" t="str">
        <f t="shared" si="0"/>
        <v>032Q</v>
      </c>
      <c r="B43" s="89" t="s">
        <v>957</v>
      </c>
      <c r="C43" s="89" t="s">
        <v>958</v>
      </c>
      <c r="D43" s="89" t="s">
        <v>182</v>
      </c>
      <c r="E43" s="89" t="s">
        <v>959</v>
      </c>
      <c r="F43" s="89" t="s">
        <v>1546</v>
      </c>
      <c r="G43" s="89" t="s">
        <v>70</v>
      </c>
      <c r="H43" s="89" t="s">
        <v>70</v>
      </c>
      <c r="I43" s="91"/>
      <c r="J43" s="89">
        <v>0</v>
      </c>
      <c r="K43" s="89" t="s">
        <v>53</v>
      </c>
      <c r="L43" s="89" t="s">
        <v>1548</v>
      </c>
      <c r="M43" s="91"/>
      <c r="N43" s="89" t="s">
        <v>1549</v>
      </c>
      <c r="O43" s="89" t="s">
        <v>615</v>
      </c>
      <c r="P43" s="89" t="s">
        <v>1550</v>
      </c>
      <c r="Q43" s="89" t="s">
        <v>629</v>
      </c>
      <c r="R43" s="89">
        <v>15</v>
      </c>
      <c r="S43" s="89" t="s">
        <v>1551</v>
      </c>
      <c r="T43" s="89" t="s">
        <v>1555</v>
      </c>
      <c r="U43" s="89" t="s">
        <v>1552</v>
      </c>
      <c r="V43" s="89" t="s">
        <v>1561</v>
      </c>
      <c r="W43" s="89" t="s">
        <v>644</v>
      </c>
      <c r="X43" s="89" t="s">
        <v>102</v>
      </c>
      <c r="Y43" s="89" t="s">
        <v>619</v>
      </c>
      <c r="Z43" s="89" t="s">
        <v>68</v>
      </c>
      <c r="AA43" s="89" t="s">
        <v>67</v>
      </c>
      <c r="AB43" s="89">
        <v>1</v>
      </c>
      <c r="AC43" s="89">
        <v>6</v>
      </c>
      <c r="AD43" s="89">
        <v>1</v>
      </c>
      <c r="AE43" s="89" t="s">
        <v>0</v>
      </c>
      <c r="AF43" s="90">
        <v>367</v>
      </c>
      <c r="AG43" s="90">
        <v>44725</v>
      </c>
      <c r="AH43" s="90">
        <v>45818</v>
      </c>
    </row>
    <row r="44" spans="1:37" x14ac:dyDescent="0.35">
      <c r="A44" s="89" t="str">
        <f t="shared" si="0"/>
        <v>273M</v>
      </c>
      <c r="B44" s="89" t="s">
        <v>1007</v>
      </c>
      <c r="C44" s="89" t="s">
        <v>1008</v>
      </c>
      <c r="D44" s="89" t="s">
        <v>224</v>
      </c>
      <c r="E44" s="89" t="s">
        <v>1589</v>
      </c>
      <c r="F44" s="89" t="s">
        <v>1546</v>
      </c>
      <c r="G44" s="89" t="s">
        <v>70</v>
      </c>
      <c r="H44" s="89" t="s">
        <v>70</v>
      </c>
      <c r="I44" s="89" t="s">
        <v>1547</v>
      </c>
      <c r="J44" s="89">
        <v>0</v>
      </c>
      <c r="K44" s="89" t="s">
        <v>53</v>
      </c>
      <c r="L44" s="89" t="s">
        <v>1548</v>
      </c>
      <c r="M44" s="91"/>
      <c r="N44" s="89" t="s">
        <v>1549</v>
      </c>
      <c r="O44" s="89" t="s">
        <v>615</v>
      </c>
      <c r="P44" s="89" t="s">
        <v>1550</v>
      </c>
      <c r="Q44" s="89" t="s">
        <v>629</v>
      </c>
      <c r="R44" s="89">
        <v>15</v>
      </c>
      <c r="S44" s="89" t="s">
        <v>1551</v>
      </c>
      <c r="T44" s="89" t="s">
        <v>1555</v>
      </c>
      <c r="U44" s="89" t="s">
        <v>1552</v>
      </c>
      <c r="V44" s="89" t="s">
        <v>1561</v>
      </c>
      <c r="W44" s="89" t="s">
        <v>628</v>
      </c>
      <c r="X44" s="89" t="s">
        <v>117</v>
      </c>
      <c r="Y44" s="89" t="s">
        <v>619</v>
      </c>
      <c r="Z44" s="89" t="s">
        <v>68</v>
      </c>
      <c r="AA44" s="89" t="s">
        <v>67</v>
      </c>
      <c r="AB44" s="89">
        <v>1</v>
      </c>
      <c r="AC44" s="89">
        <v>6</v>
      </c>
      <c r="AD44" s="89">
        <v>1</v>
      </c>
      <c r="AE44" s="89" t="s">
        <v>0</v>
      </c>
      <c r="AF44" s="90">
        <v>367</v>
      </c>
      <c r="AG44" s="90">
        <v>44726</v>
      </c>
      <c r="AH44" s="90">
        <v>45818</v>
      </c>
    </row>
    <row r="45" spans="1:37" x14ac:dyDescent="0.35">
      <c r="A45" s="89" t="str">
        <f t="shared" si="0"/>
        <v>624F</v>
      </c>
      <c r="B45" s="89" t="s">
        <v>1126</v>
      </c>
      <c r="C45" s="89" t="s">
        <v>1127</v>
      </c>
      <c r="D45" s="89" t="s">
        <v>318</v>
      </c>
      <c r="E45" s="89" t="s">
        <v>1128</v>
      </c>
      <c r="F45" s="89" t="s">
        <v>1546</v>
      </c>
      <c r="G45" s="89" t="s">
        <v>70</v>
      </c>
      <c r="H45" s="89" t="s">
        <v>70</v>
      </c>
      <c r="I45" s="89" t="s">
        <v>1547</v>
      </c>
      <c r="J45" s="89">
        <v>0</v>
      </c>
      <c r="K45" s="89" t="s">
        <v>53</v>
      </c>
      <c r="L45" s="89" t="s">
        <v>1548</v>
      </c>
      <c r="M45" s="91"/>
      <c r="N45" s="89" t="s">
        <v>1549</v>
      </c>
      <c r="O45" s="89" t="s">
        <v>615</v>
      </c>
      <c r="P45" s="89" t="s">
        <v>1550</v>
      </c>
      <c r="Q45" s="89" t="s">
        <v>629</v>
      </c>
      <c r="R45" s="89">
        <v>15</v>
      </c>
      <c r="S45" s="89" t="s">
        <v>1551</v>
      </c>
      <c r="T45" s="89" t="s">
        <v>1555</v>
      </c>
      <c r="U45" s="89" t="s">
        <v>1552</v>
      </c>
      <c r="V45" s="89" t="s">
        <v>1561</v>
      </c>
      <c r="W45" s="89" t="s">
        <v>628</v>
      </c>
      <c r="X45" s="89" t="s">
        <v>117</v>
      </c>
      <c r="Y45" s="89" t="s">
        <v>619</v>
      </c>
      <c r="Z45" s="89" t="s">
        <v>68</v>
      </c>
      <c r="AA45" s="89" t="s">
        <v>67</v>
      </c>
      <c r="AB45" s="89">
        <v>1</v>
      </c>
      <c r="AC45" s="89">
        <v>6</v>
      </c>
      <c r="AD45" s="89">
        <v>1</v>
      </c>
      <c r="AE45" s="89" t="s">
        <v>0</v>
      </c>
      <c r="AF45" s="90">
        <v>367</v>
      </c>
      <c r="AG45" s="90">
        <v>44726</v>
      </c>
      <c r="AH45" s="90">
        <v>45818</v>
      </c>
    </row>
    <row r="46" spans="1:37" x14ac:dyDescent="0.35">
      <c r="A46" s="89" t="str">
        <f t="shared" si="0"/>
        <v>00N4</v>
      </c>
      <c r="B46" s="89" t="s">
        <v>880</v>
      </c>
      <c r="C46" s="89" t="s">
        <v>881</v>
      </c>
      <c r="D46" s="89" t="s">
        <v>130</v>
      </c>
      <c r="E46" s="89" t="s">
        <v>1590</v>
      </c>
      <c r="F46" s="89" t="s">
        <v>1546</v>
      </c>
      <c r="G46" s="89" t="s">
        <v>70</v>
      </c>
      <c r="H46" s="89" t="s">
        <v>70</v>
      </c>
      <c r="I46" s="89" t="s">
        <v>1591</v>
      </c>
      <c r="J46" s="89">
        <v>0</v>
      </c>
      <c r="K46" s="89" t="s">
        <v>53</v>
      </c>
      <c r="L46" s="89" t="s">
        <v>1548</v>
      </c>
      <c r="M46" s="91"/>
      <c r="N46" s="89" t="s">
        <v>1549</v>
      </c>
      <c r="O46" s="89" t="s">
        <v>615</v>
      </c>
      <c r="P46" s="89" t="s">
        <v>1550</v>
      </c>
      <c r="Q46" s="89" t="s">
        <v>629</v>
      </c>
      <c r="R46" s="89">
        <v>24</v>
      </c>
      <c r="S46" s="89" t="s">
        <v>1551</v>
      </c>
      <c r="T46" s="89" t="s">
        <v>1555</v>
      </c>
      <c r="U46" s="89" t="s">
        <v>1552</v>
      </c>
      <c r="V46" s="89" t="s">
        <v>1561</v>
      </c>
      <c r="W46" s="89" t="s">
        <v>628</v>
      </c>
      <c r="X46" s="89" t="s">
        <v>117</v>
      </c>
      <c r="Y46" s="89" t="s">
        <v>619</v>
      </c>
      <c r="Z46" s="89" t="s">
        <v>68</v>
      </c>
      <c r="AA46" s="89" t="s">
        <v>67</v>
      </c>
      <c r="AB46" s="89">
        <v>1</v>
      </c>
      <c r="AC46" s="89">
        <v>6</v>
      </c>
      <c r="AD46" s="89">
        <v>1</v>
      </c>
      <c r="AE46" s="89" t="s">
        <v>0</v>
      </c>
      <c r="AF46" s="90">
        <v>367</v>
      </c>
      <c r="AG46" s="90">
        <v>44726</v>
      </c>
      <c r="AH46" s="90">
        <v>45818</v>
      </c>
    </row>
    <row r="47" spans="1:37" x14ac:dyDescent="0.35">
      <c r="A47" s="89" t="str">
        <f t="shared" si="0"/>
        <v>4079</v>
      </c>
      <c r="B47" s="89" t="s">
        <v>1074</v>
      </c>
      <c r="C47" s="89" t="s">
        <v>1075</v>
      </c>
      <c r="D47" s="89" t="s">
        <v>258</v>
      </c>
      <c r="E47" s="89" t="s">
        <v>1076</v>
      </c>
      <c r="F47" s="89" t="s">
        <v>1546</v>
      </c>
      <c r="G47" s="89" t="s">
        <v>70</v>
      </c>
      <c r="H47" s="89" t="s">
        <v>70</v>
      </c>
      <c r="I47" s="91"/>
      <c r="J47" s="89">
        <v>0</v>
      </c>
      <c r="K47" s="89" t="s">
        <v>53</v>
      </c>
      <c r="L47" s="89" t="s">
        <v>1548</v>
      </c>
      <c r="M47" s="91"/>
      <c r="N47" s="89" t="s">
        <v>1549</v>
      </c>
      <c r="O47" s="89" t="s">
        <v>615</v>
      </c>
      <c r="P47" s="89" t="s">
        <v>1550</v>
      </c>
      <c r="Q47" s="89" t="s">
        <v>629</v>
      </c>
      <c r="R47" s="89">
        <v>24</v>
      </c>
      <c r="S47" s="89" t="s">
        <v>1551</v>
      </c>
      <c r="T47" s="89" t="s">
        <v>1555</v>
      </c>
      <c r="U47" s="89" t="s">
        <v>1552</v>
      </c>
      <c r="V47" s="89" t="s">
        <v>1561</v>
      </c>
      <c r="W47" s="89" t="s">
        <v>628</v>
      </c>
      <c r="X47" s="89" t="s">
        <v>117</v>
      </c>
      <c r="Y47" s="89" t="s">
        <v>619</v>
      </c>
      <c r="Z47" s="89" t="s">
        <v>68</v>
      </c>
      <c r="AA47" s="89" t="s">
        <v>67</v>
      </c>
      <c r="AB47" s="89">
        <v>1</v>
      </c>
      <c r="AC47" s="89">
        <v>6</v>
      </c>
      <c r="AD47" s="89">
        <v>1</v>
      </c>
      <c r="AE47" s="89" t="s">
        <v>0</v>
      </c>
      <c r="AF47" s="90">
        <v>367</v>
      </c>
      <c r="AG47" s="90">
        <v>44727</v>
      </c>
      <c r="AH47" s="90">
        <v>45818</v>
      </c>
    </row>
    <row r="48" spans="1:37" x14ac:dyDescent="0.35">
      <c r="A48" s="89" t="str">
        <f t="shared" si="0"/>
        <v>00H9</v>
      </c>
      <c r="B48" s="89" t="s">
        <v>860</v>
      </c>
      <c r="C48" s="89" t="s">
        <v>861</v>
      </c>
      <c r="D48" s="89" t="s">
        <v>110</v>
      </c>
      <c r="E48" s="89" t="s">
        <v>862</v>
      </c>
      <c r="F48" s="89" t="s">
        <v>1546</v>
      </c>
      <c r="G48" s="89" t="s">
        <v>70</v>
      </c>
      <c r="H48" s="89" t="s">
        <v>70</v>
      </c>
      <c r="I48" s="91"/>
      <c r="J48" s="89">
        <v>0</v>
      </c>
      <c r="K48" s="89" t="s">
        <v>53</v>
      </c>
      <c r="L48" s="89" t="s">
        <v>1548</v>
      </c>
      <c r="M48" s="91"/>
      <c r="N48" s="89" t="s">
        <v>1549</v>
      </c>
      <c r="O48" s="89" t="s">
        <v>615</v>
      </c>
      <c r="P48" s="89" t="s">
        <v>1550</v>
      </c>
      <c r="Q48" s="89" t="s">
        <v>629</v>
      </c>
      <c r="R48" s="89">
        <v>15</v>
      </c>
      <c r="S48" s="89" t="s">
        <v>1555</v>
      </c>
      <c r="T48" s="89" t="s">
        <v>1555</v>
      </c>
      <c r="U48" s="89" t="s">
        <v>1552</v>
      </c>
      <c r="V48" s="89" t="s">
        <v>1561</v>
      </c>
      <c r="W48" s="89" t="s">
        <v>663</v>
      </c>
      <c r="X48" s="89" t="s">
        <v>78</v>
      </c>
      <c r="Y48" s="89" t="s">
        <v>619</v>
      </c>
      <c r="Z48" s="89" t="s">
        <v>68</v>
      </c>
      <c r="AA48" s="89" t="s">
        <v>67</v>
      </c>
      <c r="AB48" s="89">
        <v>1</v>
      </c>
      <c r="AC48" s="89">
        <v>6</v>
      </c>
      <c r="AD48" s="89">
        <v>1</v>
      </c>
      <c r="AE48" s="89" t="s">
        <v>0</v>
      </c>
      <c r="AF48" s="90">
        <v>367</v>
      </c>
      <c r="AG48" s="90">
        <v>44727</v>
      </c>
      <c r="AH48" s="90">
        <v>45818</v>
      </c>
    </row>
    <row r="49" spans="1:34" x14ac:dyDescent="0.35">
      <c r="A49" s="89" t="str">
        <f t="shared" si="0"/>
        <v>4081</v>
      </c>
      <c r="B49" s="89" t="s">
        <v>1592</v>
      </c>
      <c r="C49" s="89" t="s">
        <v>1593</v>
      </c>
      <c r="D49" s="89" t="s">
        <v>260</v>
      </c>
      <c r="E49" s="89" t="s">
        <v>1594</v>
      </c>
      <c r="F49" s="89" t="s">
        <v>1546</v>
      </c>
      <c r="G49" s="89" t="s">
        <v>70</v>
      </c>
      <c r="H49" s="89" t="s">
        <v>70</v>
      </c>
      <c r="I49" s="89" t="s">
        <v>1547</v>
      </c>
      <c r="J49" s="89">
        <v>0</v>
      </c>
      <c r="K49" s="89" t="s">
        <v>53</v>
      </c>
      <c r="L49" s="89" t="s">
        <v>1548</v>
      </c>
      <c r="M49" s="91"/>
      <c r="N49" s="89" t="s">
        <v>1549</v>
      </c>
      <c r="O49" s="89" t="s">
        <v>615</v>
      </c>
      <c r="P49" s="89" t="s">
        <v>1550</v>
      </c>
      <c r="Q49" s="89" t="s">
        <v>629</v>
      </c>
      <c r="R49" s="89">
        <v>24</v>
      </c>
      <c r="S49" s="89" t="s">
        <v>1551</v>
      </c>
      <c r="T49" s="89" t="s">
        <v>1555</v>
      </c>
      <c r="U49" s="89" t="s">
        <v>1552</v>
      </c>
      <c r="V49" s="89" t="s">
        <v>1561</v>
      </c>
      <c r="W49" s="89" t="s">
        <v>644</v>
      </c>
      <c r="X49" s="89" t="s">
        <v>102</v>
      </c>
      <c r="Y49" s="89" t="s">
        <v>619</v>
      </c>
      <c r="Z49" s="89" t="s">
        <v>68</v>
      </c>
      <c r="AA49" s="89" t="s">
        <v>67</v>
      </c>
      <c r="AB49" s="89">
        <v>1</v>
      </c>
      <c r="AC49" s="89">
        <v>6</v>
      </c>
      <c r="AD49" s="89">
        <v>1</v>
      </c>
      <c r="AE49" s="89" t="s">
        <v>0</v>
      </c>
      <c r="AF49" s="90">
        <v>367</v>
      </c>
      <c r="AG49" s="90">
        <v>44724</v>
      </c>
      <c r="AH49" s="90">
        <v>45818</v>
      </c>
    </row>
    <row r="50" spans="1:34" x14ac:dyDescent="0.35">
      <c r="A50" s="89" t="str">
        <f t="shared" si="0"/>
        <v>656C</v>
      </c>
      <c r="B50" s="89" t="s">
        <v>1595</v>
      </c>
      <c r="C50" s="89" t="s">
        <v>1596</v>
      </c>
      <c r="D50" s="89" t="s">
        <v>342</v>
      </c>
      <c r="E50" s="89" t="s">
        <v>1597</v>
      </c>
      <c r="F50" s="89" t="s">
        <v>1546</v>
      </c>
      <c r="G50" s="89" t="s">
        <v>70</v>
      </c>
      <c r="H50" s="89" t="s">
        <v>70</v>
      </c>
      <c r="I50" s="91"/>
      <c r="J50" s="89">
        <v>0</v>
      </c>
      <c r="K50" s="89" t="s">
        <v>53</v>
      </c>
      <c r="L50" s="89" t="s">
        <v>1548</v>
      </c>
      <c r="M50" s="91"/>
      <c r="N50" s="89" t="s">
        <v>1549</v>
      </c>
      <c r="O50" s="89" t="s">
        <v>615</v>
      </c>
      <c r="P50" s="89" t="s">
        <v>1550</v>
      </c>
      <c r="Q50" s="89" t="s">
        <v>629</v>
      </c>
      <c r="R50" s="89">
        <v>24</v>
      </c>
      <c r="S50" s="89" t="s">
        <v>1551</v>
      </c>
      <c r="T50" s="89" t="s">
        <v>1555</v>
      </c>
      <c r="U50" s="89" t="s">
        <v>1552</v>
      </c>
      <c r="V50" s="89" t="s">
        <v>1561</v>
      </c>
      <c r="W50" s="89" t="s">
        <v>656</v>
      </c>
      <c r="X50" s="89" t="s">
        <v>92</v>
      </c>
      <c r="Y50" s="89" t="s">
        <v>619</v>
      </c>
      <c r="Z50" s="89" t="s">
        <v>68</v>
      </c>
      <c r="AA50" s="89" t="s">
        <v>67</v>
      </c>
      <c r="AB50" s="89">
        <v>1</v>
      </c>
      <c r="AC50" s="89">
        <v>6</v>
      </c>
      <c r="AD50" s="89">
        <v>1</v>
      </c>
      <c r="AE50" s="89" t="s">
        <v>0</v>
      </c>
      <c r="AF50" s="90">
        <v>367</v>
      </c>
      <c r="AG50" s="90">
        <v>44724</v>
      </c>
      <c r="AH50" s="90">
        <v>45818</v>
      </c>
    </row>
    <row r="51" spans="1:34" x14ac:dyDescent="0.35">
      <c r="A51" s="89" t="str">
        <f t="shared" si="0"/>
        <v>273J</v>
      </c>
      <c r="B51" s="89" t="s">
        <v>1001</v>
      </c>
      <c r="C51" s="89" t="s">
        <v>1002</v>
      </c>
      <c r="D51" s="89" t="s">
        <v>222</v>
      </c>
      <c r="E51" s="89" t="s">
        <v>1003</v>
      </c>
      <c r="F51" s="89" t="s">
        <v>1546</v>
      </c>
      <c r="G51" s="89" t="s">
        <v>70</v>
      </c>
      <c r="H51" s="89" t="s">
        <v>70</v>
      </c>
      <c r="I51" s="89" t="s">
        <v>1547</v>
      </c>
      <c r="J51" s="89">
        <v>0</v>
      </c>
      <c r="K51" s="89" t="s">
        <v>53</v>
      </c>
      <c r="L51" s="89" t="s">
        <v>1548</v>
      </c>
      <c r="M51" s="91"/>
      <c r="N51" s="89" t="s">
        <v>1549</v>
      </c>
      <c r="O51" s="89" t="s">
        <v>615</v>
      </c>
      <c r="P51" s="89" t="s">
        <v>1550</v>
      </c>
      <c r="Q51" s="89" t="s">
        <v>629</v>
      </c>
      <c r="R51" s="89">
        <v>24</v>
      </c>
      <c r="S51" s="89" t="s">
        <v>1551</v>
      </c>
      <c r="T51" s="89" t="s">
        <v>1555</v>
      </c>
      <c r="U51" s="89" t="s">
        <v>1552</v>
      </c>
      <c r="V51" s="89" t="s">
        <v>1561</v>
      </c>
      <c r="W51" s="89" t="s">
        <v>644</v>
      </c>
      <c r="X51" s="89" t="s">
        <v>102</v>
      </c>
      <c r="Y51" s="89" t="s">
        <v>619</v>
      </c>
      <c r="Z51" s="89" t="s">
        <v>68</v>
      </c>
      <c r="AA51" s="89" t="s">
        <v>67</v>
      </c>
      <c r="AB51" s="89">
        <v>1</v>
      </c>
      <c r="AC51" s="89">
        <v>6</v>
      </c>
      <c r="AD51" s="89">
        <v>1</v>
      </c>
      <c r="AE51" s="89" t="s">
        <v>0</v>
      </c>
      <c r="AF51" s="90">
        <v>367</v>
      </c>
      <c r="AG51" s="90">
        <v>44725</v>
      </c>
      <c r="AH51" s="90">
        <v>45818</v>
      </c>
    </row>
    <row r="52" spans="1:34" x14ac:dyDescent="0.35">
      <c r="A52" s="89" t="str">
        <f t="shared" si="0"/>
        <v>273K</v>
      </c>
      <c r="B52" s="89" t="s">
        <v>1004</v>
      </c>
      <c r="C52" s="89" t="s">
        <v>1005</v>
      </c>
      <c r="D52" s="89" t="s">
        <v>223</v>
      </c>
      <c r="E52" s="89" t="s">
        <v>1006</v>
      </c>
      <c r="F52" s="89" t="s">
        <v>1546</v>
      </c>
      <c r="G52" s="89" t="s">
        <v>70</v>
      </c>
      <c r="H52" s="89" t="s">
        <v>70</v>
      </c>
      <c r="I52" s="91"/>
      <c r="J52" s="89">
        <v>0</v>
      </c>
      <c r="K52" s="89" t="s">
        <v>53</v>
      </c>
      <c r="L52" s="89" t="s">
        <v>1548</v>
      </c>
      <c r="M52" s="91"/>
      <c r="N52" s="89" t="s">
        <v>1549</v>
      </c>
      <c r="O52" s="89" t="s">
        <v>615</v>
      </c>
      <c r="P52" s="89" t="s">
        <v>1550</v>
      </c>
      <c r="Q52" s="89" t="s">
        <v>629</v>
      </c>
      <c r="R52" s="89">
        <v>24</v>
      </c>
      <c r="S52" s="89" t="s">
        <v>1551</v>
      </c>
      <c r="T52" s="89" t="s">
        <v>1555</v>
      </c>
      <c r="U52" s="89" t="s">
        <v>1552</v>
      </c>
      <c r="V52" s="89" t="s">
        <v>1561</v>
      </c>
      <c r="W52" s="89" t="s">
        <v>644</v>
      </c>
      <c r="X52" s="89" t="s">
        <v>102</v>
      </c>
      <c r="Y52" s="89" t="s">
        <v>619</v>
      </c>
      <c r="Z52" s="89" t="s">
        <v>68</v>
      </c>
      <c r="AA52" s="89" t="s">
        <v>67</v>
      </c>
      <c r="AB52" s="89">
        <v>1</v>
      </c>
      <c r="AC52" s="89">
        <v>6</v>
      </c>
      <c r="AD52" s="89">
        <v>1</v>
      </c>
      <c r="AE52" s="89" t="s">
        <v>0</v>
      </c>
      <c r="AF52" s="90">
        <v>367</v>
      </c>
      <c r="AG52" s="90">
        <v>44725</v>
      </c>
      <c r="AH52" s="90">
        <v>45818</v>
      </c>
    </row>
    <row r="53" spans="1:34" x14ac:dyDescent="0.35">
      <c r="A53" s="89" t="str">
        <f t="shared" si="0"/>
        <v>619A</v>
      </c>
      <c r="B53" s="89" t="s">
        <v>1598</v>
      </c>
      <c r="C53" s="89" t="s">
        <v>1599</v>
      </c>
      <c r="D53" s="89" t="s">
        <v>314</v>
      </c>
      <c r="E53" s="89" t="s">
        <v>1600</v>
      </c>
      <c r="F53" s="89" t="s">
        <v>1546</v>
      </c>
      <c r="G53" s="89" t="s">
        <v>70</v>
      </c>
      <c r="H53" s="89" t="s">
        <v>70</v>
      </c>
      <c r="I53" s="91"/>
      <c r="J53" s="89">
        <v>0</v>
      </c>
      <c r="K53" s="89" t="s">
        <v>53</v>
      </c>
      <c r="L53" s="89" t="s">
        <v>1548</v>
      </c>
      <c r="M53" s="91"/>
      <c r="N53" s="89" t="s">
        <v>1549</v>
      </c>
      <c r="O53" s="89" t="s">
        <v>615</v>
      </c>
      <c r="P53" s="89" t="s">
        <v>1550</v>
      </c>
      <c r="Q53" s="89" t="s">
        <v>629</v>
      </c>
      <c r="R53" s="89">
        <v>24</v>
      </c>
      <c r="S53" s="89" t="s">
        <v>1555</v>
      </c>
      <c r="T53" s="89" t="s">
        <v>1555</v>
      </c>
      <c r="U53" s="89" t="s">
        <v>1552</v>
      </c>
      <c r="V53" s="89" t="s">
        <v>1561</v>
      </c>
      <c r="W53" s="89" t="s">
        <v>644</v>
      </c>
      <c r="X53" s="89" t="s">
        <v>102</v>
      </c>
      <c r="Y53" s="89" t="s">
        <v>619</v>
      </c>
      <c r="Z53" s="89" t="s">
        <v>68</v>
      </c>
      <c r="AA53" s="89" t="s">
        <v>67</v>
      </c>
      <c r="AB53" s="89">
        <v>1</v>
      </c>
      <c r="AC53" s="89">
        <v>6</v>
      </c>
      <c r="AD53" s="89">
        <v>1</v>
      </c>
      <c r="AE53" s="89" t="s">
        <v>0</v>
      </c>
      <c r="AF53" s="90">
        <v>367</v>
      </c>
      <c r="AG53" s="90">
        <v>44726</v>
      </c>
      <c r="AH53" s="90">
        <v>45818</v>
      </c>
    </row>
    <row r="54" spans="1:34" x14ac:dyDescent="0.35">
      <c r="A54" s="89" t="str">
        <f t="shared" si="0"/>
        <v>6520</v>
      </c>
      <c r="B54" s="89" t="s">
        <v>1151</v>
      </c>
      <c r="C54" s="89" t="s">
        <v>1152</v>
      </c>
      <c r="D54" s="89" t="s">
        <v>335</v>
      </c>
      <c r="E54" s="89" t="s">
        <v>1153</v>
      </c>
      <c r="F54" s="89" t="s">
        <v>1546</v>
      </c>
      <c r="G54" s="89" t="s">
        <v>70</v>
      </c>
      <c r="H54" s="89" t="s">
        <v>70</v>
      </c>
      <c r="I54" s="91"/>
      <c r="J54" s="89">
        <v>0</v>
      </c>
      <c r="K54" s="89" t="s">
        <v>53</v>
      </c>
      <c r="L54" s="89" t="s">
        <v>1548</v>
      </c>
      <c r="M54" s="91"/>
      <c r="N54" s="89" t="s">
        <v>1549</v>
      </c>
      <c r="O54" s="89" t="s">
        <v>615</v>
      </c>
      <c r="P54" s="89" t="s">
        <v>1550</v>
      </c>
      <c r="Q54" s="89" t="s">
        <v>629</v>
      </c>
      <c r="R54" s="89">
        <v>24</v>
      </c>
      <c r="S54" s="89" t="s">
        <v>1551</v>
      </c>
      <c r="T54" s="89" t="s">
        <v>1555</v>
      </c>
      <c r="U54" s="89" t="s">
        <v>1552</v>
      </c>
      <c r="V54" s="89" t="s">
        <v>1561</v>
      </c>
      <c r="W54" s="89" t="s">
        <v>644</v>
      </c>
      <c r="X54" s="89" t="s">
        <v>102</v>
      </c>
      <c r="Y54" s="89" t="s">
        <v>619</v>
      </c>
      <c r="Z54" s="89" t="s">
        <v>68</v>
      </c>
      <c r="AA54" s="89" t="s">
        <v>67</v>
      </c>
      <c r="AB54" s="89">
        <v>1</v>
      </c>
      <c r="AC54" s="89">
        <v>6</v>
      </c>
      <c r="AD54" s="89">
        <v>1</v>
      </c>
      <c r="AE54" s="89" t="s">
        <v>0</v>
      </c>
      <c r="AF54" s="90">
        <v>367</v>
      </c>
      <c r="AG54" s="90">
        <v>44723</v>
      </c>
      <c r="AH54" s="90">
        <v>45818</v>
      </c>
    </row>
    <row r="55" spans="1:34" x14ac:dyDescent="0.35">
      <c r="A55" s="89" t="str">
        <f t="shared" si="0"/>
        <v>142Z</v>
      </c>
      <c r="B55" s="89" t="s">
        <v>977</v>
      </c>
      <c r="C55" s="89" t="s">
        <v>978</v>
      </c>
      <c r="D55" s="89" t="s">
        <v>200</v>
      </c>
      <c r="E55" s="89" t="s">
        <v>979</v>
      </c>
      <c r="F55" s="89" t="s">
        <v>1546</v>
      </c>
      <c r="G55" s="89" t="s">
        <v>70</v>
      </c>
      <c r="H55" s="89" t="s">
        <v>70</v>
      </c>
      <c r="I55" s="91"/>
      <c r="J55" s="89">
        <v>0</v>
      </c>
      <c r="K55" s="89" t="s">
        <v>53</v>
      </c>
      <c r="L55" s="89" t="s">
        <v>1548</v>
      </c>
      <c r="M55" s="91"/>
      <c r="N55" s="89" t="s">
        <v>1549</v>
      </c>
      <c r="O55" s="89" t="s">
        <v>615</v>
      </c>
      <c r="P55" s="89" t="s">
        <v>1550</v>
      </c>
      <c r="Q55" s="89" t="s">
        <v>629</v>
      </c>
      <c r="R55" s="89">
        <v>24</v>
      </c>
      <c r="S55" s="89" t="s">
        <v>1551</v>
      </c>
      <c r="T55" s="89" t="s">
        <v>1555</v>
      </c>
      <c r="U55" s="89" t="s">
        <v>1552</v>
      </c>
      <c r="V55" s="89" t="s">
        <v>1561</v>
      </c>
      <c r="W55" s="89" t="s">
        <v>656</v>
      </c>
      <c r="X55" s="89" t="s">
        <v>92</v>
      </c>
      <c r="Y55" s="89" t="s">
        <v>619</v>
      </c>
      <c r="Z55" s="89" t="s">
        <v>68</v>
      </c>
      <c r="AA55" s="89" t="s">
        <v>67</v>
      </c>
      <c r="AB55" s="89">
        <v>1</v>
      </c>
      <c r="AC55" s="89">
        <v>6</v>
      </c>
      <c r="AD55" s="89">
        <v>1</v>
      </c>
      <c r="AE55" s="89" t="s">
        <v>0</v>
      </c>
      <c r="AF55" s="90">
        <v>367</v>
      </c>
      <c r="AG55" s="90">
        <v>44727</v>
      </c>
      <c r="AH55" s="90">
        <v>45818</v>
      </c>
    </row>
    <row r="56" spans="1:34" x14ac:dyDescent="0.35">
      <c r="A56" s="89" t="str">
        <f t="shared" si="0"/>
        <v>175C</v>
      </c>
      <c r="B56" s="89" t="s">
        <v>1601</v>
      </c>
      <c r="C56" s="89" t="s">
        <v>1602</v>
      </c>
      <c r="D56" s="89" t="s">
        <v>207</v>
      </c>
      <c r="E56" s="89" t="s">
        <v>1603</v>
      </c>
      <c r="F56" s="89" t="s">
        <v>1546</v>
      </c>
      <c r="G56" s="89" t="s">
        <v>70</v>
      </c>
      <c r="H56" s="89" t="s">
        <v>70</v>
      </c>
      <c r="I56" s="91"/>
      <c r="J56" s="89">
        <v>0</v>
      </c>
      <c r="K56" s="89" t="s">
        <v>53</v>
      </c>
      <c r="L56" s="89" t="s">
        <v>1548</v>
      </c>
      <c r="M56" s="91"/>
      <c r="N56" s="89" t="s">
        <v>1549</v>
      </c>
      <c r="O56" s="89" t="s">
        <v>615</v>
      </c>
      <c r="P56" s="89" t="s">
        <v>1550</v>
      </c>
      <c r="Q56" s="89" t="s">
        <v>629</v>
      </c>
      <c r="R56" s="89">
        <v>24</v>
      </c>
      <c r="S56" s="89" t="s">
        <v>1551</v>
      </c>
      <c r="T56" s="89" t="s">
        <v>1555</v>
      </c>
      <c r="U56" s="89" t="s">
        <v>1552</v>
      </c>
      <c r="V56" s="89" t="s">
        <v>1561</v>
      </c>
      <c r="W56" s="89" t="s">
        <v>644</v>
      </c>
      <c r="X56" s="89" t="s">
        <v>102</v>
      </c>
      <c r="Y56" s="89" t="s">
        <v>619</v>
      </c>
      <c r="Z56" s="89" t="s">
        <v>68</v>
      </c>
      <c r="AA56" s="89" t="s">
        <v>67</v>
      </c>
      <c r="AB56" s="89">
        <v>1</v>
      </c>
      <c r="AC56" s="89">
        <v>6</v>
      </c>
      <c r="AD56" s="89">
        <v>1</v>
      </c>
      <c r="AE56" s="89" t="s">
        <v>0</v>
      </c>
      <c r="AF56" s="90">
        <v>367</v>
      </c>
      <c r="AG56" s="90">
        <v>44723</v>
      </c>
      <c r="AH56" s="90">
        <v>45818</v>
      </c>
    </row>
    <row r="57" spans="1:34" x14ac:dyDescent="0.35">
      <c r="A57" s="89" t="str">
        <f t="shared" ref="A57:A119" si="1">LEFT(B57,LEN(B57)-3)</f>
        <v>205H</v>
      </c>
      <c r="B57" s="89" t="s">
        <v>990</v>
      </c>
      <c r="C57" s="89" t="s">
        <v>991</v>
      </c>
      <c r="D57" s="89" t="s">
        <v>212</v>
      </c>
      <c r="E57" s="89" t="s">
        <v>1604</v>
      </c>
      <c r="F57" s="89" t="s">
        <v>1546</v>
      </c>
      <c r="G57" s="89" t="s">
        <v>70</v>
      </c>
      <c r="H57" s="89" t="s">
        <v>70</v>
      </c>
      <c r="I57" s="91"/>
      <c r="J57" s="89">
        <v>0</v>
      </c>
      <c r="K57" s="89" t="s">
        <v>53</v>
      </c>
      <c r="L57" s="89" t="s">
        <v>1548</v>
      </c>
      <c r="M57" s="91"/>
      <c r="N57" s="89" t="s">
        <v>1549</v>
      </c>
      <c r="O57" s="89" t="s">
        <v>615</v>
      </c>
      <c r="P57" s="89" t="s">
        <v>1550</v>
      </c>
      <c r="Q57" s="89" t="s">
        <v>629</v>
      </c>
      <c r="R57" s="89">
        <v>15</v>
      </c>
      <c r="S57" s="89" t="s">
        <v>1551</v>
      </c>
      <c r="T57" s="89" t="s">
        <v>1555</v>
      </c>
      <c r="U57" s="89" t="s">
        <v>1552</v>
      </c>
      <c r="V57" s="89" t="s">
        <v>1561</v>
      </c>
      <c r="W57" s="89" t="s">
        <v>628</v>
      </c>
      <c r="X57" s="89" t="s">
        <v>117</v>
      </c>
      <c r="Y57" s="89" t="s">
        <v>619</v>
      </c>
      <c r="Z57" s="89" t="s">
        <v>68</v>
      </c>
      <c r="AA57" s="89" t="s">
        <v>67</v>
      </c>
      <c r="AB57" s="89">
        <v>1</v>
      </c>
      <c r="AC57" s="89">
        <v>6</v>
      </c>
      <c r="AD57" s="89">
        <v>1</v>
      </c>
      <c r="AE57" s="89" t="s">
        <v>0</v>
      </c>
      <c r="AF57" s="90">
        <v>367</v>
      </c>
      <c r="AG57" s="90">
        <v>44727</v>
      </c>
      <c r="AH57" s="90">
        <v>45818</v>
      </c>
    </row>
    <row r="58" spans="1:34" x14ac:dyDescent="0.35">
      <c r="A58" s="89" t="str">
        <f t="shared" si="1"/>
        <v>685B</v>
      </c>
      <c r="B58" s="89" t="s">
        <v>1169</v>
      </c>
      <c r="C58" s="89" t="s">
        <v>1170</v>
      </c>
      <c r="D58" s="89" t="s">
        <v>358</v>
      </c>
      <c r="E58" s="89" t="s">
        <v>1171</v>
      </c>
      <c r="F58" s="89" t="s">
        <v>1546</v>
      </c>
      <c r="G58" s="89" t="s">
        <v>70</v>
      </c>
      <c r="H58" s="89" t="s">
        <v>70</v>
      </c>
      <c r="I58" s="89" t="s">
        <v>1547</v>
      </c>
      <c r="J58" s="89">
        <v>0</v>
      </c>
      <c r="K58" s="89" t="s">
        <v>53</v>
      </c>
      <c r="L58" s="89" t="s">
        <v>1548</v>
      </c>
      <c r="M58" s="91"/>
      <c r="N58" s="89" t="s">
        <v>1549</v>
      </c>
      <c r="O58" s="89" t="s">
        <v>615</v>
      </c>
      <c r="P58" s="89" t="s">
        <v>1550</v>
      </c>
      <c r="Q58" s="89" t="s">
        <v>629</v>
      </c>
      <c r="R58" s="89">
        <v>15</v>
      </c>
      <c r="S58" s="89" t="s">
        <v>1555</v>
      </c>
      <c r="T58" s="89" t="s">
        <v>1555</v>
      </c>
      <c r="U58" s="89" t="s">
        <v>1552</v>
      </c>
      <c r="V58" s="89" t="s">
        <v>1561</v>
      </c>
      <c r="W58" s="89" t="s">
        <v>645</v>
      </c>
      <c r="X58" s="89" t="s">
        <v>100</v>
      </c>
      <c r="Y58" s="89" t="s">
        <v>619</v>
      </c>
      <c r="Z58" s="89" t="s">
        <v>68</v>
      </c>
      <c r="AA58" s="89" t="s">
        <v>67</v>
      </c>
      <c r="AB58" s="89">
        <v>1</v>
      </c>
      <c r="AC58" s="89">
        <v>6</v>
      </c>
      <c r="AD58" s="89">
        <v>1</v>
      </c>
      <c r="AE58" s="89" t="s">
        <v>0</v>
      </c>
      <c r="AF58" s="90">
        <v>367</v>
      </c>
      <c r="AG58" s="90">
        <v>44781</v>
      </c>
      <c r="AH58" s="90">
        <v>46254</v>
      </c>
    </row>
    <row r="59" spans="1:34" x14ac:dyDescent="0.35">
      <c r="A59" s="89" t="str">
        <f t="shared" si="1"/>
        <v>685E</v>
      </c>
      <c r="B59" s="89" t="s">
        <v>1172</v>
      </c>
      <c r="C59" s="89" t="s">
        <v>1173</v>
      </c>
      <c r="D59" s="89" t="s">
        <v>359</v>
      </c>
      <c r="E59" s="89" t="s">
        <v>1174</v>
      </c>
      <c r="F59" s="89" t="s">
        <v>1546</v>
      </c>
      <c r="G59" s="89" t="s">
        <v>70</v>
      </c>
      <c r="H59" s="89" t="s">
        <v>70</v>
      </c>
      <c r="I59" s="91"/>
      <c r="J59" s="89">
        <v>0</v>
      </c>
      <c r="K59" s="89" t="s">
        <v>53</v>
      </c>
      <c r="L59" s="89" t="s">
        <v>1548</v>
      </c>
      <c r="M59" s="91"/>
      <c r="N59" s="89" t="s">
        <v>1549</v>
      </c>
      <c r="O59" s="89" t="s">
        <v>615</v>
      </c>
      <c r="P59" s="89" t="s">
        <v>1550</v>
      </c>
      <c r="Q59" s="89" t="s">
        <v>629</v>
      </c>
      <c r="R59" s="89">
        <v>24</v>
      </c>
      <c r="S59" s="89" t="s">
        <v>1551</v>
      </c>
      <c r="T59" s="89" t="s">
        <v>1555</v>
      </c>
      <c r="U59" s="89" t="s">
        <v>1552</v>
      </c>
      <c r="V59" s="89" t="s">
        <v>1561</v>
      </c>
      <c r="W59" s="89" t="s">
        <v>644</v>
      </c>
      <c r="X59" s="89" t="s">
        <v>102</v>
      </c>
      <c r="Y59" s="89" t="s">
        <v>619</v>
      </c>
      <c r="Z59" s="89" t="s">
        <v>68</v>
      </c>
      <c r="AA59" s="89" t="s">
        <v>67</v>
      </c>
      <c r="AB59" s="89">
        <v>1</v>
      </c>
      <c r="AC59" s="89">
        <v>6</v>
      </c>
      <c r="AD59" s="89">
        <v>1</v>
      </c>
      <c r="AE59" s="89" t="s">
        <v>0</v>
      </c>
      <c r="AF59" s="90">
        <v>367</v>
      </c>
      <c r="AG59" s="90">
        <v>44783</v>
      </c>
      <c r="AH59" s="90">
        <v>46254</v>
      </c>
    </row>
    <row r="60" spans="1:34" x14ac:dyDescent="0.35">
      <c r="A60" s="89" t="str">
        <f t="shared" si="1"/>
        <v>00E2</v>
      </c>
      <c r="B60" s="89" t="s">
        <v>843</v>
      </c>
      <c r="C60" s="89" t="s">
        <v>844</v>
      </c>
      <c r="D60" s="89" t="s">
        <v>99</v>
      </c>
      <c r="E60" s="89" t="s">
        <v>845</v>
      </c>
      <c r="F60" s="89" t="s">
        <v>1546</v>
      </c>
      <c r="G60" s="89" t="s">
        <v>70</v>
      </c>
      <c r="H60" s="89" t="s">
        <v>70</v>
      </c>
      <c r="I60" s="91"/>
      <c r="J60" s="89">
        <v>0</v>
      </c>
      <c r="K60" s="89" t="s">
        <v>53</v>
      </c>
      <c r="L60" s="89" t="s">
        <v>1548</v>
      </c>
      <c r="M60" s="91"/>
      <c r="N60" s="89" t="s">
        <v>1549</v>
      </c>
      <c r="O60" s="89" t="s">
        <v>615</v>
      </c>
      <c r="P60" s="89" t="s">
        <v>1550</v>
      </c>
      <c r="Q60" s="89" t="s">
        <v>629</v>
      </c>
      <c r="R60" s="89">
        <v>24</v>
      </c>
      <c r="S60" s="89" t="s">
        <v>1551</v>
      </c>
      <c r="T60" s="89" t="s">
        <v>1555</v>
      </c>
      <c r="U60" s="89" t="s">
        <v>1552</v>
      </c>
      <c r="V60" s="89" t="s">
        <v>1561</v>
      </c>
      <c r="W60" s="89" t="s">
        <v>663</v>
      </c>
      <c r="X60" s="89" t="s">
        <v>78</v>
      </c>
      <c r="Y60" s="89" t="s">
        <v>619</v>
      </c>
      <c r="Z60" s="89" t="s">
        <v>68</v>
      </c>
      <c r="AA60" s="89" t="s">
        <v>67</v>
      </c>
      <c r="AB60" s="89">
        <v>1</v>
      </c>
      <c r="AC60" s="89">
        <v>6</v>
      </c>
      <c r="AD60" s="89">
        <v>1</v>
      </c>
      <c r="AE60" s="89" t="s">
        <v>287</v>
      </c>
      <c r="AF60" s="90">
        <v>367</v>
      </c>
      <c r="AG60" s="90">
        <v>45057</v>
      </c>
      <c r="AH60" s="90">
        <v>46143</v>
      </c>
    </row>
    <row r="61" spans="1:34" x14ac:dyDescent="0.35">
      <c r="A61" s="89" t="str">
        <f t="shared" si="1"/>
        <v>556E</v>
      </c>
      <c r="B61" s="89" t="s">
        <v>1102</v>
      </c>
      <c r="C61" s="89" t="s">
        <v>1103</v>
      </c>
      <c r="D61" s="89" t="s">
        <v>297</v>
      </c>
      <c r="E61" s="89" t="s">
        <v>1104</v>
      </c>
      <c r="F61" s="89" t="s">
        <v>1546</v>
      </c>
      <c r="G61" s="89" t="s">
        <v>70</v>
      </c>
      <c r="H61" s="89" t="s">
        <v>70</v>
      </c>
      <c r="I61" s="91"/>
      <c r="J61" s="89">
        <v>0</v>
      </c>
      <c r="K61" s="89" t="s">
        <v>53</v>
      </c>
      <c r="L61" s="89" t="s">
        <v>1548</v>
      </c>
      <c r="M61" s="91"/>
      <c r="N61" s="89" t="s">
        <v>1549</v>
      </c>
      <c r="O61" s="89" t="s">
        <v>615</v>
      </c>
      <c r="P61" s="89" t="s">
        <v>1550</v>
      </c>
      <c r="Q61" s="89" t="s">
        <v>629</v>
      </c>
      <c r="R61" s="89">
        <v>24</v>
      </c>
      <c r="S61" s="89" t="s">
        <v>1551</v>
      </c>
      <c r="T61" s="89" t="s">
        <v>1555</v>
      </c>
      <c r="U61" s="89" t="s">
        <v>1552</v>
      </c>
      <c r="V61" s="89" t="s">
        <v>1561</v>
      </c>
      <c r="W61" s="89" t="s">
        <v>663</v>
      </c>
      <c r="X61" s="89" t="s">
        <v>78</v>
      </c>
      <c r="Y61" s="89" t="s">
        <v>619</v>
      </c>
      <c r="Z61" s="89" t="s">
        <v>68</v>
      </c>
      <c r="AA61" s="89" t="s">
        <v>67</v>
      </c>
      <c r="AB61" s="89">
        <v>1</v>
      </c>
      <c r="AC61" s="89">
        <v>6</v>
      </c>
      <c r="AD61" s="89">
        <v>1</v>
      </c>
      <c r="AE61" s="89" t="s">
        <v>287</v>
      </c>
      <c r="AF61" s="90">
        <v>367</v>
      </c>
      <c r="AG61" s="90">
        <v>45057</v>
      </c>
      <c r="AH61" s="90">
        <v>46143</v>
      </c>
    </row>
    <row r="62" spans="1:34" x14ac:dyDescent="0.35">
      <c r="A62" s="89" t="str">
        <f t="shared" si="1"/>
        <v>688A</v>
      </c>
      <c r="B62" s="89" t="s">
        <v>1181</v>
      </c>
      <c r="C62" s="89" t="s">
        <v>1182</v>
      </c>
      <c r="D62" s="89" t="s">
        <v>368</v>
      </c>
      <c r="E62" s="89" t="s">
        <v>1183</v>
      </c>
      <c r="F62" s="89" t="s">
        <v>1546</v>
      </c>
      <c r="G62" s="89" t="s">
        <v>70</v>
      </c>
      <c r="H62" s="89" t="s">
        <v>70</v>
      </c>
      <c r="I62" s="91"/>
      <c r="J62" s="89">
        <v>0</v>
      </c>
      <c r="K62" s="89" t="s">
        <v>53</v>
      </c>
      <c r="L62" s="89" t="s">
        <v>1548</v>
      </c>
      <c r="M62" s="91"/>
      <c r="N62" s="89" t="s">
        <v>1549</v>
      </c>
      <c r="O62" s="89" t="s">
        <v>615</v>
      </c>
      <c r="P62" s="89" t="s">
        <v>1550</v>
      </c>
      <c r="Q62" s="89" t="s">
        <v>629</v>
      </c>
      <c r="R62" s="89">
        <v>17</v>
      </c>
      <c r="S62" s="89" t="s">
        <v>1564</v>
      </c>
      <c r="T62" s="89" t="s">
        <v>1555</v>
      </c>
      <c r="U62" s="89" t="s">
        <v>1552</v>
      </c>
      <c r="V62" s="89" t="s">
        <v>1561</v>
      </c>
      <c r="W62" s="89" t="s">
        <v>663</v>
      </c>
      <c r="X62" s="89" t="s">
        <v>78</v>
      </c>
      <c r="Y62" s="89" t="s">
        <v>619</v>
      </c>
      <c r="Z62" s="89" t="s">
        <v>68</v>
      </c>
      <c r="AA62" s="89" t="s">
        <v>67</v>
      </c>
      <c r="AB62" s="89">
        <v>1</v>
      </c>
      <c r="AC62" s="89">
        <v>6</v>
      </c>
      <c r="AD62" s="89">
        <v>1</v>
      </c>
      <c r="AE62" s="89" t="s">
        <v>287</v>
      </c>
      <c r="AF62" s="90">
        <v>367</v>
      </c>
      <c r="AG62" s="90">
        <v>45057</v>
      </c>
      <c r="AH62" s="90">
        <v>46143</v>
      </c>
    </row>
    <row r="63" spans="1:34" x14ac:dyDescent="0.35">
      <c r="A63" s="89" t="str">
        <f t="shared" si="1"/>
        <v>689H</v>
      </c>
      <c r="B63" s="89" t="s">
        <v>1193</v>
      </c>
      <c r="C63" s="89" t="s">
        <v>1194</v>
      </c>
      <c r="D63" s="89" t="s">
        <v>374</v>
      </c>
      <c r="E63" s="89" t="s">
        <v>1195</v>
      </c>
      <c r="F63" s="89" t="s">
        <v>1546</v>
      </c>
      <c r="G63" s="89" t="s">
        <v>70</v>
      </c>
      <c r="H63" s="89" t="s">
        <v>70</v>
      </c>
      <c r="I63" s="91"/>
      <c r="J63" s="89">
        <v>0</v>
      </c>
      <c r="K63" s="89" t="s">
        <v>53</v>
      </c>
      <c r="L63" s="89" t="s">
        <v>1548</v>
      </c>
      <c r="M63" s="91"/>
      <c r="N63" s="89" t="s">
        <v>1549</v>
      </c>
      <c r="O63" s="89" t="s">
        <v>615</v>
      </c>
      <c r="P63" s="89" t="s">
        <v>1550</v>
      </c>
      <c r="Q63" s="89" t="s">
        <v>629</v>
      </c>
      <c r="R63" s="89">
        <v>24</v>
      </c>
      <c r="S63" s="89" t="s">
        <v>1551</v>
      </c>
      <c r="T63" s="89" t="s">
        <v>1555</v>
      </c>
      <c r="U63" s="89" t="s">
        <v>1552</v>
      </c>
      <c r="V63" s="89" t="s">
        <v>1561</v>
      </c>
      <c r="W63" s="89" t="s">
        <v>663</v>
      </c>
      <c r="X63" s="89" t="s">
        <v>78</v>
      </c>
      <c r="Y63" s="89" t="s">
        <v>619</v>
      </c>
      <c r="Z63" s="89" t="s">
        <v>68</v>
      </c>
      <c r="AA63" s="89" t="s">
        <v>67</v>
      </c>
      <c r="AB63" s="89">
        <v>1</v>
      </c>
      <c r="AC63" s="89">
        <v>6</v>
      </c>
      <c r="AD63" s="89">
        <v>1</v>
      </c>
      <c r="AE63" s="89" t="s">
        <v>287</v>
      </c>
      <c r="AF63" s="90">
        <v>367</v>
      </c>
      <c r="AG63" s="90">
        <v>45057</v>
      </c>
      <c r="AH63" s="90">
        <v>46143</v>
      </c>
    </row>
    <row r="64" spans="1:34" x14ac:dyDescent="0.35">
      <c r="A64" s="89" t="str">
        <f t="shared" si="1"/>
        <v>663N</v>
      </c>
      <c r="B64" s="89" t="s">
        <v>1161</v>
      </c>
      <c r="C64" s="89" t="s">
        <v>1162</v>
      </c>
      <c r="D64" s="89" t="s">
        <v>345</v>
      </c>
      <c r="E64" s="89" t="s">
        <v>1163</v>
      </c>
      <c r="F64" s="89" t="s">
        <v>1546</v>
      </c>
      <c r="G64" s="89" t="s">
        <v>70</v>
      </c>
      <c r="H64" s="89" t="s">
        <v>70</v>
      </c>
      <c r="I64" s="91"/>
      <c r="J64" s="89">
        <v>0</v>
      </c>
      <c r="K64" s="89" t="s">
        <v>53</v>
      </c>
      <c r="L64" s="89" t="s">
        <v>1548</v>
      </c>
      <c r="M64" s="91"/>
      <c r="N64" s="89" t="s">
        <v>1549</v>
      </c>
      <c r="O64" s="89" t="s">
        <v>615</v>
      </c>
      <c r="P64" s="89" t="s">
        <v>1550</v>
      </c>
      <c r="Q64" s="89" t="s">
        <v>629</v>
      </c>
      <c r="R64" s="89">
        <v>24</v>
      </c>
      <c r="S64" s="89" t="s">
        <v>1551</v>
      </c>
      <c r="T64" s="89" t="s">
        <v>1555</v>
      </c>
      <c r="U64" s="89" t="s">
        <v>1552</v>
      </c>
      <c r="V64" s="89" t="s">
        <v>1561</v>
      </c>
      <c r="W64" s="89" t="s">
        <v>628</v>
      </c>
      <c r="X64" s="89" t="s">
        <v>117</v>
      </c>
      <c r="Y64" s="89" t="s">
        <v>619</v>
      </c>
      <c r="Z64" s="89" t="s">
        <v>68</v>
      </c>
      <c r="AA64" s="89" t="s">
        <v>67</v>
      </c>
      <c r="AB64" s="89">
        <v>1</v>
      </c>
      <c r="AC64" s="89">
        <v>6</v>
      </c>
      <c r="AD64" s="89">
        <v>1</v>
      </c>
      <c r="AE64" s="89" t="s">
        <v>287</v>
      </c>
      <c r="AF64" s="90">
        <v>367</v>
      </c>
      <c r="AG64" s="90">
        <v>45059</v>
      </c>
      <c r="AH64" s="90">
        <v>46143</v>
      </c>
    </row>
    <row r="65" spans="1:37" x14ac:dyDescent="0.35">
      <c r="A65" s="89" t="str">
        <f t="shared" si="1"/>
        <v>561J</v>
      </c>
      <c r="B65" s="89" t="s">
        <v>1105</v>
      </c>
      <c r="C65" s="89" t="s">
        <v>1106</v>
      </c>
      <c r="D65" s="89" t="s">
        <v>298</v>
      </c>
      <c r="E65" s="89" t="s">
        <v>1107</v>
      </c>
      <c r="F65" s="89" t="s">
        <v>1546</v>
      </c>
      <c r="G65" s="89" t="s">
        <v>70</v>
      </c>
      <c r="H65" s="89" t="s">
        <v>70</v>
      </c>
      <c r="I65" s="91"/>
      <c r="J65" s="89">
        <v>0</v>
      </c>
      <c r="K65" s="89" t="s">
        <v>53</v>
      </c>
      <c r="L65" s="89" t="s">
        <v>1548</v>
      </c>
      <c r="M65" s="91"/>
      <c r="N65" s="89" t="s">
        <v>1549</v>
      </c>
      <c r="O65" s="89" t="s">
        <v>615</v>
      </c>
      <c r="P65" s="89" t="s">
        <v>1550</v>
      </c>
      <c r="Q65" s="89" t="s">
        <v>629</v>
      </c>
      <c r="R65" s="89">
        <v>24</v>
      </c>
      <c r="S65" s="89" t="s">
        <v>1551</v>
      </c>
      <c r="T65" s="89" t="s">
        <v>1555</v>
      </c>
      <c r="U65" s="89" t="s">
        <v>1552</v>
      </c>
      <c r="V65" s="89" t="s">
        <v>1561</v>
      </c>
      <c r="W65" s="89" t="s">
        <v>644</v>
      </c>
      <c r="X65" s="89" t="s">
        <v>102</v>
      </c>
      <c r="Y65" s="89" t="s">
        <v>619</v>
      </c>
      <c r="Z65" s="89" t="s">
        <v>68</v>
      </c>
      <c r="AA65" s="89" t="s">
        <v>67</v>
      </c>
      <c r="AB65" s="89">
        <v>1</v>
      </c>
      <c r="AC65" s="89">
        <v>6</v>
      </c>
      <c r="AD65" s="89">
        <v>1</v>
      </c>
      <c r="AE65" s="89" t="s">
        <v>287</v>
      </c>
      <c r="AF65" s="90">
        <v>367</v>
      </c>
      <c r="AG65" s="90">
        <v>45059</v>
      </c>
      <c r="AH65" s="90">
        <v>46143</v>
      </c>
    </row>
    <row r="66" spans="1:37" x14ac:dyDescent="0.35">
      <c r="A66" s="89" t="str">
        <f t="shared" si="1"/>
        <v>6736</v>
      </c>
      <c r="B66" s="89" t="s">
        <v>683</v>
      </c>
      <c r="C66" s="89" t="s">
        <v>684</v>
      </c>
      <c r="D66" s="89" t="s">
        <v>349</v>
      </c>
      <c r="E66" s="89" t="s">
        <v>685</v>
      </c>
      <c r="F66" s="89" t="s">
        <v>1546</v>
      </c>
      <c r="G66" s="89" t="s">
        <v>70</v>
      </c>
      <c r="H66" s="89" t="s">
        <v>70</v>
      </c>
      <c r="I66" s="89" t="s">
        <v>1560</v>
      </c>
      <c r="J66" s="89">
        <v>1</v>
      </c>
      <c r="K66" s="89" t="s">
        <v>53</v>
      </c>
      <c r="L66" s="89" t="s">
        <v>1548</v>
      </c>
      <c r="M66" s="91"/>
      <c r="N66" s="89" t="s">
        <v>1549</v>
      </c>
      <c r="O66" s="89" t="s">
        <v>615</v>
      </c>
      <c r="P66" s="89" t="s">
        <v>1550</v>
      </c>
      <c r="Q66" s="89" t="s">
        <v>629</v>
      </c>
      <c r="R66" s="89">
        <v>24</v>
      </c>
      <c r="S66" s="89" t="s">
        <v>1551</v>
      </c>
      <c r="T66" s="89" t="s">
        <v>1555</v>
      </c>
      <c r="U66" s="89" t="s">
        <v>1552</v>
      </c>
      <c r="V66" s="89" t="s">
        <v>1561</v>
      </c>
      <c r="W66" s="89" t="s">
        <v>628</v>
      </c>
      <c r="X66" s="89" t="s">
        <v>117</v>
      </c>
      <c r="Y66" s="89" t="s">
        <v>619</v>
      </c>
      <c r="Z66" s="89" t="s">
        <v>68</v>
      </c>
      <c r="AA66" s="89" t="s">
        <v>67</v>
      </c>
      <c r="AB66" s="89">
        <v>1</v>
      </c>
      <c r="AC66" s="89">
        <v>6</v>
      </c>
      <c r="AD66" s="89">
        <v>1</v>
      </c>
      <c r="AE66" s="89" t="s">
        <v>287</v>
      </c>
      <c r="AF66" s="90">
        <v>367</v>
      </c>
      <c r="AG66" s="90">
        <v>45059</v>
      </c>
      <c r="AH66" s="90">
        <v>46143</v>
      </c>
    </row>
    <row r="67" spans="1:37" x14ac:dyDescent="0.35">
      <c r="A67" s="89" t="str">
        <f t="shared" si="1"/>
        <v>051F</v>
      </c>
      <c r="B67" s="89" t="s">
        <v>960</v>
      </c>
      <c r="C67" s="89" t="s">
        <v>961</v>
      </c>
      <c r="D67" s="89" t="s">
        <v>185</v>
      </c>
      <c r="E67" s="89" t="s">
        <v>962</v>
      </c>
      <c r="F67" s="89" t="s">
        <v>1546</v>
      </c>
      <c r="G67" s="89" t="s">
        <v>70</v>
      </c>
      <c r="H67" s="89" t="s">
        <v>70</v>
      </c>
      <c r="I67" s="91"/>
      <c r="J67" s="89">
        <v>0</v>
      </c>
      <c r="K67" s="89" t="s">
        <v>53</v>
      </c>
      <c r="L67" s="89" t="s">
        <v>1548</v>
      </c>
      <c r="M67" s="91"/>
      <c r="N67" s="89" t="s">
        <v>1549</v>
      </c>
      <c r="O67" s="89" t="s">
        <v>615</v>
      </c>
      <c r="P67" s="89" t="s">
        <v>1550</v>
      </c>
      <c r="Q67" s="89" t="s">
        <v>629</v>
      </c>
      <c r="R67" s="89">
        <v>24</v>
      </c>
      <c r="S67" s="89" t="s">
        <v>1551</v>
      </c>
      <c r="T67" s="89" t="s">
        <v>1555</v>
      </c>
      <c r="U67" s="89" t="s">
        <v>1552</v>
      </c>
      <c r="V67" s="89" t="s">
        <v>1561</v>
      </c>
      <c r="W67" s="89" t="s">
        <v>628</v>
      </c>
      <c r="X67" s="89" t="s">
        <v>117</v>
      </c>
      <c r="Y67" s="89" t="s">
        <v>619</v>
      </c>
      <c r="Z67" s="89" t="s">
        <v>68</v>
      </c>
      <c r="AA67" s="89" t="s">
        <v>67</v>
      </c>
      <c r="AB67" s="89">
        <v>1</v>
      </c>
      <c r="AC67" s="89">
        <v>6</v>
      </c>
      <c r="AD67" s="89">
        <v>1</v>
      </c>
      <c r="AE67" s="89" t="s">
        <v>287</v>
      </c>
      <c r="AF67" s="90">
        <v>367</v>
      </c>
      <c r="AG67" s="90">
        <v>45059</v>
      </c>
      <c r="AH67" s="90">
        <v>46143</v>
      </c>
    </row>
    <row r="68" spans="1:37" x14ac:dyDescent="0.35">
      <c r="A68" s="89" t="str">
        <f t="shared" si="1"/>
        <v>00V8</v>
      </c>
      <c r="B68" s="89" t="s">
        <v>1493</v>
      </c>
      <c r="C68" s="89" t="s">
        <v>1494</v>
      </c>
      <c r="D68" s="89" t="s">
        <v>156</v>
      </c>
      <c r="E68" s="89" t="s">
        <v>1495</v>
      </c>
      <c r="F68" s="89" t="s">
        <v>1546</v>
      </c>
      <c r="G68" s="89" t="s">
        <v>70</v>
      </c>
      <c r="H68" s="89" t="s">
        <v>70</v>
      </c>
      <c r="I68" s="89" t="s">
        <v>1547</v>
      </c>
      <c r="J68" s="89">
        <v>0</v>
      </c>
      <c r="K68" s="89" t="s">
        <v>53</v>
      </c>
      <c r="L68" s="89" t="s">
        <v>1548</v>
      </c>
      <c r="M68" s="91"/>
      <c r="N68" s="89" t="s">
        <v>1549</v>
      </c>
      <c r="O68" s="89" t="s">
        <v>615</v>
      </c>
      <c r="P68" s="89" t="s">
        <v>1550</v>
      </c>
      <c r="Q68" s="89" t="s">
        <v>629</v>
      </c>
      <c r="R68" s="89">
        <v>24</v>
      </c>
      <c r="S68" s="89" t="s">
        <v>1551</v>
      </c>
      <c r="T68" s="89" t="s">
        <v>1551</v>
      </c>
      <c r="U68" s="89" t="s">
        <v>1552</v>
      </c>
      <c r="V68" s="89" t="s">
        <v>1561</v>
      </c>
      <c r="W68" s="89" t="s">
        <v>644</v>
      </c>
      <c r="X68" s="89" t="s">
        <v>102</v>
      </c>
      <c r="Y68" s="89" t="s">
        <v>619</v>
      </c>
      <c r="Z68" s="89" t="s">
        <v>68</v>
      </c>
      <c r="AA68" s="89" t="s">
        <v>67</v>
      </c>
      <c r="AB68" s="89">
        <v>1</v>
      </c>
      <c r="AC68" s="89">
        <v>6</v>
      </c>
      <c r="AD68" s="89">
        <v>1</v>
      </c>
      <c r="AE68" s="89" t="s">
        <v>287</v>
      </c>
      <c r="AF68" s="90">
        <v>367</v>
      </c>
      <c r="AG68" s="90">
        <v>45061</v>
      </c>
      <c r="AH68" s="90">
        <v>46157</v>
      </c>
    </row>
    <row r="69" spans="1:37" x14ac:dyDescent="0.35">
      <c r="A69" s="89" t="str">
        <f t="shared" si="1"/>
        <v>694K</v>
      </c>
      <c r="B69" s="89" t="s">
        <v>1196</v>
      </c>
      <c r="C69" s="89" t="s">
        <v>1197</v>
      </c>
      <c r="D69" s="89" t="s">
        <v>380</v>
      </c>
      <c r="E69" s="89" t="s">
        <v>1198</v>
      </c>
      <c r="F69" s="89" t="s">
        <v>1546</v>
      </c>
      <c r="G69" s="89" t="s">
        <v>70</v>
      </c>
      <c r="H69" s="89" t="s">
        <v>70</v>
      </c>
      <c r="I69" s="89" t="s">
        <v>1560</v>
      </c>
      <c r="J69" s="89">
        <v>0</v>
      </c>
      <c r="K69" s="89" t="s">
        <v>53</v>
      </c>
      <c r="L69" s="89" t="s">
        <v>1548</v>
      </c>
      <c r="M69" s="91"/>
      <c r="N69" s="89" t="s">
        <v>1549</v>
      </c>
      <c r="O69" s="89" t="s">
        <v>615</v>
      </c>
      <c r="P69" s="89" t="s">
        <v>1550</v>
      </c>
      <c r="Q69" s="89" t="s">
        <v>629</v>
      </c>
      <c r="R69" s="89">
        <v>24</v>
      </c>
      <c r="S69" s="89" t="s">
        <v>1551</v>
      </c>
      <c r="T69" s="89" t="s">
        <v>1555</v>
      </c>
      <c r="U69" s="89" t="s">
        <v>1552</v>
      </c>
      <c r="V69" s="89" t="s">
        <v>1561</v>
      </c>
      <c r="W69" s="89" t="s">
        <v>644</v>
      </c>
      <c r="X69" s="89" t="s">
        <v>102</v>
      </c>
      <c r="Y69" s="89" t="s">
        <v>619</v>
      </c>
      <c r="Z69" s="89" t="s">
        <v>68</v>
      </c>
      <c r="AA69" s="89" t="s">
        <v>67</v>
      </c>
      <c r="AB69" s="89">
        <v>1</v>
      </c>
      <c r="AC69" s="89">
        <v>6</v>
      </c>
      <c r="AD69" s="89">
        <v>1</v>
      </c>
      <c r="AE69" s="89" t="s">
        <v>287</v>
      </c>
      <c r="AF69" s="90">
        <v>367</v>
      </c>
      <c r="AG69" s="90">
        <v>45082</v>
      </c>
      <c r="AH69" s="90">
        <v>46174</v>
      </c>
    </row>
    <row r="70" spans="1:37" x14ac:dyDescent="0.35">
      <c r="A70" s="89" t="str">
        <f t="shared" si="1"/>
        <v>646W</v>
      </c>
      <c r="B70" s="89" t="s">
        <v>1135</v>
      </c>
      <c r="C70" s="89" t="s">
        <v>1136</v>
      </c>
      <c r="D70" s="89" t="s">
        <v>326</v>
      </c>
      <c r="E70" s="89" t="s">
        <v>1605</v>
      </c>
      <c r="F70" s="89" t="s">
        <v>1546</v>
      </c>
      <c r="G70" s="89" t="s">
        <v>70</v>
      </c>
      <c r="H70" s="89" t="s">
        <v>70</v>
      </c>
      <c r="I70" s="91"/>
      <c r="J70" s="89">
        <v>0</v>
      </c>
      <c r="K70" s="89" t="s">
        <v>53</v>
      </c>
      <c r="L70" s="89" t="s">
        <v>1548</v>
      </c>
      <c r="M70" s="91"/>
      <c r="N70" s="89" t="s">
        <v>1549</v>
      </c>
      <c r="O70" s="89" t="s">
        <v>615</v>
      </c>
      <c r="P70" s="89" t="s">
        <v>1550</v>
      </c>
      <c r="Q70" s="89" t="s">
        <v>629</v>
      </c>
      <c r="R70" s="89">
        <v>15</v>
      </c>
      <c r="S70" s="89" t="s">
        <v>1551</v>
      </c>
      <c r="T70" s="89" t="s">
        <v>1555</v>
      </c>
      <c r="U70" s="89" t="s">
        <v>1552</v>
      </c>
      <c r="V70" s="89" t="s">
        <v>1561</v>
      </c>
      <c r="W70" s="89" t="s">
        <v>663</v>
      </c>
      <c r="X70" s="89" t="s">
        <v>78</v>
      </c>
      <c r="Y70" s="89" t="s">
        <v>619</v>
      </c>
      <c r="Z70" s="89" t="s">
        <v>68</v>
      </c>
      <c r="AA70" s="89" t="s">
        <v>67</v>
      </c>
      <c r="AB70" s="89">
        <v>1</v>
      </c>
      <c r="AC70" s="89">
        <v>6</v>
      </c>
      <c r="AD70" s="89">
        <v>1</v>
      </c>
      <c r="AE70" s="89" t="s">
        <v>287</v>
      </c>
      <c r="AF70" s="90">
        <v>367</v>
      </c>
      <c r="AG70" s="90">
        <v>45082</v>
      </c>
      <c r="AH70" s="90">
        <v>46174</v>
      </c>
    </row>
    <row r="71" spans="1:37" x14ac:dyDescent="0.35">
      <c r="A71" s="89" t="str">
        <f t="shared" si="1"/>
        <v>418P</v>
      </c>
      <c r="B71" s="89" t="s">
        <v>1080</v>
      </c>
      <c r="C71" s="89" t="s">
        <v>1081</v>
      </c>
      <c r="D71" s="89" t="s">
        <v>263</v>
      </c>
      <c r="E71" s="89" t="s">
        <v>1082</v>
      </c>
      <c r="F71" s="89" t="s">
        <v>1546</v>
      </c>
      <c r="G71" s="89" t="s">
        <v>70</v>
      </c>
      <c r="H71" s="89" t="s">
        <v>70</v>
      </c>
      <c r="I71" s="91"/>
      <c r="J71" s="89">
        <v>0</v>
      </c>
      <c r="K71" s="89" t="s">
        <v>53</v>
      </c>
      <c r="L71" s="89" t="s">
        <v>1548</v>
      </c>
      <c r="M71" s="91"/>
      <c r="N71" s="89" t="s">
        <v>1549</v>
      </c>
      <c r="O71" s="89" t="s">
        <v>615</v>
      </c>
      <c r="P71" s="89" t="s">
        <v>1550</v>
      </c>
      <c r="Q71" s="89" t="s">
        <v>629</v>
      </c>
      <c r="R71" s="89">
        <v>24</v>
      </c>
      <c r="S71" s="89" t="s">
        <v>1551</v>
      </c>
      <c r="T71" s="89" t="s">
        <v>1555</v>
      </c>
      <c r="U71" s="89" t="s">
        <v>1552</v>
      </c>
      <c r="V71" s="89" t="s">
        <v>1561</v>
      </c>
      <c r="W71" s="89" t="s">
        <v>644</v>
      </c>
      <c r="X71" s="89" t="s">
        <v>102</v>
      </c>
      <c r="Y71" s="89" t="s">
        <v>619</v>
      </c>
      <c r="Z71" s="89" t="s">
        <v>68</v>
      </c>
      <c r="AA71" s="89" t="s">
        <v>67</v>
      </c>
      <c r="AB71" s="89">
        <v>1</v>
      </c>
      <c r="AC71" s="89">
        <v>6</v>
      </c>
      <c r="AD71" s="89">
        <v>1</v>
      </c>
      <c r="AE71" s="89" t="s">
        <v>287</v>
      </c>
      <c r="AF71" s="90">
        <v>367</v>
      </c>
      <c r="AG71" s="90">
        <v>45082</v>
      </c>
      <c r="AH71" s="90">
        <v>46174</v>
      </c>
    </row>
    <row r="72" spans="1:37" x14ac:dyDescent="0.35">
      <c r="A72" s="89" t="str">
        <f t="shared" si="1"/>
        <v>016M</v>
      </c>
      <c r="B72" s="89" t="s">
        <v>937</v>
      </c>
      <c r="C72" s="89" t="s">
        <v>938</v>
      </c>
      <c r="D72" s="89" t="s">
        <v>167</v>
      </c>
      <c r="E72" s="89" t="s">
        <v>939</v>
      </c>
      <c r="F72" s="89" t="s">
        <v>1546</v>
      </c>
      <c r="G72" s="89" t="s">
        <v>70</v>
      </c>
      <c r="H72" s="89" t="s">
        <v>70</v>
      </c>
      <c r="I72" s="91"/>
      <c r="J72" s="89">
        <v>0</v>
      </c>
      <c r="K72" s="89" t="s">
        <v>53</v>
      </c>
      <c r="L72" s="89" t="s">
        <v>1548</v>
      </c>
      <c r="M72" s="91"/>
      <c r="N72" s="89" t="s">
        <v>1549</v>
      </c>
      <c r="O72" s="89" t="s">
        <v>615</v>
      </c>
      <c r="P72" s="89" t="s">
        <v>1550</v>
      </c>
      <c r="Q72" s="89" t="s">
        <v>629</v>
      </c>
      <c r="R72" s="89">
        <v>24</v>
      </c>
      <c r="S72" s="89" t="s">
        <v>1551</v>
      </c>
      <c r="T72" s="89" t="s">
        <v>1551</v>
      </c>
      <c r="U72" s="89" t="s">
        <v>1552</v>
      </c>
      <c r="V72" s="89" t="s">
        <v>1561</v>
      </c>
      <c r="W72" s="89" t="s">
        <v>628</v>
      </c>
      <c r="X72" s="89" t="s">
        <v>117</v>
      </c>
      <c r="Y72" s="89" t="s">
        <v>619</v>
      </c>
      <c r="Z72" s="89" t="s">
        <v>68</v>
      </c>
      <c r="AA72" s="89" t="s">
        <v>67</v>
      </c>
      <c r="AB72" s="89">
        <v>1</v>
      </c>
      <c r="AC72" s="89">
        <v>6</v>
      </c>
      <c r="AD72" s="89">
        <v>1</v>
      </c>
      <c r="AE72" s="89" t="s">
        <v>287</v>
      </c>
      <c r="AF72" s="90">
        <v>367</v>
      </c>
      <c r="AG72" s="90">
        <v>45082</v>
      </c>
      <c r="AH72" s="90">
        <v>46174</v>
      </c>
    </row>
    <row r="73" spans="1:37" x14ac:dyDescent="0.35">
      <c r="A73" s="89" t="str">
        <f t="shared" si="1"/>
        <v>00UU</v>
      </c>
      <c r="B73" s="89" t="s">
        <v>907</v>
      </c>
      <c r="C73" s="89" t="s">
        <v>908</v>
      </c>
      <c r="D73" s="89" t="s">
        <v>153</v>
      </c>
      <c r="E73" s="89" t="s">
        <v>1606</v>
      </c>
      <c r="F73" s="89" t="s">
        <v>1546</v>
      </c>
      <c r="G73" s="89" t="s">
        <v>70</v>
      </c>
      <c r="H73" s="89" t="s">
        <v>70</v>
      </c>
      <c r="I73" s="89" t="s">
        <v>1547</v>
      </c>
      <c r="J73" s="89">
        <v>0</v>
      </c>
      <c r="K73" s="89" t="s">
        <v>53</v>
      </c>
      <c r="L73" s="89" t="s">
        <v>1548</v>
      </c>
      <c r="M73" s="91"/>
      <c r="N73" s="89" t="s">
        <v>1549</v>
      </c>
      <c r="O73" s="89" t="s">
        <v>615</v>
      </c>
      <c r="P73" s="89" t="s">
        <v>1550</v>
      </c>
      <c r="Q73" s="89" t="s">
        <v>629</v>
      </c>
      <c r="R73" s="89">
        <v>15</v>
      </c>
      <c r="S73" s="89" t="s">
        <v>1555</v>
      </c>
      <c r="T73" s="89" t="s">
        <v>1555</v>
      </c>
      <c r="U73" s="89" t="s">
        <v>1552</v>
      </c>
      <c r="V73" s="89" t="s">
        <v>1561</v>
      </c>
      <c r="W73" s="89" t="s">
        <v>645</v>
      </c>
      <c r="X73" s="89" t="s">
        <v>100</v>
      </c>
      <c r="Y73" s="89" t="s">
        <v>619</v>
      </c>
      <c r="Z73" s="89" t="s">
        <v>68</v>
      </c>
      <c r="AA73" s="89" t="s">
        <v>67</v>
      </c>
      <c r="AB73" s="89">
        <v>1</v>
      </c>
      <c r="AC73" s="89">
        <v>6</v>
      </c>
      <c r="AD73" s="89">
        <v>1</v>
      </c>
      <c r="AE73" s="89" t="s">
        <v>287</v>
      </c>
      <c r="AF73" s="90">
        <v>367</v>
      </c>
      <c r="AG73" s="90">
        <v>45082</v>
      </c>
      <c r="AH73" s="90">
        <v>46174</v>
      </c>
    </row>
    <row r="74" spans="1:37" x14ac:dyDescent="0.35">
      <c r="A74" s="89" t="str">
        <f t="shared" si="1"/>
        <v>ZRE6</v>
      </c>
      <c r="B74" s="89" t="s">
        <v>702</v>
      </c>
      <c r="C74" s="89" t="s">
        <v>703</v>
      </c>
      <c r="D74" s="89" t="s">
        <v>518</v>
      </c>
      <c r="E74" s="89" t="s">
        <v>704</v>
      </c>
      <c r="F74" s="89" t="s">
        <v>1546</v>
      </c>
      <c r="G74" s="89" t="s">
        <v>70</v>
      </c>
      <c r="H74" s="89" t="s">
        <v>70</v>
      </c>
      <c r="I74" s="91"/>
      <c r="J74" s="89">
        <v>0</v>
      </c>
      <c r="K74" s="26" t="s">
        <v>38</v>
      </c>
      <c r="L74" s="89" t="s">
        <v>1588</v>
      </c>
      <c r="M74" s="91"/>
      <c r="N74" s="89" t="s">
        <v>1549</v>
      </c>
      <c r="O74" s="89" t="s">
        <v>615</v>
      </c>
      <c r="P74" s="89" t="s">
        <v>1550</v>
      </c>
      <c r="Q74" s="89" t="s">
        <v>629</v>
      </c>
      <c r="R74" s="89">
        <v>24</v>
      </c>
      <c r="S74" s="89" t="s">
        <v>1551</v>
      </c>
      <c r="T74" s="89" t="s">
        <v>1555</v>
      </c>
      <c r="U74" s="89" t="s">
        <v>1552</v>
      </c>
      <c r="V74" s="89" t="s">
        <v>1561</v>
      </c>
      <c r="W74" s="89" t="s">
        <v>677</v>
      </c>
      <c r="X74" s="89" t="s">
        <v>66</v>
      </c>
      <c r="Y74" s="89" t="s">
        <v>619</v>
      </c>
      <c r="Z74" s="89" t="s">
        <v>68</v>
      </c>
      <c r="AA74" s="89" t="s">
        <v>67</v>
      </c>
      <c r="AB74" s="89">
        <v>1</v>
      </c>
      <c r="AC74" s="89">
        <v>6</v>
      </c>
      <c r="AD74" s="89">
        <v>1</v>
      </c>
      <c r="AE74" s="89" t="s">
        <v>287</v>
      </c>
      <c r="AF74" s="90">
        <v>367</v>
      </c>
      <c r="AG74" s="90">
        <v>45097</v>
      </c>
      <c r="AH74" s="90">
        <v>46174</v>
      </c>
      <c r="AJ74" t="e">
        <f>VLOOKUP(A74,'1'!B:Q,16,0)</f>
        <v>#N/A</v>
      </c>
      <c r="AK74" s="96" t="e">
        <f>AJ74/250</f>
        <v>#N/A</v>
      </c>
    </row>
    <row r="75" spans="1:37" x14ac:dyDescent="0.35">
      <c r="A75" s="89" t="str">
        <f t="shared" si="1"/>
        <v>ZRF6</v>
      </c>
      <c r="B75" s="89" t="s">
        <v>661</v>
      </c>
      <c r="C75" s="89" t="s">
        <v>662</v>
      </c>
      <c r="D75" s="89" t="s">
        <v>521</v>
      </c>
      <c r="E75" s="89" t="s">
        <v>1607</v>
      </c>
      <c r="F75" s="89" t="s">
        <v>1546</v>
      </c>
      <c r="G75" s="89" t="s">
        <v>70</v>
      </c>
      <c r="H75" s="89" t="s">
        <v>70</v>
      </c>
      <c r="I75" s="91"/>
      <c r="J75" s="89">
        <v>0</v>
      </c>
      <c r="K75" s="26" t="s">
        <v>38</v>
      </c>
      <c r="L75" s="89" t="s">
        <v>1588</v>
      </c>
      <c r="M75" s="91"/>
      <c r="N75" s="89" t="s">
        <v>1549</v>
      </c>
      <c r="O75" s="89" t="s">
        <v>615</v>
      </c>
      <c r="P75" s="89" t="s">
        <v>1550</v>
      </c>
      <c r="Q75" s="89" t="s">
        <v>629</v>
      </c>
      <c r="R75" s="89">
        <v>24</v>
      </c>
      <c r="S75" s="89" t="s">
        <v>1551</v>
      </c>
      <c r="T75" s="89" t="s">
        <v>1555</v>
      </c>
      <c r="U75" s="89" t="s">
        <v>1552</v>
      </c>
      <c r="V75" s="89" t="s">
        <v>1561</v>
      </c>
      <c r="W75" s="89" t="s">
        <v>663</v>
      </c>
      <c r="X75" s="89" t="s">
        <v>78</v>
      </c>
      <c r="Y75" s="89" t="s">
        <v>619</v>
      </c>
      <c r="Z75" s="89" t="s">
        <v>68</v>
      </c>
      <c r="AA75" s="89" t="s">
        <v>67</v>
      </c>
      <c r="AB75" s="89">
        <v>1</v>
      </c>
      <c r="AC75" s="89">
        <v>6</v>
      </c>
      <c r="AD75" s="89">
        <v>1</v>
      </c>
      <c r="AE75" s="89" t="s">
        <v>287</v>
      </c>
      <c r="AF75" s="90">
        <v>367</v>
      </c>
      <c r="AG75" s="90">
        <v>45097</v>
      </c>
      <c r="AH75" s="90">
        <v>46174</v>
      </c>
      <c r="AJ75" t="e">
        <f>VLOOKUP(A75,'1'!B:Q,16,0)</f>
        <v>#N/A</v>
      </c>
      <c r="AK75" s="96" t="e">
        <f t="shared" ref="AK75:AK82" si="2">AJ75/250</f>
        <v>#N/A</v>
      </c>
    </row>
    <row r="76" spans="1:37" x14ac:dyDescent="0.35">
      <c r="A76" s="89" t="str">
        <f t="shared" si="1"/>
        <v>ZRH6</v>
      </c>
      <c r="B76" s="89" t="s">
        <v>1280</v>
      </c>
      <c r="C76" s="89" t="s">
        <v>1281</v>
      </c>
      <c r="D76" s="89" t="s">
        <v>524</v>
      </c>
      <c r="E76" s="89" t="s">
        <v>1282</v>
      </c>
      <c r="F76" s="89" t="s">
        <v>1546</v>
      </c>
      <c r="G76" s="89" t="s">
        <v>70</v>
      </c>
      <c r="H76" s="89" t="s">
        <v>70</v>
      </c>
      <c r="I76" s="89" t="s">
        <v>1547</v>
      </c>
      <c r="J76" s="89">
        <v>0</v>
      </c>
      <c r="K76" s="26" t="s">
        <v>38</v>
      </c>
      <c r="L76" s="89" t="s">
        <v>1588</v>
      </c>
      <c r="M76" s="91"/>
      <c r="N76" s="89" t="s">
        <v>1549</v>
      </c>
      <c r="O76" s="89" t="s">
        <v>615</v>
      </c>
      <c r="P76" s="89" t="s">
        <v>1550</v>
      </c>
      <c r="Q76" s="89" t="s">
        <v>629</v>
      </c>
      <c r="R76" s="89">
        <v>24</v>
      </c>
      <c r="S76" s="89" t="s">
        <v>1551</v>
      </c>
      <c r="T76" s="89" t="s">
        <v>1555</v>
      </c>
      <c r="U76" s="89" t="s">
        <v>1552</v>
      </c>
      <c r="V76" s="89" t="s">
        <v>1561</v>
      </c>
      <c r="W76" s="89" t="s">
        <v>663</v>
      </c>
      <c r="X76" s="89" t="s">
        <v>78</v>
      </c>
      <c r="Y76" s="89" t="s">
        <v>619</v>
      </c>
      <c r="Z76" s="89" t="s">
        <v>68</v>
      </c>
      <c r="AA76" s="89" t="s">
        <v>67</v>
      </c>
      <c r="AB76" s="89">
        <v>1</v>
      </c>
      <c r="AC76" s="89">
        <v>6</v>
      </c>
      <c r="AD76" s="89">
        <v>1</v>
      </c>
      <c r="AE76" s="89" t="s">
        <v>287</v>
      </c>
      <c r="AF76" s="90">
        <v>367</v>
      </c>
      <c r="AG76" s="90">
        <v>45097</v>
      </c>
      <c r="AH76" s="90">
        <v>46174</v>
      </c>
      <c r="AJ76" t="e">
        <f>VLOOKUP(A76,'1'!B:Q,16,0)</f>
        <v>#N/A</v>
      </c>
      <c r="AK76" s="96" t="e">
        <f t="shared" si="2"/>
        <v>#N/A</v>
      </c>
    </row>
    <row r="77" spans="1:37" x14ac:dyDescent="0.35">
      <c r="A77" s="89" t="str">
        <f t="shared" si="1"/>
        <v>ZRL6</v>
      </c>
      <c r="B77" s="89" t="s">
        <v>1285</v>
      </c>
      <c r="C77" s="89" t="s">
        <v>1490</v>
      </c>
      <c r="D77" s="89" t="s">
        <v>530</v>
      </c>
      <c r="E77" s="89" t="s">
        <v>1469</v>
      </c>
      <c r="F77" s="89" t="s">
        <v>1546</v>
      </c>
      <c r="G77" s="89" t="s">
        <v>70</v>
      </c>
      <c r="H77" s="89" t="s">
        <v>70</v>
      </c>
      <c r="I77" s="89" t="s">
        <v>1547</v>
      </c>
      <c r="J77" s="89">
        <v>0</v>
      </c>
      <c r="K77" s="26" t="s">
        <v>38</v>
      </c>
      <c r="L77" s="89" t="s">
        <v>1588</v>
      </c>
      <c r="M77" s="91"/>
      <c r="N77" s="89" t="s">
        <v>1549</v>
      </c>
      <c r="O77" s="89" t="s">
        <v>615</v>
      </c>
      <c r="P77" s="89" t="s">
        <v>1550</v>
      </c>
      <c r="Q77" s="89" t="s">
        <v>629</v>
      </c>
      <c r="R77" s="89">
        <v>24</v>
      </c>
      <c r="S77" s="89" t="s">
        <v>1551</v>
      </c>
      <c r="T77" s="89" t="s">
        <v>1555</v>
      </c>
      <c r="U77" s="89" t="s">
        <v>1552</v>
      </c>
      <c r="V77" s="89" t="s">
        <v>1561</v>
      </c>
      <c r="W77" s="89" t="s">
        <v>663</v>
      </c>
      <c r="X77" s="89" t="s">
        <v>78</v>
      </c>
      <c r="Y77" s="89" t="s">
        <v>619</v>
      </c>
      <c r="Z77" s="89" t="s">
        <v>68</v>
      </c>
      <c r="AA77" s="89" t="s">
        <v>67</v>
      </c>
      <c r="AB77" s="89">
        <v>1</v>
      </c>
      <c r="AC77" s="89">
        <v>12</v>
      </c>
      <c r="AD77" s="89">
        <v>1</v>
      </c>
      <c r="AE77" s="89" t="s">
        <v>287</v>
      </c>
      <c r="AF77" s="90">
        <v>367</v>
      </c>
      <c r="AG77" s="90">
        <v>45097</v>
      </c>
      <c r="AH77" s="90">
        <v>46174</v>
      </c>
      <c r="AJ77" t="e">
        <f>VLOOKUP(A77,'1'!B:Q,16,0)</f>
        <v>#N/A</v>
      </c>
      <c r="AK77" s="96" t="e">
        <f t="shared" si="2"/>
        <v>#N/A</v>
      </c>
    </row>
    <row r="78" spans="1:37" x14ac:dyDescent="0.35">
      <c r="A78" s="89" t="str">
        <f t="shared" si="1"/>
        <v>ZRU6</v>
      </c>
      <c r="B78" s="89" t="s">
        <v>1434</v>
      </c>
      <c r="C78" s="89" t="s">
        <v>1435</v>
      </c>
      <c r="D78" s="89" t="s">
        <v>542</v>
      </c>
      <c r="E78" s="89" t="s">
        <v>1436</v>
      </c>
      <c r="F78" s="89" t="s">
        <v>1546</v>
      </c>
      <c r="G78" s="89" t="s">
        <v>70</v>
      </c>
      <c r="H78" s="89" t="s">
        <v>70</v>
      </c>
      <c r="I78" s="89" t="s">
        <v>1547</v>
      </c>
      <c r="J78" s="89">
        <v>0</v>
      </c>
      <c r="K78" s="26" t="s">
        <v>38</v>
      </c>
      <c r="L78" s="89" t="s">
        <v>1588</v>
      </c>
      <c r="M78" s="91"/>
      <c r="N78" s="89" t="s">
        <v>1549</v>
      </c>
      <c r="O78" s="89" t="s">
        <v>615</v>
      </c>
      <c r="P78" s="89" t="s">
        <v>1550</v>
      </c>
      <c r="Q78" s="89" t="s">
        <v>629</v>
      </c>
      <c r="R78" s="89">
        <v>17</v>
      </c>
      <c r="S78" s="89" t="s">
        <v>1564</v>
      </c>
      <c r="T78" s="89" t="s">
        <v>1555</v>
      </c>
      <c r="U78" s="89" t="s">
        <v>1552</v>
      </c>
      <c r="V78" s="89" t="s">
        <v>1561</v>
      </c>
      <c r="W78" s="89" t="s">
        <v>645</v>
      </c>
      <c r="X78" s="89" t="s">
        <v>100</v>
      </c>
      <c r="Y78" s="89" t="s">
        <v>619</v>
      </c>
      <c r="Z78" s="89" t="s">
        <v>68</v>
      </c>
      <c r="AA78" s="89" t="s">
        <v>67</v>
      </c>
      <c r="AB78" s="89">
        <v>1</v>
      </c>
      <c r="AC78" s="89">
        <v>6</v>
      </c>
      <c r="AD78" s="89">
        <v>1</v>
      </c>
      <c r="AE78" s="89" t="s">
        <v>287</v>
      </c>
      <c r="AF78" s="90">
        <v>367</v>
      </c>
      <c r="AG78" s="90">
        <v>45097</v>
      </c>
      <c r="AH78" s="90">
        <v>46174</v>
      </c>
      <c r="AJ78" t="e">
        <f>VLOOKUP(A78,'1'!B:Q,16,0)</f>
        <v>#N/A</v>
      </c>
      <c r="AK78" s="96" t="e">
        <f t="shared" si="2"/>
        <v>#N/A</v>
      </c>
    </row>
    <row r="79" spans="1:37" x14ac:dyDescent="0.35">
      <c r="A79" s="89" t="str">
        <f t="shared" si="1"/>
        <v>ZRD6</v>
      </c>
      <c r="B79" s="89" t="s">
        <v>1274</v>
      </c>
      <c r="C79" s="89" t="s">
        <v>1275</v>
      </c>
      <c r="D79" s="89" t="s">
        <v>515</v>
      </c>
      <c r="E79" s="89" t="s">
        <v>1276</v>
      </c>
      <c r="F79" s="89" t="s">
        <v>1546</v>
      </c>
      <c r="G79" s="89" t="s">
        <v>70</v>
      </c>
      <c r="H79" s="89" t="s">
        <v>70</v>
      </c>
      <c r="I79" s="89" t="s">
        <v>1547</v>
      </c>
      <c r="J79" s="89">
        <v>0</v>
      </c>
      <c r="K79" s="26" t="s">
        <v>38</v>
      </c>
      <c r="L79" s="89" t="s">
        <v>1588</v>
      </c>
      <c r="M79" s="91"/>
      <c r="N79" s="89" t="s">
        <v>1549</v>
      </c>
      <c r="O79" s="89" t="s">
        <v>615</v>
      </c>
      <c r="P79" s="89" t="s">
        <v>1550</v>
      </c>
      <c r="Q79" s="89" t="s">
        <v>629</v>
      </c>
      <c r="R79" s="89">
        <v>15</v>
      </c>
      <c r="S79" s="89" t="s">
        <v>1555</v>
      </c>
      <c r="T79" s="89" t="s">
        <v>1555</v>
      </c>
      <c r="U79" s="89" t="s">
        <v>1552</v>
      </c>
      <c r="V79" s="89" t="s">
        <v>1561</v>
      </c>
      <c r="W79" s="89" t="s">
        <v>644</v>
      </c>
      <c r="X79" s="89" t="s">
        <v>102</v>
      </c>
      <c r="Y79" s="89" t="s">
        <v>619</v>
      </c>
      <c r="Z79" s="89" t="s">
        <v>68</v>
      </c>
      <c r="AA79" s="89" t="s">
        <v>67</v>
      </c>
      <c r="AB79" s="89">
        <v>1</v>
      </c>
      <c r="AC79" s="89">
        <v>6</v>
      </c>
      <c r="AD79" s="89">
        <v>1</v>
      </c>
      <c r="AE79" s="89" t="s">
        <v>287</v>
      </c>
      <c r="AF79" s="90">
        <v>367</v>
      </c>
      <c r="AG79" s="90">
        <v>45099</v>
      </c>
      <c r="AH79" s="90">
        <v>46174</v>
      </c>
      <c r="AJ79" t="e">
        <f>VLOOKUP(A79,'1'!B:Q,16,0)</f>
        <v>#N/A</v>
      </c>
      <c r="AK79" s="96" t="e">
        <f t="shared" si="2"/>
        <v>#N/A</v>
      </c>
    </row>
    <row r="80" spans="1:37" x14ac:dyDescent="0.35">
      <c r="A80" s="89" t="str">
        <f t="shared" si="1"/>
        <v>ZRM6</v>
      </c>
      <c r="B80" s="89" t="s">
        <v>1286</v>
      </c>
      <c r="C80" s="89" t="s">
        <v>1287</v>
      </c>
      <c r="D80" s="89" t="s">
        <v>532</v>
      </c>
      <c r="E80" s="89" t="s">
        <v>1288</v>
      </c>
      <c r="F80" s="89" t="s">
        <v>1546</v>
      </c>
      <c r="G80" s="89" t="s">
        <v>70</v>
      </c>
      <c r="H80" s="89" t="s">
        <v>70</v>
      </c>
      <c r="I80" s="91"/>
      <c r="J80" s="89">
        <v>0</v>
      </c>
      <c r="K80" s="26" t="s">
        <v>38</v>
      </c>
      <c r="L80" s="89" t="s">
        <v>1588</v>
      </c>
      <c r="M80" s="91"/>
      <c r="N80" s="89" t="s">
        <v>1549</v>
      </c>
      <c r="O80" s="89" t="s">
        <v>615</v>
      </c>
      <c r="P80" s="89" t="s">
        <v>1550</v>
      </c>
      <c r="Q80" s="89" t="s">
        <v>629</v>
      </c>
      <c r="R80" s="89">
        <v>24</v>
      </c>
      <c r="S80" s="89" t="s">
        <v>1551</v>
      </c>
      <c r="T80" s="89" t="s">
        <v>1555</v>
      </c>
      <c r="U80" s="89" t="s">
        <v>1552</v>
      </c>
      <c r="V80" s="89" t="s">
        <v>1561</v>
      </c>
      <c r="W80" s="89" t="s">
        <v>644</v>
      </c>
      <c r="X80" s="89" t="s">
        <v>102</v>
      </c>
      <c r="Y80" s="89" t="s">
        <v>619</v>
      </c>
      <c r="Z80" s="89" t="s">
        <v>68</v>
      </c>
      <c r="AA80" s="89" t="s">
        <v>67</v>
      </c>
      <c r="AB80" s="89">
        <v>1</v>
      </c>
      <c r="AC80" s="89">
        <v>6</v>
      </c>
      <c r="AD80" s="89">
        <v>1</v>
      </c>
      <c r="AE80" s="89" t="s">
        <v>287</v>
      </c>
      <c r="AF80" s="90">
        <v>367</v>
      </c>
      <c r="AG80" s="90">
        <v>45099</v>
      </c>
      <c r="AH80" s="90">
        <v>46174</v>
      </c>
      <c r="AJ80" t="e">
        <f>VLOOKUP(A80,'1'!B:Q,16,0)</f>
        <v>#N/A</v>
      </c>
      <c r="AK80" s="96" t="e">
        <f t="shared" si="2"/>
        <v>#N/A</v>
      </c>
    </row>
    <row r="81" spans="1:37" x14ac:dyDescent="0.35">
      <c r="A81" s="89" t="str">
        <f t="shared" si="1"/>
        <v>ZRN6</v>
      </c>
      <c r="B81" s="89" t="s">
        <v>707</v>
      </c>
      <c r="C81" s="89" t="s">
        <v>708</v>
      </c>
      <c r="D81" s="89" t="s">
        <v>534</v>
      </c>
      <c r="E81" s="89" t="s">
        <v>709</v>
      </c>
      <c r="F81" s="89" t="s">
        <v>1546</v>
      </c>
      <c r="G81" s="89" t="s">
        <v>70</v>
      </c>
      <c r="H81" s="89" t="s">
        <v>70</v>
      </c>
      <c r="I81" s="89" t="s">
        <v>1547</v>
      </c>
      <c r="J81" s="89">
        <v>0</v>
      </c>
      <c r="K81" s="26" t="s">
        <v>38</v>
      </c>
      <c r="L81" s="89" t="s">
        <v>1588</v>
      </c>
      <c r="M81" s="91"/>
      <c r="N81" s="89" t="s">
        <v>1549</v>
      </c>
      <c r="O81" s="89" t="s">
        <v>615</v>
      </c>
      <c r="P81" s="89" t="s">
        <v>1550</v>
      </c>
      <c r="Q81" s="89" t="s">
        <v>629</v>
      </c>
      <c r="R81" s="89">
        <v>24</v>
      </c>
      <c r="S81" s="89" t="s">
        <v>1551</v>
      </c>
      <c r="T81" s="89" t="s">
        <v>1555</v>
      </c>
      <c r="U81" s="89" t="s">
        <v>1552</v>
      </c>
      <c r="V81" s="89" t="s">
        <v>1561</v>
      </c>
      <c r="W81" s="89" t="s">
        <v>628</v>
      </c>
      <c r="X81" s="89" t="s">
        <v>117</v>
      </c>
      <c r="Y81" s="89" t="s">
        <v>619</v>
      </c>
      <c r="Z81" s="89" t="s">
        <v>68</v>
      </c>
      <c r="AA81" s="89" t="s">
        <v>67</v>
      </c>
      <c r="AB81" s="89">
        <v>1</v>
      </c>
      <c r="AC81" s="89">
        <v>6</v>
      </c>
      <c r="AD81" s="89">
        <v>1</v>
      </c>
      <c r="AE81" s="89" t="s">
        <v>287</v>
      </c>
      <c r="AF81" s="90">
        <v>367</v>
      </c>
      <c r="AG81" s="90">
        <v>45099</v>
      </c>
      <c r="AH81" s="90">
        <v>46174</v>
      </c>
      <c r="AJ81" t="e">
        <f>VLOOKUP(A81,'1'!B:Q,16,0)</f>
        <v>#N/A</v>
      </c>
      <c r="AK81" s="96" t="e">
        <f t="shared" si="2"/>
        <v>#N/A</v>
      </c>
    </row>
    <row r="82" spans="1:37" x14ac:dyDescent="0.35">
      <c r="A82" s="89" t="str">
        <f t="shared" si="1"/>
        <v>ZUP8</v>
      </c>
      <c r="B82" s="89" t="s">
        <v>641</v>
      </c>
      <c r="C82" s="89" t="s">
        <v>642</v>
      </c>
      <c r="D82" s="89" t="s">
        <v>551</v>
      </c>
      <c r="E82" s="89" t="s">
        <v>643</v>
      </c>
      <c r="F82" s="89" t="s">
        <v>1546</v>
      </c>
      <c r="G82" s="89" t="s">
        <v>70</v>
      </c>
      <c r="H82" s="89" t="s">
        <v>70</v>
      </c>
      <c r="I82" s="89" t="s">
        <v>1547</v>
      </c>
      <c r="J82" s="89">
        <v>0</v>
      </c>
      <c r="K82" s="26" t="s">
        <v>38</v>
      </c>
      <c r="L82" s="89" t="s">
        <v>1588</v>
      </c>
      <c r="M82" s="91"/>
      <c r="N82" s="89" t="s">
        <v>1549</v>
      </c>
      <c r="O82" s="89" t="s">
        <v>615</v>
      </c>
      <c r="P82" s="89" t="s">
        <v>1550</v>
      </c>
      <c r="Q82" s="89" t="s">
        <v>629</v>
      </c>
      <c r="R82" s="89">
        <v>24</v>
      </c>
      <c r="S82" s="89" t="s">
        <v>1551</v>
      </c>
      <c r="T82" s="89" t="s">
        <v>1555</v>
      </c>
      <c r="U82" s="89" t="s">
        <v>1552</v>
      </c>
      <c r="V82" s="89" t="s">
        <v>1561</v>
      </c>
      <c r="W82" s="89" t="s">
        <v>644</v>
      </c>
      <c r="X82" s="89" t="s">
        <v>102</v>
      </c>
      <c r="Y82" s="89" t="s">
        <v>619</v>
      </c>
      <c r="Z82" s="89" t="s">
        <v>68</v>
      </c>
      <c r="AA82" s="89" t="s">
        <v>67</v>
      </c>
      <c r="AB82" s="89">
        <v>1</v>
      </c>
      <c r="AC82" s="89">
        <v>6</v>
      </c>
      <c r="AD82" s="89">
        <v>1</v>
      </c>
      <c r="AE82" s="89" t="s">
        <v>287</v>
      </c>
      <c r="AF82" s="90">
        <v>367</v>
      </c>
      <c r="AG82" s="90">
        <v>45099</v>
      </c>
      <c r="AH82" s="90">
        <v>46174</v>
      </c>
      <c r="AJ82" t="e">
        <f>VLOOKUP(A82,'1'!B:Q,16,0)</f>
        <v>#N/A</v>
      </c>
      <c r="AK82" s="96" t="e">
        <f t="shared" si="2"/>
        <v>#N/A</v>
      </c>
    </row>
    <row r="83" spans="1:37" x14ac:dyDescent="0.35">
      <c r="A83" s="89" t="str">
        <f t="shared" si="1"/>
        <v>00T3</v>
      </c>
      <c r="B83" s="89" t="s">
        <v>888</v>
      </c>
      <c r="C83" s="89" t="s">
        <v>889</v>
      </c>
      <c r="D83" s="89" t="s">
        <v>140</v>
      </c>
      <c r="E83" s="89" t="s">
        <v>890</v>
      </c>
      <c r="F83" s="89" t="s">
        <v>1546</v>
      </c>
      <c r="G83" s="89" t="s">
        <v>70</v>
      </c>
      <c r="H83" s="89" t="s">
        <v>70</v>
      </c>
      <c r="I83" s="91"/>
      <c r="J83" s="89">
        <v>0</v>
      </c>
      <c r="K83" s="89" t="s">
        <v>53</v>
      </c>
      <c r="L83" s="89" t="s">
        <v>1548</v>
      </c>
      <c r="M83" s="91"/>
      <c r="N83" s="89" t="s">
        <v>1549</v>
      </c>
      <c r="O83" s="89" t="s">
        <v>615</v>
      </c>
      <c r="P83" s="89" t="s">
        <v>1550</v>
      </c>
      <c r="Q83" s="89" t="s">
        <v>629</v>
      </c>
      <c r="R83" s="89">
        <v>24</v>
      </c>
      <c r="S83" s="89" t="s">
        <v>1551</v>
      </c>
      <c r="T83" s="89" t="s">
        <v>1555</v>
      </c>
      <c r="U83" s="89" t="s">
        <v>1552</v>
      </c>
      <c r="V83" s="89" t="s">
        <v>1561</v>
      </c>
      <c r="W83" s="89" t="s">
        <v>663</v>
      </c>
      <c r="X83" s="89" t="s">
        <v>78</v>
      </c>
      <c r="Y83" s="89" t="s">
        <v>619</v>
      </c>
      <c r="Z83" s="89" t="s">
        <v>68</v>
      </c>
      <c r="AA83" s="89" t="s">
        <v>67</v>
      </c>
      <c r="AB83" s="89">
        <v>1</v>
      </c>
      <c r="AC83" s="89">
        <v>6</v>
      </c>
      <c r="AD83" s="89">
        <v>1</v>
      </c>
      <c r="AE83" s="89" t="s">
        <v>287</v>
      </c>
      <c r="AF83" s="90">
        <v>367</v>
      </c>
      <c r="AG83" s="90">
        <v>45097</v>
      </c>
      <c r="AH83" s="90">
        <v>46193</v>
      </c>
    </row>
    <row r="84" spans="1:37" x14ac:dyDescent="0.35">
      <c r="A84" s="89" t="str">
        <f t="shared" si="1"/>
        <v>ZRK6</v>
      </c>
      <c r="B84" s="89" t="s">
        <v>1608</v>
      </c>
      <c r="C84" s="89" t="s">
        <v>1609</v>
      </c>
      <c r="D84" s="89" t="s">
        <v>528</v>
      </c>
      <c r="E84" s="89" t="s">
        <v>1610</v>
      </c>
      <c r="F84" s="89" t="s">
        <v>1546</v>
      </c>
      <c r="G84" s="89" t="s">
        <v>70</v>
      </c>
      <c r="H84" s="89" t="s">
        <v>70</v>
      </c>
      <c r="I84" s="89" t="s">
        <v>1547</v>
      </c>
      <c r="J84" s="89">
        <v>0</v>
      </c>
      <c r="K84" s="26" t="s">
        <v>38</v>
      </c>
      <c r="L84" s="89" t="s">
        <v>1588</v>
      </c>
      <c r="M84" s="91"/>
      <c r="N84" s="89" t="s">
        <v>1549</v>
      </c>
      <c r="O84" s="89" t="s">
        <v>615</v>
      </c>
      <c r="P84" s="89" t="s">
        <v>1550</v>
      </c>
      <c r="Q84" s="89" t="s">
        <v>629</v>
      </c>
      <c r="R84" s="89">
        <v>15</v>
      </c>
      <c r="S84" s="89" t="s">
        <v>1555</v>
      </c>
      <c r="T84" s="89" t="s">
        <v>1558</v>
      </c>
      <c r="U84" s="89" t="s">
        <v>1552</v>
      </c>
      <c r="V84" s="89" t="s">
        <v>1561</v>
      </c>
      <c r="W84" s="89" t="s">
        <v>644</v>
      </c>
      <c r="X84" s="89" t="s">
        <v>102</v>
      </c>
      <c r="Y84" s="89" t="s">
        <v>619</v>
      </c>
      <c r="Z84" s="89" t="s">
        <v>68</v>
      </c>
      <c r="AA84" s="89" t="s">
        <v>67</v>
      </c>
      <c r="AB84" s="89">
        <v>1</v>
      </c>
      <c r="AC84" s="89">
        <v>6</v>
      </c>
      <c r="AD84" s="89">
        <v>1</v>
      </c>
      <c r="AE84" s="89" t="s">
        <v>287</v>
      </c>
      <c r="AF84" s="90">
        <v>367</v>
      </c>
      <c r="AG84" s="90">
        <v>45100</v>
      </c>
      <c r="AH84" s="90">
        <v>46193</v>
      </c>
      <c r="AJ84" t="e">
        <f>VLOOKUP(A84,'1'!B:Q,16,0)</f>
        <v>#N/A</v>
      </c>
      <c r="AK84" s="96" t="e">
        <f t="shared" ref="AK84:AK87" si="3">AJ84/250</f>
        <v>#N/A</v>
      </c>
    </row>
    <row r="85" spans="1:37" x14ac:dyDescent="0.35">
      <c r="A85" s="89" t="str">
        <f t="shared" si="1"/>
        <v>ZQP3</v>
      </c>
      <c r="B85" s="89" t="s">
        <v>1262</v>
      </c>
      <c r="C85" s="89" t="s">
        <v>1263</v>
      </c>
      <c r="D85" s="89" t="s">
        <v>507</v>
      </c>
      <c r="E85" s="89" t="s">
        <v>1264</v>
      </c>
      <c r="F85" s="89" t="s">
        <v>1546</v>
      </c>
      <c r="G85" s="89" t="s">
        <v>70</v>
      </c>
      <c r="H85" s="89" t="s">
        <v>70</v>
      </c>
      <c r="I85" s="89" t="s">
        <v>1547</v>
      </c>
      <c r="J85" s="89">
        <v>0</v>
      </c>
      <c r="K85" s="26" t="s">
        <v>38</v>
      </c>
      <c r="L85" s="89" t="s">
        <v>1588</v>
      </c>
      <c r="M85" s="91"/>
      <c r="N85" s="89" t="s">
        <v>1549</v>
      </c>
      <c r="O85" s="89" t="s">
        <v>615</v>
      </c>
      <c r="P85" s="89" t="s">
        <v>1550</v>
      </c>
      <c r="Q85" s="89" t="s">
        <v>629</v>
      </c>
      <c r="R85" s="89">
        <v>9</v>
      </c>
      <c r="S85" s="89" t="s">
        <v>1611</v>
      </c>
      <c r="T85" s="89" t="s">
        <v>1558</v>
      </c>
      <c r="U85" s="89" t="s">
        <v>1552</v>
      </c>
      <c r="V85" s="89" t="s">
        <v>1561</v>
      </c>
      <c r="W85" s="89" t="s">
        <v>644</v>
      </c>
      <c r="X85" s="89" t="s">
        <v>102</v>
      </c>
      <c r="Y85" s="89" t="s">
        <v>619</v>
      </c>
      <c r="Z85" s="89" t="s">
        <v>68</v>
      </c>
      <c r="AA85" s="89" t="s">
        <v>67</v>
      </c>
      <c r="AB85" s="89">
        <v>1</v>
      </c>
      <c r="AC85" s="89">
        <v>6</v>
      </c>
      <c r="AD85" s="89">
        <v>1</v>
      </c>
      <c r="AE85" s="89" t="s">
        <v>287</v>
      </c>
      <c r="AF85" s="90">
        <v>367</v>
      </c>
      <c r="AG85" s="90">
        <v>45103</v>
      </c>
      <c r="AH85" s="90">
        <v>46193</v>
      </c>
      <c r="AJ85" t="e">
        <f>VLOOKUP(A85,'1'!B:Q,16,0)</f>
        <v>#N/A</v>
      </c>
      <c r="AK85" s="96" t="e">
        <f t="shared" si="3"/>
        <v>#N/A</v>
      </c>
    </row>
    <row r="86" spans="1:37" x14ac:dyDescent="0.35">
      <c r="A86" s="89" t="str">
        <f t="shared" si="1"/>
        <v>ZQF4</v>
      </c>
      <c r="B86" s="89" t="s">
        <v>718</v>
      </c>
      <c r="C86" s="89" t="s">
        <v>719</v>
      </c>
      <c r="D86" s="89" t="s">
        <v>504</v>
      </c>
      <c r="E86" s="89" t="s">
        <v>1612</v>
      </c>
      <c r="F86" s="89" t="s">
        <v>1546</v>
      </c>
      <c r="G86" s="89" t="s">
        <v>70</v>
      </c>
      <c r="H86" s="89" t="s">
        <v>70</v>
      </c>
      <c r="I86" s="91"/>
      <c r="J86" s="89">
        <v>0</v>
      </c>
      <c r="K86" s="26" t="s">
        <v>38</v>
      </c>
      <c r="L86" s="89" t="s">
        <v>1588</v>
      </c>
      <c r="M86" s="91"/>
      <c r="N86" s="89" t="s">
        <v>1549</v>
      </c>
      <c r="O86" s="89" t="s">
        <v>615</v>
      </c>
      <c r="P86" s="89" t="s">
        <v>1550</v>
      </c>
      <c r="Q86" s="89" t="s">
        <v>629</v>
      </c>
      <c r="R86" s="89">
        <v>24</v>
      </c>
      <c r="S86" s="89" t="s">
        <v>1551</v>
      </c>
      <c r="T86" s="89" t="s">
        <v>1555</v>
      </c>
      <c r="U86" s="89" t="s">
        <v>1552</v>
      </c>
      <c r="V86" s="89" t="s">
        <v>1561</v>
      </c>
      <c r="W86" s="89" t="s">
        <v>663</v>
      </c>
      <c r="X86" s="89" t="s">
        <v>78</v>
      </c>
      <c r="Y86" s="89" t="s">
        <v>619</v>
      </c>
      <c r="Z86" s="89" t="s">
        <v>68</v>
      </c>
      <c r="AA86" s="89" t="s">
        <v>67</v>
      </c>
      <c r="AB86" s="89">
        <v>1</v>
      </c>
      <c r="AC86" s="89">
        <v>6</v>
      </c>
      <c r="AD86" s="89">
        <v>1</v>
      </c>
      <c r="AE86" s="89" t="s">
        <v>287</v>
      </c>
      <c r="AF86" s="90">
        <v>367</v>
      </c>
      <c r="AG86" s="90">
        <v>45105</v>
      </c>
      <c r="AH86" s="90">
        <v>46201</v>
      </c>
      <c r="AJ86" t="e">
        <f>VLOOKUP(A86,'1'!B:Q,16,0)</f>
        <v>#N/A</v>
      </c>
      <c r="AK86" s="96" t="e">
        <f t="shared" si="3"/>
        <v>#N/A</v>
      </c>
    </row>
    <row r="87" spans="1:37" x14ac:dyDescent="0.35">
      <c r="A87" s="89" t="str">
        <f t="shared" si="1"/>
        <v>ZQC4</v>
      </c>
      <c r="B87" s="89" t="s">
        <v>693</v>
      </c>
      <c r="C87" s="89" t="s">
        <v>694</v>
      </c>
      <c r="D87" s="89" t="s">
        <v>501</v>
      </c>
      <c r="E87" s="89" t="s">
        <v>1613</v>
      </c>
      <c r="F87" s="89" t="s">
        <v>1546</v>
      </c>
      <c r="G87" s="89" t="s">
        <v>70</v>
      </c>
      <c r="H87" s="89" t="s">
        <v>70</v>
      </c>
      <c r="I87" s="91"/>
      <c r="J87" s="89">
        <v>0</v>
      </c>
      <c r="K87" s="26" t="s">
        <v>38</v>
      </c>
      <c r="L87" s="89" t="s">
        <v>1588</v>
      </c>
      <c r="M87" s="91"/>
      <c r="N87" s="89" t="s">
        <v>1549</v>
      </c>
      <c r="O87" s="89" t="s">
        <v>615</v>
      </c>
      <c r="P87" s="89" t="s">
        <v>1550</v>
      </c>
      <c r="Q87" s="89" t="s">
        <v>629</v>
      </c>
      <c r="R87" s="89">
        <v>24</v>
      </c>
      <c r="S87" s="89" t="s">
        <v>1551</v>
      </c>
      <c r="T87" s="89" t="s">
        <v>1555</v>
      </c>
      <c r="U87" s="89" t="s">
        <v>1552</v>
      </c>
      <c r="V87" s="89" t="s">
        <v>1561</v>
      </c>
      <c r="W87" s="89" t="s">
        <v>628</v>
      </c>
      <c r="X87" s="89" t="s">
        <v>117</v>
      </c>
      <c r="Y87" s="89" t="s">
        <v>619</v>
      </c>
      <c r="Z87" s="89" t="s">
        <v>68</v>
      </c>
      <c r="AA87" s="89" t="s">
        <v>67</v>
      </c>
      <c r="AB87" s="89">
        <v>1</v>
      </c>
      <c r="AC87" s="89">
        <v>6</v>
      </c>
      <c r="AD87" s="89">
        <v>1</v>
      </c>
      <c r="AE87" s="89" t="s">
        <v>287</v>
      </c>
      <c r="AF87" s="90">
        <v>367</v>
      </c>
      <c r="AG87" s="90">
        <v>45105</v>
      </c>
      <c r="AH87" s="90">
        <v>46201</v>
      </c>
      <c r="AJ87" t="e">
        <f>VLOOKUP(A87,'1'!B:Q,16,0)</f>
        <v>#N/A</v>
      </c>
      <c r="AK87" s="96" t="e">
        <f t="shared" si="3"/>
        <v>#N/A</v>
      </c>
    </row>
    <row r="88" spans="1:37" x14ac:dyDescent="0.35">
      <c r="A88" s="89" t="str">
        <f t="shared" si="1"/>
        <v>00Y4</v>
      </c>
      <c r="B88" s="89" t="s">
        <v>923</v>
      </c>
      <c r="C88" s="89" t="s">
        <v>924</v>
      </c>
      <c r="D88" s="89" t="s">
        <v>162</v>
      </c>
      <c r="E88" s="89" t="s">
        <v>925</v>
      </c>
      <c r="F88" s="89" t="s">
        <v>1546</v>
      </c>
      <c r="G88" s="89" t="s">
        <v>70</v>
      </c>
      <c r="H88" s="89" t="s">
        <v>70</v>
      </c>
      <c r="I88" s="91"/>
      <c r="J88" s="89">
        <v>0</v>
      </c>
      <c r="K88" s="89" t="s">
        <v>53</v>
      </c>
      <c r="L88" s="89" t="s">
        <v>1548</v>
      </c>
      <c r="M88" s="91"/>
      <c r="N88" s="89" t="s">
        <v>1549</v>
      </c>
      <c r="O88" s="89" t="s">
        <v>615</v>
      </c>
      <c r="P88" s="89" t="s">
        <v>1550</v>
      </c>
      <c r="Q88" s="89" t="s">
        <v>629</v>
      </c>
      <c r="R88" s="89">
        <v>24</v>
      </c>
      <c r="S88" s="89" t="s">
        <v>1551</v>
      </c>
      <c r="T88" s="89" t="s">
        <v>1551</v>
      </c>
      <c r="U88" s="89" t="s">
        <v>1552</v>
      </c>
      <c r="V88" s="89" t="s">
        <v>1561</v>
      </c>
      <c r="W88" s="89" t="s">
        <v>663</v>
      </c>
      <c r="X88" s="89" t="s">
        <v>78</v>
      </c>
      <c r="Y88" s="89" t="s">
        <v>619</v>
      </c>
      <c r="Z88" s="89" t="s">
        <v>68</v>
      </c>
      <c r="AA88" s="89" t="s">
        <v>67</v>
      </c>
      <c r="AB88" s="89">
        <v>1</v>
      </c>
      <c r="AC88" s="89">
        <v>6</v>
      </c>
      <c r="AD88" s="89">
        <v>1</v>
      </c>
      <c r="AE88" s="89" t="s">
        <v>287</v>
      </c>
      <c r="AF88" s="90">
        <v>367</v>
      </c>
      <c r="AG88" s="90">
        <v>45177</v>
      </c>
      <c r="AH88" s="90">
        <v>46295</v>
      </c>
    </row>
    <row r="89" spans="1:37" x14ac:dyDescent="0.35">
      <c r="A89" s="89" t="str">
        <f t="shared" si="1"/>
        <v>ZQA4</v>
      </c>
      <c r="B89" s="89" t="s">
        <v>1614</v>
      </c>
      <c r="C89" s="89" t="s">
        <v>1615</v>
      </c>
      <c r="D89" s="89" t="s">
        <v>499</v>
      </c>
      <c r="E89" s="89" t="s">
        <v>1616</v>
      </c>
      <c r="F89" s="89" t="s">
        <v>1546</v>
      </c>
      <c r="G89" s="89" t="s">
        <v>70</v>
      </c>
      <c r="H89" s="89" t="s">
        <v>70</v>
      </c>
      <c r="I89" s="89" t="s">
        <v>1560</v>
      </c>
      <c r="J89" s="89">
        <v>1</v>
      </c>
      <c r="K89" s="26" t="s">
        <v>38</v>
      </c>
      <c r="L89" s="89" t="s">
        <v>1588</v>
      </c>
      <c r="M89" s="91"/>
      <c r="N89" s="89" t="s">
        <v>1549</v>
      </c>
      <c r="O89" s="89" t="s">
        <v>615</v>
      </c>
      <c r="P89" s="89" t="s">
        <v>1550</v>
      </c>
      <c r="Q89" s="89" t="s">
        <v>629</v>
      </c>
      <c r="R89" s="89">
        <v>24</v>
      </c>
      <c r="S89" s="89" t="s">
        <v>1551</v>
      </c>
      <c r="T89" s="89" t="s">
        <v>1558</v>
      </c>
      <c r="U89" s="89" t="s">
        <v>1552</v>
      </c>
      <c r="V89" s="89" t="s">
        <v>1561</v>
      </c>
      <c r="W89" s="89" t="s">
        <v>628</v>
      </c>
      <c r="X89" s="89" t="s">
        <v>117</v>
      </c>
      <c r="Y89" s="89" t="s">
        <v>619</v>
      </c>
      <c r="Z89" s="89" t="s">
        <v>68</v>
      </c>
      <c r="AA89" s="89" t="s">
        <v>67</v>
      </c>
      <c r="AB89" s="89">
        <v>1</v>
      </c>
      <c r="AC89" s="89">
        <v>6</v>
      </c>
      <c r="AD89" s="89">
        <v>1</v>
      </c>
      <c r="AE89" s="89" t="s">
        <v>287</v>
      </c>
      <c r="AF89" s="90">
        <v>367</v>
      </c>
      <c r="AG89" s="90">
        <v>45250</v>
      </c>
      <c r="AH89" s="90">
        <v>46356</v>
      </c>
      <c r="AJ89" t="e">
        <f>VLOOKUP(A89,'1'!B:Q,16,0)</f>
        <v>#N/A</v>
      </c>
      <c r="AK89" s="96" t="e">
        <f t="shared" ref="AK89:AK102" si="4">AJ89/250</f>
        <v>#N/A</v>
      </c>
    </row>
    <row r="90" spans="1:37" x14ac:dyDescent="0.35">
      <c r="A90" s="89" t="str">
        <f t="shared" si="1"/>
        <v>ZKL9</v>
      </c>
      <c r="B90" s="89" t="s">
        <v>1257</v>
      </c>
      <c r="C90" s="89" t="s">
        <v>1258</v>
      </c>
      <c r="D90" s="89" t="s">
        <v>491</v>
      </c>
      <c r="E90" s="89" t="s">
        <v>1259</v>
      </c>
      <c r="F90" s="89" t="s">
        <v>1546</v>
      </c>
      <c r="G90" s="89" t="s">
        <v>70</v>
      </c>
      <c r="H90" s="89" t="s">
        <v>70</v>
      </c>
      <c r="I90" s="89" t="s">
        <v>1556</v>
      </c>
      <c r="J90" s="89">
        <v>0</v>
      </c>
      <c r="K90" s="26" t="s">
        <v>38</v>
      </c>
      <c r="L90" s="89" t="s">
        <v>1588</v>
      </c>
      <c r="M90" s="91"/>
      <c r="N90" s="89" t="s">
        <v>1549</v>
      </c>
      <c r="O90" s="89" t="s">
        <v>615</v>
      </c>
      <c r="P90" s="89" t="s">
        <v>1550</v>
      </c>
      <c r="Q90" s="89" t="s">
        <v>629</v>
      </c>
      <c r="R90" s="89">
        <v>24</v>
      </c>
      <c r="S90" s="89" t="s">
        <v>1551</v>
      </c>
      <c r="T90" s="89" t="s">
        <v>1558</v>
      </c>
      <c r="U90" s="89" t="s">
        <v>1552</v>
      </c>
      <c r="V90" s="89" t="s">
        <v>1561</v>
      </c>
      <c r="W90" s="89" t="s">
        <v>663</v>
      </c>
      <c r="X90" s="89" t="s">
        <v>78</v>
      </c>
      <c r="Y90" s="89" t="s">
        <v>619</v>
      </c>
      <c r="Z90" s="89" t="s">
        <v>68</v>
      </c>
      <c r="AA90" s="89" t="s">
        <v>67</v>
      </c>
      <c r="AB90" s="89">
        <v>1</v>
      </c>
      <c r="AC90" s="89">
        <v>6</v>
      </c>
      <c r="AD90" s="89">
        <v>1</v>
      </c>
      <c r="AE90" s="89" t="s">
        <v>287</v>
      </c>
      <c r="AF90" s="90">
        <v>367</v>
      </c>
      <c r="AG90" s="90">
        <v>45420</v>
      </c>
      <c r="AH90" s="90">
        <v>46537</v>
      </c>
      <c r="AJ90" t="e">
        <f>VLOOKUP(A90,'1'!B:Q,16,0)</f>
        <v>#N/A</v>
      </c>
      <c r="AK90" s="96" t="e">
        <f t="shared" si="4"/>
        <v>#N/A</v>
      </c>
    </row>
    <row r="91" spans="1:37" x14ac:dyDescent="0.35">
      <c r="A91" s="89" t="str">
        <f t="shared" si="1"/>
        <v>Z858</v>
      </c>
      <c r="B91" s="89" t="s">
        <v>1617</v>
      </c>
      <c r="C91" s="89" t="s">
        <v>1618</v>
      </c>
      <c r="D91" s="89" t="s">
        <v>484</v>
      </c>
      <c r="E91" s="89" t="s">
        <v>1619</v>
      </c>
      <c r="F91" s="89" t="s">
        <v>1546</v>
      </c>
      <c r="G91" s="89" t="s">
        <v>70</v>
      </c>
      <c r="H91" s="89" t="s">
        <v>70</v>
      </c>
      <c r="I91" s="89" t="s">
        <v>1556</v>
      </c>
      <c r="J91" s="89">
        <v>0</v>
      </c>
      <c r="K91" s="26" t="s">
        <v>38</v>
      </c>
      <c r="L91" s="89" t="s">
        <v>1620</v>
      </c>
      <c r="M91" s="91"/>
      <c r="N91" s="89" t="s">
        <v>1549</v>
      </c>
      <c r="O91" s="89" t="s">
        <v>615</v>
      </c>
      <c r="P91" s="89" t="s">
        <v>1550</v>
      </c>
      <c r="Q91" s="89" t="s">
        <v>629</v>
      </c>
      <c r="R91" s="89">
        <v>24</v>
      </c>
      <c r="S91" s="89" t="s">
        <v>1551</v>
      </c>
      <c r="T91" s="89" t="s">
        <v>1551</v>
      </c>
      <c r="U91" s="89" t="s">
        <v>1552</v>
      </c>
      <c r="V91" s="89" t="s">
        <v>1561</v>
      </c>
      <c r="W91" s="89" t="s">
        <v>628</v>
      </c>
      <c r="X91" s="89" t="s">
        <v>117</v>
      </c>
      <c r="Y91" s="89" t="s">
        <v>619</v>
      </c>
      <c r="Z91" s="89" t="s">
        <v>68</v>
      </c>
      <c r="AA91" s="89" t="s">
        <v>67</v>
      </c>
      <c r="AB91" s="89">
        <v>1</v>
      </c>
      <c r="AC91" s="89">
        <v>6</v>
      </c>
      <c r="AD91" s="89">
        <v>1</v>
      </c>
      <c r="AE91" s="89" t="s">
        <v>288</v>
      </c>
      <c r="AF91" s="90">
        <v>367</v>
      </c>
      <c r="AG91" s="90">
        <v>45436</v>
      </c>
      <c r="AH91" s="90">
        <v>46531</v>
      </c>
      <c r="AJ91" t="e">
        <f>VLOOKUP(A91,'1'!B:Q,16,0)</f>
        <v>#N/A</v>
      </c>
      <c r="AK91" s="96" t="e">
        <f t="shared" si="4"/>
        <v>#N/A</v>
      </c>
    </row>
    <row r="92" spans="1:37" x14ac:dyDescent="0.35">
      <c r="A92" s="89" t="str">
        <f t="shared" si="1"/>
        <v>Z5R7</v>
      </c>
      <c r="B92" s="89" t="s">
        <v>1621</v>
      </c>
      <c r="C92" s="89" t="s">
        <v>1622</v>
      </c>
      <c r="D92" s="89" t="s">
        <v>457</v>
      </c>
      <c r="E92" s="89" t="s">
        <v>1623</v>
      </c>
      <c r="F92" s="89" t="s">
        <v>1546</v>
      </c>
      <c r="G92" s="89" t="s">
        <v>70</v>
      </c>
      <c r="H92" s="89" t="s">
        <v>70</v>
      </c>
      <c r="I92" s="91"/>
      <c r="J92" s="89">
        <v>0</v>
      </c>
      <c r="K92" s="26" t="s">
        <v>38</v>
      </c>
      <c r="L92" s="89" t="s">
        <v>1620</v>
      </c>
      <c r="M92" s="91"/>
      <c r="N92" s="89" t="s">
        <v>1549</v>
      </c>
      <c r="O92" s="89" t="s">
        <v>615</v>
      </c>
      <c r="P92" s="89" t="s">
        <v>1550</v>
      </c>
      <c r="Q92" s="89" t="s">
        <v>629</v>
      </c>
      <c r="R92" s="89">
        <v>24</v>
      </c>
      <c r="S92" s="89" t="s">
        <v>1551</v>
      </c>
      <c r="T92" s="89" t="s">
        <v>1558</v>
      </c>
      <c r="U92" s="89" t="s">
        <v>1552</v>
      </c>
      <c r="V92" s="89" t="s">
        <v>1561</v>
      </c>
      <c r="W92" s="89" t="s">
        <v>644</v>
      </c>
      <c r="X92" s="89" t="s">
        <v>102</v>
      </c>
      <c r="Y92" s="89" t="s">
        <v>619</v>
      </c>
      <c r="Z92" s="89" t="s">
        <v>68</v>
      </c>
      <c r="AA92" s="89" t="s">
        <v>67</v>
      </c>
      <c r="AB92" s="89">
        <v>1</v>
      </c>
      <c r="AC92" s="89">
        <v>6</v>
      </c>
      <c r="AD92" s="89">
        <v>1</v>
      </c>
      <c r="AE92" s="89" t="s">
        <v>288</v>
      </c>
      <c r="AF92" s="90">
        <v>367</v>
      </c>
      <c r="AG92" s="90">
        <v>45437</v>
      </c>
      <c r="AH92" s="90">
        <v>46537</v>
      </c>
      <c r="AJ92" t="e">
        <f>VLOOKUP(A92,'1'!B:Q,16,0)</f>
        <v>#N/A</v>
      </c>
      <c r="AK92" s="96" t="e">
        <f t="shared" si="4"/>
        <v>#N/A</v>
      </c>
    </row>
    <row r="93" spans="1:37" x14ac:dyDescent="0.35">
      <c r="A93" s="89" t="str">
        <f t="shared" si="1"/>
        <v>Z5R6</v>
      </c>
      <c r="B93" s="89" t="s">
        <v>1427</v>
      </c>
      <c r="C93" s="89" t="s">
        <v>1428</v>
      </c>
      <c r="D93" s="89" t="s">
        <v>456</v>
      </c>
      <c r="E93" s="89" t="s">
        <v>1429</v>
      </c>
      <c r="F93" s="89" t="s">
        <v>1546</v>
      </c>
      <c r="G93" s="89" t="s">
        <v>70</v>
      </c>
      <c r="H93" s="89" t="s">
        <v>70</v>
      </c>
      <c r="I93" s="91"/>
      <c r="J93" s="89">
        <v>0</v>
      </c>
      <c r="K93" s="26" t="s">
        <v>38</v>
      </c>
      <c r="L93" s="89" t="s">
        <v>1620</v>
      </c>
      <c r="M93" s="91"/>
      <c r="N93" s="89" t="s">
        <v>1549</v>
      </c>
      <c r="O93" s="89" t="s">
        <v>615</v>
      </c>
      <c r="P93" s="89" t="s">
        <v>1550</v>
      </c>
      <c r="Q93" s="89" t="s">
        <v>629</v>
      </c>
      <c r="R93" s="89">
        <v>24</v>
      </c>
      <c r="S93" s="89" t="s">
        <v>1551</v>
      </c>
      <c r="T93" s="89" t="s">
        <v>1558</v>
      </c>
      <c r="U93" s="89" t="s">
        <v>1552</v>
      </c>
      <c r="V93" s="89" t="s">
        <v>1561</v>
      </c>
      <c r="W93" s="89" t="s">
        <v>644</v>
      </c>
      <c r="X93" s="89" t="s">
        <v>102</v>
      </c>
      <c r="Y93" s="89" t="s">
        <v>619</v>
      </c>
      <c r="Z93" s="89" t="s">
        <v>68</v>
      </c>
      <c r="AA93" s="89" t="s">
        <v>67</v>
      </c>
      <c r="AB93" s="89">
        <v>1</v>
      </c>
      <c r="AC93" s="89">
        <v>12</v>
      </c>
      <c r="AD93" s="89">
        <v>1</v>
      </c>
      <c r="AE93" s="89" t="s">
        <v>288</v>
      </c>
      <c r="AF93" s="90">
        <v>367</v>
      </c>
      <c r="AG93" s="90">
        <v>45437</v>
      </c>
      <c r="AH93" s="90">
        <v>46537</v>
      </c>
      <c r="AJ93" t="e">
        <f>VLOOKUP(A93,'1'!B:Q,16,0)</f>
        <v>#N/A</v>
      </c>
      <c r="AK93" s="96" t="e">
        <f t="shared" si="4"/>
        <v>#N/A</v>
      </c>
    </row>
    <row r="94" spans="1:37" x14ac:dyDescent="0.35">
      <c r="A94" s="89" t="str">
        <f t="shared" si="1"/>
        <v>Z5R5</v>
      </c>
      <c r="B94" s="89" t="s">
        <v>1454</v>
      </c>
      <c r="C94" s="89" t="s">
        <v>1428</v>
      </c>
      <c r="D94" s="89" t="s">
        <v>455</v>
      </c>
      <c r="E94" s="89" t="s">
        <v>1455</v>
      </c>
      <c r="F94" s="89" t="s">
        <v>1546</v>
      </c>
      <c r="G94" s="89" t="s">
        <v>70</v>
      </c>
      <c r="H94" s="89" t="s">
        <v>70</v>
      </c>
      <c r="I94" s="91"/>
      <c r="J94" s="89">
        <v>0</v>
      </c>
      <c r="K94" s="26" t="s">
        <v>38</v>
      </c>
      <c r="L94" s="89" t="s">
        <v>1620</v>
      </c>
      <c r="M94" s="91"/>
      <c r="N94" s="89" t="s">
        <v>1549</v>
      </c>
      <c r="O94" s="89" t="s">
        <v>615</v>
      </c>
      <c r="P94" s="89" t="s">
        <v>1550</v>
      </c>
      <c r="Q94" s="89" t="s">
        <v>629</v>
      </c>
      <c r="R94" s="89">
        <v>24</v>
      </c>
      <c r="S94" s="89" t="s">
        <v>1551</v>
      </c>
      <c r="T94" s="89" t="s">
        <v>1558</v>
      </c>
      <c r="U94" s="89" t="s">
        <v>1552</v>
      </c>
      <c r="V94" s="89" t="s">
        <v>1561</v>
      </c>
      <c r="W94" s="89" t="s">
        <v>644</v>
      </c>
      <c r="X94" s="89" t="s">
        <v>102</v>
      </c>
      <c r="Y94" s="89" t="s">
        <v>619</v>
      </c>
      <c r="Z94" s="89" t="s">
        <v>68</v>
      </c>
      <c r="AA94" s="89" t="s">
        <v>67</v>
      </c>
      <c r="AB94" s="89">
        <v>1</v>
      </c>
      <c r="AC94" s="89">
        <v>6</v>
      </c>
      <c r="AD94" s="89">
        <v>1</v>
      </c>
      <c r="AE94" s="89" t="s">
        <v>288</v>
      </c>
      <c r="AF94" s="90">
        <v>367</v>
      </c>
      <c r="AG94" s="90">
        <v>45437</v>
      </c>
      <c r="AH94" s="90">
        <v>46537</v>
      </c>
      <c r="AJ94" t="e">
        <f>VLOOKUP(A94,'1'!B:Q,16,0)</f>
        <v>#N/A</v>
      </c>
      <c r="AK94" s="96" t="e">
        <f t="shared" si="4"/>
        <v>#N/A</v>
      </c>
    </row>
    <row r="95" spans="1:37" x14ac:dyDescent="0.35">
      <c r="A95" s="89" t="str">
        <f t="shared" si="1"/>
        <v>Z14W</v>
      </c>
      <c r="B95" s="89" t="s">
        <v>1451</v>
      </c>
      <c r="C95" s="89" t="s">
        <v>1452</v>
      </c>
      <c r="D95" s="89" t="s">
        <v>431</v>
      </c>
      <c r="E95" s="89" t="s">
        <v>1440</v>
      </c>
      <c r="F95" s="89" t="s">
        <v>1546</v>
      </c>
      <c r="G95" s="89" t="s">
        <v>70</v>
      </c>
      <c r="H95" s="89" t="s">
        <v>70</v>
      </c>
      <c r="I95" s="91"/>
      <c r="J95" s="89">
        <v>0</v>
      </c>
      <c r="K95" s="26" t="s">
        <v>38</v>
      </c>
      <c r="L95" s="89" t="s">
        <v>1620</v>
      </c>
      <c r="M95" s="91"/>
      <c r="N95" s="89" t="s">
        <v>1549</v>
      </c>
      <c r="O95" s="89" t="s">
        <v>615</v>
      </c>
      <c r="P95" s="89" t="s">
        <v>1550</v>
      </c>
      <c r="Q95" s="89" t="s">
        <v>629</v>
      </c>
      <c r="R95" s="89">
        <v>24</v>
      </c>
      <c r="S95" s="89" t="s">
        <v>1551</v>
      </c>
      <c r="T95" s="89" t="s">
        <v>1558</v>
      </c>
      <c r="U95" s="89" t="s">
        <v>1552</v>
      </c>
      <c r="V95" s="89" t="s">
        <v>1561</v>
      </c>
      <c r="W95" s="89" t="s">
        <v>644</v>
      </c>
      <c r="X95" s="89" t="s">
        <v>102</v>
      </c>
      <c r="Y95" s="89" t="s">
        <v>619</v>
      </c>
      <c r="Z95" s="89" t="s">
        <v>68</v>
      </c>
      <c r="AA95" s="89" t="s">
        <v>67</v>
      </c>
      <c r="AB95" s="89">
        <v>1</v>
      </c>
      <c r="AC95" s="89">
        <v>6</v>
      </c>
      <c r="AD95" s="89">
        <v>1</v>
      </c>
      <c r="AE95" s="89" t="s">
        <v>288</v>
      </c>
      <c r="AF95" s="90">
        <v>367</v>
      </c>
      <c r="AG95" s="90">
        <v>45437</v>
      </c>
      <c r="AH95" s="90">
        <v>46537</v>
      </c>
      <c r="AJ95" t="e">
        <f>VLOOKUP(A95,'1'!B:Q,16,0)</f>
        <v>#N/A</v>
      </c>
      <c r="AK95" s="96" t="e">
        <f t="shared" si="4"/>
        <v>#N/A</v>
      </c>
    </row>
    <row r="96" spans="1:37" x14ac:dyDescent="0.35">
      <c r="A96" s="89" t="str">
        <f t="shared" si="1"/>
        <v>Z14T</v>
      </c>
      <c r="B96" s="89" t="s">
        <v>1433</v>
      </c>
      <c r="C96" s="89" t="s">
        <v>1439</v>
      </c>
      <c r="D96" s="89" t="s">
        <v>430</v>
      </c>
      <c r="E96" s="89" t="s">
        <v>1440</v>
      </c>
      <c r="F96" s="89" t="s">
        <v>1546</v>
      </c>
      <c r="G96" s="89" t="s">
        <v>70</v>
      </c>
      <c r="H96" s="89" t="s">
        <v>70</v>
      </c>
      <c r="I96" s="91"/>
      <c r="J96" s="89">
        <v>0</v>
      </c>
      <c r="K96" s="26" t="s">
        <v>38</v>
      </c>
      <c r="L96" s="89" t="s">
        <v>1620</v>
      </c>
      <c r="M96" s="91"/>
      <c r="N96" s="89" t="s">
        <v>1549</v>
      </c>
      <c r="O96" s="89" t="s">
        <v>615</v>
      </c>
      <c r="P96" s="89" t="s">
        <v>1550</v>
      </c>
      <c r="Q96" s="89" t="s">
        <v>629</v>
      </c>
      <c r="R96" s="89">
        <v>24</v>
      </c>
      <c r="S96" s="89" t="s">
        <v>1551</v>
      </c>
      <c r="T96" s="89" t="s">
        <v>1558</v>
      </c>
      <c r="U96" s="89" t="s">
        <v>1552</v>
      </c>
      <c r="V96" s="89" t="s">
        <v>1561</v>
      </c>
      <c r="W96" s="89" t="s">
        <v>644</v>
      </c>
      <c r="X96" s="89" t="s">
        <v>102</v>
      </c>
      <c r="Y96" s="89" t="s">
        <v>619</v>
      </c>
      <c r="Z96" s="89" t="s">
        <v>68</v>
      </c>
      <c r="AA96" s="89" t="s">
        <v>67</v>
      </c>
      <c r="AB96" s="89">
        <v>1</v>
      </c>
      <c r="AC96" s="89">
        <v>6</v>
      </c>
      <c r="AD96" s="89">
        <v>1</v>
      </c>
      <c r="AE96" s="89" t="s">
        <v>288</v>
      </c>
      <c r="AF96" s="90">
        <v>367</v>
      </c>
      <c r="AG96" s="90">
        <v>45437</v>
      </c>
      <c r="AH96" s="90">
        <v>46537</v>
      </c>
      <c r="AJ96" t="e">
        <f>VLOOKUP(A96,'1'!B:Q,16,0)</f>
        <v>#N/A</v>
      </c>
      <c r="AK96" s="96" t="e">
        <f t="shared" si="4"/>
        <v>#N/A</v>
      </c>
    </row>
    <row r="97" spans="1:37" x14ac:dyDescent="0.35">
      <c r="A97" s="89" t="str">
        <f t="shared" si="1"/>
        <v>Z11K</v>
      </c>
      <c r="B97" s="89" t="s">
        <v>1624</v>
      </c>
      <c r="C97" s="89" t="s">
        <v>1625</v>
      </c>
      <c r="D97" s="89" t="s">
        <v>423</v>
      </c>
      <c r="E97" s="89" t="s">
        <v>1626</v>
      </c>
      <c r="F97" s="89" t="s">
        <v>1546</v>
      </c>
      <c r="G97" s="89" t="s">
        <v>70</v>
      </c>
      <c r="H97" s="89" t="s">
        <v>70</v>
      </c>
      <c r="I97" s="91"/>
      <c r="J97" s="89">
        <v>0</v>
      </c>
      <c r="K97" s="26" t="s">
        <v>38</v>
      </c>
      <c r="L97" s="89" t="s">
        <v>1620</v>
      </c>
      <c r="M97" s="91"/>
      <c r="N97" s="89" t="s">
        <v>1549</v>
      </c>
      <c r="O97" s="89" t="s">
        <v>615</v>
      </c>
      <c r="P97" s="89" t="s">
        <v>1550</v>
      </c>
      <c r="Q97" s="89" t="s">
        <v>629</v>
      </c>
      <c r="R97" s="89">
        <v>24</v>
      </c>
      <c r="S97" s="89" t="s">
        <v>1551</v>
      </c>
      <c r="T97" s="89" t="s">
        <v>1558</v>
      </c>
      <c r="U97" s="89" t="s">
        <v>1552</v>
      </c>
      <c r="V97" s="89" t="s">
        <v>1561</v>
      </c>
      <c r="W97" s="89" t="s">
        <v>656</v>
      </c>
      <c r="X97" s="89" t="s">
        <v>92</v>
      </c>
      <c r="Y97" s="89" t="s">
        <v>619</v>
      </c>
      <c r="Z97" s="89" t="s">
        <v>68</v>
      </c>
      <c r="AA97" s="89" t="s">
        <v>67</v>
      </c>
      <c r="AB97" s="89">
        <v>1</v>
      </c>
      <c r="AC97" s="89">
        <v>6</v>
      </c>
      <c r="AD97" s="89">
        <v>1</v>
      </c>
      <c r="AE97" s="89" t="s">
        <v>288</v>
      </c>
      <c r="AF97" s="90">
        <v>367</v>
      </c>
      <c r="AG97" s="90">
        <v>45439</v>
      </c>
      <c r="AH97" s="90">
        <v>46537</v>
      </c>
      <c r="AJ97" t="e">
        <f>VLOOKUP(A97,'1'!B:Q,16,0)</f>
        <v>#N/A</v>
      </c>
      <c r="AK97" s="96" t="e">
        <f t="shared" si="4"/>
        <v>#N/A</v>
      </c>
    </row>
    <row r="98" spans="1:37" x14ac:dyDescent="0.35">
      <c r="A98" s="89" t="str">
        <f t="shared" si="1"/>
        <v>Z3BE</v>
      </c>
      <c r="B98" s="89" t="s">
        <v>1488</v>
      </c>
      <c r="C98" s="89" t="s">
        <v>1489</v>
      </c>
      <c r="D98" s="89" t="s">
        <v>454</v>
      </c>
      <c r="E98" s="89" t="s">
        <v>1627</v>
      </c>
      <c r="F98" s="89" t="s">
        <v>1546</v>
      </c>
      <c r="G98" s="89" t="s">
        <v>70</v>
      </c>
      <c r="H98" s="89" t="s">
        <v>70</v>
      </c>
      <c r="I98" s="91"/>
      <c r="J98" s="89">
        <v>0</v>
      </c>
      <c r="K98" s="26" t="s">
        <v>38</v>
      </c>
      <c r="L98" s="89" t="s">
        <v>1620</v>
      </c>
      <c r="M98" s="91"/>
      <c r="N98" s="89" t="s">
        <v>1549</v>
      </c>
      <c r="O98" s="89" t="s">
        <v>615</v>
      </c>
      <c r="P98" s="89" t="s">
        <v>1550</v>
      </c>
      <c r="Q98" s="89" t="s">
        <v>629</v>
      </c>
      <c r="R98" s="89">
        <v>13</v>
      </c>
      <c r="S98" s="89" t="s">
        <v>1628</v>
      </c>
      <c r="T98" s="89" t="s">
        <v>1558</v>
      </c>
      <c r="U98" s="89" t="s">
        <v>1552</v>
      </c>
      <c r="V98" s="89" t="s">
        <v>1561</v>
      </c>
      <c r="W98" s="89" t="s">
        <v>628</v>
      </c>
      <c r="X98" s="89" t="s">
        <v>117</v>
      </c>
      <c r="Y98" s="89" t="s">
        <v>619</v>
      </c>
      <c r="Z98" s="89" t="s">
        <v>68</v>
      </c>
      <c r="AA98" s="89" t="s">
        <v>67</v>
      </c>
      <c r="AB98" s="89">
        <v>1</v>
      </c>
      <c r="AC98" s="89">
        <v>6</v>
      </c>
      <c r="AD98" s="89">
        <v>1</v>
      </c>
      <c r="AE98" s="89" t="s">
        <v>288</v>
      </c>
      <c r="AF98" s="90">
        <v>367</v>
      </c>
      <c r="AG98" s="90">
        <v>45443</v>
      </c>
      <c r="AH98" s="90">
        <v>46537</v>
      </c>
      <c r="AJ98" t="e">
        <f>VLOOKUP(A98,'1'!B:Q,16,0)</f>
        <v>#N/A</v>
      </c>
      <c r="AK98" s="96" t="e">
        <f t="shared" si="4"/>
        <v>#N/A</v>
      </c>
    </row>
    <row r="99" spans="1:37" x14ac:dyDescent="0.35">
      <c r="A99" s="89" t="str">
        <f t="shared" si="1"/>
        <v>Z861</v>
      </c>
      <c r="B99" s="89" t="s">
        <v>1629</v>
      </c>
      <c r="C99" s="89" t="s">
        <v>1630</v>
      </c>
      <c r="D99" s="89" t="s">
        <v>485</v>
      </c>
      <c r="E99" s="89" t="s">
        <v>1631</v>
      </c>
      <c r="F99" s="89" t="s">
        <v>1546</v>
      </c>
      <c r="G99" s="89" t="s">
        <v>70</v>
      </c>
      <c r="H99" s="89" t="s">
        <v>70</v>
      </c>
      <c r="I99" s="91"/>
      <c r="J99" s="89">
        <v>0</v>
      </c>
      <c r="K99" s="26" t="s">
        <v>38</v>
      </c>
      <c r="L99" s="89" t="s">
        <v>1620</v>
      </c>
      <c r="M99" s="91"/>
      <c r="N99" s="89" t="s">
        <v>1549</v>
      </c>
      <c r="O99" s="89" t="s">
        <v>615</v>
      </c>
      <c r="P99" s="89" t="s">
        <v>1550</v>
      </c>
      <c r="Q99" s="89" t="s">
        <v>629</v>
      </c>
      <c r="R99" s="89">
        <v>24</v>
      </c>
      <c r="S99" s="89" t="s">
        <v>1551</v>
      </c>
      <c r="T99" s="89" t="s">
        <v>1558</v>
      </c>
      <c r="U99" s="89" t="s">
        <v>1552</v>
      </c>
      <c r="V99" s="89" t="s">
        <v>1561</v>
      </c>
      <c r="W99" s="89" t="s">
        <v>628</v>
      </c>
      <c r="X99" s="89" t="s">
        <v>117</v>
      </c>
      <c r="Y99" s="89" t="s">
        <v>619</v>
      </c>
      <c r="Z99" s="89" t="s">
        <v>68</v>
      </c>
      <c r="AA99" s="89" t="s">
        <v>67</v>
      </c>
      <c r="AB99" s="89">
        <v>1</v>
      </c>
      <c r="AC99" s="89">
        <v>6</v>
      </c>
      <c r="AD99" s="89">
        <v>1</v>
      </c>
      <c r="AE99" s="89" t="s">
        <v>288</v>
      </c>
      <c r="AF99" s="90">
        <v>367</v>
      </c>
      <c r="AG99" s="90">
        <v>45443</v>
      </c>
      <c r="AH99" s="90">
        <v>46537</v>
      </c>
      <c r="AJ99" t="e">
        <f>VLOOKUP(A99,'1'!B:Q,16,0)</f>
        <v>#N/A</v>
      </c>
      <c r="AK99" s="96" t="e">
        <f t="shared" si="4"/>
        <v>#N/A</v>
      </c>
    </row>
    <row r="100" spans="1:37" x14ac:dyDescent="0.35">
      <c r="A100" s="89" t="str">
        <f t="shared" si="1"/>
        <v>Z3NR</v>
      </c>
      <c r="B100" s="89" t="s">
        <v>1632</v>
      </c>
      <c r="C100" s="89" t="s">
        <v>1633</v>
      </c>
      <c r="D100" s="89" t="s">
        <v>458</v>
      </c>
      <c r="E100" s="89" t="s">
        <v>1634</v>
      </c>
      <c r="F100" s="89" t="s">
        <v>1546</v>
      </c>
      <c r="G100" s="89" t="s">
        <v>70</v>
      </c>
      <c r="H100" s="89" t="s">
        <v>70</v>
      </c>
      <c r="I100" s="89" t="s">
        <v>1635</v>
      </c>
      <c r="J100" s="89">
        <v>0</v>
      </c>
      <c r="K100" s="26" t="s">
        <v>38</v>
      </c>
      <c r="L100" s="89" t="s">
        <v>1620</v>
      </c>
      <c r="M100" s="91"/>
      <c r="N100" s="89" t="s">
        <v>1549</v>
      </c>
      <c r="O100" s="89" t="s">
        <v>615</v>
      </c>
      <c r="P100" s="89" t="s">
        <v>1550</v>
      </c>
      <c r="Q100" s="89" t="s">
        <v>629</v>
      </c>
      <c r="R100" s="89">
        <v>24</v>
      </c>
      <c r="S100" s="89" t="s">
        <v>1551</v>
      </c>
      <c r="T100" s="89" t="s">
        <v>1558</v>
      </c>
      <c r="U100" s="89" t="s">
        <v>1552</v>
      </c>
      <c r="V100" s="89" t="s">
        <v>1561</v>
      </c>
      <c r="W100" s="89" t="s">
        <v>628</v>
      </c>
      <c r="X100" s="89" t="s">
        <v>117</v>
      </c>
      <c r="Y100" s="89" t="s">
        <v>619</v>
      </c>
      <c r="Z100" s="89" t="s">
        <v>68</v>
      </c>
      <c r="AA100" s="89" t="s">
        <v>67</v>
      </c>
      <c r="AB100" s="89">
        <v>1</v>
      </c>
      <c r="AC100" s="89">
        <v>6</v>
      </c>
      <c r="AD100" s="89">
        <v>1</v>
      </c>
      <c r="AE100" s="89" t="s">
        <v>288</v>
      </c>
      <c r="AF100" s="90">
        <v>367</v>
      </c>
      <c r="AG100" s="90">
        <v>45443</v>
      </c>
      <c r="AH100" s="90">
        <v>46537</v>
      </c>
      <c r="AJ100" t="e">
        <f>VLOOKUP(A100,'1'!B:Q,16,0)</f>
        <v>#N/A</v>
      </c>
      <c r="AK100" s="96" t="e">
        <f t="shared" si="4"/>
        <v>#N/A</v>
      </c>
    </row>
    <row r="101" spans="1:37" x14ac:dyDescent="0.35">
      <c r="A101" s="89" t="str">
        <f t="shared" si="1"/>
        <v>Z4UL</v>
      </c>
      <c r="B101" s="89" t="s">
        <v>678</v>
      </c>
      <c r="C101" s="89" t="s">
        <v>679</v>
      </c>
      <c r="D101" s="89" t="s">
        <v>463</v>
      </c>
      <c r="E101" s="89" t="s">
        <v>680</v>
      </c>
      <c r="F101" s="89" t="s">
        <v>1546</v>
      </c>
      <c r="G101" s="89" t="s">
        <v>70</v>
      </c>
      <c r="H101" s="89" t="s">
        <v>70</v>
      </c>
      <c r="I101" s="89" t="s">
        <v>1636</v>
      </c>
      <c r="J101" s="89">
        <v>0</v>
      </c>
      <c r="K101" s="26" t="s">
        <v>38</v>
      </c>
      <c r="L101" s="89" t="s">
        <v>1620</v>
      </c>
      <c r="M101" s="91"/>
      <c r="N101" s="89" t="s">
        <v>1549</v>
      </c>
      <c r="O101" s="89" t="s">
        <v>615</v>
      </c>
      <c r="P101" s="89" t="s">
        <v>1550</v>
      </c>
      <c r="Q101" s="89" t="s">
        <v>629</v>
      </c>
      <c r="R101" s="89">
        <v>13</v>
      </c>
      <c r="S101" s="89" t="s">
        <v>1628</v>
      </c>
      <c r="T101" s="89" t="s">
        <v>1558</v>
      </c>
      <c r="U101" s="89" t="s">
        <v>1552</v>
      </c>
      <c r="V101" s="89" t="s">
        <v>1561</v>
      </c>
      <c r="W101" s="89" t="s">
        <v>628</v>
      </c>
      <c r="X101" s="89" t="s">
        <v>117</v>
      </c>
      <c r="Y101" s="89" t="s">
        <v>619</v>
      </c>
      <c r="Z101" s="89" t="s">
        <v>68</v>
      </c>
      <c r="AA101" s="89" t="s">
        <v>67</v>
      </c>
      <c r="AB101" s="89">
        <v>1</v>
      </c>
      <c r="AC101" s="89">
        <v>6</v>
      </c>
      <c r="AD101" s="89">
        <v>1</v>
      </c>
      <c r="AE101" s="89" t="s">
        <v>288</v>
      </c>
      <c r="AF101" s="90">
        <v>367</v>
      </c>
      <c r="AG101" s="90">
        <v>45444</v>
      </c>
      <c r="AH101" s="90">
        <v>46568</v>
      </c>
      <c r="AJ101" t="e">
        <f>VLOOKUP(A101,'1'!B:Q,16,0)</f>
        <v>#N/A</v>
      </c>
      <c r="AK101" s="96" t="e">
        <f t="shared" si="4"/>
        <v>#N/A</v>
      </c>
    </row>
    <row r="102" spans="1:37" x14ac:dyDescent="0.35">
      <c r="A102" s="89" t="str">
        <f t="shared" si="1"/>
        <v>Z4VY</v>
      </c>
      <c r="B102" s="89" t="s">
        <v>720</v>
      </c>
      <c r="C102" s="89" t="s">
        <v>721</v>
      </c>
      <c r="D102" s="89" t="s">
        <v>464</v>
      </c>
      <c r="E102" s="89" t="s">
        <v>1637</v>
      </c>
      <c r="F102" s="89" t="s">
        <v>1546</v>
      </c>
      <c r="G102" s="89" t="s">
        <v>70</v>
      </c>
      <c r="H102" s="89" t="s">
        <v>70</v>
      </c>
      <c r="I102" s="91"/>
      <c r="J102" s="89">
        <v>0</v>
      </c>
      <c r="K102" s="26" t="s">
        <v>38</v>
      </c>
      <c r="L102" s="89" t="s">
        <v>1620</v>
      </c>
      <c r="M102" s="91"/>
      <c r="N102" s="89" t="s">
        <v>1549</v>
      </c>
      <c r="O102" s="89" t="s">
        <v>615</v>
      </c>
      <c r="P102" s="89" t="s">
        <v>1550</v>
      </c>
      <c r="Q102" s="89" t="s">
        <v>629</v>
      </c>
      <c r="R102" s="89">
        <v>24</v>
      </c>
      <c r="S102" s="89" t="s">
        <v>1551</v>
      </c>
      <c r="T102" s="89" t="s">
        <v>1558</v>
      </c>
      <c r="U102" s="89" t="s">
        <v>1552</v>
      </c>
      <c r="V102" s="89" t="s">
        <v>1561</v>
      </c>
      <c r="W102" s="89" t="s">
        <v>663</v>
      </c>
      <c r="X102" s="89" t="s">
        <v>78</v>
      </c>
      <c r="Y102" s="89" t="s">
        <v>619</v>
      </c>
      <c r="Z102" s="89" t="s">
        <v>68</v>
      </c>
      <c r="AA102" s="89" t="s">
        <v>67</v>
      </c>
      <c r="AB102" s="89">
        <v>1</v>
      </c>
      <c r="AC102" s="89">
        <v>6</v>
      </c>
      <c r="AD102" s="89">
        <v>1</v>
      </c>
      <c r="AE102" s="89" t="s">
        <v>288</v>
      </c>
      <c r="AF102" s="90">
        <v>367</v>
      </c>
      <c r="AG102" s="90">
        <v>45444</v>
      </c>
      <c r="AH102" s="90">
        <v>46568</v>
      </c>
      <c r="AJ102" t="e">
        <f>VLOOKUP(A102,'1'!B:Q,16,0)</f>
        <v>#N/A</v>
      </c>
      <c r="AK102" s="96" t="e">
        <f t="shared" si="4"/>
        <v>#N/A</v>
      </c>
    </row>
    <row r="103" spans="1:37" x14ac:dyDescent="0.35">
      <c r="A103" s="89" t="str">
        <f t="shared" si="1"/>
        <v>00CH</v>
      </c>
      <c r="B103" s="89" t="s">
        <v>834</v>
      </c>
      <c r="C103" s="89" t="s">
        <v>835</v>
      </c>
      <c r="D103" s="89" t="s">
        <v>89</v>
      </c>
      <c r="E103" s="89" t="s">
        <v>836</v>
      </c>
      <c r="F103" s="89" t="s">
        <v>1546</v>
      </c>
      <c r="G103" s="89" t="s">
        <v>70</v>
      </c>
      <c r="H103" s="89" t="s">
        <v>70</v>
      </c>
      <c r="I103" s="91"/>
      <c r="J103" s="89">
        <v>0</v>
      </c>
      <c r="K103" s="89" t="s">
        <v>53</v>
      </c>
      <c r="L103" s="89" t="s">
        <v>1548</v>
      </c>
      <c r="M103" s="91"/>
      <c r="N103" s="89" t="s">
        <v>1549</v>
      </c>
      <c r="O103" s="89" t="s">
        <v>615</v>
      </c>
      <c r="P103" s="89" t="s">
        <v>1550</v>
      </c>
      <c r="Q103" s="89" t="s">
        <v>629</v>
      </c>
      <c r="R103" s="89">
        <v>24</v>
      </c>
      <c r="S103" s="89" t="s">
        <v>1551</v>
      </c>
      <c r="T103" s="89" t="s">
        <v>1558</v>
      </c>
      <c r="U103" s="89" t="s">
        <v>1552</v>
      </c>
      <c r="V103" s="89" t="s">
        <v>1561</v>
      </c>
      <c r="W103" s="89" t="s">
        <v>663</v>
      </c>
      <c r="X103" s="89" t="s">
        <v>78</v>
      </c>
      <c r="Y103" s="89" t="s">
        <v>619</v>
      </c>
      <c r="Z103" s="89" t="s">
        <v>68</v>
      </c>
      <c r="AA103" s="89" t="s">
        <v>67</v>
      </c>
      <c r="AB103" s="89">
        <v>1</v>
      </c>
      <c r="AC103" s="89">
        <v>6</v>
      </c>
      <c r="AD103" s="89">
        <v>1</v>
      </c>
      <c r="AE103" s="89" t="s">
        <v>287</v>
      </c>
      <c r="AF103" s="90">
        <v>367</v>
      </c>
      <c r="AG103" s="90">
        <v>45467</v>
      </c>
      <c r="AH103" s="90">
        <v>46568</v>
      </c>
    </row>
    <row r="104" spans="1:37" x14ac:dyDescent="0.35">
      <c r="A104" s="89" t="str">
        <f t="shared" si="1"/>
        <v>00JK</v>
      </c>
      <c r="B104" s="89" t="s">
        <v>863</v>
      </c>
      <c r="C104" s="89" t="s">
        <v>864</v>
      </c>
      <c r="D104" s="89" t="s">
        <v>118</v>
      </c>
      <c r="E104" s="89" t="s">
        <v>865</v>
      </c>
      <c r="F104" s="89" t="s">
        <v>1546</v>
      </c>
      <c r="G104" s="89" t="s">
        <v>70</v>
      </c>
      <c r="H104" s="89" t="s">
        <v>70</v>
      </c>
      <c r="I104" s="91"/>
      <c r="J104" s="89">
        <v>0</v>
      </c>
      <c r="K104" s="89" t="s">
        <v>53</v>
      </c>
      <c r="L104" s="89" t="s">
        <v>1548</v>
      </c>
      <c r="M104" s="91"/>
      <c r="N104" s="89" t="s">
        <v>1549</v>
      </c>
      <c r="O104" s="89" t="s">
        <v>615</v>
      </c>
      <c r="P104" s="89" t="s">
        <v>1550</v>
      </c>
      <c r="Q104" s="89" t="s">
        <v>629</v>
      </c>
      <c r="R104" s="89">
        <v>24</v>
      </c>
      <c r="S104" s="89" t="s">
        <v>1628</v>
      </c>
      <c r="T104" s="89" t="s">
        <v>1558</v>
      </c>
      <c r="U104" s="89" t="s">
        <v>1552</v>
      </c>
      <c r="V104" s="89" t="s">
        <v>1561</v>
      </c>
      <c r="W104" s="89" t="s">
        <v>628</v>
      </c>
      <c r="X104" s="89" t="s">
        <v>117</v>
      </c>
      <c r="Y104" s="89" t="s">
        <v>619</v>
      </c>
      <c r="Z104" s="89" t="s">
        <v>68</v>
      </c>
      <c r="AA104" s="89" t="s">
        <v>67</v>
      </c>
      <c r="AB104" s="89">
        <v>1</v>
      </c>
      <c r="AC104" s="89">
        <v>6</v>
      </c>
      <c r="AD104" s="89">
        <v>1</v>
      </c>
      <c r="AE104" s="89" t="s">
        <v>288</v>
      </c>
      <c r="AF104" s="90">
        <v>367</v>
      </c>
      <c r="AG104" s="90">
        <v>45511</v>
      </c>
      <c r="AH104" s="90">
        <v>46566</v>
      </c>
    </row>
    <row r="105" spans="1:37" x14ac:dyDescent="0.35">
      <c r="A105" s="89" t="str">
        <f t="shared" si="1"/>
        <v>00RF</v>
      </c>
      <c r="B105" s="89" t="s">
        <v>882</v>
      </c>
      <c r="C105" s="89" t="s">
        <v>883</v>
      </c>
      <c r="D105" s="89" t="s">
        <v>134</v>
      </c>
      <c r="E105" s="89" t="s">
        <v>884</v>
      </c>
      <c r="F105" s="89" t="s">
        <v>1546</v>
      </c>
      <c r="G105" s="89" t="s">
        <v>70</v>
      </c>
      <c r="H105" s="89" t="s">
        <v>70</v>
      </c>
      <c r="I105" s="89" t="s">
        <v>1559</v>
      </c>
      <c r="J105" s="89">
        <v>1</v>
      </c>
      <c r="K105" s="89" t="s">
        <v>53</v>
      </c>
      <c r="L105" s="89" t="s">
        <v>1548</v>
      </c>
      <c r="M105" s="91"/>
      <c r="N105" s="89" t="s">
        <v>1549</v>
      </c>
      <c r="O105" s="89" t="s">
        <v>615</v>
      </c>
      <c r="P105" s="89" t="s">
        <v>1550</v>
      </c>
      <c r="Q105" s="89" t="s">
        <v>629</v>
      </c>
      <c r="R105" s="89">
        <v>24</v>
      </c>
      <c r="S105" s="89" t="s">
        <v>1551</v>
      </c>
      <c r="T105" s="89" t="s">
        <v>1558</v>
      </c>
      <c r="U105" s="89" t="s">
        <v>1552</v>
      </c>
      <c r="V105" s="89" t="s">
        <v>1561</v>
      </c>
      <c r="W105" s="89" t="s">
        <v>628</v>
      </c>
      <c r="X105" s="89" t="s">
        <v>117</v>
      </c>
      <c r="Y105" s="89" t="s">
        <v>619</v>
      </c>
      <c r="Z105" s="89" t="s">
        <v>68</v>
      </c>
      <c r="AA105" s="89" t="s">
        <v>67</v>
      </c>
      <c r="AB105" s="89">
        <v>1</v>
      </c>
      <c r="AC105" s="89">
        <v>6</v>
      </c>
      <c r="AD105" s="89">
        <v>1</v>
      </c>
      <c r="AE105" s="89" t="s">
        <v>288</v>
      </c>
      <c r="AF105" s="90">
        <v>367</v>
      </c>
      <c r="AG105" s="90">
        <v>45302</v>
      </c>
      <c r="AH105" s="90">
        <v>46721</v>
      </c>
    </row>
    <row r="106" spans="1:37" x14ac:dyDescent="0.35">
      <c r="A106" s="89" t="str">
        <f t="shared" si="1"/>
        <v>00RR</v>
      </c>
      <c r="B106" s="89" t="s">
        <v>885</v>
      </c>
      <c r="C106" s="89" t="s">
        <v>886</v>
      </c>
      <c r="D106" s="89" t="s">
        <v>139</v>
      </c>
      <c r="E106" s="89" t="s">
        <v>887</v>
      </c>
      <c r="F106" s="89" t="s">
        <v>1546</v>
      </c>
      <c r="G106" s="89" t="s">
        <v>70</v>
      </c>
      <c r="H106" s="89" t="s">
        <v>70</v>
      </c>
      <c r="I106" s="89" t="s">
        <v>1636</v>
      </c>
      <c r="J106" s="89">
        <v>0</v>
      </c>
      <c r="K106" s="89" t="s">
        <v>53</v>
      </c>
      <c r="L106" s="89" t="s">
        <v>1548</v>
      </c>
      <c r="M106" s="91"/>
      <c r="N106" s="89" t="s">
        <v>1549</v>
      </c>
      <c r="O106" s="89" t="s">
        <v>615</v>
      </c>
      <c r="P106" s="89" t="s">
        <v>1550</v>
      </c>
      <c r="Q106" s="89" t="s">
        <v>629</v>
      </c>
      <c r="R106" s="89">
        <v>24</v>
      </c>
      <c r="S106" s="89" t="s">
        <v>1551</v>
      </c>
      <c r="T106" s="89" t="s">
        <v>1558</v>
      </c>
      <c r="U106" s="89" t="s">
        <v>1552</v>
      </c>
      <c r="V106" s="89" t="s">
        <v>1561</v>
      </c>
      <c r="W106" s="89" t="s">
        <v>628</v>
      </c>
      <c r="X106" s="89" t="s">
        <v>117</v>
      </c>
      <c r="Y106" s="89" t="s">
        <v>619</v>
      </c>
      <c r="Z106" s="89" t="s">
        <v>68</v>
      </c>
      <c r="AA106" s="89" t="s">
        <v>67</v>
      </c>
      <c r="AB106" s="89">
        <v>1</v>
      </c>
      <c r="AC106" s="89">
        <v>6</v>
      </c>
      <c r="AD106" s="89">
        <v>1</v>
      </c>
      <c r="AE106" s="89" t="s">
        <v>288</v>
      </c>
      <c r="AF106" s="90">
        <v>367</v>
      </c>
      <c r="AG106" s="90">
        <v>45625</v>
      </c>
      <c r="AH106" s="90">
        <v>46721</v>
      </c>
    </row>
    <row r="107" spans="1:37" x14ac:dyDescent="0.35">
      <c r="A107" s="89" t="str">
        <f t="shared" si="1"/>
        <v>681Z</v>
      </c>
      <c r="B107" s="89" t="s">
        <v>1166</v>
      </c>
      <c r="C107" s="89" t="s">
        <v>1167</v>
      </c>
      <c r="D107" s="89" t="s">
        <v>354</v>
      </c>
      <c r="E107" s="89" t="s">
        <v>1168</v>
      </c>
      <c r="F107" s="89" t="s">
        <v>1546</v>
      </c>
      <c r="G107" s="89" t="s">
        <v>70</v>
      </c>
      <c r="H107" s="89" t="s">
        <v>70</v>
      </c>
      <c r="I107" s="89" t="s">
        <v>1560</v>
      </c>
      <c r="J107" s="89">
        <v>1</v>
      </c>
      <c r="K107" s="89" t="s">
        <v>53</v>
      </c>
      <c r="L107" s="89" t="s">
        <v>1548</v>
      </c>
      <c r="M107" s="91"/>
      <c r="N107" s="89" t="s">
        <v>1549</v>
      </c>
      <c r="O107" s="89" t="s">
        <v>615</v>
      </c>
      <c r="P107" s="89" t="s">
        <v>1550</v>
      </c>
      <c r="Q107" s="89" t="s">
        <v>629</v>
      </c>
      <c r="R107" s="89">
        <v>24</v>
      </c>
      <c r="S107" s="89" t="s">
        <v>1551</v>
      </c>
      <c r="T107" s="89" t="s">
        <v>1551</v>
      </c>
      <c r="U107" s="89" t="s">
        <v>1552</v>
      </c>
      <c r="V107" s="89" t="s">
        <v>1561</v>
      </c>
      <c r="W107" s="89" t="s">
        <v>644</v>
      </c>
      <c r="X107" s="89" t="s">
        <v>102</v>
      </c>
      <c r="Y107" s="89" t="s">
        <v>619</v>
      </c>
      <c r="Z107" s="89" t="s">
        <v>68</v>
      </c>
      <c r="AA107" s="89" t="s">
        <v>67</v>
      </c>
      <c r="AB107" s="89">
        <v>1</v>
      </c>
      <c r="AC107" s="89">
        <v>6</v>
      </c>
      <c r="AD107" s="89">
        <v>1</v>
      </c>
      <c r="AE107" s="89" t="s">
        <v>210</v>
      </c>
      <c r="AF107" s="90">
        <v>367</v>
      </c>
      <c r="AG107" s="90">
        <v>45698</v>
      </c>
      <c r="AH107" s="90">
        <v>46793</v>
      </c>
    </row>
    <row r="108" spans="1:37" x14ac:dyDescent="0.35">
      <c r="A108" s="89" t="str">
        <f t="shared" si="1"/>
        <v>00H1</v>
      </c>
      <c r="B108" s="89" t="s">
        <v>854</v>
      </c>
      <c r="C108" s="89" t="s">
        <v>855</v>
      </c>
      <c r="D108" s="89" t="s">
        <v>108</v>
      </c>
      <c r="E108" s="89" t="s">
        <v>856</v>
      </c>
      <c r="F108" s="89" t="s">
        <v>1546</v>
      </c>
      <c r="G108" s="89" t="s">
        <v>70</v>
      </c>
      <c r="H108" s="89" t="s">
        <v>70</v>
      </c>
      <c r="I108" s="91"/>
      <c r="J108" s="89">
        <v>0</v>
      </c>
      <c r="K108" s="89" t="s">
        <v>53</v>
      </c>
      <c r="L108" s="89" t="s">
        <v>1548</v>
      </c>
      <c r="M108" s="91"/>
      <c r="N108" s="89" t="s">
        <v>1549</v>
      </c>
      <c r="O108" s="89" t="s">
        <v>615</v>
      </c>
      <c r="P108" s="89" t="s">
        <v>1550</v>
      </c>
      <c r="Q108" s="89" t="s">
        <v>629</v>
      </c>
      <c r="R108" s="89">
        <v>24</v>
      </c>
      <c r="S108" s="89" t="s">
        <v>1551</v>
      </c>
      <c r="T108" s="89" t="s">
        <v>1551</v>
      </c>
      <c r="U108" s="89" t="s">
        <v>1552</v>
      </c>
      <c r="V108" s="89" t="s">
        <v>1561</v>
      </c>
      <c r="W108" s="89" t="s">
        <v>644</v>
      </c>
      <c r="X108" s="89" t="s">
        <v>102</v>
      </c>
      <c r="Y108" s="89" t="s">
        <v>619</v>
      </c>
      <c r="Z108" s="89" t="s">
        <v>68</v>
      </c>
      <c r="AA108" s="89" t="s">
        <v>67</v>
      </c>
      <c r="AB108" s="89">
        <v>1</v>
      </c>
      <c r="AC108" s="89">
        <v>6</v>
      </c>
      <c r="AD108" s="89">
        <v>1</v>
      </c>
      <c r="AE108" s="89" t="s">
        <v>210</v>
      </c>
      <c r="AF108" s="90">
        <v>367</v>
      </c>
      <c r="AG108" s="90">
        <v>45698</v>
      </c>
      <c r="AH108" s="90">
        <v>46793</v>
      </c>
    </row>
    <row r="109" spans="1:37" x14ac:dyDescent="0.35">
      <c r="A109" s="89" t="str">
        <f t="shared" si="1"/>
        <v>00E5</v>
      </c>
      <c r="B109" s="89" t="s">
        <v>1638</v>
      </c>
      <c r="C109" s="89" t="s">
        <v>1639</v>
      </c>
      <c r="D109" s="89" t="s">
        <v>103</v>
      </c>
      <c r="E109" s="89" t="s">
        <v>1640</v>
      </c>
      <c r="F109" s="89" t="s">
        <v>1546</v>
      </c>
      <c r="G109" s="89" t="s">
        <v>70</v>
      </c>
      <c r="H109" s="89" t="s">
        <v>70</v>
      </c>
      <c r="I109" s="91"/>
      <c r="J109" s="89">
        <v>0</v>
      </c>
      <c r="K109" s="89" t="s">
        <v>53</v>
      </c>
      <c r="L109" s="89" t="s">
        <v>1548</v>
      </c>
      <c r="M109" s="91"/>
      <c r="N109" s="89" t="s">
        <v>1549</v>
      </c>
      <c r="O109" s="89" t="s">
        <v>615</v>
      </c>
      <c r="P109" s="89" t="s">
        <v>1550</v>
      </c>
      <c r="Q109" s="89" t="s">
        <v>629</v>
      </c>
      <c r="R109" s="89">
        <v>24</v>
      </c>
      <c r="S109" s="89" t="s">
        <v>1551</v>
      </c>
      <c r="T109" s="89" t="s">
        <v>1551</v>
      </c>
      <c r="U109" s="89" t="s">
        <v>1552</v>
      </c>
      <c r="V109" s="89" t="s">
        <v>1561</v>
      </c>
      <c r="W109" s="89" t="s">
        <v>644</v>
      </c>
      <c r="X109" s="89" t="s">
        <v>102</v>
      </c>
      <c r="Y109" s="89" t="s">
        <v>619</v>
      </c>
      <c r="Z109" s="89" t="s">
        <v>68</v>
      </c>
      <c r="AA109" s="89" t="s">
        <v>67</v>
      </c>
      <c r="AB109" s="89">
        <v>1</v>
      </c>
      <c r="AC109" s="89">
        <v>6</v>
      </c>
      <c r="AD109" s="89">
        <v>1</v>
      </c>
      <c r="AE109" s="89" t="s">
        <v>210</v>
      </c>
      <c r="AF109" s="90">
        <v>367</v>
      </c>
      <c r="AG109" s="90">
        <v>45698</v>
      </c>
      <c r="AH109" s="90">
        <v>46793</v>
      </c>
    </row>
    <row r="110" spans="1:37" x14ac:dyDescent="0.35">
      <c r="A110" s="89" t="str">
        <f t="shared" si="1"/>
        <v>470E</v>
      </c>
      <c r="B110" s="89" t="s">
        <v>1641</v>
      </c>
      <c r="C110" s="89" t="s">
        <v>1642</v>
      </c>
      <c r="D110" s="89" t="s">
        <v>270</v>
      </c>
      <c r="E110" s="89" t="s">
        <v>1643</v>
      </c>
      <c r="F110" s="89" t="s">
        <v>1546</v>
      </c>
      <c r="G110" s="89" t="s">
        <v>70</v>
      </c>
      <c r="H110" s="89" t="s">
        <v>70</v>
      </c>
      <c r="I110" s="89" t="s">
        <v>1547</v>
      </c>
      <c r="J110" s="89">
        <v>0</v>
      </c>
      <c r="K110" s="89" t="s">
        <v>53</v>
      </c>
      <c r="L110" s="89" t="s">
        <v>1548</v>
      </c>
      <c r="M110" s="91"/>
      <c r="N110" s="89" t="s">
        <v>1549</v>
      </c>
      <c r="O110" s="89" t="s">
        <v>615</v>
      </c>
      <c r="P110" s="89" t="s">
        <v>1550</v>
      </c>
      <c r="Q110" s="89" t="s">
        <v>629</v>
      </c>
      <c r="R110" s="89">
        <v>24</v>
      </c>
      <c r="S110" s="89" t="s">
        <v>1551</v>
      </c>
      <c r="T110" s="89" t="s">
        <v>1558</v>
      </c>
      <c r="U110" s="89" t="s">
        <v>1552</v>
      </c>
      <c r="V110" s="89" t="s">
        <v>1561</v>
      </c>
      <c r="W110" s="89" t="s">
        <v>644</v>
      </c>
      <c r="X110" s="89" t="s">
        <v>102</v>
      </c>
      <c r="Y110" s="89" t="s">
        <v>619</v>
      </c>
      <c r="Z110" s="89" t="s">
        <v>68</v>
      </c>
      <c r="AA110" s="89" t="s">
        <v>67</v>
      </c>
      <c r="AB110" s="89">
        <v>1</v>
      </c>
      <c r="AC110" s="89">
        <v>6</v>
      </c>
      <c r="AD110" s="89">
        <v>1</v>
      </c>
      <c r="AE110" s="89" t="s">
        <v>288</v>
      </c>
      <c r="AF110" s="90">
        <v>367</v>
      </c>
      <c r="AG110" s="90">
        <v>45699</v>
      </c>
      <c r="AH110" s="90">
        <v>46811</v>
      </c>
    </row>
    <row r="111" spans="1:37" x14ac:dyDescent="0.35">
      <c r="A111" s="89" t="str">
        <f t="shared" si="1"/>
        <v>00UD</v>
      </c>
      <c r="B111" s="89" t="s">
        <v>1644</v>
      </c>
      <c r="C111" s="89" t="s">
        <v>1645</v>
      </c>
      <c r="D111" s="89" t="s">
        <v>148</v>
      </c>
      <c r="E111" s="89" t="s">
        <v>1646</v>
      </c>
      <c r="F111" s="89" t="s">
        <v>1546</v>
      </c>
      <c r="G111" s="89" t="s">
        <v>70</v>
      </c>
      <c r="H111" s="89" t="s">
        <v>70</v>
      </c>
      <c r="I111" s="91"/>
      <c r="J111" s="89">
        <v>0</v>
      </c>
      <c r="K111" s="89" t="s">
        <v>53</v>
      </c>
      <c r="L111" s="89" t="s">
        <v>1548</v>
      </c>
      <c r="M111" s="91"/>
      <c r="N111" s="89" t="s">
        <v>1549</v>
      </c>
      <c r="O111" s="89" t="s">
        <v>615</v>
      </c>
      <c r="P111" s="89" t="s">
        <v>1550</v>
      </c>
      <c r="Q111" s="89" t="s">
        <v>629</v>
      </c>
      <c r="R111" s="89">
        <v>24</v>
      </c>
      <c r="S111" s="89" t="s">
        <v>1551</v>
      </c>
      <c r="T111" s="89" t="s">
        <v>1558</v>
      </c>
      <c r="U111" s="89" t="s">
        <v>1552</v>
      </c>
      <c r="V111" s="89" t="s">
        <v>1561</v>
      </c>
      <c r="W111" s="89" t="s">
        <v>644</v>
      </c>
      <c r="X111" s="89" t="s">
        <v>102</v>
      </c>
      <c r="Y111" s="89" t="s">
        <v>619</v>
      </c>
      <c r="Z111" s="89" t="s">
        <v>68</v>
      </c>
      <c r="AA111" s="89" t="s">
        <v>67</v>
      </c>
      <c r="AB111" s="89">
        <v>1</v>
      </c>
      <c r="AC111" s="89">
        <v>6</v>
      </c>
      <c r="AD111" s="89">
        <v>1</v>
      </c>
      <c r="AE111" s="89" t="s">
        <v>288</v>
      </c>
      <c r="AF111" s="90">
        <v>367</v>
      </c>
      <c r="AG111" s="90">
        <v>45699</v>
      </c>
      <c r="AH111" s="90">
        <v>46811</v>
      </c>
    </row>
    <row r="112" spans="1:37" x14ac:dyDescent="0.35">
      <c r="A112" s="89" t="str">
        <f t="shared" si="1"/>
        <v>4102</v>
      </c>
      <c r="B112" s="89" t="s">
        <v>1647</v>
      </c>
      <c r="C112" s="89" t="s">
        <v>1648</v>
      </c>
      <c r="D112" s="89" t="s">
        <v>261</v>
      </c>
      <c r="E112" s="89" t="s">
        <v>1649</v>
      </c>
      <c r="F112" s="89" t="s">
        <v>1546</v>
      </c>
      <c r="G112" s="89" t="s">
        <v>70</v>
      </c>
      <c r="H112" s="89" t="s">
        <v>70</v>
      </c>
      <c r="I112" s="91"/>
      <c r="J112" s="89">
        <v>0</v>
      </c>
      <c r="K112" s="89" t="s">
        <v>53</v>
      </c>
      <c r="L112" s="89" t="s">
        <v>1548</v>
      </c>
      <c r="M112" s="91"/>
      <c r="N112" s="89" t="s">
        <v>1549</v>
      </c>
      <c r="O112" s="89" t="s">
        <v>615</v>
      </c>
      <c r="P112" s="89" t="s">
        <v>1550</v>
      </c>
      <c r="Q112" s="89" t="s">
        <v>629</v>
      </c>
      <c r="R112" s="89">
        <v>24</v>
      </c>
      <c r="S112" s="89" t="s">
        <v>1551</v>
      </c>
      <c r="T112" s="89" t="s">
        <v>1558</v>
      </c>
      <c r="U112" s="89" t="s">
        <v>1552</v>
      </c>
      <c r="V112" s="89" t="s">
        <v>1561</v>
      </c>
      <c r="W112" s="89" t="s">
        <v>644</v>
      </c>
      <c r="X112" s="89" t="s">
        <v>102</v>
      </c>
      <c r="Y112" s="89" t="s">
        <v>619</v>
      </c>
      <c r="Z112" s="89" t="s">
        <v>68</v>
      </c>
      <c r="AA112" s="89" t="s">
        <v>67</v>
      </c>
      <c r="AB112" s="89">
        <v>1</v>
      </c>
      <c r="AC112" s="89">
        <v>6</v>
      </c>
      <c r="AD112" s="89">
        <v>1</v>
      </c>
      <c r="AE112" s="89" t="s">
        <v>288</v>
      </c>
      <c r="AF112" s="90">
        <v>367</v>
      </c>
      <c r="AG112" s="90">
        <v>45699</v>
      </c>
      <c r="AH112" s="90">
        <v>46811</v>
      </c>
    </row>
    <row r="113" spans="1:34" x14ac:dyDescent="0.35">
      <c r="A113" s="89" t="str">
        <f t="shared" si="1"/>
        <v>066L</v>
      </c>
      <c r="B113" s="89" t="s">
        <v>1650</v>
      </c>
      <c r="C113" s="89" t="s">
        <v>1651</v>
      </c>
      <c r="D113" s="89" t="s">
        <v>187</v>
      </c>
      <c r="E113" s="89" t="s">
        <v>1652</v>
      </c>
      <c r="F113" s="89" t="s">
        <v>1546</v>
      </c>
      <c r="G113" s="89" t="s">
        <v>70</v>
      </c>
      <c r="H113" s="89" t="s">
        <v>70</v>
      </c>
      <c r="I113" s="91"/>
      <c r="J113" s="89">
        <v>0</v>
      </c>
      <c r="K113" s="89" t="s">
        <v>53</v>
      </c>
      <c r="L113" s="89" t="s">
        <v>1548</v>
      </c>
      <c r="M113" s="91"/>
      <c r="N113" s="89" t="s">
        <v>1549</v>
      </c>
      <c r="O113" s="89" t="s">
        <v>615</v>
      </c>
      <c r="P113" s="89" t="s">
        <v>1550</v>
      </c>
      <c r="Q113" s="89" t="s">
        <v>629</v>
      </c>
      <c r="R113" s="89">
        <v>24</v>
      </c>
      <c r="S113" s="89" t="s">
        <v>1551</v>
      </c>
      <c r="T113" s="89" t="s">
        <v>1558</v>
      </c>
      <c r="U113" s="89" t="s">
        <v>1552</v>
      </c>
      <c r="V113" s="89" t="s">
        <v>1561</v>
      </c>
      <c r="W113" s="89" t="s">
        <v>644</v>
      </c>
      <c r="X113" s="89" t="s">
        <v>102</v>
      </c>
      <c r="Y113" s="89" t="s">
        <v>619</v>
      </c>
      <c r="Z113" s="89" t="s">
        <v>68</v>
      </c>
      <c r="AA113" s="89" t="s">
        <v>67</v>
      </c>
      <c r="AB113" s="89">
        <v>1</v>
      </c>
      <c r="AC113" s="89">
        <v>6</v>
      </c>
      <c r="AD113" s="89">
        <v>1</v>
      </c>
      <c r="AE113" s="89" t="s">
        <v>288</v>
      </c>
      <c r="AF113" s="90">
        <v>367</v>
      </c>
      <c r="AG113" s="90">
        <v>45700</v>
      </c>
      <c r="AH113" s="90">
        <v>46811</v>
      </c>
    </row>
    <row r="114" spans="1:34" x14ac:dyDescent="0.35">
      <c r="A114" s="89" t="str">
        <f t="shared" si="1"/>
        <v>2045</v>
      </c>
      <c r="B114" s="89" t="s">
        <v>988</v>
      </c>
      <c r="C114" s="89" t="s">
        <v>989</v>
      </c>
      <c r="D114" s="89" t="s">
        <v>211</v>
      </c>
      <c r="E114" s="89" t="s">
        <v>1653</v>
      </c>
      <c r="F114" s="89" t="s">
        <v>1546</v>
      </c>
      <c r="G114" s="89" t="s">
        <v>70</v>
      </c>
      <c r="H114" s="89" t="s">
        <v>70</v>
      </c>
      <c r="I114" s="89" t="s">
        <v>1654</v>
      </c>
      <c r="J114" s="89">
        <v>0</v>
      </c>
      <c r="K114" s="89" t="s">
        <v>53</v>
      </c>
      <c r="L114" s="89" t="s">
        <v>1548</v>
      </c>
      <c r="M114" s="91"/>
      <c r="N114" s="89" t="s">
        <v>1549</v>
      </c>
      <c r="O114" s="89" t="s">
        <v>615</v>
      </c>
      <c r="P114" s="89" t="s">
        <v>1550</v>
      </c>
      <c r="Q114" s="89" t="s">
        <v>629</v>
      </c>
      <c r="R114" s="89">
        <v>24</v>
      </c>
      <c r="S114" s="89" t="s">
        <v>1551</v>
      </c>
      <c r="T114" s="89" t="s">
        <v>1558</v>
      </c>
      <c r="U114" s="89" t="s">
        <v>1552</v>
      </c>
      <c r="V114" s="89" t="s">
        <v>1561</v>
      </c>
      <c r="W114" s="89" t="s">
        <v>628</v>
      </c>
      <c r="X114" s="89" t="s">
        <v>117</v>
      </c>
      <c r="Y114" s="89" t="s">
        <v>619</v>
      </c>
      <c r="Z114" s="89" t="s">
        <v>68</v>
      </c>
      <c r="AA114" s="89" t="s">
        <v>67</v>
      </c>
      <c r="AB114" s="89">
        <v>1</v>
      </c>
      <c r="AC114" s="89">
        <v>6</v>
      </c>
      <c r="AD114" s="89">
        <v>1</v>
      </c>
      <c r="AE114" s="89" t="s">
        <v>288</v>
      </c>
      <c r="AF114" s="90">
        <v>367</v>
      </c>
      <c r="AG114" s="90">
        <v>45700</v>
      </c>
      <c r="AH114" s="90">
        <v>46811</v>
      </c>
    </row>
    <row r="115" spans="1:34" x14ac:dyDescent="0.35">
      <c r="A115" s="89" t="str">
        <f t="shared" si="1"/>
        <v>3353</v>
      </c>
      <c r="B115" s="89" t="s">
        <v>1030</v>
      </c>
      <c r="C115" s="89" t="s">
        <v>1031</v>
      </c>
      <c r="D115" s="89" t="s">
        <v>236</v>
      </c>
      <c r="E115" s="89" t="s">
        <v>1655</v>
      </c>
      <c r="F115" s="89" t="s">
        <v>1546</v>
      </c>
      <c r="G115" s="89" t="s">
        <v>70</v>
      </c>
      <c r="H115" s="89" t="s">
        <v>70</v>
      </c>
      <c r="I115" s="89" t="s">
        <v>1547</v>
      </c>
      <c r="J115" s="89">
        <v>0</v>
      </c>
      <c r="K115" s="89" t="s">
        <v>53</v>
      </c>
      <c r="L115" s="89" t="s">
        <v>1548</v>
      </c>
      <c r="M115" s="91"/>
      <c r="N115" s="89" t="s">
        <v>1549</v>
      </c>
      <c r="O115" s="89" t="s">
        <v>615</v>
      </c>
      <c r="P115" s="89" t="s">
        <v>1550</v>
      </c>
      <c r="Q115" s="89" t="s">
        <v>629</v>
      </c>
      <c r="R115" s="89">
        <v>24</v>
      </c>
      <c r="S115" s="89" t="s">
        <v>1551</v>
      </c>
      <c r="T115" s="89" t="s">
        <v>1558</v>
      </c>
      <c r="U115" s="89" t="s">
        <v>1552</v>
      </c>
      <c r="V115" s="89" t="s">
        <v>1561</v>
      </c>
      <c r="W115" s="89" t="s">
        <v>628</v>
      </c>
      <c r="X115" s="89" t="s">
        <v>117</v>
      </c>
      <c r="Y115" s="89" t="s">
        <v>619</v>
      </c>
      <c r="Z115" s="89" t="s">
        <v>68</v>
      </c>
      <c r="AA115" s="89" t="s">
        <v>67</v>
      </c>
      <c r="AB115" s="89">
        <v>1</v>
      </c>
      <c r="AC115" s="89">
        <v>6</v>
      </c>
      <c r="AD115" s="89">
        <v>1</v>
      </c>
      <c r="AE115" s="89" t="s">
        <v>288</v>
      </c>
      <c r="AF115" s="90">
        <v>367</v>
      </c>
      <c r="AG115" s="90">
        <v>45700</v>
      </c>
      <c r="AH115" s="90">
        <v>46811</v>
      </c>
    </row>
    <row r="116" spans="1:34" x14ac:dyDescent="0.35">
      <c r="A116" s="89" t="str">
        <f t="shared" si="1"/>
        <v>066J</v>
      </c>
      <c r="B116" s="89" t="s">
        <v>1502</v>
      </c>
      <c r="C116" s="89" t="s">
        <v>1656</v>
      </c>
      <c r="D116" s="89" t="s">
        <v>186</v>
      </c>
      <c r="E116" s="89" t="s">
        <v>1657</v>
      </c>
      <c r="F116" s="89" t="s">
        <v>1546</v>
      </c>
      <c r="G116" s="89" t="s">
        <v>70</v>
      </c>
      <c r="H116" s="89" t="s">
        <v>70</v>
      </c>
      <c r="I116" s="91"/>
      <c r="J116" s="89">
        <v>0</v>
      </c>
      <c r="K116" s="89" t="s">
        <v>53</v>
      </c>
      <c r="L116" s="89" t="s">
        <v>1548</v>
      </c>
      <c r="M116" s="91"/>
      <c r="N116" s="89" t="s">
        <v>1549</v>
      </c>
      <c r="O116" s="89" t="s">
        <v>615</v>
      </c>
      <c r="P116" s="89" t="s">
        <v>1550</v>
      </c>
      <c r="Q116" s="89" t="s">
        <v>629</v>
      </c>
      <c r="R116" s="89">
        <v>24</v>
      </c>
      <c r="S116" s="89" t="s">
        <v>1551</v>
      </c>
      <c r="T116" s="89" t="s">
        <v>1551</v>
      </c>
      <c r="U116" s="89" t="s">
        <v>1552</v>
      </c>
      <c r="V116" s="89" t="s">
        <v>1561</v>
      </c>
      <c r="W116" s="89" t="s">
        <v>628</v>
      </c>
      <c r="X116" s="89" t="s">
        <v>117</v>
      </c>
      <c r="Y116" s="89" t="s">
        <v>619</v>
      </c>
      <c r="Z116" s="89" t="s">
        <v>68</v>
      </c>
      <c r="AA116" s="89" t="s">
        <v>67</v>
      </c>
      <c r="AB116" s="89">
        <v>1</v>
      </c>
      <c r="AC116" s="89">
        <v>6</v>
      </c>
      <c r="AD116" s="89">
        <v>1</v>
      </c>
      <c r="AE116" s="89" t="s">
        <v>210</v>
      </c>
      <c r="AF116" s="90">
        <v>367</v>
      </c>
      <c r="AG116" s="90">
        <v>45701</v>
      </c>
      <c r="AH116" s="90">
        <v>46796</v>
      </c>
    </row>
    <row r="117" spans="1:34" x14ac:dyDescent="0.35">
      <c r="A117" s="89" t="str">
        <f t="shared" si="1"/>
        <v>074Z</v>
      </c>
      <c r="B117" s="89" t="s">
        <v>1658</v>
      </c>
      <c r="C117" s="89" t="s">
        <v>1659</v>
      </c>
      <c r="D117" s="89" t="s">
        <v>192</v>
      </c>
      <c r="E117" s="89" t="s">
        <v>1660</v>
      </c>
      <c r="F117" s="89" t="s">
        <v>1546</v>
      </c>
      <c r="G117" s="89" t="s">
        <v>70</v>
      </c>
      <c r="H117" s="89" t="s">
        <v>70</v>
      </c>
      <c r="I117" s="91"/>
      <c r="J117" s="89">
        <v>0</v>
      </c>
      <c r="K117" s="89" t="s">
        <v>53</v>
      </c>
      <c r="L117" s="89" t="s">
        <v>1548</v>
      </c>
      <c r="M117" s="91"/>
      <c r="N117" s="89" t="s">
        <v>1549</v>
      </c>
      <c r="O117" s="89" t="s">
        <v>615</v>
      </c>
      <c r="P117" s="89" t="s">
        <v>1550</v>
      </c>
      <c r="Q117" s="89" t="s">
        <v>629</v>
      </c>
      <c r="R117" s="89">
        <v>24</v>
      </c>
      <c r="S117" s="89" t="s">
        <v>1551</v>
      </c>
      <c r="T117" s="89" t="s">
        <v>1551</v>
      </c>
      <c r="U117" s="89" t="s">
        <v>1552</v>
      </c>
      <c r="V117" s="89" t="s">
        <v>1561</v>
      </c>
      <c r="W117" s="89" t="s">
        <v>663</v>
      </c>
      <c r="X117" s="89" t="s">
        <v>78</v>
      </c>
      <c r="Y117" s="89" t="s">
        <v>619</v>
      </c>
      <c r="Z117" s="89" t="s">
        <v>68</v>
      </c>
      <c r="AA117" s="89" t="s">
        <v>67</v>
      </c>
      <c r="AB117" s="89">
        <v>1</v>
      </c>
      <c r="AC117" s="89">
        <v>6</v>
      </c>
      <c r="AD117" s="89">
        <v>1</v>
      </c>
      <c r="AE117" s="89" t="s">
        <v>288</v>
      </c>
      <c r="AF117" s="90">
        <v>367</v>
      </c>
      <c r="AG117" s="90">
        <v>45702</v>
      </c>
      <c r="AH117" s="90">
        <v>46598</v>
      </c>
    </row>
    <row r="118" spans="1:34" x14ac:dyDescent="0.35">
      <c r="A118" s="89" t="str">
        <f t="shared" si="1"/>
        <v>472Y</v>
      </c>
      <c r="B118" s="89" t="s">
        <v>1661</v>
      </c>
      <c r="C118" s="89" t="s">
        <v>1662</v>
      </c>
      <c r="D118" s="89" t="s">
        <v>271</v>
      </c>
      <c r="E118" s="89" t="s">
        <v>1663</v>
      </c>
      <c r="F118" s="89" t="s">
        <v>1546</v>
      </c>
      <c r="G118" s="89" t="s">
        <v>70</v>
      </c>
      <c r="H118" s="89" t="s">
        <v>70</v>
      </c>
      <c r="I118" s="91"/>
      <c r="J118" s="89">
        <v>0</v>
      </c>
      <c r="K118" s="89" t="s">
        <v>53</v>
      </c>
      <c r="L118" s="89" t="s">
        <v>1548</v>
      </c>
      <c r="M118" s="91"/>
      <c r="N118" s="89" t="s">
        <v>1549</v>
      </c>
      <c r="O118" s="89" t="s">
        <v>615</v>
      </c>
      <c r="P118" s="89" t="s">
        <v>1550</v>
      </c>
      <c r="Q118" s="89" t="s">
        <v>629</v>
      </c>
      <c r="R118" s="89">
        <v>24</v>
      </c>
      <c r="S118" s="89" t="s">
        <v>1551</v>
      </c>
      <c r="T118" s="89" t="s">
        <v>1551</v>
      </c>
      <c r="U118" s="89" t="s">
        <v>1552</v>
      </c>
      <c r="V118" s="89" t="s">
        <v>1561</v>
      </c>
      <c r="W118" s="89" t="s">
        <v>656</v>
      </c>
      <c r="X118" s="89" t="s">
        <v>92</v>
      </c>
      <c r="Y118" s="89" t="s">
        <v>619</v>
      </c>
      <c r="Z118" s="89" t="s">
        <v>68</v>
      </c>
      <c r="AA118" s="89" t="s">
        <v>67</v>
      </c>
      <c r="AB118" s="89">
        <v>1</v>
      </c>
      <c r="AC118" s="89">
        <v>6</v>
      </c>
      <c r="AD118" s="89">
        <v>1</v>
      </c>
      <c r="AE118" s="89" t="s">
        <v>288</v>
      </c>
      <c r="AF118" s="90">
        <v>367</v>
      </c>
      <c r="AG118" s="90">
        <v>45702</v>
      </c>
      <c r="AH118" s="90">
        <v>46598</v>
      </c>
    </row>
    <row r="119" spans="1:34" x14ac:dyDescent="0.35">
      <c r="A119" s="89" t="str">
        <f t="shared" si="1"/>
        <v>695L</v>
      </c>
      <c r="B119" s="89" t="s">
        <v>1205</v>
      </c>
      <c r="C119" s="89" t="s">
        <v>1206</v>
      </c>
      <c r="D119" s="89" t="s">
        <v>387</v>
      </c>
      <c r="E119" s="89" t="s">
        <v>1207</v>
      </c>
      <c r="F119" s="89" t="s">
        <v>1546</v>
      </c>
      <c r="G119" s="89" t="s">
        <v>70</v>
      </c>
      <c r="H119" s="89" t="s">
        <v>70</v>
      </c>
      <c r="I119" s="91"/>
      <c r="J119" s="89">
        <v>0</v>
      </c>
      <c r="K119" s="89" t="s">
        <v>53</v>
      </c>
      <c r="L119" s="89" t="s">
        <v>1548</v>
      </c>
      <c r="M119" s="91"/>
      <c r="N119" s="89" t="s">
        <v>1549</v>
      </c>
      <c r="O119" s="89" t="s">
        <v>615</v>
      </c>
      <c r="P119" s="89" t="s">
        <v>1550</v>
      </c>
      <c r="Q119" s="89" t="s">
        <v>629</v>
      </c>
      <c r="R119" s="89">
        <v>24</v>
      </c>
      <c r="S119" s="89" t="s">
        <v>1551</v>
      </c>
      <c r="T119" s="89" t="s">
        <v>1551</v>
      </c>
      <c r="U119" s="89" t="s">
        <v>1552</v>
      </c>
      <c r="V119" s="89" t="s">
        <v>1561</v>
      </c>
      <c r="W119" s="89" t="s">
        <v>677</v>
      </c>
      <c r="X119" s="89" t="s">
        <v>66</v>
      </c>
      <c r="Y119" s="89" t="s">
        <v>619</v>
      </c>
      <c r="Z119" s="89" t="s">
        <v>68</v>
      </c>
      <c r="AA119" s="89" t="s">
        <v>67</v>
      </c>
      <c r="AB119" s="89">
        <v>1</v>
      </c>
      <c r="AC119" s="89">
        <v>6</v>
      </c>
      <c r="AD119" s="89">
        <v>1</v>
      </c>
      <c r="AE119" s="89" t="s">
        <v>288</v>
      </c>
      <c r="AF119" s="90">
        <v>367</v>
      </c>
      <c r="AG119" s="90">
        <v>45702</v>
      </c>
      <c r="AH119" s="90">
        <v>46598</v>
      </c>
    </row>
    <row r="120" spans="1:34" x14ac:dyDescent="0.35">
      <c r="A120" s="89" t="str">
        <f t="shared" ref="A120:A171" si="5">LEFT(B120,LEN(B120)-3)</f>
        <v>017Q</v>
      </c>
      <c r="B120" s="89" t="s">
        <v>948</v>
      </c>
      <c r="C120" s="89" t="s">
        <v>949</v>
      </c>
      <c r="D120" s="89" t="s">
        <v>175</v>
      </c>
      <c r="E120" s="89" t="s">
        <v>950</v>
      </c>
      <c r="F120" s="89" t="s">
        <v>1546</v>
      </c>
      <c r="G120" s="89" t="s">
        <v>70</v>
      </c>
      <c r="H120" s="89" t="s">
        <v>70</v>
      </c>
      <c r="I120" s="89" t="s">
        <v>1547</v>
      </c>
      <c r="J120" s="89">
        <v>0</v>
      </c>
      <c r="K120" s="89" t="s">
        <v>53</v>
      </c>
      <c r="L120" s="89" t="s">
        <v>1548</v>
      </c>
      <c r="M120" s="91"/>
      <c r="N120" s="89" t="s">
        <v>1549</v>
      </c>
      <c r="O120" s="89" t="s">
        <v>615</v>
      </c>
      <c r="P120" s="89" t="s">
        <v>1550</v>
      </c>
      <c r="Q120" s="89" t="s">
        <v>629</v>
      </c>
      <c r="R120" s="89">
        <v>24</v>
      </c>
      <c r="S120" s="89" t="s">
        <v>1551</v>
      </c>
      <c r="T120" s="89" t="s">
        <v>1558</v>
      </c>
      <c r="U120" s="89" t="s">
        <v>1552</v>
      </c>
      <c r="V120" s="89" t="s">
        <v>1561</v>
      </c>
      <c r="W120" s="89" t="s">
        <v>645</v>
      </c>
      <c r="X120" s="89" t="s">
        <v>100</v>
      </c>
      <c r="Y120" s="89" t="s">
        <v>619</v>
      </c>
      <c r="Z120" s="89" t="s">
        <v>68</v>
      </c>
      <c r="AA120" s="89" t="s">
        <v>67</v>
      </c>
      <c r="AB120" s="89">
        <v>1</v>
      </c>
      <c r="AC120" s="89">
        <v>6</v>
      </c>
      <c r="AD120" s="89">
        <v>1</v>
      </c>
      <c r="AE120" s="89" t="s">
        <v>288</v>
      </c>
      <c r="AF120" s="90">
        <v>367</v>
      </c>
      <c r="AG120" s="90">
        <v>45706</v>
      </c>
      <c r="AH120" s="90">
        <v>46811</v>
      </c>
    </row>
    <row r="121" spans="1:34" x14ac:dyDescent="0.35">
      <c r="A121" s="89" t="str">
        <f t="shared" si="5"/>
        <v>0178</v>
      </c>
      <c r="B121" s="89" t="s">
        <v>942</v>
      </c>
      <c r="C121" s="89" t="s">
        <v>943</v>
      </c>
      <c r="D121" s="89" t="s">
        <v>172</v>
      </c>
      <c r="E121" s="89" t="s">
        <v>944</v>
      </c>
      <c r="F121" s="89" t="s">
        <v>1546</v>
      </c>
      <c r="G121" s="89" t="s">
        <v>70</v>
      </c>
      <c r="H121" s="89" t="s">
        <v>70</v>
      </c>
      <c r="I121" s="91"/>
      <c r="J121" s="89">
        <v>0</v>
      </c>
      <c r="K121" s="89" t="s">
        <v>53</v>
      </c>
      <c r="L121" s="89" t="s">
        <v>1548</v>
      </c>
      <c r="M121" s="91"/>
      <c r="N121" s="89" t="s">
        <v>1549</v>
      </c>
      <c r="O121" s="89" t="s">
        <v>615</v>
      </c>
      <c r="P121" s="89" t="s">
        <v>1550</v>
      </c>
      <c r="Q121" s="89" t="s">
        <v>629</v>
      </c>
      <c r="R121" s="89">
        <v>24</v>
      </c>
      <c r="S121" s="89" t="s">
        <v>1551</v>
      </c>
      <c r="T121" s="89" t="s">
        <v>1558</v>
      </c>
      <c r="U121" s="89" t="s">
        <v>1552</v>
      </c>
      <c r="V121" s="89" t="s">
        <v>1561</v>
      </c>
      <c r="W121" s="89" t="s">
        <v>645</v>
      </c>
      <c r="X121" s="89" t="s">
        <v>100</v>
      </c>
      <c r="Y121" s="89" t="s">
        <v>619</v>
      </c>
      <c r="Z121" s="89" t="s">
        <v>68</v>
      </c>
      <c r="AA121" s="89" t="s">
        <v>67</v>
      </c>
      <c r="AB121" s="89">
        <v>1</v>
      </c>
      <c r="AC121" s="89">
        <v>6</v>
      </c>
      <c r="AD121" s="89">
        <v>1</v>
      </c>
      <c r="AE121" s="89" t="s">
        <v>288</v>
      </c>
      <c r="AF121" s="90">
        <v>367</v>
      </c>
      <c r="AG121" s="90">
        <v>45706</v>
      </c>
      <c r="AH121" s="90">
        <v>46811</v>
      </c>
    </row>
    <row r="122" spans="1:34" x14ac:dyDescent="0.35">
      <c r="A122" s="89" t="str">
        <f t="shared" si="5"/>
        <v>031U</v>
      </c>
      <c r="B122" s="89" t="s">
        <v>1664</v>
      </c>
      <c r="C122" s="89" t="s">
        <v>1665</v>
      </c>
      <c r="D122" s="89" t="s">
        <v>178</v>
      </c>
      <c r="E122" s="89" t="s">
        <v>1666</v>
      </c>
      <c r="F122" s="89" t="s">
        <v>1546</v>
      </c>
      <c r="G122" s="89" t="s">
        <v>70</v>
      </c>
      <c r="H122" s="89" t="s">
        <v>70</v>
      </c>
      <c r="I122" s="89" t="s">
        <v>1547</v>
      </c>
      <c r="J122" s="89">
        <v>0</v>
      </c>
      <c r="K122" s="89" t="s">
        <v>53</v>
      </c>
      <c r="L122" s="89" t="s">
        <v>1548</v>
      </c>
      <c r="M122" s="91"/>
      <c r="N122" s="89" t="s">
        <v>1549</v>
      </c>
      <c r="O122" s="89" t="s">
        <v>615</v>
      </c>
      <c r="P122" s="89" t="s">
        <v>1550</v>
      </c>
      <c r="Q122" s="89" t="s">
        <v>629</v>
      </c>
      <c r="R122" s="89">
        <v>24</v>
      </c>
      <c r="S122" s="89" t="s">
        <v>1551</v>
      </c>
      <c r="T122" s="89" t="s">
        <v>1551</v>
      </c>
      <c r="U122" s="89" t="s">
        <v>1552</v>
      </c>
      <c r="V122" s="89" t="s">
        <v>1561</v>
      </c>
      <c r="W122" s="89" t="s">
        <v>663</v>
      </c>
      <c r="X122" s="89" t="s">
        <v>78</v>
      </c>
      <c r="Y122" s="89" t="s">
        <v>619</v>
      </c>
      <c r="Z122" s="89" t="s">
        <v>68</v>
      </c>
      <c r="AA122" s="89" t="s">
        <v>67</v>
      </c>
      <c r="AB122" s="89">
        <v>1</v>
      </c>
      <c r="AC122" s="89">
        <v>6</v>
      </c>
      <c r="AD122" s="89">
        <v>1</v>
      </c>
      <c r="AE122" s="89" t="s">
        <v>288</v>
      </c>
      <c r="AF122" s="90">
        <v>367</v>
      </c>
      <c r="AG122" s="90">
        <v>45706</v>
      </c>
      <c r="AH122" s="90">
        <v>46801</v>
      </c>
    </row>
    <row r="123" spans="1:34" x14ac:dyDescent="0.35">
      <c r="A123" s="89" t="str">
        <f t="shared" si="5"/>
        <v>439K</v>
      </c>
      <c r="B123" s="89" t="s">
        <v>1083</v>
      </c>
      <c r="C123" s="89" t="s">
        <v>1084</v>
      </c>
      <c r="D123" s="89" t="s">
        <v>266</v>
      </c>
      <c r="E123" s="89" t="s">
        <v>1085</v>
      </c>
      <c r="F123" s="89" t="s">
        <v>1546</v>
      </c>
      <c r="G123" s="89" t="s">
        <v>70</v>
      </c>
      <c r="H123" s="89" t="s">
        <v>70</v>
      </c>
      <c r="I123" s="89" t="s">
        <v>1547</v>
      </c>
      <c r="J123" s="89">
        <v>0</v>
      </c>
      <c r="K123" s="89" t="s">
        <v>53</v>
      </c>
      <c r="L123" s="89" t="s">
        <v>1548</v>
      </c>
      <c r="M123" s="91"/>
      <c r="N123" s="89" t="s">
        <v>1549</v>
      </c>
      <c r="O123" s="89" t="s">
        <v>615</v>
      </c>
      <c r="P123" s="89" t="s">
        <v>1550</v>
      </c>
      <c r="Q123" s="89" t="s">
        <v>629</v>
      </c>
      <c r="R123" s="89">
        <v>17</v>
      </c>
      <c r="S123" s="89" t="s">
        <v>1564</v>
      </c>
      <c r="T123" s="89" t="s">
        <v>1564</v>
      </c>
      <c r="U123" s="89" t="s">
        <v>1552</v>
      </c>
      <c r="V123" s="89" t="s">
        <v>1561</v>
      </c>
      <c r="W123" s="89" t="s">
        <v>663</v>
      </c>
      <c r="X123" s="89" t="s">
        <v>78</v>
      </c>
      <c r="Y123" s="89" t="s">
        <v>619</v>
      </c>
      <c r="Z123" s="89" t="s">
        <v>68</v>
      </c>
      <c r="AA123" s="89" t="s">
        <v>67</v>
      </c>
      <c r="AB123" s="89">
        <v>1</v>
      </c>
      <c r="AC123" s="89">
        <v>6</v>
      </c>
      <c r="AD123" s="89">
        <v>1</v>
      </c>
      <c r="AE123" s="89" t="s">
        <v>288</v>
      </c>
      <c r="AF123" s="90">
        <v>367</v>
      </c>
      <c r="AG123" s="90">
        <v>45706</v>
      </c>
      <c r="AH123" s="90">
        <v>46801</v>
      </c>
    </row>
    <row r="124" spans="1:34" x14ac:dyDescent="0.35">
      <c r="A124" s="89" t="str">
        <f t="shared" si="5"/>
        <v>0118</v>
      </c>
      <c r="B124" s="89" t="s">
        <v>929</v>
      </c>
      <c r="C124" s="89" t="s">
        <v>930</v>
      </c>
      <c r="D124" s="89" t="s">
        <v>164</v>
      </c>
      <c r="E124" s="89" t="s">
        <v>1667</v>
      </c>
      <c r="F124" s="89" t="s">
        <v>1546</v>
      </c>
      <c r="G124" s="89" t="s">
        <v>70</v>
      </c>
      <c r="H124" s="89" t="s">
        <v>70</v>
      </c>
      <c r="I124" s="91"/>
      <c r="J124" s="89">
        <v>0</v>
      </c>
      <c r="K124" s="89" t="s">
        <v>53</v>
      </c>
      <c r="L124" s="89" t="s">
        <v>1548</v>
      </c>
      <c r="M124" s="91"/>
      <c r="N124" s="89" t="s">
        <v>1549</v>
      </c>
      <c r="O124" s="89" t="s">
        <v>615</v>
      </c>
      <c r="P124" s="89" t="s">
        <v>1550</v>
      </c>
      <c r="Q124" s="89" t="s">
        <v>629</v>
      </c>
      <c r="R124" s="89">
        <v>24</v>
      </c>
      <c r="S124" s="89" t="s">
        <v>1551</v>
      </c>
      <c r="T124" s="89" t="s">
        <v>1558</v>
      </c>
      <c r="U124" s="89" t="s">
        <v>1552</v>
      </c>
      <c r="V124" s="89" t="s">
        <v>1561</v>
      </c>
      <c r="W124" s="89" t="s">
        <v>628</v>
      </c>
      <c r="X124" s="89" t="s">
        <v>117</v>
      </c>
      <c r="Y124" s="89" t="s">
        <v>619</v>
      </c>
      <c r="Z124" s="89" t="s">
        <v>68</v>
      </c>
      <c r="AA124" s="89" t="s">
        <v>67</v>
      </c>
      <c r="AB124" s="89">
        <v>1</v>
      </c>
      <c r="AC124" s="89">
        <v>6</v>
      </c>
      <c r="AD124" s="89">
        <v>1</v>
      </c>
      <c r="AE124" s="89" t="s">
        <v>288</v>
      </c>
      <c r="AF124" s="90">
        <v>367</v>
      </c>
      <c r="AG124" s="90">
        <v>45839</v>
      </c>
      <c r="AH124" s="90">
        <v>46962</v>
      </c>
    </row>
    <row r="125" spans="1:34" x14ac:dyDescent="0.35">
      <c r="A125" s="89" t="str">
        <f t="shared" si="5"/>
        <v>0127</v>
      </c>
      <c r="B125" s="89" t="s">
        <v>1668</v>
      </c>
      <c r="C125" s="89" t="s">
        <v>1669</v>
      </c>
      <c r="D125" s="89" t="s">
        <v>1514</v>
      </c>
      <c r="E125" s="89" t="s">
        <v>1670</v>
      </c>
      <c r="F125" s="89" t="s">
        <v>1546</v>
      </c>
      <c r="G125" s="89" t="s">
        <v>70</v>
      </c>
      <c r="H125" s="89" t="s">
        <v>70</v>
      </c>
      <c r="I125" s="91"/>
      <c r="J125" s="89">
        <v>0</v>
      </c>
      <c r="K125" s="89" t="s">
        <v>53</v>
      </c>
      <c r="L125" s="89" t="s">
        <v>1548</v>
      </c>
      <c r="M125" s="91"/>
      <c r="N125" s="89" t="s">
        <v>1549</v>
      </c>
      <c r="O125" s="89" t="s">
        <v>615</v>
      </c>
      <c r="P125" s="89" t="s">
        <v>1550</v>
      </c>
      <c r="Q125" s="89" t="s">
        <v>629</v>
      </c>
      <c r="R125" s="89">
        <v>24</v>
      </c>
      <c r="S125" s="89" t="s">
        <v>1551</v>
      </c>
      <c r="T125" s="89" t="s">
        <v>1558</v>
      </c>
      <c r="U125" s="89" t="s">
        <v>1552</v>
      </c>
      <c r="V125" s="89" t="s">
        <v>1561</v>
      </c>
      <c r="W125" s="89" t="s">
        <v>663</v>
      </c>
      <c r="X125" s="89" t="s">
        <v>78</v>
      </c>
      <c r="Y125" s="89" t="s">
        <v>619</v>
      </c>
      <c r="Z125" s="89" t="s">
        <v>68</v>
      </c>
      <c r="AA125" s="89" t="s">
        <v>67</v>
      </c>
      <c r="AB125" s="89">
        <v>1</v>
      </c>
      <c r="AC125" s="89">
        <v>6</v>
      </c>
      <c r="AD125" s="89">
        <v>1</v>
      </c>
      <c r="AE125" s="89" t="s">
        <v>288</v>
      </c>
      <c r="AF125" s="90">
        <v>367</v>
      </c>
      <c r="AG125" s="90">
        <v>367</v>
      </c>
      <c r="AH125" s="90">
        <v>47117</v>
      </c>
    </row>
    <row r="126" spans="1:34" x14ac:dyDescent="0.35">
      <c r="A126" s="89" t="str">
        <f t="shared" si="5"/>
        <v>01KC</v>
      </c>
      <c r="B126" s="89" t="s">
        <v>1671</v>
      </c>
      <c r="C126" s="89" t="s">
        <v>1672</v>
      </c>
      <c r="D126" s="89" t="s">
        <v>195</v>
      </c>
      <c r="E126" s="89" t="s">
        <v>1673</v>
      </c>
      <c r="F126" s="89" t="s">
        <v>1674</v>
      </c>
      <c r="G126" s="89" t="s">
        <v>70</v>
      </c>
      <c r="H126" s="89" t="s">
        <v>70</v>
      </c>
      <c r="I126" s="89" t="s">
        <v>1556</v>
      </c>
      <c r="J126" s="89">
        <v>0</v>
      </c>
      <c r="K126" s="89" t="s">
        <v>53</v>
      </c>
      <c r="L126" s="89" t="s">
        <v>1548</v>
      </c>
      <c r="M126" s="89" t="s">
        <v>51</v>
      </c>
      <c r="N126" s="89" t="s">
        <v>1549</v>
      </c>
      <c r="O126" s="89" t="s">
        <v>615</v>
      </c>
      <c r="P126" s="89" t="s">
        <v>1550</v>
      </c>
      <c r="Q126" s="89" t="s">
        <v>629</v>
      </c>
      <c r="R126" s="89">
        <v>24</v>
      </c>
      <c r="S126" s="89" t="s">
        <v>1551</v>
      </c>
      <c r="T126" s="89" t="s">
        <v>1551</v>
      </c>
      <c r="U126" s="89" t="s">
        <v>1552</v>
      </c>
      <c r="V126" s="89" t="s">
        <v>1553</v>
      </c>
      <c r="W126" s="89" t="s">
        <v>644</v>
      </c>
      <c r="X126" s="89" t="s">
        <v>102</v>
      </c>
      <c r="Y126" s="89" t="s">
        <v>619</v>
      </c>
      <c r="Z126" s="89" t="s">
        <v>68</v>
      </c>
      <c r="AA126" s="89" t="s">
        <v>67</v>
      </c>
      <c r="AB126" s="89">
        <v>1</v>
      </c>
      <c r="AC126" s="89">
        <v>6</v>
      </c>
      <c r="AD126" s="89">
        <v>1</v>
      </c>
      <c r="AE126" s="89" t="s">
        <v>283</v>
      </c>
      <c r="AF126" s="90">
        <v>41212</v>
      </c>
      <c r="AG126" s="90">
        <v>43578</v>
      </c>
      <c r="AH126" s="90">
        <v>44681</v>
      </c>
    </row>
    <row r="127" spans="1:34" x14ac:dyDescent="0.35">
      <c r="A127" s="89" t="str">
        <f t="shared" si="5"/>
        <v>143J</v>
      </c>
      <c r="B127" s="89" t="s">
        <v>1326</v>
      </c>
      <c r="C127" s="89" t="s">
        <v>1327</v>
      </c>
      <c r="D127" s="89" t="s">
        <v>201</v>
      </c>
      <c r="E127" s="89" t="s">
        <v>1328</v>
      </c>
      <c r="F127" s="89" t="s">
        <v>1674</v>
      </c>
      <c r="G127" s="89" t="s">
        <v>70</v>
      </c>
      <c r="H127" s="89" t="s">
        <v>70</v>
      </c>
      <c r="I127" s="89" t="s">
        <v>1547</v>
      </c>
      <c r="J127" s="89">
        <v>0</v>
      </c>
      <c r="K127" s="89" t="s">
        <v>53</v>
      </c>
      <c r="L127" s="89" t="s">
        <v>1548</v>
      </c>
      <c r="M127" s="89" t="s">
        <v>51</v>
      </c>
      <c r="N127" s="89" t="s">
        <v>1549</v>
      </c>
      <c r="O127" s="89" t="s">
        <v>615</v>
      </c>
      <c r="P127" s="89" t="s">
        <v>1550</v>
      </c>
      <c r="Q127" s="89" t="s">
        <v>657</v>
      </c>
      <c r="R127" s="89">
        <v>24</v>
      </c>
      <c r="S127" s="89" t="s">
        <v>1551</v>
      </c>
      <c r="T127" s="89" t="s">
        <v>1551</v>
      </c>
      <c r="U127" s="89" t="s">
        <v>1552</v>
      </c>
      <c r="V127" s="89" t="s">
        <v>1553</v>
      </c>
      <c r="W127" s="89" t="s">
        <v>649</v>
      </c>
      <c r="X127" s="89" t="s">
        <v>76</v>
      </c>
      <c r="Y127" s="89" t="s">
        <v>619</v>
      </c>
      <c r="Z127" s="89" t="s">
        <v>68</v>
      </c>
      <c r="AA127" s="89" t="s">
        <v>67</v>
      </c>
      <c r="AB127" s="89">
        <v>1</v>
      </c>
      <c r="AC127" s="89">
        <v>6</v>
      </c>
      <c r="AD127" s="89">
        <v>1</v>
      </c>
      <c r="AE127" s="89" t="s">
        <v>283</v>
      </c>
      <c r="AF127" s="90">
        <v>41529</v>
      </c>
      <c r="AG127" s="90">
        <v>43584</v>
      </c>
      <c r="AH127" s="90">
        <v>44681</v>
      </c>
    </row>
    <row r="128" spans="1:34" x14ac:dyDescent="0.35">
      <c r="A128" s="89" t="str">
        <f t="shared" si="5"/>
        <v>032O</v>
      </c>
      <c r="B128" s="89" t="s">
        <v>1675</v>
      </c>
      <c r="C128" s="89" t="s">
        <v>1676</v>
      </c>
      <c r="D128" s="89" t="s">
        <v>181</v>
      </c>
      <c r="E128" s="89" t="s">
        <v>1677</v>
      </c>
      <c r="F128" s="89" t="s">
        <v>1674</v>
      </c>
      <c r="G128" s="89" t="s">
        <v>70</v>
      </c>
      <c r="H128" s="89" t="s">
        <v>70</v>
      </c>
      <c r="I128" s="89" t="s">
        <v>1547</v>
      </c>
      <c r="J128" s="89">
        <v>0</v>
      </c>
      <c r="K128" s="89" t="s">
        <v>53</v>
      </c>
      <c r="L128" s="89" t="s">
        <v>1548</v>
      </c>
      <c r="M128" s="89" t="s">
        <v>51</v>
      </c>
      <c r="N128" s="89" t="s">
        <v>1549</v>
      </c>
      <c r="O128" s="89" t="s">
        <v>615</v>
      </c>
      <c r="P128" s="89" t="s">
        <v>1550</v>
      </c>
      <c r="Q128" s="89" t="s">
        <v>629</v>
      </c>
      <c r="R128" s="89">
        <v>24</v>
      </c>
      <c r="S128" s="89" t="s">
        <v>1551</v>
      </c>
      <c r="T128" s="89" t="s">
        <v>1551</v>
      </c>
      <c r="U128" s="89" t="s">
        <v>1552</v>
      </c>
      <c r="V128" s="89" t="s">
        <v>1553</v>
      </c>
      <c r="W128" s="89" t="s">
        <v>677</v>
      </c>
      <c r="X128" s="89" t="s">
        <v>66</v>
      </c>
      <c r="Y128" s="89" t="s">
        <v>619</v>
      </c>
      <c r="Z128" s="89" t="s">
        <v>68</v>
      </c>
      <c r="AA128" s="89" t="s">
        <v>67</v>
      </c>
      <c r="AB128" s="89">
        <v>1</v>
      </c>
      <c r="AC128" s="89">
        <v>6</v>
      </c>
      <c r="AD128" s="89">
        <v>1</v>
      </c>
      <c r="AE128" s="89" t="s">
        <v>283</v>
      </c>
      <c r="AF128" s="90">
        <v>41466</v>
      </c>
      <c r="AG128" s="90">
        <v>43581</v>
      </c>
      <c r="AH128" s="90">
        <v>44681</v>
      </c>
    </row>
    <row r="129" spans="1:34" x14ac:dyDescent="0.35">
      <c r="A129" s="89" t="str">
        <f t="shared" si="5"/>
        <v>651M</v>
      </c>
      <c r="B129" s="89" t="s">
        <v>1145</v>
      </c>
      <c r="C129" s="89" t="s">
        <v>1146</v>
      </c>
      <c r="D129" s="89" t="s">
        <v>333</v>
      </c>
      <c r="E129" s="89" t="s">
        <v>1147</v>
      </c>
      <c r="F129" s="89" t="s">
        <v>1674</v>
      </c>
      <c r="G129" s="89" t="s">
        <v>70</v>
      </c>
      <c r="H129" s="89" t="s">
        <v>70</v>
      </c>
      <c r="I129" s="89" t="s">
        <v>1636</v>
      </c>
      <c r="J129" s="89">
        <v>0</v>
      </c>
      <c r="K129" s="89" t="s">
        <v>53</v>
      </c>
      <c r="L129" s="89" t="s">
        <v>1548</v>
      </c>
      <c r="M129" s="89" t="s">
        <v>51</v>
      </c>
      <c r="N129" s="89" t="s">
        <v>1549</v>
      </c>
      <c r="O129" s="89" t="s">
        <v>615</v>
      </c>
      <c r="P129" s="89" t="s">
        <v>1550</v>
      </c>
      <c r="Q129" s="89" t="s">
        <v>629</v>
      </c>
      <c r="R129" s="89">
        <v>24</v>
      </c>
      <c r="S129" s="89" t="s">
        <v>1551</v>
      </c>
      <c r="T129" s="89" t="s">
        <v>1551</v>
      </c>
      <c r="U129" s="89" t="s">
        <v>1552</v>
      </c>
      <c r="V129" s="89" t="s">
        <v>1553</v>
      </c>
      <c r="W129" s="89" t="s">
        <v>649</v>
      </c>
      <c r="X129" s="89" t="s">
        <v>76</v>
      </c>
      <c r="Y129" s="89" t="s">
        <v>619</v>
      </c>
      <c r="Z129" s="89" t="s">
        <v>68</v>
      </c>
      <c r="AA129" s="89" t="s">
        <v>67</v>
      </c>
      <c r="AB129" s="89">
        <v>1</v>
      </c>
      <c r="AC129" s="89">
        <v>6</v>
      </c>
      <c r="AD129" s="89">
        <v>1</v>
      </c>
      <c r="AE129" s="89" t="s">
        <v>283</v>
      </c>
      <c r="AF129" s="90">
        <v>41594</v>
      </c>
      <c r="AG129" s="90">
        <v>43579</v>
      </c>
      <c r="AH129" s="90">
        <v>44681</v>
      </c>
    </row>
    <row r="130" spans="1:34" x14ac:dyDescent="0.35">
      <c r="A130" s="89" t="str">
        <f t="shared" si="5"/>
        <v>353D</v>
      </c>
      <c r="B130" s="89" t="s">
        <v>1338</v>
      </c>
      <c r="C130" s="89" t="s">
        <v>1339</v>
      </c>
      <c r="D130" s="89" t="s">
        <v>239</v>
      </c>
      <c r="E130" s="89" t="s">
        <v>1340</v>
      </c>
      <c r="F130" s="89" t="s">
        <v>1674</v>
      </c>
      <c r="G130" s="89" t="s">
        <v>70</v>
      </c>
      <c r="H130" s="89" t="s">
        <v>70</v>
      </c>
      <c r="I130" s="89" t="s">
        <v>1678</v>
      </c>
      <c r="J130" s="89">
        <v>1</v>
      </c>
      <c r="K130" s="89" t="s">
        <v>53</v>
      </c>
      <c r="L130" s="89" t="s">
        <v>1548</v>
      </c>
      <c r="M130" s="89" t="s">
        <v>51</v>
      </c>
      <c r="N130" s="89" t="s">
        <v>1549</v>
      </c>
      <c r="O130" s="89" t="s">
        <v>615</v>
      </c>
      <c r="P130" s="89" t="s">
        <v>1550</v>
      </c>
      <c r="Q130" s="89" t="s">
        <v>657</v>
      </c>
      <c r="R130" s="89">
        <v>9</v>
      </c>
      <c r="S130" s="89" t="s">
        <v>1557</v>
      </c>
      <c r="T130" s="89" t="s">
        <v>1557</v>
      </c>
      <c r="U130" s="89" t="s">
        <v>1552</v>
      </c>
      <c r="V130" s="89" t="s">
        <v>1553</v>
      </c>
      <c r="W130" s="89" t="s">
        <v>645</v>
      </c>
      <c r="X130" s="89" t="s">
        <v>100</v>
      </c>
      <c r="Y130" s="89" t="s">
        <v>619</v>
      </c>
      <c r="Z130" s="89" t="s">
        <v>68</v>
      </c>
      <c r="AA130" s="89" t="s">
        <v>67</v>
      </c>
      <c r="AB130" s="89">
        <v>1</v>
      </c>
      <c r="AC130" s="89">
        <v>6</v>
      </c>
      <c r="AD130" s="89">
        <v>1</v>
      </c>
      <c r="AE130" s="89" t="s">
        <v>283</v>
      </c>
      <c r="AF130" s="90">
        <v>41653</v>
      </c>
      <c r="AG130" s="90">
        <v>43571</v>
      </c>
      <c r="AH130" s="90">
        <v>44681</v>
      </c>
    </row>
    <row r="131" spans="1:34" x14ac:dyDescent="0.35">
      <c r="A131" s="89" t="str">
        <f t="shared" si="5"/>
        <v>614Y</v>
      </c>
      <c r="B131" s="89" t="s">
        <v>1366</v>
      </c>
      <c r="C131" s="89" t="s">
        <v>1367</v>
      </c>
      <c r="D131" s="89" t="s">
        <v>311</v>
      </c>
      <c r="E131" s="89" t="s">
        <v>1679</v>
      </c>
      <c r="F131" s="89" t="s">
        <v>1674</v>
      </c>
      <c r="G131" s="89" t="s">
        <v>70</v>
      </c>
      <c r="H131" s="89" t="s">
        <v>70</v>
      </c>
      <c r="I131" s="89" t="s">
        <v>1547</v>
      </c>
      <c r="J131" s="89">
        <v>0</v>
      </c>
      <c r="K131" s="89" t="s">
        <v>53</v>
      </c>
      <c r="L131" s="89" t="s">
        <v>1548</v>
      </c>
      <c r="M131" s="89" t="s">
        <v>51</v>
      </c>
      <c r="N131" s="89" t="s">
        <v>1549</v>
      </c>
      <c r="O131" s="89" t="s">
        <v>615</v>
      </c>
      <c r="P131" s="89" t="s">
        <v>1550</v>
      </c>
      <c r="Q131" s="89" t="s">
        <v>657</v>
      </c>
      <c r="R131" s="89">
        <v>24</v>
      </c>
      <c r="S131" s="89" t="s">
        <v>1551</v>
      </c>
      <c r="T131" s="89" t="s">
        <v>1551</v>
      </c>
      <c r="U131" s="89" t="s">
        <v>1552</v>
      </c>
      <c r="V131" s="89" t="s">
        <v>1553</v>
      </c>
      <c r="W131" s="89" t="s">
        <v>649</v>
      </c>
      <c r="X131" s="89" t="s">
        <v>76</v>
      </c>
      <c r="Y131" s="89" t="s">
        <v>619</v>
      </c>
      <c r="Z131" s="89" t="s">
        <v>68</v>
      </c>
      <c r="AA131" s="89" t="s">
        <v>67</v>
      </c>
      <c r="AB131" s="89">
        <v>1</v>
      </c>
      <c r="AC131" s="89">
        <v>6</v>
      </c>
      <c r="AD131" s="89">
        <v>1</v>
      </c>
      <c r="AE131" s="89" t="s">
        <v>283</v>
      </c>
      <c r="AF131" s="90">
        <v>41576</v>
      </c>
      <c r="AG131" s="90">
        <v>43573</v>
      </c>
      <c r="AH131" s="90">
        <v>44681</v>
      </c>
    </row>
    <row r="132" spans="1:34" x14ac:dyDescent="0.35">
      <c r="A132" s="89" t="str">
        <f t="shared" si="5"/>
        <v>665M</v>
      </c>
      <c r="B132" s="89" t="s">
        <v>1680</v>
      </c>
      <c r="C132" s="89" t="s">
        <v>1681</v>
      </c>
      <c r="D132" s="89" t="s">
        <v>348</v>
      </c>
      <c r="E132" s="89" t="s">
        <v>1682</v>
      </c>
      <c r="F132" s="89" t="s">
        <v>1674</v>
      </c>
      <c r="G132" s="89" t="s">
        <v>70</v>
      </c>
      <c r="H132" s="89" t="s">
        <v>70</v>
      </c>
      <c r="I132" s="91"/>
      <c r="J132" s="89">
        <v>0</v>
      </c>
      <c r="K132" s="89" t="s">
        <v>53</v>
      </c>
      <c r="L132" s="89" t="s">
        <v>1548</v>
      </c>
      <c r="M132" s="91"/>
      <c r="N132" s="89" t="s">
        <v>1549</v>
      </c>
      <c r="O132" s="89" t="s">
        <v>615</v>
      </c>
      <c r="P132" s="89" t="s">
        <v>1550</v>
      </c>
      <c r="Q132" s="89" t="s">
        <v>629</v>
      </c>
      <c r="R132" s="89">
        <v>24</v>
      </c>
      <c r="S132" s="89" t="s">
        <v>1551</v>
      </c>
      <c r="T132" s="89" t="s">
        <v>1551</v>
      </c>
      <c r="U132" s="89" t="s">
        <v>1552</v>
      </c>
      <c r="V132" s="89" t="s">
        <v>1553</v>
      </c>
      <c r="W132" s="89" t="s">
        <v>628</v>
      </c>
      <c r="X132" s="89" t="s">
        <v>117</v>
      </c>
      <c r="Y132" s="89" t="s">
        <v>619</v>
      </c>
      <c r="Z132" s="89" t="s">
        <v>68</v>
      </c>
      <c r="AA132" s="89" t="s">
        <v>67</v>
      </c>
      <c r="AB132" s="89">
        <v>1</v>
      </c>
      <c r="AC132" s="89">
        <v>6</v>
      </c>
      <c r="AD132" s="89">
        <v>1</v>
      </c>
      <c r="AE132" s="89" t="s">
        <v>285</v>
      </c>
      <c r="AF132" s="90">
        <v>367</v>
      </c>
      <c r="AG132" s="90">
        <v>44054</v>
      </c>
      <c r="AH132" s="90">
        <v>45169</v>
      </c>
    </row>
    <row r="133" spans="1:34" x14ac:dyDescent="0.35">
      <c r="A133" s="89" t="str">
        <f t="shared" si="5"/>
        <v>619E</v>
      </c>
      <c r="B133" s="89" t="s">
        <v>1683</v>
      </c>
      <c r="C133" s="89" t="s">
        <v>1684</v>
      </c>
      <c r="D133" s="89" t="s">
        <v>315</v>
      </c>
      <c r="E133" s="89" t="s">
        <v>1685</v>
      </c>
      <c r="F133" s="89" t="s">
        <v>1674</v>
      </c>
      <c r="G133" s="89" t="s">
        <v>70</v>
      </c>
      <c r="H133" s="89" t="s">
        <v>70</v>
      </c>
      <c r="I133" s="89" t="s">
        <v>1547</v>
      </c>
      <c r="J133" s="89">
        <v>0</v>
      </c>
      <c r="K133" s="89" t="s">
        <v>53</v>
      </c>
      <c r="L133" s="89" t="s">
        <v>1548</v>
      </c>
      <c r="M133" s="91"/>
      <c r="N133" s="89" t="s">
        <v>1549</v>
      </c>
      <c r="O133" s="89" t="s">
        <v>615</v>
      </c>
      <c r="P133" s="89" t="s">
        <v>1550</v>
      </c>
      <c r="Q133" s="89" t="s">
        <v>629</v>
      </c>
      <c r="R133" s="89">
        <v>24</v>
      </c>
      <c r="S133" s="89" t="s">
        <v>1551</v>
      </c>
      <c r="T133" s="89" t="s">
        <v>1551</v>
      </c>
      <c r="U133" s="89" t="s">
        <v>1552</v>
      </c>
      <c r="V133" s="89" t="s">
        <v>1553</v>
      </c>
      <c r="W133" s="89" t="s">
        <v>677</v>
      </c>
      <c r="X133" s="89" t="s">
        <v>66</v>
      </c>
      <c r="Y133" s="89" t="s">
        <v>619</v>
      </c>
      <c r="Z133" s="89" t="s">
        <v>68</v>
      </c>
      <c r="AA133" s="89" t="s">
        <v>67</v>
      </c>
      <c r="AB133" s="89">
        <v>1</v>
      </c>
      <c r="AC133" s="89">
        <v>6</v>
      </c>
      <c r="AD133" s="89">
        <v>1</v>
      </c>
      <c r="AE133" s="89" t="s">
        <v>286</v>
      </c>
      <c r="AF133" s="90">
        <v>367</v>
      </c>
      <c r="AG133" s="90">
        <v>44459</v>
      </c>
      <c r="AH133" s="90">
        <v>45565</v>
      </c>
    </row>
    <row r="134" spans="1:34" x14ac:dyDescent="0.35">
      <c r="A134" s="89" t="str">
        <f t="shared" si="5"/>
        <v>664B</v>
      </c>
      <c r="B134" s="89" t="s">
        <v>1686</v>
      </c>
      <c r="C134" s="89" t="s">
        <v>1684</v>
      </c>
      <c r="D134" s="89" t="s">
        <v>346</v>
      </c>
      <c r="E134" s="89" t="s">
        <v>1685</v>
      </c>
      <c r="F134" s="89" t="s">
        <v>1674</v>
      </c>
      <c r="G134" s="89" t="s">
        <v>70</v>
      </c>
      <c r="H134" s="89" t="s">
        <v>70</v>
      </c>
      <c r="I134" s="89" t="s">
        <v>1547</v>
      </c>
      <c r="J134" s="89">
        <v>0</v>
      </c>
      <c r="K134" s="89" t="s">
        <v>53</v>
      </c>
      <c r="L134" s="89" t="s">
        <v>1548</v>
      </c>
      <c r="M134" s="91"/>
      <c r="N134" s="89" t="s">
        <v>1549</v>
      </c>
      <c r="O134" s="89" t="s">
        <v>615</v>
      </c>
      <c r="P134" s="89" t="s">
        <v>1550</v>
      </c>
      <c r="Q134" s="89" t="s">
        <v>629</v>
      </c>
      <c r="R134" s="89">
        <v>24</v>
      </c>
      <c r="S134" s="89" t="s">
        <v>1551</v>
      </c>
      <c r="T134" s="89" t="s">
        <v>1551</v>
      </c>
      <c r="U134" s="89" t="s">
        <v>1552</v>
      </c>
      <c r="V134" s="89" t="s">
        <v>1553</v>
      </c>
      <c r="W134" s="89" t="s">
        <v>677</v>
      </c>
      <c r="X134" s="89" t="s">
        <v>66</v>
      </c>
      <c r="Y134" s="89" t="s">
        <v>619</v>
      </c>
      <c r="Z134" s="89" t="s">
        <v>68</v>
      </c>
      <c r="AA134" s="89" t="s">
        <v>67</v>
      </c>
      <c r="AB134" s="89">
        <v>1</v>
      </c>
      <c r="AC134" s="89">
        <v>6</v>
      </c>
      <c r="AD134" s="89">
        <v>1</v>
      </c>
      <c r="AE134" s="89" t="s">
        <v>286</v>
      </c>
      <c r="AF134" s="90">
        <v>367</v>
      </c>
      <c r="AG134" s="90">
        <v>44459</v>
      </c>
      <c r="AH134" s="90">
        <v>45565</v>
      </c>
    </row>
    <row r="135" spans="1:34" x14ac:dyDescent="0.35">
      <c r="A135" s="89" t="str">
        <f t="shared" si="5"/>
        <v>651J</v>
      </c>
      <c r="B135" s="89" t="s">
        <v>1687</v>
      </c>
      <c r="C135" s="89" t="s">
        <v>1688</v>
      </c>
      <c r="D135" s="89" t="s">
        <v>331</v>
      </c>
      <c r="E135" s="89" t="s">
        <v>1689</v>
      </c>
      <c r="F135" s="89" t="s">
        <v>1674</v>
      </c>
      <c r="G135" s="89" t="s">
        <v>70</v>
      </c>
      <c r="H135" s="89" t="s">
        <v>70</v>
      </c>
      <c r="I135" s="91"/>
      <c r="J135" s="89">
        <v>0</v>
      </c>
      <c r="K135" s="89" t="s">
        <v>53</v>
      </c>
      <c r="L135" s="89" t="s">
        <v>1548</v>
      </c>
      <c r="M135" s="91"/>
      <c r="N135" s="89" t="s">
        <v>1549</v>
      </c>
      <c r="O135" s="89" t="s">
        <v>615</v>
      </c>
      <c r="P135" s="89" t="s">
        <v>1550</v>
      </c>
      <c r="Q135" s="89" t="s">
        <v>629</v>
      </c>
      <c r="R135" s="89">
        <v>24</v>
      </c>
      <c r="S135" s="89" t="s">
        <v>1551</v>
      </c>
      <c r="T135" s="89" t="s">
        <v>1555</v>
      </c>
      <c r="U135" s="89" t="s">
        <v>1552</v>
      </c>
      <c r="V135" s="89" t="s">
        <v>1561</v>
      </c>
      <c r="W135" s="89" t="s">
        <v>645</v>
      </c>
      <c r="X135" s="89" t="s">
        <v>100</v>
      </c>
      <c r="Y135" s="89" t="s">
        <v>619</v>
      </c>
      <c r="Z135" s="89" t="s">
        <v>68</v>
      </c>
      <c r="AA135" s="89" t="s">
        <v>67</v>
      </c>
      <c r="AB135" s="89">
        <v>1</v>
      </c>
      <c r="AC135" s="89">
        <v>6</v>
      </c>
      <c r="AD135" s="89">
        <v>1</v>
      </c>
      <c r="AE135" s="89" t="s">
        <v>0</v>
      </c>
      <c r="AF135" s="90">
        <v>367</v>
      </c>
      <c r="AG135" s="90">
        <v>44728</v>
      </c>
      <c r="AH135" s="90">
        <v>45818</v>
      </c>
    </row>
    <row r="136" spans="1:34" x14ac:dyDescent="0.35">
      <c r="A136" s="89" t="str">
        <f t="shared" si="5"/>
        <v>006S</v>
      </c>
      <c r="B136" s="89" t="s">
        <v>823</v>
      </c>
      <c r="C136" s="89" t="s">
        <v>824</v>
      </c>
      <c r="D136" s="89" t="s">
        <v>69</v>
      </c>
      <c r="E136" s="89" t="s">
        <v>825</v>
      </c>
      <c r="F136" s="89" t="s">
        <v>1674</v>
      </c>
      <c r="G136" s="89" t="s">
        <v>70</v>
      </c>
      <c r="H136" s="89" t="s">
        <v>70</v>
      </c>
      <c r="I136" s="89" t="s">
        <v>1635</v>
      </c>
      <c r="J136" s="89">
        <v>0</v>
      </c>
      <c r="K136" s="89" t="s">
        <v>53</v>
      </c>
      <c r="L136" s="89" t="s">
        <v>1548</v>
      </c>
      <c r="M136" s="91"/>
      <c r="N136" s="89" t="s">
        <v>1549</v>
      </c>
      <c r="O136" s="89" t="s">
        <v>615</v>
      </c>
      <c r="P136" s="89" t="s">
        <v>1550</v>
      </c>
      <c r="Q136" s="89" t="s">
        <v>629</v>
      </c>
      <c r="R136" s="89">
        <v>15</v>
      </c>
      <c r="S136" s="89" t="s">
        <v>1555</v>
      </c>
      <c r="T136" s="89" t="s">
        <v>1555</v>
      </c>
      <c r="U136" s="89" t="s">
        <v>1552</v>
      </c>
      <c r="V136" s="89" t="s">
        <v>1561</v>
      </c>
      <c r="W136" s="89" t="s">
        <v>677</v>
      </c>
      <c r="X136" s="89" t="s">
        <v>66</v>
      </c>
      <c r="Y136" s="89" t="s">
        <v>619</v>
      </c>
      <c r="Z136" s="89" t="s">
        <v>68</v>
      </c>
      <c r="AA136" s="89" t="s">
        <v>67</v>
      </c>
      <c r="AB136" s="89">
        <v>1</v>
      </c>
      <c r="AC136" s="89">
        <v>6</v>
      </c>
      <c r="AD136" s="89">
        <v>1</v>
      </c>
      <c r="AE136" s="89" t="s">
        <v>0</v>
      </c>
      <c r="AF136" s="90">
        <v>367</v>
      </c>
      <c r="AG136" s="90">
        <v>44726</v>
      </c>
      <c r="AH136" s="90">
        <v>45818</v>
      </c>
    </row>
    <row r="137" spans="1:34" x14ac:dyDescent="0.35">
      <c r="A137" s="89" t="str">
        <f t="shared" si="5"/>
        <v>371X</v>
      </c>
      <c r="B137" s="89" t="s">
        <v>1053</v>
      </c>
      <c r="C137" s="89" t="s">
        <v>1054</v>
      </c>
      <c r="D137" s="89" t="s">
        <v>249</v>
      </c>
      <c r="E137" s="89" t="s">
        <v>1055</v>
      </c>
      <c r="F137" s="89" t="s">
        <v>1674</v>
      </c>
      <c r="G137" s="89" t="s">
        <v>70</v>
      </c>
      <c r="H137" s="89" t="s">
        <v>70</v>
      </c>
      <c r="I137" s="89" t="s">
        <v>1547</v>
      </c>
      <c r="J137" s="89">
        <v>0</v>
      </c>
      <c r="K137" s="89" t="s">
        <v>53</v>
      </c>
      <c r="L137" s="89" t="s">
        <v>1548</v>
      </c>
      <c r="M137" s="91"/>
      <c r="N137" s="89" t="s">
        <v>1549</v>
      </c>
      <c r="O137" s="89" t="s">
        <v>615</v>
      </c>
      <c r="P137" s="89" t="s">
        <v>1550</v>
      </c>
      <c r="Q137" s="89" t="s">
        <v>629</v>
      </c>
      <c r="R137" s="89">
        <v>15</v>
      </c>
      <c r="S137" s="89" t="s">
        <v>1555</v>
      </c>
      <c r="T137" s="89" t="s">
        <v>1555</v>
      </c>
      <c r="U137" s="89" t="s">
        <v>1552</v>
      </c>
      <c r="V137" s="89" t="s">
        <v>1561</v>
      </c>
      <c r="W137" s="89" t="s">
        <v>645</v>
      </c>
      <c r="X137" s="89" t="s">
        <v>100</v>
      </c>
      <c r="Y137" s="89" t="s">
        <v>619</v>
      </c>
      <c r="Z137" s="89" t="s">
        <v>68</v>
      </c>
      <c r="AA137" s="89" t="s">
        <v>67</v>
      </c>
      <c r="AB137" s="89">
        <v>1</v>
      </c>
      <c r="AC137" s="89">
        <v>6</v>
      </c>
      <c r="AD137" s="89">
        <v>1</v>
      </c>
      <c r="AE137" s="89" t="s">
        <v>0</v>
      </c>
      <c r="AF137" s="90">
        <v>367</v>
      </c>
      <c r="AG137" s="90">
        <v>44727</v>
      </c>
      <c r="AH137" s="90">
        <v>45818</v>
      </c>
    </row>
    <row r="138" spans="1:34" x14ac:dyDescent="0.35">
      <c r="A138" s="89" t="str">
        <f t="shared" si="5"/>
        <v>688D</v>
      </c>
      <c r="B138" s="89" t="s">
        <v>1389</v>
      </c>
      <c r="C138" s="89" t="s">
        <v>1390</v>
      </c>
      <c r="D138" s="89" t="s">
        <v>370</v>
      </c>
      <c r="E138" s="89" t="s">
        <v>1391</v>
      </c>
      <c r="F138" s="89" t="s">
        <v>1674</v>
      </c>
      <c r="G138" s="89" t="s">
        <v>70</v>
      </c>
      <c r="H138" s="89" t="s">
        <v>70</v>
      </c>
      <c r="I138" s="91"/>
      <c r="J138" s="89">
        <v>0</v>
      </c>
      <c r="K138" s="89" t="s">
        <v>53</v>
      </c>
      <c r="L138" s="89" t="s">
        <v>1548</v>
      </c>
      <c r="M138" s="91"/>
      <c r="N138" s="89" t="s">
        <v>1549</v>
      </c>
      <c r="O138" s="89" t="s">
        <v>615</v>
      </c>
      <c r="P138" s="89" t="s">
        <v>1550</v>
      </c>
      <c r="Q138" s="89" t="s">
        <v>657</v>
      </c>
      <c r="R138" s="89">
        <v>17</v>
      </c>
      <c r="S138" s="89" t="s">
        <v>1564</v>
      </c>
      <c r="T138" s="89" t="s">
        <v>1555</v>
      </c>
      <c r="U138" s="89" t="s">
        <v>1552</v>
      </c>
      <c r="V138" s="89" t="s">
        <v>1561</v>
      </c>
      <c r="W138" s="89" t="s">
        <v>656</v>
      </c>
      <c r="X138" s="89" t="s">
        <v>92</v>
      </c>
      <c r="Y138" s="89" t="s">
        <v>619</v>
      </c>
      <c r="Z138" s="89" t="s">
        <v>68</v>
      </c>
      <c r="AA138" s="89" t="s">
        <v>67</v>
      </c>
      <c r="AB138" s="89">
        <v>1</v>
      </c>
      <c r="AC138" s="89">
        <v>6</v>
      </c>
      <c r="AD138" s="89">
        <v>1</v>
      </c>
      <c r="AE138" s="89" t="s">
        <v>0</v>
      </c>
      <c r="AF138" s="90">
        <v>367</v>
      </c>
      <c r="AG138" s="90">
        <v>44798</v>
      </c>
      <c r="AH138" s="90">
        <v>45879</v>
      </c>
    </row>
    <row r="139" spans="1:34" x14ac:dyDescent="0.35">
      <c r="A139" s="89" t="str">
        <f t="shared" si="5"/>
        <v>532D</v>
      </c>
      <c r="B139" s="89" t="s">
        <v>1096</v>
      </c>
      <c r="C139" s="89" t="s">
        <v>1097</v>
      </c>
      <c r="D139" s="89" t="s">
        <v>292</v>
      </c>
      <c r="E139" s="89" t="s">
        <v>1098</v>
      </c>
      <c r="F139" s="89" t="s">
        <v>1674</v>
      </c>
      <c r="G139" s="89" t="s">
        <v>70</v>
      </c>
      <c r="H139" s="89" t="s">
        <v>70</v>
      </c>
      <c r="I139" s="89" t="s">
        <v>1547</v>
      </c>
      <c r="J139" s="89">
        <v>0</v>
      </c>
      <c r="K139" s="89" t="s">
        <v>53</v>
      </c>
      <c r="L139" s="89" t="s">
        <v>1548</v>
      </c>
      <c r="M139" s="91"/>
      <c r="N139" s="89" t="s">
        <v>1549</v>
      </c>
      <c r="O139" s="89" t="s">
        <v>615</v>
      </c>
      <c r="P139" s="89" t="s">
        <v>1550</v>
      </c>
      <c r="Q139" s="89" t="s">
        <v>629</v>
      </c>
      <c r="R139" s="89">
        <v>24</v>
      </c>
      <c r="S139" s="89" t="s">
        <v>1551</v>
      </c>
      <c r="T139" s="89" t="s">
        <v>1555</v>
      </c>
      <c r="U139" s="89" t="s">
        <v>1552</v>
      </c>
      <c r="V139" s="89" t="s">
        <v>1561</v>
      </c>
      <c r="W139" s="89" t="s">
        <v>645</v>
      </c>
      <c r="X139" s="89" t="s">
        <v>100</v>
      </c>
      <c r="Y139" s="89" t="s">
        <v>619</v>
      </c>
      <c r="Z139" s="89" t="s">
        <v>68</v>
      </c>
      <c r="AA139" s="89" t="s">
        <v>67</v>
      </c>
      <c r="AB139" s="89">
        <v>1</v>
      </c>
      <c r="AC139" s="89">
        <v>6</v>
      </c>
      <c r="AD139" s="89">
        <v>1</v>
      </c>
      <c r="AE139" s="89" t="s">
        <v>0</v>
      </c>
      <c r="AF139" s="90">
        <v>367</v>
      </c>
      <c r="AG139" s="90">
        <v>44727</v>
      </c>
      <c r="AH139" s="90">
        <v>45818</v>
      </c>
    </row>
    <row r="140" spans="1:34" x14ac:dyDescent="0.35">
      <c r="A140" s="89" t="str">
        <f t="shared" si="5"/>
        <v>5753</v>
      </c>
      <c r="B140" s="89" t="s">
        <v>1108</v>
      </c>
      <c r="C140" s="89" t="s">
        <v>1109</v>
      </c>
      <c r="D140" s="89" t="s">
        <v>299</v>
      </c>
      <c r="E140" s="89" t="s">
        <v>1690</v>
      </c>
      <c r="F140" s="89" t="s">
        <v>1674</v>
      </c>
      <c r="G140" s="89" t="s">
        <v>70</v>
      </c>
      <c r="H140" s="89" t="s">
        <v>70</v>
      </c>
      <c r="I140" s="91"/>
      <c r="J140" s="89">
        <v>0</v>
      </c>
      <c r="K140" s="89" t="s">
        <v>53</v>
      </c>
      <c r="L140" s="89" t="s">
        <v>1548</v>
      </c>
      <c r="M140" s="91"/>
      <c r="N140" s="89" t="s">
        <v>1549</v>
      </c>
      <c r="O140" s="89" t="s">
        <v>615</v>
      </c>
      <c r="P140" s="89" t="s">
        <v>1550</v>
      </c>
      <c r="Q140" s="89" t="s">
        <v>629</v>
      </c>
      <c r="R140" s="89">
        <v>15</v>
      </c>
      <c r="S140" s="89" t="s">
        <v>1551</v>
      </c>
      <c r="T140" s="89" t="s">
        <v>1555</v>
      </c>
      <c r="U140" s="89" t="s">
        <v>1552</v>
      </c>
      <c r="V140" s="89" t="s">
        <v>1561</v>
      </c>
      <c r="W140" s="89" t="s">
        <v>677</v>
      </c>
      <c r="X140" s="89" t="s">
        <v>66</v>
      </c>
      <c r="Y140" s="89" t="s">
        <v>619</v>
      </c>
      <c r="Z140" s="89" t="s">
        <v>68</v>
      </c>
      <c r="AA140" s="89" t="s">
        <v>67</v>
      </c>
      <c r="AB140" s="89">
        <v>1</v>
      </c>
      <c r="AC140" s="89">
        <v>6</v>
      </c>
      <c r="AD140" s="89">
        <v>1</v>
      </c>
      <c r="AE140" s="89" t="s">
        <v>0</v>
      </c>
      <c r="AF140" s="90">
        <v>367</v>
      </c>
      <c r="AG140" s="90">
        <v>44728</v>
      </c>
      <c r="AH140" s="90">
        <v>45818</v>
      </c>
    </row>
    <row r="141" spans="1:34" x14ac:dyDescent="0.35">
      <c r="A141" s="89" t="str">
        <f t="shared" si="5"/>
        <v>6521</v>
      </c>
      <c r="B141" s="89" t="s">
        <v>1154</v>
      </c>
      <c r="C141" s="89" t="s">
        <v>1155</v>
      </c>
      <c r="D141" s="89" t="s">
        <v>336</v>
      </c>
      <c r="E141" s="89" t="s">
        <v>1156</v>
      </c>
      <c r="F141" s="89" t="s">
        <v>1674</v>
      </c>
      <c r="G141" s="89" t="s">
        <v>70</v>
      </c>
      <c r="H141" s="89" t="s">
        <v>70</v>
      </c>
      <c r="I141" s="89" t="s">
        <v>1635</v>
      </c>
      <c r="J141" s="89">
        <v>0</v>
      </c>
      <c r="K141" s="89" t="s">
        <v>53</v>
      </c>
      <c r="L141" s="89" t="s">
        <v>1548</v>
      </c>
      <c r="M141" s="91"/>
      <c r="N141" s="89" t="s">
        <v>1549</v>
      </c>
      <c r="O141" s="89" t="s">
        <v>615</v>
      </c>
      <c r="P141" s="89" t="s">
        <v>1550</v>
      </c>
      <c r="Q141" s="89" t="s">
        <v>629</v>
      </c>
      <c r="R141" s="89">
        <v>15</v>
      </c>
      <c r="S141" s="89" t="s">
        <v>1555</v>
      </c>
      <c r="T141" s="89" t="s">
        <v>1555</v>
      </c>
      <c r="U141" s="89" t="s">
        <v>1552</v>
      </c>
      <c r="V141" s="89" t="s">
        <v>1561</v>
      </c>
      <c r="W141" s="89" t="s">
        <v>645</v>
      </c>
      <c r="X141" s="89" t="s">
        <v>100</v>
      </c>
      <c r="Y141" s="89" t="s">
        <v>619</v>
      </c>
      <c r="Z141" s="89" t="s">
        <v>68</v>
      </c>
      <c r="AA141" s="89" t="s">
        <v>67</v>
      </c>
      <c r="AB141" s="89">
        <v>1</v>
      </c>
      <c r="AC141" s="89">
        <v>6</v>
      </c>
      <c r="AD141" s="89">
        <v>1</v>
      </c>
      <c r="AE141" s="89" t="s">
        <v>0</v>
      </c>
      <c r="AF141" s="90">
        <v>367</v>
      </c>
      <c r="AG141" s="90">
        <v>44730</v>
      </c>
      <c r="AH141" s="90">
        <v>45818</v>
      </c>
    </row>
    <row r="142" spans="1:34" x14ac:dyDescent="0.35">
      <c r="A142" s="89" t="str">
        <f t="shared" si="5"/>
        <v>2980</v>
      </c>
      <c r="B142" s="89" t="s">
        <v>1691</v>
      </c>
      <c r="C142" s="89" t="s">
        <v>1692</v>
      </c>
      <c r="D142" s="89" t="s">
        <v>227</v>
      </c>
      <c r="E142" s="89" t="s">
        <v>1693</v>
      </c>
      <c r="F142" s="89" t="s">
        <v>1674</v>
      </c>
      <c r="G142" s="89" t="s">
        <v>70</v>
      </c>
      <c r="H142" s="89" t="s">
        <v>70</v>
      </c>
      <c r="I142" s="89" t="s">
        <v>1547</v>
      </c>
      <c r="J142" s="89">
        <v>0</v>
      </c>
      <c r="K142" s="89" t="s">
        <v>53</v>
      </c>
      <c r="L142" s="89" t="s">
        <v>1548</v>
      </c>
      <c r="M142" s="91"/>
      <c r="N142" s="89" t="s">
        <v>1549</v>
      </c>
      <c r="O142" s="89" t="s">
        <v>615</v>
      </c>
      <c r="P142" s="89" t="s">
        <v>1550</v>
      </c>
      <c r="Q142" s="89" t="s">
        <v>629</v>
      </c>
      <c r="R142" s="89">
        <v>15</v>
      </c>
      <c r="S142" s="89" t="s">
        <v>1555</v>
      </c>
      <c r="T142" s="89" t="s">
        <v>1555</v>
      </c>
      <c r="U142" s="89" t="s">
        <v>1552</v>
      </c>
      <c r="V142" s="89" t="s">
        <v>1561</v>
      </c>
      <c r="W142" s="89" t="s">
        <v>677</v>
      </c>
      <c r="X142" s="89" t="s">
        <v>66</v>
      </c>
      <c r="Y142" s="89" t="s">
        <v>619</v>
      </c>
      <c r="Z142" s="89" t="s">
        <v>68</v>
      </c>
      <c r="AA142" s="89" t="s">
        <v>67</v>
      </c>
      <c r="AB142" s="89">
        <v>1</v>
      </c>
      <c r="AC142" s="89">
        <v>6</v>
      </c>
      <c r="AD142" s="89">
        <v>1</v>
      </c>
      <c r="AE142" s="89" t="s">
        <v>0</v>
      </c>
      <c r="AF142" s="90">
        <v>367</v>
      </c>
      <c r="AG142" s="90">
        <v>44727</v>
      </c>
      <c r="AH142" s="90">
        <v>45818</v>
      </c>
    </row>
    <row r="143" spans="1:34" x14ac:dyDescent="0.35">
      <c r="A143" s="89" t="str">
        <f t="shared" si="5"/>
        <v>365N</v>
      </c>
      <c r="B143" s="89" t="s">
        <v>1341</v>
      </c>
      <c r="C143" s="89" t="s">
        <v>1342</v>
      </c>
      <c r="D143" s="89" t="s">
        <v>248</v>
      </c>
      <c r="E143" s="89" t="s">
        <v>1343</v>
      </c>
      <c r="F143" s="89" t="s">
        <v>1674</v>
      </c>
      <c r="G143" s="89" t="s">
        <v>70</v>
      </c>
      <c r="H143" s="89" t="s">
        <v>70</v>
      </c>
      <c r="I143" s="89" t="s">
        <v>1547</v>
      </c>
      <c r="J143" s="89">
        <v>0</v>
      </c>
      <c r="K143" s="89" t="s">
        <v>53</v>
      </c>
      <c r="L143" s="89" t="s">
        <v>1548</v>
      </c>
      <c r="M143" s="91"/>
      <c r="N143" s="89" t="s">
        <v>1549</v>
      </c>
      <c r="O143" s="89" t="s">
        <v>615</v>
      </c>
      <c r="P143" s="89" t="s">
        <v>1550</v>
      </c>
      <c r="Q143" s="89" t="s">
        <v>657</v>
      </c>
      <c r="R143" s="89">
        <v>15</v>
      </c>
      <c r="S143" s="89" t="s">
        <v>1551</v>
      </c>
      <c r="T143" s="89" t="s">
        <v>1555</v>
      </c>
      <c r="U143" s="89" t="s">
        <v>1552</v>
      </c>
      <c r="V143" s="89" t="s">
        <v>1561</v>
      </c>
      <c r="W143" s="89" t="s">
        <v>656</v>
      </c>
      <c r="X143" s="89" t="s">
        <v>92</v>
      </c>
      <c r="Y143" s="89" t="s">
        <v>619</v>
      </c>
      <c r="Z143" s="89" t="s">
        <v>68</v>
      </c>
      <c r="AA143" s="89" t="s">
        <v>67</v>
      </c>
      <c r="AB143" s="89">
        <v>1</v>
      </c>
      <c r="AC143" s="89">
        <v>6</v>
      </c>
      <c r="AD143" s="89">
        <v>1</v>
      </c>
      <c r="AE143" s="89" t="s">
        <v>0</v>
      </c>
      <c r="AF143" s="90">
        <v>367</v>
      </c>
      <c r="AG143" s="90">
        <v>44727</v>
      </c>
      <c r="AH143" s="90">
        <v>45818</v>
      </c>
    </row>
    <row r="144" spans="1:34" x14ac:dyDescent="0.35">
      <c r="A144" s="89" t="str">
        <f t="shared" si="5"/>
        <v>334V</v>
      </c>
      <c r="B144" s="89" t="s">
        <v>1335</v>
      </c>
      <c r="C144" s="89" t="s">
        <v>1336</v>
      </c>
      <c r="D144" s="89" t="s">
        <v>234</v>
      </c>
      <c r="E144" s="89" t="s">
        <v>1337</v>
      </c>
      <c r="F144" s="89" t="s">
        <v>1674</v>
      </c>
      <c r="G144" s="89" t="s">
        <v>70</v>
      </c>
      <c r="H144" s="89" t="s">
        <v>70</v>
      </c>
      <c r="I144" s="89" t="s">
        <v>1547</v>
      </c>
      <c r="J144" s="89">
        <v>0</v>
      </c>
      <c r="K144" s="89" t="s">
        <v>53</v>
      </c>
      <c r="L144" s="89" t="s">
        <v>1548</v>
      </c>
      <c r="M144" s="91"/>
      <c r="N144" s="89" t="s">
        <v>1549</v>
      </c>
      <c r="O144" s="89" t="s">
        <v>615</v>
      </c>
      <c r="P144" s="89" t="s">
        <v>1550</v>
      </c>
      <c r="Q144" s="89" t="s">
        <v>657</v>
      </c>
      <c r="R144" s="89">
        <v>24</v>
      </c>
      <c r="S144" s="89" t="s">
        <v>1551</v>
      </c>
      <c r="T144" s="89" t="s">
        <v>1555</v>
      </c>
      <c r="U144" s="89" t="s">
        <v>1552</v>
      </c>
      <c r="V144" s="89" t="s">
        <v>1561</v>
      </c>
      <c r="W144" s="89" t="s">
        <v>649</v>
      </c>
      <c r="X144" s="89" t="s">
        <v>76</v>
      </c>
      <c r="Y144" s="89" t="s">
        <v>619</v>
      </c>
      <c r="Z144" s="89" t="s">
        <v>68</v>
      </c>
      <c r="AA144" s="89" t="s">
        <v>67</v>
      </c>
      <c r="AB144" s="89">
        <v>1</v>
      </c>
      <c r="AC144" s="89">
        <v>6</v>
      </c>
      <c r="AD144" s="89">
        <v>1</v>
      </c>
      <c r="AE144" s="89" t="s">
        <v>0</v>
      </c>
      <c r="AF144" s="90">
        <v>367</v>
      </c>
      <c r="AG144" s="90">
        <v>44727</v>
      </c>
      <c r="AH144" s="90">
        <v>45818</v>
      </c>
    </row>
    <row r="145" spans="1:34" x14ac:dyDescent="0.35">
      <c r="A145" s="89" t="str">
        <f t="shared" si="5"/>
        <v>391N</v>
      </c>
      <c r="B145" s="89" t="s">
        <v>1344</v>
      </c>
      <c r="C145" s="89" t="s">
        <v>1345</v>
      </c>
      <c r="D145" s="89" t="s">
        <v>254</v>
      </c>
      <c r="E145" s="89" t="s">
        <v>1346</v>
      </c>
      <c r="F145" s="89" t="s">
        <v>1674</v>
      </c>
      <c r="G145" s="89" t="s">
        <v>70</v>
      </c>
      <c r="H145" s="89" t="s">
        <v>70</v>
      </c>
      <c r="I145" s="91"/>
      <c r="J145" s="89">
        <v>0</v>
      </c>
      <c r="K145" s="89" t="s">
        <v>53</v>
      </c>
      <c r="L145" s="89" t="s">
        <v>1548</v>
      </c>
      <c r="M145" s="91"/>
      <c r="N145" s="89" t="s">
        <v>1549</v>
      </c>
      <c r="O145" s="89" t="s">
        <v>615</v>
      </c>
      <c r="P145" s="89" t="s">
        <v>1550</v>
      </c>
      <c r="Q145" s="89" t="s">
        <v>657</v>
      </c>
      <c r="R145" s="89">
        <v>15</v>
      </c>
      <c r="S145" s="89" t="s">
        <v>1551</v>
      </c>
      <c r="T145" s="89" t="s">
        <v>1555</v>
      </c>
      <c r="U145" s="89" t="s">
        <v>1552</v>
      </c>
      <c r="V145" s="89" t="s">
        <v>1561</v>
      </c>
      <c r="W145" s="89" t="s">
        <v>656</v>
      </c>
      <c r="X145" s="89" t="s">
        <v>92</v>
      </c>
      <c r="Y145" s="89" t="s">
        <v>619</v>
      </c>
      <c r="Z145" s="89" t="s">
        <v>68</v>
      </c>
      <c r="AA145" s="89" t="s">
        <v>67</v>
      </c>
      <c r="AB145" s="89">
        <v>1</v>
      </c>
      <c r="AC145" s="89">
        <v>6</v>
      </c>
      <c r="AD145" s="89">
        <v>1</v>
      </c>
      <c r="AE145" s="89" t="s">
        <v>0</v>
      </c>
      <c r="AF145" s="90">
        <v>367</v>
      </c>
      <c r="AG145" s="90">
        <v>44727</v>
      </c>
      <c r="AH145" s="90">
        <v>45818</v>
      </c>
    </row>
    <row r="146" spans="1:34" x14ac:dyDescent="0.35">
      <c r="A146" s="89" t="str">
        <f t="shared" si="5"/>
        <v>689D</v>
      </c>
      <c r="B146" s="89" t="s">
        <v>1190</v>
      </c>
      <c r="C146" s="89" t="s">
        <v>1191</v>
      </c>
      <c r="D146" s="89" t="s">
        <v>373</v>
      </c>
      <c r="E146" s="89" t="s">
        <v>1192</v>
      </c>
      <c r="F146" s="89" t="s">
        <v>1674</v>
      </c>
      <c r="G146" s="89" t="s">
        <v>70</v>
      </c>
      <c r="H146" s="89" t="s">
        <v>70</v>
      </c>
      <c r="I146" s="89" t="s">
        <v>1547</v>
      </c>
      <c r="J146" s="89">
        <v>0</v>
      </c>
      <c r="K146" s="89" t="s">
        <v>53</v>
      </c>
      <c r="L146" s="89" t="s">
        <v>1548</v>
      </c>
      <c r="M146" s="91"/>
      <c r="N146" s="89" t="s">
        <v>1549</v>
      </c>
      <c r="O146" s="89" t="s">
        <v>615</v>
      </c>
      <c r="P146" s="89" t="s">
        <v>1550</v>
      </c>
      <c r="Q146" s="89" t="s">
        <v>629</v>
      </c>
      <c r="R146" s="89">
        <v>24</v>
      </c>
      <c r="S146" s="89" t="s">
        <v>1551</v>
      </c>
      <c r="T146" s="89" t="s">
        <v>1555</v>
      </c>
      <c r="U146" s="89" t="s">
        <v>1552</v>
      </c>
      <c r="V146" s="89" t="s">
        <v>1561</v>
      </c>
      <c r="W146" s="89" t="s">
        <v>656</v>
      </c>
      <c r="X146" s="89" t="s">
        <v>92</v>
      </c>
      <c r="Y146" s="89" t="s">
        <v>619</v>
      </c>
      <c r="Z146" s="89" t="s">
        <v>68</v>
      </c>
      <c r="AA146" s="89" t="s">
        <v>67</v>
      </c>
      <c r="AB146" s="89">
        <v>1</v>
      </c>
      <c r="AC146" s="89">
        <v>6</v>
      </c>
      <c r="AD146" s="89">
        <v>1</v>
      </c>
      <c r="AE146" s="89" t="s">
        <v>0</v>
      </c>
      <c r="AF146" s="90">
        <v>367</v>
      </c>
      <c r="AG146" s="90">
        <v>44728</v>
      </c>
      <c r="AH146" s="90">
        <v>45818</v>
      </c>
    </row>
    <row r="147" spans="1:34" x14ac:dyDescent="0.35">
      <c r="A147" s="89" t="str">
        <f t="shared" si="5"/>
        <v>00Y3</v>
      </c>
      <c r="B147" s="89" t="s">
        <v>1694</v>
      </c>
      <c r="C147" s="89" t="s">
        <v>1695</v>
      </c>
      <c r="D147" s="89" t="s">
        <v>161</v>
      </c>
      <c r="E147" s="89" t="s">
        <v>1696</v>
      </c>
      <c r="F147" s="89" t="s">
        <v>1674</v>
      </c>
      <c r="G147" s="89" t="s">
        <v>70</v>
      </c>
      <c r="H147" s="89" t="s">
        <v>70</v>
      </c>
      <c r="I147" s="91"/>
      <c r="J147" s="89">
        <v>0</v>
      </c>
      <c r="K147" s="89" t="s">
        <v>53</v>
      </c>
      <c r="L147" s="89" t="s">
        <v>1548</v>
      </c>
      <c r="M147" s="91"/>
      <c r="N147" s="89" t="s">
        <v>1549</v>
      </c>
      <c r="O147" s="89" t="s">
        <v>615</v>
      </c>
      <c r="P147" s="89" t="s">
        <v>1550</v>
      </c>
      <c r="Q147" s="89" t="s">
        <v>629</v>
      </c>
      <c r="R147" s="89">
        <v>24</v>
      </c>
      <c r="S147" s="89" t="s">
        <v>1551</v>
      </c>
      <c r="T147" s="89" t="s">
        <v>1555</v>
      </c>
      <c r="U147" s="89" t="s">
        <v>1552</v>
      </c>
      <c r="V147" s="89" t="s">
        <v>1561</v>
      </c>
      <c r="W147" s="89" t="s">
        <v>677</v>
      </c>
      <c r="X147" s="89" t="s">
        <v>66</v>
      </c>
      <c r="Y147" s="89" t="s">
        <v>619</v>
      </c>
      <c r="Z147" s="89" t="s">
        <v>68</v>
      </c>
      <c r="AA147" s="89" t="s">
        <v>67</v>
      </c>
      <c r="AB147" s="89">
        <v>1</v>
      </c>
      <c r="AC147" s="89">
        <v>6</v>
      </c>
      <c r="AD147" s="89">
        <v>1</v>
      </c>
      <c r="AE147" s="89" t="s">
        <v>0</v>
      </c>
      <c r="AF147" s="90">
        <v>367</v>
      </c>
      <c r="AG147" s="90">
        <v>44728</v>
      </c>
      <c r="AH147" s="90">
        <v>45818</v>
      </c>
    </row>
    <row r="148" spans="1:34" x14ac:dyDescent="0.35">
      <c r="A148" s="89" t="str">
        <f t="shared" si="5"/>
        <v>5867</v>
      </c>
      <c r="B148" s="89" t="s">
        <v>1110</v>
      </c>
      <c r="C148" s="89" t="s">
        <v>1111</v>
      </c>
      <c r="D148" s="89" t="s">
        <v>301</v>
      </c>
      <c r="E148" s="89" t="s">
        <v>1697</v>
      </c>
      <c r="F148" s="89" t="s">
        <v>1674</v>
      </c>
      <c r="G148" s="89" t="s">
        <v>70</v>
      </c>
      <c r="H148" s="89" t="s">
        <v>70</v>
      </c>
      <c r="I148" s="89" t="s">
        <v>1698</v>
      </c>
      <c r="J148" s="89">
        <v>0</v>
      </c>
      <c r="K148" s="89" t="s">
        <v>53</v>
      </c>
      <c r="L148" s="89" t="s">
        <v>1548</v>
      </c>
      <c r="M148" s="91"/>
      <c r="N148" s="89" t="s">
        <v>1549</v>
      </c>
      <c r="O148" s="89" t="s">
        <v>615</v>
      </c>
      <c r="P148" s="89" t="s">
        <v>1550</v>
      </c>
      <c r="Q148" s="89" t="s">
        <v>629</v>
      </c>
      <c r="R148" s="89">
        <v>24</v>
      </c>
      <c r="S148" s="89" t="s">
        <v>1551</v>
      </c>
      <c r="T148" s="89" t="s">
        <v>1555</v>
      </c>
      <c r="U148" s="89" t="s">
        <v>1552</v>
      </c>
      <c r="V148" s="89" t="s">
        <v>1561</v>
      </c>
      <c r="W148" s="89" t="s">
        <v>649</v>
      </c>
      <c r="X148" s="89" t="s">
        <v>76</v>
      </c>
      <c r="Y148" s="89" t="s">
        <v>619</v>
      </c>
      <c r="Z148" s="89" t="s">
        <v>68</v>
      </c>
      <c r="AA148" s="89" t="s">
        <v>67</v>
      </c>
      <c r="AB148" s="89">
        <v>1</v>
      </c>
      <c r="AC148" s="89">
        <v>6</v>
      </c>
      <c r="AD148" s="89">
        <v>1</v>
      </c>
      <c r="AE148" s="89" t="s">
        <v>0</v>
      </c>
      <c r="AF148" s="90">
        <v>367</v>
      </c>
      <c r="AG148" s="90">
        <v>44729</v>
      </c>
      <c r="AH148" s="90">
        <v>45818</v>
      </c>
    </row>
    <row r="149" spans="1:34" x14ac:dyDescent="0.35">
      <c r="A149" s="89" t="str">
        <f t="shared" si="5"/>
        <v>688K</v>
      </c>
      <c r="B149" s="89" t="s">
        <v>1187</v>
      </c>
      <c r="C149" s="89" t="s">
        <v>1188</v>
      </c>
      <c r="D149" s="89" t="s">
        <v>372</v>
      </c>
      <c r="E149" s="89" t="s">
        <v>1189</v>
      </c>
      <c r="F149" s="89" t="s">
        <v>1674</v>
      </c>
      <c r="G149" s="89" t="s">
        <v>70</v>
      </c>
      <c r="H149" s="89" t="s">
        <v>70</v>
      </c>
      <c r="I149" s="89" t="s">
        <v>1547</v>
      </c>
      <c r="J149" s="89">
        <v>0</v>
      </c>
      <c r="K149" s="89" t="s">
        <v>53</v>
      </c>
      <c r="L149" s="89" t="s">
        <v>1548</v>
      </c>
      <c r="M149" s="91"/>
      <c r="N149" s="89" t="s">
        <v>1549</v>
      </c>
      <c r="O149" s="89" t="s">
        <v>615</v>
      </c>
      <c r="P149" s="89" t="s">
        <v>1550</v>
      </c>
      <c r="Q149" s="89" t="s">
        <v>629</v>
      </c>
      <c r="R149" s="89">
        <v>15</v>
      </c>
      <c r="S149" s="89" t="s">
        <v>1555</v>
      </c>
      <c r="T149" s="89" t="s">
        <v>1555</v>
      </c>
      <c r="U149" s="89" t="s">
        <v>1552</v>
      </c>
      <c r="V149" s="89" t="s">
        <v>1561</v>
      </c>
      <c r="W149" s="89" t="s">
        <v>677</v>
      </c>
      <c r="X149" s="89" t="s">
        <v>66</v>
      </c>
      <c r="Y149" s="89" t="s">
        <v>619</v>
      </c>
      <c r="Z149" s="89" t="s">
        <v>68</v>
      </c>
      <c r="AA149" s="89" t="s">
        <v>67</v>
      </c>
      <c r="AB149" s="89">
        <v>1</v>
      </c>
      <c r="AC149" s="89">
        <v>6</v>
      </c>
      <c r="AD149" s="89">
        <v>1</v>
      </c>
      <c r="AE149" s="89" t="s">
        <v>0</v>
      </c>
      <c r="AF149" s="90">
        <v>367</v>
      </c>
      <c r="AG149" s="90">
        <v>44729</v>
      </c>
      <c r="AH149" s="90">
        <v>45818</v>
      </c>
    </row>
    <row r="150" spans="1:34" x14ac:dyDescent="0.35">
      <c r="A150" s="89" t="str">
        <f t="shared" si="5"/>
        <v>5874</v>
      </c>
      <c r="B150" s="89" t="s">
        <v>1361</v>
      </c>
      <c r="C150" s="89" t="s">
        <v>1362</v>
      </c>
      <c r="D150" s="89" t="s">
        <v>302</v>
      </c>
      <c r="E150" s="89" t="s">
        <v>1699</v>
      </c>
      <c r="F150" s="89" t="s">
        <v>1674</v>
      </c>
      <c r="G150" s="89" t="s">
        <v>70</v>
      </c>
      <c r="H150" s="89" t="s">
        <v>70</v>
      </c>
      <c r="I150" s="91"/>
      <c r="J150" s="89">
        <v>0</v>
      </c>
      <c r="K150" s="89" t="s">
        <v>53</v>
      </c>
      <c r="L150" s="89" t="s">
        <v>1548</v>
      </c>
      <c r="M150" s="91"/>
      <c r="N150" s="89" t="s">
        <v>1549</v>
      </c>
      <c r="O150" s="89" t="s">
        <v>615</v>
      </c>
      <c r="P150" s="89" t="s">
        <v>1550</v>
      </c>
      <c r="Q150" s="89" t="s">
        <v>657</v>
      </c>
      <c r="R150" s="89">
        <v>24</v>
      </c>
      <c r="S150" s="89" t="s">
        <v>1551</v>
      </c>
      <c r="T150" s="89" t="s">
        <v>1555</v>
      </c>
      <c r="U150" s="89" t="s">
        <v>1552</v>
      </c>
      <c r="V150" s="89" t="s">
        <v>1561</v>
      </c>
      <c r="W150" s="89" t="s">
        <v>649</v>
      </c>
      <c r="X150" s="89" t="s">
        <v>76</v>
      </c>
      <c r="Y150" s="89" t="s">
        <v>619</v>
      </c>
      <c r="Z150" s="89" t="s">
        <v>68</v>
      </c>
      <c r="AA150" s="89" t="s">
        <v>67</v>
      </c>
      <c r="AB150" s="89">
        <v>1</v>
      </c>
      <c r="AC150" s="89">
        <v>6</v>
      </c>
      <c r="AD150" s="89">
        <v>1</v>
      </c>
      <c r="AE150" s="89" t="s">
        <v>0</v>
      </c>
      <c r="AF150" s="90">
        <v>367</v>
      </c>
      <c r="AG150" s="90">
        <v>44729</v>
      </c>
      <c r="AH150" s="90">
        <v>45818</v>
      </c>
    </row>
    <row r="151" spans="1:34" x14ac:dyDescent="0.35">
      <c r="A151" s="89" t="str">
        <f t="shared" si="5"/>
        <v>607B</v>
      </c>
      <c r="B151" s="89" t="s">
        <v>1363</v>
      </c>
      <c r="C151" s="89" t="s">
        <v>1364</v>
      </c>
      <c r="D151" s="89" t="s">
        <v>308</v>
      </c>
      <c r="E151" s="89" t="s">
        <v>1365</v>
      </c>
      <c r="F151" s="89" t="s">
        <v>1674</v>
      </c>
      <c r="G151" s="89" t="s">
        <v>70</v>
      </c>
      <c r="H151" s="89" t="s">
        <v>70</v>
      </c>
      <c r="I151" s="89" t="s">
        <v>1547</v>
      </c>
      <c r="J151" s="89">
        <v>0</v>
      </c>
      <c r="K151" s="89" t="s">
        <v>53</v>
      </c>
      <c r="L151" s="89" t="s">
        <v>1548</v>
      </c>
      <c r="M151" s="91"/>
      <c r="N151" s="89" t="s">
        <v>1549</v>
      </c>
      <c r="O151" s="89" t="s">
        <v>615</v>
      </c>
      <c r="P151" s="89" t="s">
        <v>1550</v>
      </c>
      <c r="Q151" s="89" t="s">
        <v>657</v>
      </c>
      <c r="R151" s="89">
        <v>24</v>
      </c>
      <c r="S151" s="89" t="s">
        <v>1551</v>
      </c>
      <c r="T151" s="89" t="s">
        <v>1555</v>
      </c>
      <c r="U151" s="89" t="s">
        <v>1552</v>
      </c>
      <c r="V151" s="89" t="s">
        <v>1561</v>
      </c>
      <c r="W151" s="89" t="s">
        <v>656</v>
      </c>
      <c r="X151" s="89" t="s">
        <v>92</v>
      </c>
      <c r="Y151" s="89" t="s">
        <v>619</v>
      </c>
      <c r="Z151" s="89" t="s">
        <v>68</v>
      </c>
      <c r="AA151" s="89" t="s">
        <v>67</v>
      </c>
      <c r="AB151" s="89">
        <v>1</v>
      </c>
      <c r="AC151" s="89">
        <v>6</v>
      </c>
      <c r="AD151" s="89">
        <v>1</v>
      </c>
      <c r="AE151" s="89" t="s">
        <v>0</v>
      </c>
      <c r="AF151" s="90">
        <v>367</v>
      </c>
      <c r="AG151" s="90">
        <v>44729</v>
      </c>
      <c r="AH151" s="90">
        <v>45818</v>
      </c>
    </row>
    <row r="152" spans="1:34" x14ac:dyDescent="0.35">
      <c r="A152" s="89" t="str">
        <f t="shared" si="5"/>
        <v>00KL</v>
      </c>
      <c r="B152" s="89" t="s">
        <v>872</v>
      </c>
      <c r="C152" s="89" t="s">
        <v>873</v>
      </c>
      <c r="D152" s="89" t="s">
        <v>124</v>
      </c>
      <c r="E152" s="89" t="s">
        <v>874</v>
      </c>
      <c r="F152" s="89" t="s">
        <v>1674</v>
      </c>
      <c r="G152" s="89" t="s">
        <v>70</v>
      </c>
      <c r="H152" s="89" t="s">
        <v>70</v>
      </c>
      <c r="I152" s="91"/>
      <c r="J152" s="89">
        <v>0</v>
      </c>
      <c r="K152" s="89" t="s">
        <v>53</v>
      </c>
      <c r="L152" s="89" t="s">
        <v>1548</v>
      </c>
      <c r="M152" s="91"/>
      <c r="N152" s="89" t="s">
        <v>1549</v>
      </c>
      <c r="O152" s="89" t="s">
        <v>615</v>
      </c>
      <c r="P152" s="89" t="s">
        <v>1550</v>
      </c>
      <c r="Q152" s="89" t="s">
        <v>629</v>
      </c>
      <c r="R152" s="89">
        <v>24</v>
      </c>
      <c r="S152" s="89" t="s">
        <v>1551</v>
      </c>
      <c r="T152" s="89" t="s">
        <v>1555</v>
      </c>
      <c r="U152" s="89" t="s">
        <v>1552</v>
      </c>
      <c r="V152" s="89" t="s">
        <v>1561</v>
      </c>
      <c r="W152" s="89" t="s">
        <v>645</v>
      </c>
      <c r="X152" s="89" t="s">
        <v>100</v>
      </c>
      <c r="Y152" s="89" t="s">
        <v>619</v>
      </c>
      <c r="Z152" s="89" t="s">
        <v>68</v>
      </c>
      <c r="AA152" s="89" t="s">
        <v>67</v>
      </c>
      <c r="AB152" s="89">
        <v>1</v>
      </c>
      <c r="AC152" s="89">
        <v>6</v>
      </c>
      <c r="AD152" s="89">
        <v>1</v>
      </c>
      <c r="AE152" s="89" t="s">
        <v>0</v>
      </c>
      <c r="AF152" s="90">
        <v>367</v>
      </c>
      <c r="AG152" s="90">
        <v>44729</v>
      </c>
      <c r="AH152" s="90">
        <v>45818</v>
      </c>
    </row>
    <row r="153" spans="1:34" x14ac:dyDescent="0.35">
      <c r="A153" s="89" t="str">
        <f t="shared" si="5"/>
        <v>651H</v>
      </c>
      <c r="B153" s="89" t="s">
        <v>1139</v>
      </c>
      <c r="C153" s="89" t="s">
        <v>1140</v>
      </c>
      <c r="D153" s="89" t="s">
        <v>330</v>
      </c>
      <c r="E153" s="89" t="s">
        <v>1141</v>
      </c>
      <c r="F153" s="89" t="s">
        <v>1674</v>
      </c>
      <c r="G153" s="89" t="s">
        <v>70</v>
      </c>
      <c r="H153" s="89" t="s">
        <v>70</v>
      </c>
      <c r="I153" s="89" t="s">
        <v>1635</v>
      </c>
      <c r="J153" s="89">
        <v>0</v>
      </c>
      <c r="K153" s="89" t="s">
        <v>53</v>
      </c>
      <c r="L153" s="89" t="s">
        <v>1548</v>
      </c>
      <c r="M153" s="91"/>
      <c r="N153" s="89" t="s">
        <v>1549</v>
      </c>
      <c r="O153" s="89" t="s">
        <v>615</v>
      </c>
      <c r="P153" s="89" t="s">
        <v>1550</v>
      </c>
      <c r="Q153" s="89" t="s">
        <v>629</v>
      </c>
      <c r="R153" s="89">
        <v>24</v>
      </c>
      <c r="S153" s="89" t="s">
        <v>1551</v>
      </c>
      <c r="T153" s="89" t="s">
        <v>1555</v>
      </c>
      <c r="U153" s="89" t="s">
        <v>1552</v>
      </c>
      <c r="V153" s="89" t="s">
        <v>1561</v>
      </c>
      <c r="W153" s="89" t="s">
        <v>677</v>
      </c>
      <c r="X153" s="89" t="s">
        <v>66</v>
      </c>
      <c r="Y153" s="89" t="s">
        <v>619</v>
      </c>
      <c r="Z153" s="89" t="s">
        <v>68</v>
      </c>
      <c r="AA153" s="89" t="s">
        <v>67</v>
      </c>
      <c r="AB153" s="89">
        <v>1</v>
      </c>
      <c r="AC153" s="89">
        <v>6</v>
      </c>
      <c r="AD153" s="89">
        <v>1</v>
      </c>
      <c r="AE153" s="89" t="s">
        <v>0</v>
      </c>
      <c r="AF153" s="90">
        <v>367</v>
      </c>
      <c r="AG153" s="90">
        <v>44729</v>
      </c>
      <c r="AH153" s="90">
        <v>45818</v>
      </c>
    </row>
    <row r="154" spans="1:34" x14ac:dyDescent="0.35">
      <c r="A154" s="89" t="str">
        <f t="shared" si="5"/>
        <v>651Q</v>
      </c>
      <c r="B154" s="89" t="s">
        <v>1148</v>
      </c>
      <c r="C154" s="89" t="s">
        <v>1149</v>
      </c>
      <c r="D154" s="89" t="s">
        <v>334</v>
      </c>
      <c r="E154" s="89" t="s">
        <v>1150</v>
      </c>
      <c r="F154" s="89" t="s">
        <v>1674</v>
      </c>
      <c r="G154" s="89" t="s">
        <v>70</v>
      </c>
      <c r="H154" s="89" t="s">
        <v>70</v>
      </c>
      <c r="I154" s="91"/>
      <c r="J154" s="89">
        <v>0</v>
      </c>
      <c r="K154" s="89" t="s">
        <v>53</v>
      </c>
      <c r="L154" s="89" t="s">
        <v>1548</v>
      </c>
      <c r="M154" s="91"/>
      <c r="N154" s="89" t="s">
        <v>1549</v>
      </c>
      <c r="O154" s="89" t="s">
        <v>615</v>
      </c>
      <c r="P154" s="89" t="s">
        <v>1550</v>
      </c>
      <c r="Q154" s="89" t="s">
        <v>629</v>
      </c>
      <c r="R154" s="89">
        <v>24</v>
      </c>
      <c r="S154" s="89" t="s">
        <v>1551</v>
      </c>
      <c r="T154" s="89" t="s">
        <v>1555</v>
      </c>
      <c r="U154" s="89" t="s">
        <v>1552</v>
      </c>
      <c r="V154" s="89" t="s">
        <v>1561</v>
      </c>
      <c r="W154" s="89" t="s">
        <v>677</v>
      </c>
      <c r="X154" s="89" t="s">
        <v>66</v>
      </c>
      <c r="Y154" s="89" t="s">
        <v>619</v>
      </c>
      <c r="Z154" s="89" t="s">
        <v>68</v>
      </c>
      <c r="AA154" s="89" t="s">
        <v>67</v>
      </c>
      <c r="AB154" s="89">
        <v>1</v>
      </c>
      <c r="AC154" s="89">
        <v>6</v>
      </c>
      <c r="AD154" s="89">
        <v>1</v>
      </c>
      <c r="AE154" s="89" t="s">
        <v>0</v>
      </c>
      <c r="AF154" s="90">
        <v>367</v>
      </c>
      <c r="AG154" s="90">
        <v>44729</v>
      </c>
      <c r="AH154" s="90">
        <v>45818</v>
      </c>
    </row>
    <row r="155" spans="1:34" x14ac:dyDescent="0.35">
      <c r="A155" s="89" t="str">
        <f t="shared" si="5"/>
        <v>695Y</v>
      </c>
      <c r="B155" s="89" t="s">
        <v>1208</v>
      </c>
      <c r="C155" s="89" t="s">
        <v>1209</v>
      </c>
      <c r="D155" s="89" t="s">
        <v>388</v>
      </c>
      <c r="E155" s="89" t="s">
        <v>1210</v>
      </c>
      <c r="F155" s="89" t="s">
        <v>1674</v>
      </c>
      <c r="G155" s="89" t="s">
        <v>70</v>
      </c>
      <c r="H155" s="89" t="s">
        <v>70</v>
      </c>
      <c r="I155" s="89" t="s">
        <v>1547</v>
      </c>
      <c r="J155" s="89">
        <v>0</v>
      </c>
      <c r="K155" s="89" t="s">
        <v>53</v>
      </c>
      <c r="L155" s="89" t="s">
        <v>1548</v>
      </c>
      <c r="M155" s="91"/>
      <c r="N155" s="89" t="s">
        <v>1549</v>
      </c>
      <c r="O155" s="89" t="s">
        <v>615</v>
      </c>
      <c r="P155" s="89" t="s">
        <v>1550</v>
      </c>
      <c r="Q155" s="89" t="s">
        <v>629</v>
      </c>
      <c r="R155" s="89">
        <v>15</v>
      </c>
      <c r="S155" s="89" t="s">
        <v>1555</v>
      </c>
      <c r="T155" s="89" t="s">
        <v>1555</v>
      </c>
      <c r="U155" s="89" t="s">
        <v>1552</v>
      </c>
      <c r="V155" s="89" t="s">
        <v>1561</v>
      </c>
      <c r="W155" s="89" t="s">
        <v>649</v>
      </c>
      <c r="X155" s="89" t="s">
        <v>76</v>
      </c>
      <c r="Y155" s="89" t="s">
        <v>619</v>
      </c>
      <c r="Z155" s="89" t="s">
        <v>68</v>
      </c>
      <c r="AA155" s="89" t="s">
        <v>67</v>
      </c>
      <c r="AB155" s="89">
        <v>2</v>
      </c>
      <c r="AC155" s="89">
        <v>6</v>
      </c>
      <c r="AD155" s="89">
        <v>1</v>
      </c>
      <c r="AE155" s="89" t="s">
        <v>0</v>
      </c>
      <c r="AF155" s="90">
        <v>367</v>
      </c>
      <c r="AG155" s="90">
        <v>44728</v>
      </c>
      <c r="AH155" s="90">
        <v>45818</v>
      </c>
    </row>
    <row r="156" spans="1:34" x14ac:dyDescent="0.35">
      <c r="A156" s="89" t="str">
        <f t="shared" si="5"/>
        <v>405F</v>
      </c>
      <c r="B156" s="89" t="s">
        <v>1347</v>
      </c>
      <c r="C156" s="89" t="s">
        <v>1348</v>
      </c>
      <c r="D156" s="89" t="s">
        <v>256</v>
      </c>
      <c r="E156" s="89" t="s">
        <v>1700</v>
      </c>
      <c r="F156" s="89" t="s">
        <v>1674</v>
      </c>
      <c r="G156" s="89" t="s">
        <v>70</v>
      </c>
      <c r="H156" s="89" t="s">
        <v>70</v>
      </c>
      <c r="I156" s="91"/>
      <c r="J156" s="89">
        <v>0</v>
      </c>
      <c r="K156" s="89" t="s">
        <v>53</v>
      </c>
      <c r="L156" s="89" t="s">
        <v>1548</v>
      </c>
      <c r="M156" s="91"/>
      <c r="N156" s="89" t="s">
        <v>1549</v>
      </c>
      <c r="O156" s="89" t="s">
        <v>615</v>
      </c>
      <c r="P156" s="89" t="s">
        <v>1550</v>
      </c>
      <c r="Q156" s="89" t="s">
        <v>657</v>
      </c>
      <c r="R156" s="89">
        <v>24</v>
      </c>
      <c r="S156" s="89" t="s">
        <v>1551</v>
      </c>
      <c r="T156" s="89" t="s">
        <v>1555</v>
      </c>
      <c r="U156" s="89" t="s">
        <v>1552</v>
      </c>
      <c r="V156" s="89" t="s">
        <v>1561</v>
      </c>
      <c r="W156" s="89" t="s">
        <v>656</v>
      </c>
      <c r="X156" s="89" t="s">
        <v>92</v>
      </c>
      <c r="Y156" s="89" t="s">
        <v>619</v>
      </c>
      <c r="Z156" s="89" t="s">
        <v>68</v>
      </c>
      <c r="AA156" s="89" t="s">
        <v>67</v>
      </c>
      <c r="AB156" s="89">
        <v>1</v>
      </c>
      <c r="AC156" s="89">
        <v>6</v>
      </c>
      <c r="AD156" s="89">
        <v>1</v>
      </c>
      <c r="AE156" s="89" t="s">
        <v>0</v>
      </c>
      <c r="AF156" s="90">
        <v>367</v>
      </c>
      <c r="AG156" s="90">
        <v>44730</v>
      </c>
      <c r="AH156" s="90">
        <v>45818</v>
      </c>
    </row>
    <row r="157" spans="1:34" x14ac:dyDescent="0.35">
      <c r="A157" s="89" t="str">
        <f t="shared" si="5"/>
        <v>01KT</v>
      </c>
      <c r="B157" s="89" t="s">
        <v>1701</v>
      </c>
      <c r="C157" s="89" t="s">
        <v>1702</v>
      </c>
      <c r="D157" s="89" t="s">
        <v>171</v>
      </c>
      <c r="E157" s="89" t="s">
        <v>1703</v>
      </c>
      <c r="F157" s="89" t="s">
        <v>1674</v>
      </c>
      <c r="G157" s="89" t="s">
        <v>70</v>
      </c>
      <c r="H157" s="89" t="s">
        <v>70</v>
      </c>
      <c r="I157" s="91"/>
      <c r="J157" s="89">
        <v>0</v>
      </c>
      <c r="K157" s="89" t="s">
        <v>53</v>
      </c>
      <c r="L157" s="89" t="s">
        <v>1548</v>
      </c>
      <c r="M157" s="91"/>
      <c r="N157" s="89" t="s">
        <v>1549</v>
      </c>
      <c r="O157" s="89" t="s">
        <v>615</v>
      </c>
      <c r="P157" s="89" t="s">
        <v>1550</v>
      </c>
      <c r="Q157" s="89" t="s">
        <v>629</v>
      </c>
      <c r="R157" s="89">
        <v>15</v>
      </c>
      <c r="S157" s="89" t="s">
        <v>1555</v>
      </c>
      <c r="T157" s="89" t="s">
        <v>1555</v>
      </c>
      <c r="U157" s="89" t="s">
        <v>1552</v>
      </c>
      <c r="V157" s="89" t="s">
        <v>1561</v>
      </c>
      <c r="W157" s="89" t="s">
        <v>645</v>
      </c>
      <c r="X157" s="89" t="s">
        <v>100</v>
      </c>
      <c r="Y157" s="89" t="s">
        <v>619</v>
      </c>
      <c r="Z157" s="89" t="s">
        <v>68</v>
      </c>
      <c r="AA157" s="89" t="s">
        <v>67</v>
      </c>
      <c r="AB157" s="89">
        <v>1</v>
      </c>
      <c r="AC157" s="89">
        <v>6</v>
      </c>
      <c r="AD157" s="89">
        <v>1</v>
      </c>
      <c r="AE157" s="89" t="s">
        <v>0</v>
      </c>
      <c r="AF157" s="90">
        <v>367</v>
      </c>
      <c r="AG157" s="90">
        <v>44728</v>
      </c>
      <c r="AH157" s="90">
        <v>45818</v>
      </c>
    </row>
    <row r="158" spans="1:34" x14ac:dyDescent="0.35">
      <c r="A158" s="89" t="str">
        <f t="shared" si="5"/>
        <v>651L</v>
      </c>
      <c r="B158" s="89" t="s">
        <v>1142</v>
      </c>
      <c r="C158" s="89" t="s">
        <v>1143</v>
      </c>
      <c r="D158" s="89" t="s">
        <v>332</v>
      </c>
      <c r="E158" s="89" t="s">
        <v>1144</v>
      </c>
      <c r="F158" s="89" t="s">
        <v>1674</v>
      </c>
      <c r="G158" s="89" t="s">
        <v>70</v>
      </c>
      <c r="H158" s="89" t="s">
        <v>70</v>
      </c>
      <c r="I158" s="91"/>
      <c r="J158" s="89">
        <v>0</v>
      </c>
      <c r="K158" s="89" t="s">
        <v>53</v>
      </c>
      <c r="L158" s="89" t="s">
        <v>1548</v>
      </c>
      <c r="M158" s="91"/>
      <c r="N158" s="89" t="s">
        <v>1549</v>
      </c>
      <c r="O158" s="89" t="s">
        <v>615</v>
      </c>
      <c r="P158" s="89" t="s">
        <v>1550</v>
      </c>
      <c r="Q158" s="89" t="s">
        <v>629</v>
      </c>
      <c r="R158" s="89">
        <v>24</v>
      </c>
      <c r="S158" s="89" t="s">
        <v>1551</v>
      </c>
      <c r="T158" s="89" t="s">
        <v>1555</v>
      </c>
      <c r="U158" s="89" t="s">
        <v>1552</v>
      </c>
      <c r="V158" s="89" t="s">
        <v>1561</v>
      </c>
      <c r="W158" s="89" t="s">
        <v>677</v>
      </c>
      <c r="X158" s="89" t="s">
        <v>66</v>
      </c>
      <c r="Y158" s="89" t="s">
        <v>619</v>
      </c>
      <c r="Z158" s="89" t="s">
        <v>68</v>
      </c>
      <c r="AA158" s="89" t="s">
        <v>67</v>
      </c>
      <c r="AB158" s="89">
        <v>1</v>
      </c>
      <c r="AC158" s="89">
        <v>6</v>
      </c>
      <c r="AD158" s="89">
        <v>1</v>
      </c>
      <c r="AE158" s="89" t="s">
        <v>0</v>
      </c>
      <c r="AF158" s="90">
        <v>367</v>
      </c>
      <c r="AG158" s="90">
        <v>44726</v>
      </c>
      <c r="AH158" s="90">
        <v>45818</v>
      </c>
    </row>
    <row r="159" spans="1:34" x14ac:dyDescent="0.35">
      <c r="A159" s="89" t="str">
        <f t="shared" si="5"/>
        <v>00TR</v>
      </c>
      <c r="B159" s="89" t="s">
        <v>1313</v>
      </c>
      <c r="C159" s="89" t="s">
        <v>1314</v>
      </c>
      <c r="D159" s="89" t="s">
        <v>143</v>
      </c>
      <c r="E159" s="89" t="s">
        <v>1704</v>
      </c>
      <c r="F159" s="89" t="s">
        <v>1674</v>
      </c>
      <c r="G159" s="89" t="s">
        <v>70</v>
      </c>
      <c r="H159" s="89" t="s">
        <v>70</v>
      </c>
      <c r="I159" s="89" t="s">
        <v>1547</v>
      </c>
      <c r="J159" s="89">
        <v>0</v>
      </c>
      <c r="K159" s="89" t="s">
        <v>53</v>
      </c>
      <c r="L159" s="89" t="s">
        <v>1548</v>
      </c>
      <c r="M159" s="91"/>
      <c r="N159" s="89" t="s">
        <v>1549</v>
      </c>
      <c r="O159" s="89" t="s">
        <v>615</v>
      </c>
      <c r="P159" s="89" t="s">
        <v>1550</v>
      </c>
      <c r="Q159" s="89" t="s">
        <v>657</v>
      </c>
      <c r="R159" s="89">
        <v>24</v>
      </c>
      <c r="S159" s="89" t="s">
        <v>1551</v>
      </c>
      <c r="T159" s="89" t="s">
        <v>1555</v>
      </c>
      <c r="U159" s="89" t="s">
        <v>1552</v>
      </c>
      <c r="V159" s="89" t="s">
        <v>1561</v>
      </c>
      <c r="W159" s="89" t="s">
        <v>649</v>
      </c>
      <c r="X159" s="89" t="s">
        <v>76</v>
      </c>
      <c r="Y159" s="89" t="s">
        <v>619</v>
      </c>
      <c r="Z159" s="89" t="s">
        <v>68</v>
      </c>
      <c r="AA159" s="89" t="s">
        <v>67</v>
      </c>
      <c r="AB159" s="89">
        <v>1</v>
      </c>
      <c r="AC159" s="89">
        <v>6</v>
      </c>
      <c r="AD159" s="89">
        <v>1</v>
      </c>
      <c r="AE159" s="89" t="s">
        <v>0</v>
      </c>
      <c r="AF159" s="90">
        <v>367</v>
      </c>
      <c r="AG159" s="90">
        <v>44725</v>
      </c>
      <c r="AH159" s="90">
        <v>45818</v>
      </c>
    </row>
    <row r="160" spans="1:34" x14ac:dyDescent="0.35">
      <c r="A160" s="89" t="str">
        <f t="shared" si="5"/>
        <v>01DD</v>
      </c>
      <c r="B160" s="89" t="s">
        <v>1705</v>
      </c>
      <c r="C160" s="89" t="s">
        <v>1706</v>
      </c>
      <c r="D160" s="89" t="s">
        <v>221</v>
      </c>
      <c r="E160" s="89" t="s">
        <v>1707</v>
      </c>
      <c r="F160" s="89" t="s">
        <v>1674</v>
      </c>
      <c r="G160" s="89" t="s">
        <v>70</v>
      </c>
      <c r="H160" s="89" t="s">
        <v>70</v>
      </c>
      <c r="I160" s="91"/>
      <c r="J160" s="89">
        <v>0</v>
      </c>
      <c r="K160" s="89" t="s">
        <v>53</v>
      </c>
      <c r="L160" s="89" t="s">
        <v>1548</v>
      </c>
      <c r="M160" s="91"/>
      <c r="N160" s="89" t="s">
        <v>1549</v>
      </c>
      <c r="O160" s="89" t="s">
        <v>615</v>
      </c>
      <c r="P160" s="89" t="s">
        <v>1550</v>
      </c>
      <c r="Q160" s="89" t="s">
        <v>657</v>
      </c>
      <c r="R160" s="89">
        <v>24</v>
      </c>
      <c r="S160" s="89" t="s">
        <v>1551</v>
      </c>
      <c r="T160" s="89" t="s">
        <v>1555</v>
      </c>
      <c r="U160" s="89" t="s">
        <v>1552</v>
      </c>
      <c r="V160" s="89" t="s">
        <v>1561</v>
      </c>
      <c r="W160" s="89" t="s">
        <v>656</v>
      </c>
      <c r="X160" s="89" t="s">
        <v>92</v>
      </c>
      <c r="Y160" s="89" t="s">
        <v>619</v>
      </c>
      <c r="Z160" s="89" t="s">
        <v>68</v>
      </c>
      <c r="AA160" s="89" t="s">
        <v>67</v>
      </c>
      <c r="AB160" s="89">
        <v>1</v>
      </c>
      <c r="AC160" s="89">
        <v>6</v>
      </c>
      <c r="AD160" s="89">
        <v>1</v>
      </c>
      <c r="AE160" s="89" t="s">
        <v>0</v>
      </c>
      <c r="AF160" s="90">
        <v>367</v>
      </c>
      <c r="AG160" s="90">
        <v>44725</v>
      </c>
      <c r="AH160" s="90">
        <v>45818</v>
      </c>
    </row>
    <row r="161" spans="1:34" x14ac:dyDescent="0.35">
      <c r="A161" s="89" t="str">
        <f t="shared" si="5"/>
        <v>00VH</v>
      </c>
      <c r="B161" s="89" t="s">
        <v>1708</v>
      </c>
      <c r="C161" s="89" t="s">
        <v>1709</v>
      </c>
      <c r="D161" s="89" t="s">
        <v>159</v>
      </c>
      <c r="E161" s="89" t="s">
        <v>1710</v>
      </c>
      <c r="F161" s="89" t="s">
        <v>1674</v>
      </c>
      <c r="G161" s="89" t="s">
        <v>70</v>
      </c>
      <c r="H161" s="89" t="s">
        <v>70</v>
      </c>
      <c r="I161" s="89" t="s">
        <v>1547</v>
      </c>
      <c r="J161" s="89">
        <v>0</v>
      </c>
      <c r="K161" s="89" t="s">
        <v>53</v>
      </c>
      <c r="L161" s="89" t="s">
        <v>1548</v>
      </c>
      <c r="M161" s="91"/>
      <c r="N161" s="89" t="s">
        <v>1549</v>
      </c>
      <c r="O161" s="89" t="s">
        <v>615</v>
      </c>
      <c r="P161" s="89" t="s">
        <v>1550</v>
      </c>
      <c r="Q161" s="89" t="s">
        <v>629</v>
      </c>
      <c r="R161" s="89">
        <v>24</v>
      </c>
      <c r="S161" s="89" t="s">
        <v>1551</v>
      </c>
      <c r="T161" s="89" t="s">
        <v>1555</v>
      </c>
      <c r="U161" s="89" t="s">
        <v>1552</v>
      </c>
      <c r="V161" s="89" t="s">
        <v>1561</v>
      </c>
      <c r="W161" s="89" t="s">
        <v>656</v>
      </c>
      <c r="X161" s="89" t="s">
        <v>92</v>
      </c>
      <c r="Y161" s="89" t="s">
        <v>619</v>
      </c>
      <c r="Z161" s="89" t="s">
        <v>68</v>
      </c>
      <c r="AA161" s="89" t="s">
        <v>67</v>
      </c>
      <c r="AB161" s="89">
        <v>1</v>
      </c>
      <c r="AC161" s="89">
        <v>6</v>
      </c>
      <c r="AD161" s="89">
        <v>1</v>
      </c>
      <c r="AE161" s="89" t="s">
        <v>0</v>
      </c>
      <c r="AF161" s="90">
        <v>367</v>
      </c>
      <c r="AG161" s="90">
        <v>44726</v>
      </c>
      <c r="AH161" s="90">
        <v>45818</v>
      </c>
    </row>
    <row r="162" spans="1:34" x14ac:dyDescent="0.35">
      <c r="A162" s="89" t="str">
        <f t="shared" si="5"/>
        <v>516M</v>
      </c>
      <c r="B162" s="89" t="s">
        <v>1089</v>
      </c>
      <c r="C162" s="89" t="s">
        <v>1090</v>
      </c>
      <c r="D162" s="89" t="s">
        <v>289</v>
      </c>
      <c r="E162" s="89" t="s">
        <v>1711</v>
      </c>
      <c r="F162" s="89" t="s">
        <v>1674</v>
      </c>
      <c r="G162" s="89" t="s">
        <v>70</v>
      </c>
      <c r="H162" s="89" t="s">
        <v>70</v>
      </c>
      <c r="I162" s="89" t="s">
        <v>1635</v>
      </c>
      <c r="J162" s="89">
        <v>0</v>
      </c>
      <c r="K162" s="89" t="s">
        <v>53</v>
      </c>
      <c r="L162" s="89" t="s">
        <v>1548</v>
      </c>
      <c r="M162" s="91"/>
      <c r="N162" s="89" t="s">
        <v>1549</v>
      </c>
      <c r="O162" s="89" t="s">
        <v>615</v>
      </c>
      <c r="P162" s="89" t="s">
        <v>1550</v>
      </c>
      <c r="Q162" s="89" t="s">
        <v>629</v>
      </c>
      <c r="R162" s="89">
        <v>24</v>
      </c>
      <c r="S162" s="89" t="s">
        <v>1551</v>
      </c>
      <c r="T162" s="89" t="s">
        <v>1555</v>
      </c>
      <c r="U162" s="89" t="s">
        <v>1552</v>
      </c>
      <c r="V162" s="89" t="s">
        <v>1561</v>
      </c>
      <c r="W162" s="89" t="s">
        <v>645</v>
      </c>
      <c r="X162" s="89" t="s">
        <v>100</v>
      </c>
      <c r="Y162" s="89" t="s">
        <v>619</v>
      </c>
      <c r="Z162" s="89" t="s">
        <v>68</v>
      </c>
      <c r="AA162" s="89" t="s">
        <v>67</v>
      </c>
      <c r="AB162" s="89">
        <v>1</v>
      </c>
      <c r="AC162" s="89">
        <v>6</v>
      </c>
      <c r="AD162" s="89">
        <v>1</v>
      </c>
      <c r="AE162" s="89" t="s">
        <v>0</v>
      </c>
      <c r="AF162" s="90">
        <v>367</v>
      </c>
      <c r="AG162" s="90">
        <v>44727</v>
      </c>
      <c r="AH162" s="90">
        <v>45818</v>
      </c>
    </row>
    <row r="163" spans="1:34" x14ac:dyDescent="0.35">
      <c r="A163" s="89" t="str">
        <f t="shared" si="5"/>
        <v>602Z</v>
      </c>
      <c r="B163" s="89" t="s">
        <v>1118</v>
      </c>
      <c r="C163" s="89" t="s">
        <v>1119</v>
      </c>
      <c r="D163" s="89" t="s">
        <v>307</v>
      </c>
      <c r="E163" s="89" t="s">
        <v>1120</v>
      </c>
      <c r="F163" s="89" t="s">
        <v>1674</v>
      </c>
      <c r="G163" s="89" t="s">
        <v>70</v>
      </c>
      <c r="H163" s="89" t="s">
        <v>70</v>
      </c>
      <c r="I163" s="89" t="s">
        <v>1635</v>
      </c>
      <c r="J163" s="89">
        <v>0</v>
      </c>
      <c r="K163" s="89" t="s">
        <v>53</v>
      </c>
      <c r="L163" s="89" t="s">
        <v>1548</v>
      </c>
      <c r="M163" s="91"/>
      <c r="N163" s="89" t="s">
        <v>1549</v>
      </c>
      <c r="O163" s="89" t="s">
        <v>615</v>
      </c>
      <c r="P163" s="89" t="s">
        <v>1550</v>
      </c>
      <c r="Q163" s="89" t="s">
        <v>629</v>
      </c>
      <c r="R163" s="89">
        <v>24</v>
      </c>
      <c r="S163" s="89" t="s">
        <v>1551</v>
      </c>
      <c r="T163" s="89" t="s">
        <v>1555</v>
      </c>
      <c r="U163" s="89" t="s">
        <v>1552</v>
      </c>
      <c r="V163" s="89" t="s">
        <v>1561</v>
      </c>
      <c r="W163" s="89" t="s">
        <v>677</v>
      </c>
      <c r="X163" s="89" t="s">
        <v>66</v>
      </c>
      <c r="Y163" s="89" t="s">
        <v>619</v>
      </c>
      <c r="Z163" s="89" t="s">
        <v>68</v>
      </c>
      <c r="AA163" s="89" t="s">
        <v>67</v>
      </c>
      <c r="AB163" s="89">
        <v>1</v>
      </c>
      <c r="AC163" s="89">
        <v>6</v>
      </c>
      <c r="AD163" s="89">
        <v>1</v>
      </c>
      <c r="AE163" s="89" t="s">
        <v>0</v>
      </c>
      <c r="AF163" s="90">
        <v>367</v>
      </c>
      <c r="AG163" s="90">
        <v>44723</v>
      </c>
      <c r="AH163" s="90">
        <v>45818</v>
      </c>
    </row>
    <row r="164" spans="1:34" x14ac:dyDescent="0.35">
      <c r="A164" s="89" t="str">
        <f t="shared" si="5"/>
        <v>00E3</v>
      </c>
      <c r="B164" s="89" t="s">
        <v>846</v>
      </c>
      <c r="C164" s="89" t="s">
        <v>847</v>
      </c>
      <c r="D164" s="89" t="s">
        <v>101</v>
      </c>
      <c r="E164" s="89" t="s">
        <v>848</v>
      </c>
      <c r="F164" s="89" t="s">
        <v>1674</v>
      </c>
      <c r="G164" s="89" t="s">
        <v>70</v>
      </c>
      <c r="H164" s="89" t="s">
        <v>70</v>
      </c>
      <c r="I164" s="91"/>
      <c r="J164" s="89">
        <v>0</v>
      </c>
      <c r="K164" s="89" t="s">
        <v>53</v>
      </c>
      <c r="L164" s="89" t="s">
        <v>1548</v>
      </c>
      <c r="M164" s="91"/>
      <c r="N164" s="89" t="s">
        <v>1549</v>
      </c>
      <c r="O164" s="89" t="s">
        <v>615</v>
      </c>
      <c r="P164" s="89" t="s">
        <v>1550</v>
      </c>
      <c r="Q164" s="89" t="s">
        <v>629</v>
      </c>
      <c r="R164" s="89">
        <v>24</v>
      </c>
      <c r="S164" s="89" t="s">
        <v>1551</v>
      </c>
      <c r="T164" s="89" t="s">
        <v>1555</v>
      </c>
      <c r="U164" s="89" t="s">
        <v>1552</v>
      </c>
      <c r="V164" s="89" t="s">
        <v>1561</v>
      </c>
      <c r="W164" s="89" t="s">
        <v>645</v>
      </c>
      <c r="X164" s="89" t="s">
        <v>100</v>
      </c>
      <c r="Y164" s="89" t="s">
        <v>619</v>
      </c>
      <c r="Z164" s="89" t="s">
        <v>68</v>
      </c>
      <c r="AA164" s="89" t="s">
        <v>67</v>
      </c>
      <c r="AB164" s="89">
        <v>1</v>
      </c>
      <c r="AC164" s="89">
        <v>6</v>
      </c>
      <c r="AD164" s="89">
        <v>1</v>
      </c>
      <c r="AE164" s="89" t="s">
        <v>0</v>
      </c>
      <c r="AF164" s="90">
        <v>367</v>
      </c>
      <c r="AG164" s="90">
        <v>44724</v>
      </c>
      <c r="AH164" s="90">
        <v>45818</v>
      </c>
    </row>
    <row r="165" spans="1:34" x14ac:dyDescent="0.35">
      <c r="A165" s="89" t="str">
        <f t="shared" si="5"/>
        <v>263L</v>
      </c>
      <c r="B165" s="89" t="s">
        <v>1333</v>
      </c>
      <c r="C165" s="89" t="s">
        <v>1334</v>
      </c>
      <c r="D165" s="89" t="s">
        <v>220</v>
      </c>
      <c r="E165" s="89" t="s">
        <v>1712</v>
      </c>
      <c r="F165" s="89" t="s">
        <v>1674</v>
      </c>
      <c r="G165" s="89" t="s">
        <v>70</v>
      </c>
      <c r="H165" s="89" t="s">
        <v>70</v>
      </c>
      <c r="I165" s="91"/>
      <c r="J165" s="89">
        <v>0</v>
      </c>
      <c r="K165" s="89" t="s">
        <v>53</v>
      </c>
      <c r="L165" s="89" t="s">
        <v>1548</v>
      </c>
      <c r="M165" s="91"/>
      <c r="N165" s="89" t="s">
        <v>1549</v>
      </c>
      <c r="O165" s="89" t="s">
        <v>615</v>
      </c>
      <c r="P165" s="89" t="s">
        <v>1550</v>
      </c>
      <c r="Q165" s="89" t="s">
        <v>657</v>
      </c>
      <c r="R165" s="89">
        <v>15</v>
      </c>
      <c r="S165" s="89" t="s">
        <v>1551</v>
      </c>
      <c r="T165" s="89" t="s">
        <v>1555</v>
      </c>
      <c r="U165" s="89" t="s">
        <v>1552</v>
      </c>
      <c r="V165" s="89" t="s">
        <v>1561</v>
      </c>
      <c r="W165" s="89" t="s">
        <v>656</v>
      </c>
      <c r="X165" s="89" t="s">
        <v>92</v>
      </c>
      <c r="Y165" s="89" t="s">
        <v>619</v>
      </c>
      <c r="Z165" s="89" t="s">
        <v>68</v>
      </c>
      <c r="AA165" s="89" t="s">
        <v>67</v>
      </c>
      <c r="AB165" s="89">
        <v>1</v>
      </c>
      <c r="AC165" s="89">
        <v>6</v>
      </c>
      <c r="AD165" s="89">
        <v>1</v>
      </c>
      <c r="AE165" s="89" t="s">
        <v>0</v>
      </c>
      <c r="AF165" s="90">
        <v>367</v>
      </c>
      <c r="AG165" s="90">
        <v>44727</v>
      </c>
      <c r="AH165" s="90">
        <v>45818</v>
      </c>
    </row>
    <row r="166" spans="1:34" x14ac:dyDescent="0.35">
      <c r="A166" s="89" t="str">
        <f t="shared" si="5"/>
        <v>602Y</v>
      </c>
      <c r="B166" s="89" t="s">
        <v>1115</v>
      </c>
      <c r="C166" s="89" t="s">
        <v>1116</v>
      </c>
      <c r="D166" s="89" t="s">
        <v>306</v>
      </c>
      <c r="E166" s="89" t="s">
        <v>1117</v>
      </c>
      <c r="F166" s="89" t="s">
        <v>1674</v>
      </c>
      <c r="G166" s="89" t="s">
        <v>70</v>
      </c>
      <c r="H166" s="89" t="s">
        <v>70</v>
      </c>
      <c r="I166" s="91"/>
      <c r="J166" s="89">
        <v>1</v>
      </c>
      <c r="K166" s="89" t="s">
        <v>53</v>
      </c>
      <c r="L166" s="89" t="s">
        <v>1548</v>
      </c>
      <c r="M166" s="91"/>
      <c r="N166" s="89" t="s">
        <v>1549</v>
      </c>
      <c r="O166" s="89" t="s">
        <v>615</v>
      </c>
      <c r="P166" s="89" t="s">
        <v>1550</v>
      </c>
      <c r="Q166" s="89" t="s">
        <v>629</v>
      </c>
      <c r="R166" s="89">
        <v>24</v>
      </c>
      <c r="S166" s="89" t="s">
        <v>1551</v>
      </c>
      <c r="T166" s="89" t="s">
        <v>1555</v>
      </c>
      <c r="U166" s="89" t="s">
        <v>1552</v>
      </c>
      <c r="V166" s="89" t="s">
        <v>1561</v>
      </c>
      <c r="W166" s="89" t="s">
        <v>656</v>
      </c>
      <c r="X166" s="89" t="s">
        <v>92</v>
      </c>
      <c r="Y166" s="89" t="s">
        <v>619</v>
      </c>
      <c r="Z166" s="89" t="s">
        <v>68</v>
      </c>
      <c r="AA166" s="89" t="s">
        <v>67</v>
      </c>
      <c r="AB166" s="89">
        <v>1</v>
      </c>
      <c r="AC166" s="89">
        <v>6</v>
      </c>
      <c r="AD166" s="89">
        <v>1</v>
      </c>
      <c r="AE166" s="89" t="s">
        <v>0</v>
      </c>
      <c r="AF166" s="90">
        <v>367</v>
      </c>
      <c r="AG166" s="90">
        <v>44723</v>
      </c>
      <c r="AH166" s="90">
        <v>45818</v>
      </c>
    </row>
    <row r="167" spans="1:34" x14ac:dyDescent="0.35">
      <c r="A167" s="89" t="str">
        <f t="shared" si="5"/>
        <v>652Y</v>
      </c>
      <c r="B167" s="89" t="s">
        <v>1157</v>
      </c>
      <c r="C167" s="89" t="s">
        <v>1158</v>
      </c>
      <c r="D167" s="89" t="s">
        <v>338</v>
      </c>
      <c r="E167" s="89" t="s">
        <v>1159</v>
      </c>
      <c r="F167" s="89" t="s">
        <v>1674</v>
      </c>
      <c r="G167" s="89" t="s">
        <v>70</v>
      </c>
      <c r="H167" s="89" t="s">
        <v>70</v>
      </c>
      <c r="I167" s="89" t="s">
        <v>1547</v>
      </c>
      <c r="J167" s="89">
        <v>0</v>
      </c>
      <c r="K167" s="89" t="s">
        <v>53</v>
      </c>
      <c r="L167" s="89" t="s">
        <v>1548</v>
      </c>
      <c r="M167" s="91"/>
      <c r="N167" s="89" t="s">
        <v>1549</v>
      </c>
      <c r="O167" s="89" t="s">
        <v>615</v>
      </c>
      <c r="P167" s="89" t="s">
        <v>1550</v>
      </c>
      <c r="Q167" s="89" t="s">
        <v>629</v>
      </c>
      <c r="R167" s="89">
        <v>15</v>
      </c>
      <c r="S167" s="89" t="s">
        <v>1555</v>
      </c>
      <c r="T167" s="89" t="s">
        <v>1555</v>
      </c>
      <c r="U167" s="89" t="s">
        <v>1552</v>
      </c>
      <c r="V167" s="89" t="s">
        <v>1561</v>
      </c>
      <c r="W167" s="89" t="s">
        <v>656</v>
      </c>
      <c r="X167" s="89" t="s">
        <v>92</v>
      </c>
      <c r="Y167" s="89" t="s">
        <v>619</v>
      </c>
      <c r="Z167" s="89" t="s">
        <v>68</v>
      </c>
      <c r="AA167" s="89" t="s">
        <v>67</v>
      </c>
      <c r="AB167" s="89">
        <v>1</v>
      </c>
      <c r="AC167" s="89">
        <v>6</v>
      </c>
      <c r="AD167" s="89">
        <v>1</v>
      </c>
      <c r="AE167" s="89" t="s">
        <v>0</v>
      </c>
      <c r="AF167" s="90">
        <v>367</v>
      </c>
      <c r="AG167" s="90">
        <v>44723</v>
      </c>
      <c r="AH167" s="90">
        <v>45818</v>
      </c>
    </row>
    <row r="168" spans="1:34" x14ac:dyDescent="0.35">
      <c r="A168" s="89" t="str">
        <f t="shared" si="5"/>
        <v>00U3</v>
      </c>
      <c r="B168" s="89" t="s">
        <v>1315</v>
      </c>
      <c r="C168" s="89" t="s">
        <v>1316</v>
      </c>
      <c r="D168" s="89" t="s">
        <v>147</v>
      </c>
      <c r="E168" s="89" t="s">
        <v>1317</v>
      </c>
      <c r="F168" s="89" t="s">
        <v>1674</v>
      </c>
      <c r="G168" s="89" t="s">
        <v>70</v>
      </c>
      <c r="H168" s="89" t="s">
        <v>70</v>
      </c>
      <c r="I168" s="89" t="s">
        <v>1547</v>
      </c>
      <c r="J168" s="89">
        <v>0</v>
      </c>
      <c r="K168" s="89" t="s">
        <v>53</v>
      </c>
      <c r="L168" s="89" t="s">
        <v>1548</v>
      </c>
      <c r="M168" s="91"/>
      <c r="N168" s="89" t="s">
        <v>1549</v>
      </c>
      <c r="O168" s="89" t="s">
        <v>615</v>
      </c>
      <c r="P168" s="89" t="s">
        <v>1550</v>
      </c>
      <c r="Q168" s="89" t="s">
        <v>657</v>
      </c>
      <c r="R168" s="89">
        <v>24</v>
      </c>
      <c r="S168" s="89" t="s">
        <v>1551</v>
      </c>
      <c r="T168" s="89" t="s">
        <v>1555</v>
      </c>
      <c r="U168" s="89" t="s">
        <v>1552</v>
      </c>
      <c r="V168" s="89" t="s">
        <v>1561</v>
      </c>
      <c r="W168" s="89" t="s">
        <v>656</v>
      </c>
      <c r="X168" s="89" t="s">
        <v>92</v>
      </c>
      <c r="Y168" s="89" t="s">
        <v>619</v>
      </c>
      <c r="Z168" s="89" t="s">
        <v>68</v>
      </c>
      <c r="AA168" s="89" t="s">
        <v>67</v>
      </c>
      <c r="AB168" s="89">
        <v>1</v>
      </c>
      <c r="AC168" s="89">
        <v>6</v>
      </c>
      <c r="AD168" s="89">
        <v>1</v>
      </c>
      <c r="AE168" s="89" t="s">
        <v>0</v>
      </c>
      <c r="AF168" s="90">
        <v>367</v>
      </c>
      <c r="AG168" s="90">
        <v>44724</v>
      </c>
      <c r="AH168" s="90">
        <v>45818</v>
      </c>
    </row>
    <row r="169" spans="1:34" x14ac:dyDescent="0.35">
      <c r="A169" s="89" t="str">
        <f t="shared" si="5"/>
        <v>683X</v>
      </c>
      <c r="B169" s="89" t="s">
        <v>1381</v>
      </c>
      <c r="C169" s="89" t="s">
        <v>1382</v>
      </c>
      <c r="D169" s="89" t="s">
        <v>356</v>
      </c>
      <c r="E169" s="89" t="s">
        <v>1383</v>
      </c>
      <c r="F169" s="89" t="s">
        <v>1674</v>
      </c>
      <c r="G169" s="89" t="s">
        <v>70</v>
      </c>
      <c r="H169" s="89" t="s">
        <v>70</v>
      </c>
      <c r="I169" s="89" t="s">
        <v>1547</v>
      </c>
      <c r="J169" s="89">
        <v>0</v>
      </c>
      <c r="K169" s="89" t="s">
        <v>53</v>
      </c>
      <c r="L169" s="89" t="s">
        <v>1548</v>
      </c>
      <c r="M169" s="91"/>
      <c r="N169" s="89" t="s">
        <v>1549</v>
      </c>
      <c r="O169" s="89" t="s">
        <v>615</v>
      </c>
      <c r="P169" s="89" t="s">
        <v>1550</v>
      </c>
      <c r="Q169" s="89" t="s">
        <v>657</v>
      </c>
      <c r="R169" s="89">
        <v>13</v>
      </c>
      <c r="S169" s="89" t="s">
        <v>1713</v>
      </c>
      <c r="T169" s="89" t="s">
        <v>1551</v>
      </c>
      <c r="U169" s="89" t="s">
        <v>1552</v>
      </c>
      <c r="V169" s="89" t="s">
        <v>1561</v>
      </c>
      <c r="W169" s="89" t="s">
        <v>656</v>
      </c>
      <c r="X169" s="89" t="s">
        <v>92</v>
      </c>
      <c r="Y169" s="89" t="s">
        <v>619</v>
      </c>
      <c r="Z169" s="89" t="s">
        <v>68</v>
      </c>
      <c r="AA169" s="89" t="s">
        <v>67</v>
      </c>
      <c r="AB169" s="89">
        <v>1</v>
      </c>
      <c r="AC169" s="89">
        <v>6</v>
      </c>
      <c r="AD169" s="89">
        <v>1</v>
      </c>
      <c r="AE169" s="89" t="s">
        <v>0</v>
      </c>
      <c r="AF169" s="90">
        <v>367</v>
      </c>
      <c r="AG169" s="90">
        <v>44824</v>
      </c>
      <c r="AH169" s="90">
        <v>45920</v>
      </c>
    </row>
    <row r="170" spans="1:34" x14ac:dyDescent="0.35">
      <c r="A170" s="89" t="str">
        <f t="shared" si="5"/>
        <v>6519</v>
      </c>
      <c r="B170" s="89" t="s">
        <v>1137</v>
      </c>
      <c r="C170" s="89" t="s">
        <v>1138</v>
      </c>
      <c r="D170" s="89" t="s">
        <v>329</v>
      </c>
      <c r="E170" s="89" t="s">
        <v>1714</v>
      </c>
      <c r="F170" s="89" t="s">
        <v>1674</v>
      </c>
      <c r="G170" s="89" t="s">
        <v>70</v>
      </c>
      <c r="H170" s="89" t="s">
        <v>70</v>
      </c>
      <c r="I170" s="91"/>
      <c r="J170" s="89">
        <v>0</v>
      </c>
      <c r="K170" s="89" t="s">
        <v>53</v>
      </c>
      <c r="L170" s="89" t="s">
        <v>1548</v>
      </c>
      <c r="M170" s="91"/>
      <c r="N170" s="89" t="s">
        <v>1549</v>
      </c>
      <c r="O170" s="89" t="s">
        <v>615</v>
      </c>
      <c r="P170" s="89" t="s">
        <v>1550</v>
      </c>
      <c r="Q170" s="89" t="s">
        <v>629</v>
      </c>
      <c r="R170" s="89">
        <v>24</v>
      </c>
      <c r="S170" s="89" t="s">
        <v>1551</v>
      </c>
      <c r="T170" s="89" t="s">
        <v>1555</v>
      </c>
      <c r="U170" s="89" t="s">
        <v>1552</v>
      </c>
      <c r="V170" s="89" t="s">
        <v>1561</v>
      </c>
      <c r="W170" s="89" t="s">
        <v>645</v>
      </c>
      <c r="X170" s="89" t="s">
        <v>100</v>
      </c>
      <c r="Y170" s="89" t="s">
        <v>619</v>
      </c>
      <c r="Z170" s="89" t="s">
        <v>68</v>
      </c>
      <c r="AA170" s="89" t="s">
        <v>67</v>
      </c>
      <c r="AB170" s="89">
        <v>1</v>
      </c>
      <c r="AC170" s="89">
        <v>6</v>
      </c>
      <c r="AD170" s="89">
        <v>1</v>
      </c>
      <c r="AE170" s="89" t="s">
        <v>287</v>
      </c>
      <c r="AF170" s="90">
        <v>367</v>
      </c>
      <c r="AG170" s="90">
        <v>45058</v>
      </c>
      <c r="AH170" s="90">
        <v>46143</v>
      </c>
    </row>
    <row r="171" spans="1:34" x14ac:dyDescent="0.35">
      <c r="A171" s="89" t="str">
        <f t="shared" si="5"/>
        <v>00UL</v>
      </c>
      <c r="B171" s="89" t="s">
        <v>898</v>
      </c>
      <c r="C171" s="89" t="s">
        <v>899</v>
      </c>
      <c r="D171" s="89" t="s">
        <v>150</v>
      </c>
      <c r="E171" s="89" t="s">
        <v>900</v>
      </c>
      <c r="F171" s="89" t="s">
        <v>1674</v>
      </c>
      <c r="G171" s="89" t="s">
        <v>70</v>
      </c>
      <c r="H171" s="89" t="s">
        <v>70</v>
      </c>
      <c r="I171" s="89" t="s">
        <v>1547</v>
      </c>
      <c r="J171" s="89">
        <v>0</v>
      </c>
      <c r="K171" s="89" t="s">
        <v>53</v>
      </c>
      <c r="L171" s="89" t="s">
        <v>1548</v>
      </c>
      <c r="M171" s="91"/>
      <c r="N171" s="89" t="s">
        <v>1549</v>
      </c>
      <c r="O171" s="89" t="s">
        <v>615</v>
      </c>
      <c r="P171" s="89" t="s">
        <v>1550</v>
      </c>
      <c r="Q171" s="89" t="s">
        <v>629</v>
      </c>
      <c r="R171" s="89">
        <v>24</v>
      </c>
      <c r="S171" s="89" t="s">
        <v>1564</v>
      </c>
      <c r="T171" s="89" t="s">
        <v>1555</v>
      </c>
      <c r="U171" s="89" t="s">
        <v>1552</v>
      </c>
      <c r="V171" s="89" t="s">
        <v>1561</v>
      </c>
      <c r="W171" s="89" t="s">
        <v>677</v>
      </c>
      <c r="X171" s="89" t="s">
        <v>66</v>
      </c>
      <c r="Y171" s="89" t="s">
        <v>619</v>
      </c>
      <c r="Z171" s="89" t="s">
        <v>68</v>
      </c>
      <c r="AA171" s="89" t="s">
        <v>67</v>
      </c>
      <c r="AB171" s="89">
        <v>1</v>
      </c>
      <c r="AC171" s="89">
        <v>6</v>
      </c>
      <c r="AD171" s="89">
        <v>1</v>
      </c>
      <c r="AE171" s="89" t="s">
        <v>287</v>
      </c>
      <c r="AF171" s="90">
        <v>367</v>
      </c>
      <c r="AG171" s="90">
        <v>45058</v>
      </c>
      <c r="AH171" s="90">
        <v>46143</v>
      </c>
    </row>
    <row r="172" spans="1:34" x14ac:dyDescent="0.35">
      <c r="A172" s="89" t="str">
        <f t="shared" ref="A172:A234" si="6">LEFT(B172,LEN(B172)-3)</f>
        <v>00UM</v>
      </c>
      <c r="B172" s="89" t="s">
        <v>901</v>
      </c>
      <c r="C172" s="89" t="s">
        <v>902</v>
      </c>
      <c r="D172" s="89" t="s">
        <v>151</v>
      </c>
      <c r="E172" s="89" t="s">
        <v>903</v>
      </c>
      <c r="F172" s="89" t="s">
        <v>1674</v>
      </c>
      <c r="G172" s="89" t="s">
        <v>70</v>
      </c>
      <c r="H172" s="89" t="s">
        <v>70</v>
      </c>
      <c r="I172" s="89" t="s">
        <v>1547</v>
      </c>
      <c r="J172" s="89">
        <v>0</v>
      </c>
      <c r="K172" s="89" t="s">
        <v>53</v>
      </c>
      <c r="L172" s="89" t="s">
        <v>1548</v>
      </c>
      <c r="M172" s="91"/>
      <c r="N172" s="89" t="s">
        <v>1549</v>
      </c>
      <c r="O172" s="89" t="s">
        <v>615</v>
      </c>
      <c r="P172" s="89" t="s">
        <v>1550</v>
      </c>
      <c r="Q172" s="89" t="s">
        <v>629</v>
      </c>
      <c r="R172" s="89">
        <v>24</v>
      </c>
      <c r="S172" s="89" t="s">
        <v>1555</v>
      </c>
      <c r="T172" s="89" t="s">
        <v>1555</v>
      </c>
      <c r="U172" s="89" t="s">
        <v>1552</v>
      </c>
      <c r="V172" s="89" t="s">
        <v>1561</v>
      </c>
      <c r="W172" s="89" t="s">
        <v>677</v>
      </c>
      <c r="X172" s="89" t="s">
        <v>66</v>
      </c>
      <c r="Y172" s="89" t="s">
        <v>619</v>
      </c>
      <c r="Z172" s="89" t="s">
        <v>68</v>
      </c>
      <c r="AA172" s="89" t="s">
        <v>67</v>
      </c>
      <c r="AB172" s="89">
        <v>1</v>
      </c>
      <c r="AC172" s="89">
        <v>6</v>
      </c>
      <c r="AD172" s="89">
        <v>1</v>
      </c>
      <c r="AE172" s="89" t="s">
        <v>287</v>
      </c>
      <c r="AF172" s="90">
        <v>367</v>
      </c>
      <c r="AG172" s="90">
        <v>45058</v>
      </c>
      <c r="AH172" s="90">
        <v>46143</v>
      </c>
    </row>
    <row r="173" spans="1:34" x14ac:dyDescent="0.35">
      <c r="A173" s="89" t="str">
        <f t="shared" si="6"/>
        <v>444B</v>
      </c>
      <c r="B173" s="89" t="s">
        <v>1086</v>
      </c>
      <c r="C173" s="89" t="s">
        <v>1087</v>
      </c>
      <c r="D173" s="89" t="s">
        <v>268</v>
      </c>
      <c r="E173" s="89" t="s">
        <v>1088</v>
      </c>
      <c r="F173" s="89" t="s">
        <v>1674</v>
      </c>
      <c r="G173" s="89" t="s">
        <v>70</v>
      </c>
      <c r="H173" s="89" t="s">
        <v>70</v>
      </c>
      <c r="I173" s="89" t="s">
        <v>1547</v>
      </c>
      <c r="J173" s="89">
        <v>0</v>
      </c>
      <c r="K173" s="89" t="s">
        <v>53</v>
      </c>
      <c r="L173" s="89" t="s">
        <v>1548</v>
      </c>
      <c r="M173" s="91"/>
      <c r="N173" s="89" t="s">
        <v>1549</v>
      </c>
      <c r="O173" s="89" t="s">
        <v>615</v>
      </c>
      <c r="P173" s="89" t="s">
        <v>1550</v>
      </c>
      <c r="Q173" s="89" t="s">
        <v>629</v>
      </c>
      <c r="R173" s="89">
        <v>15</v>
      </c>
      <c r="S173" s="89" t="s">
        <v>1555</v>
      </c>
      <c r="T173" s="89" t="s">
        <v>1555</v>
      </c>
      <c r="U173" s="89" t="s">
        <v>1552</v>
      </c>
      <c r="V173" s="89" t="s">
        <v>1561</v>
      </c>
      <c r="W173" s="89" t="s">
        <v>645</v>
      </c>
      <c r="X173" s="89" t="s">
        <v>100</v>
      </c>
      <c r="Y173" s="89" t="s">
        <v>619</v>
      </c>
      <c r="Z173" s="89" t="s">
        <v>68</v>
      </c>
      <c r="AA173" s="89" t="s">
        <v>67</v>
      </c>
      <c r="AB173" s="89">
        <v>1</v>
      </c>
      <c r="AC173" s="89">
        <v>6</v>
      </c>
      <c r="AD173" s="89">
        <v>1</v>
      </c>
      <c r="AE173" s="89" t="s">
        <v>287</v>
      </c>
      <c r="AF173" s="90">
        <v>367</v>
      </c>
      <c r="AG173" s="90">
        <v>45058</v>
      </c>
      <c r="AH173" s="90">
        <v>46143</v>
      </c>
    </row>
    <row r="174" spans="1:34" x14ac:dyDescent="0.35">
      <c r="A174" s="89" t="str">
        <f t="shared" si="6"/>
        <v>697W</v>
      </c>
      <c r="B174" s="89" t="s">
        <v>1715</v>
      </c>
      <c r="C174" s="89" t="s">
        <v>1716</v>
      </c>
      <c r="D174" s="89" t="s">
        <v>389</v>
      </c>
      <c r="E174" s="89" t="s">
        <v>1717</v>
      </c>
      <c r="F174" s="89" t="s">
        <v>1674</v>
      </c>
      <c r="G174" s="89" t="s">
        <v>70</v>
      </c>
      <c r="H174" s="89" t="s">
        <v>70</v>
      </c>
      <c r="I174" s="89" t="s">
        <v>1591</v>
      </c>
      <c r="J174" s="89">
        <v>0</v>
      </c>
      <c r="K174" s="89" t="s">
        <v>53</v>
      </c>
      <c r="L174" s="89" t="s">
        <v>1548</v>
      </c>
      <c r="M174" s="91"/>
      <c r="N174" s="89" t="s">
        <v>1549</v>
      </c>
      <c r="O174" s="89" t="s">
        <v>615</v>
      </c>
      <c r="P174" s="89" t="s">
        <v>1550</v>
      </c>
      <c r="Q174" s="89" t="s">
        <v>629</v>
      </c>
      <c r="R174" s="89">
        <v>24</v>
      </c>
      <c r="S174" s="89" t="s">
        <v>1551</v>
      </c>
      <c r="T174" s="89" t="s">
        <v>1555</v>
      </c>
      <c r="U174" s="89" t="s">
        <v>1552</v>
      </c>
      <c r="V174" s="89" t="s">
        <v>1561</v>
      </c>
      <c r="W174" s="89" t="s">
        <v>645</v>
      </c>
      <c r="X174" s="89" t="s">
        <v>100</v>
      </c>
      <c r="Y174" s="89" t="s">
        <v>619</v>
      </c>
      <c r="Z174" s="89" t="s">
        <v>68</v>
      </c>
      <c r="AA174" s="89" t="s">
        <v>67</v>
      </c>
      <c r="AB174" s="89">
        <v>1</v>
      </c>
      <c r="AC174" s="89">
        <v>6</v>
      </c>
      <c r="AD174" s="89">
        <v>1</v>
      </c>
      <c r="AE174" s="89" t="s">
        <v>287</v>
      </c>
      <c r="AF174" s="90">
        <v>367</v>
      </c>
      <c r="AG174" s="90">
        <v>45059</v>
      </c>
      <c r="AH174" s="90">
        <v>46143</v>
      </c>
    </row>
    <row r="175" spans="1:34" x14ac:dyDescent="0.35">
      <c r="A175" s="89" t="str">
        <f t="shared" si="6"/>
        <v>00T4</v>
      </c>
      <c r="B175" s="89" t="s">
        <v>1310</v>
      </c>
      <c r="C175" s="89" t="s">
        <v>1311</v>
      </c>
      <c r="D175" s="89" t="s">
        <v>141</v>
      </c>
      <c r="E175" s="89" t="s">
        <v>1312</v>
      </c>
      <c r="F175" s="89" t="s">
        <v>1674</v>
      </c>
      <c r="G175" s="89" t="s">
        <v>70</v>
      </c>
      <c r="H175" s="89" t="s">
        <v>70</v>
      </c>
      <c r="I175" s="91"/>
      <c r="J175" s="89">
        <v>0</v>
      </c>
      <c r="K175" s="89" t="s">
        <v>53</v>
      </c>
      <c r="L175" s="89" t="s">
        <v>1548</v>
      </c>
      <c r="M175" s="91"/>
      <c r="N175" s="89" t="s">
        <v>1549</v>
      </c>
      <c r="O175" s="89" t="s">
        <v>615</v>
      </c>
      <c r="P175" s="89" t="s">
        <v>1550</v>
      </c>
      <c r="Q175" s="89" t="s">
        <v>657</v>
      </c>
      <c r="R175" s="89">
        <v>24</v>
      </c>
      <c r="S175" s="89" t="s">
        <v>1551</v>
      </c>
      <c r="T175" s="89" t="s">
        <v>1551</v>
      </c>
      <c r="U175" s="89" t="s">
        <v>1552</v>
      </c>
      <c r="V175" s="89" t="s">
        <v>1561</v>
      </c>
      <c r="W175" s="89" t="s">
        <v>656</v>
      </c>
      <c r="X175" s="89" t="s">
        <v>92</v>
      </c>
      <c r="Y175" s="89" t="s">
        <v>619</v>
      </c>
      <c r="Z175" s="89" t="s">
        <v>68</v>
      </c>
      <c r="AA175" s="89" t="s">
        <v>67</v>
      </c>
      <c r="AB175" s="89">
        <v>1</v>
      </c>
      <c r="AC175" s="89">
        <v>6</v>
      </c>
      <c r="AD175" s="89">
        <v>1</v>
      </c>
      <c r="AE175" s="89" t="s">
        <v>287</v>
      </c>
      <c r="AF175" s="90">
        <v>367</v>
      </c>
      <c r="AG175" s="90">
        <v>45059</v>
      </c>
      <c r="AH175" s="90">
        <v>46155</v>
      </c>
    </row>
    <row r="176" spans="1:34" x14ac:dyDescent="0.35">
      <c r="A176" s="89" t="str">
        <f t="shared" si="6"/>
        <v>6651</v>
      </c>
      <c r="B176" s="89" t="s">
        <v>1164</v>
      </c>
      <c r="C176" s="89" t="s">
        <v>1165</v>
      </c>
      <c r="D176" s="89" t="s">
        <v>347</v>
      </c>
      <c r="E176" s="89" t="s">
        <v>1718</v>
      </c>
      <c r="F176" s="89" t="s">
        <v>1674</v>
      </c>
      <c r="G176" s="89" t="s">
        <v>70</v>
      </c>
      <c r="H176" s="89" t="s">
        <v>70</v>
      </c>
      <c r="I176" s="89" t="s">
        <v>1560</v>
      </c>
      <c r="J176" s="89">
        <v>0</v>
      </c>
      <c r="K176" s="89" t="s">
        <v>53</v>
      </c>
      <c r="L176" s="89" t="s">
        <v>1548</v>
      </c>
      <c r="M176" s="91"/>
      <c r="N176" s="89" t="s">
        <v>1549</v>
      </c>
      <c r="O176" s="89" t="s">
        <v>615</v>
      </c>
      <c r="P176" s="89" t="s">
        <v>1550</v>
      </c>
      <c r="Q176" s="89" t="s">
        <v>629</v>
      </c>
      <c r="R176" s="89">
        <v>24</v>
      </c>
      <c r="S176" s="89" t="s">
        <v>1551</v>
      </c>
      <c r="T176" s="89" t="s">
        <v>1551</v>
      </c>
      <c r="U176" s="89" t="s">
        <v>1552</v>
      </c>
      <c r="V176" s="89" t="s">
        <v>1561</v>
      </c>
      <c r="W176" s="89" t="s">
        <v>677</v>
      </c>
      <c r="X176" s="89" t="s">
        <v>66</v>
      </c>
      <c r="Y176" s="89" t="s">
        <v>619</v>
      </c>
      <c r="Z176" s="89" t="s">
        <v>68</v>
      </c>
      <c r="AA176" s="89" t="s">
        <v>67</v>
      </c>
      <c r="AB176" s="89">
        <v>1</v>
      </c>
      <c r="AC176" s="89">
        <v>6</v>
      </c>
      <c r="AD176" s="89">
        <v>1</v>
      </c>
      <c r="AE176" s="89" t="s">
        <v>287</v>
      </c>
      <c r="AF176" s="90">
        <v>367</v>
      </c>
      <c r="AG176" s="90">
        <v>45059</v>
      </c>
      <c r="AH176" s="90">
        <v>46155</v>
      </c>
    </row>
    <row r="177" spans="1:37" x14ac:dyDescent="0.35">
      <c r="A177" s="89" t="str">
        <f t="shared" si="6"/>
        <v>6738</v>
      </c>
      <c r="B177" s="89" t="s">
        <v>1379</v>
      </c>
      <c r="C177" s="89" t="s">
        <v>1380</v>
      </c>
      <c r="D177" s="89" t="s">
        <v>350</v>
      </c>
      <c r="E177" s="89" t="s">
        <v>1719</v>
      </c>
      <c r="F177" s="89" t="s">
        <v>1674</v>
      </c>
      <c r="G177" s="89" t="s">
        <v>70</v>
      </c>
      <c r="H177" s="89" t="s">
        <v>70</v>
      </c>
      <c r="I177" s="91"/>
      <c r="J177" s="89">
        <v>0</v>
      </c>
      <c r="K177" s="89" t="s">
        <v>53</v>
      </c>
      <c r="L177" s="89" t="s">
        <v>1548</v>
      </c>
      <c r="M177" s="91"/>
      <c r="N177" s="89" t="s">
        <v>1549</v>
      </c>
      <c r="O177" s="89" t="s">
        <v>615</v>
      </c>
      <c r="P177" s="89" t="s">
        <v>1550</v>
      </c>
      <c r="Q177" s="89" t="s">
        <v>657</v>
      </c>
      <c r="R177" s="89">
        <v>24</v>
      </c>
      <c r="S177" s="89" t="s">
        <v>1551</v>
      </c>
      <c r="T177" s="89" t="s">
        <v>1551</v>
      </c>
      <c r="U177" s="89" t="s">
        <v>1552</v>
      </c>
      <c r="V177" s="89" t="s">
        <v>1561</v>
      </c>
      <c r="W177" s="89" t="s">
        <v>656</v>
      </c>
      <c r="X177" s="89" t="s">
        <v>92</v>
      </c>
      <c r="Y177" s="89" t="s">
        <v>619</v>
      </c>
      <c r="Z177" s="89" t="s">
        <v>68</v>
      </c>
      <c r="AA177" s="89" t="s">
        <v>67</v>
      </c>
      <c r="AB177" s="89">
        <v>1</v>
      </c>
      <c r="AC177" s="89">
        <v>6</v>
      </c>
      <c r="AD177" s="89">
        <v>1</v>
      </c>
      <c r="AE177" s="89" t="s">
        <v>287</v>
      </c>
      <c r="AF177" s="90">
        <v>367</v>
      </c>
      <c r="AG177" s="90">
        <v>45059</v>
      </c>
      <c r="AH177" s="90">
        <v>46155</v>
      </c>
    </row>
    <row r="178" spans="1:37" x14ac:dyDescent="0.35">
      <c r="A178" s="89" t="str">
        <f t="shared" si="6"/>
        <v>689M</v>
      </c>
      <c r="B178" s="89" t="s">
        <v>1392</v>
      </c>
      <c r="C178" s="89" t="s">
        <v>1393</v>
      </c>
      <c r="D178" s="89" t="s">
        <v>375</v>
      </c>
      <c r="E178" s="89" t="s">
        <v>1394</v>
      </c>
      <c r="F178" s="89" t="s">
        <v>1674</v>
      </c>
      <c r="G178" s="89" t="s">
        <v>70</v>
      </c>
      <c r="H178" s="89" t="s">
        <v>70</v>
      </c>
      <c r="I178" s="91"/>
      <c r="J178" s="89">
        <v>0</v>
      </c>
      <c r="K178" s="89" t="s">
        <v>53</v>
      </c>
      <c r="L178" s="89" t="s">
        <v>1548</v>
      </c>
      <c r="M178" s="91"/>
      <c r="N178" s="89" t="s">
        <v>1549</v>
      </c>
      <c r="O178" s="89" t="s">
        <v>615</v>
      </c>
      <c r="P178" s="89" t="s">
        <v>1550</v>
      </c>
      <c r="Q178" s="89" t="s">
        <v>657</v>
      </c>
      <c r="R178" s="89">
        <v>15</v>
      </c>
      <c r="S178" s="89" t="s">
        <v>1555</v>
      </c>
      <c r="T178" s="89" t="s">
        <v>1551</v>
      </c>
      <c r="U178" s="89" t="s">
        <v>1552</v>
      </c>
      <c r="V178" s="89" t="s">
        <v>1561</v>
      </c>
      <c r="W178" s="89" t="s">
        <v>649</v>
      </c>
      <c r="X178" s="89" t="s">
        <v>76</v>
      </c>
      <c r="Y178" s="89" t="s">
        <v>619</v>
      </c>
      <c r="Z178" s="89" t="s">
        <v>68</v>
      </c>
      <c r="AA178" s="89" t="s">
        <v>67</v>
      </c>
      <c r="AB178" s="89">
        <v>1</v>
      </c>
      <c r="AC178" s="89">
        <v>6</v>
      </c>
      <c r="AD178" s="89">
        <v>1</v>
      </c>
      <c r="AE178" s="89" t="s">
        <v>287</v>
      </c>
      <c r="AF178" s="90">
        <v>367</v>
      </c>
      <c r="AG178" s="90">
        <v>45059</v>
      </c>
      <c r="AH178" s="90">
        <v>46155</v>
      </c>
    </row>
    <row r="179" spans="1:37" x14ac:dyDescent="0.35">
      <c r="A179" s="89" t="str">
        <f t="shared" si="6"/>
        <v>687Z</v>
      </c>
      <c r="B179" s="89" t="s">
        <v>1720</v>
      </c>
      <c r="C179" s="89" t="s">
        <v>1721</v>
      </c>
      <c r="D179" s="89" t="s">
        <v>367</v>
      </c>
      <c r="E179" s="89" t="s">
        <v>1722</v>
      </c>
      <c r="F179" s="89" t="s">
        <v>1674</v>
      </c>
      <c r="G179" s="89" t="s">
        <v>70</v>
      </c>
      <c r="H179" s="89" t="s">
        <v>70</v>
      </c>
      <c r="I179" s="91"/>
      <c r="J179" s="89">
        <v>0</v>
      </c>
      <c r="K179" s="89" t="s">
        <v>53</v>
      </c>
      <c r="L179" s="89" t="s">
        <v>1548</v>
      </c>
      <c r="M179" s="91"/>
      <c r="N179" s="89" t="s">
        <v>1549</v>
      </c>
      <c r="O179" s="89" t="s">
        <v>615</v>
      </c>
      <c r="P179" s="89" t="s">
        <v>1550</v>
      </c>
      <c r="Q179" s="89" t="s">
        <v>629</v>
      </c>
      <c r="R179" s="89">
        <v>15</v>
      </c>
      <c r="S179" s="89" t="s">
        <v>1555</v>
      </c>
      <c r="T179" s="89" t="s">
        <v>1555</v>
      </c>
      <c r="U179" s="89" t="s">
        <v>1552</v>
      </c>
      <c r="V179" s="89" t="s">
        <v>1561</v>
      </c>
      <c r="W179" s="89" t="s">
        <v>649</v>
      </c>
      <c r="X179" s="89" t="s">
        <v>76</v>
      </c>
      <c r="Y179" s="89" t="s">
        <v>619</v>
      </c>
      <c r="Z179" s="89" t="s">
        <v>68</v>
      </c>
      <c r="AA179" s="89" t="s">
        <v>67</v>
      </c>
      <c r="AB179" s="89">
        <v>1</v>
      </c>
      <c r="AC179" s="89">
        <v>6</v>
      </c>
      <c r="AD179" s="89">
        <v>1</v>
      </c>
      <c r="AE179" s="89" t="s">
        <v>287</v>
      </c>
      <c r="AF179" s="90">
        <v>367</v>
      </c>
      <c r="AG179" s="90">
        <v>45061</v>
      </c>
      <c r="AH179" s="90">
        <v>46157</v>
      </c>
    </row>
    <row r="180" spans="1:37" x14ac:dyDescent="0.35">
      <c r="A180" s="89" t="str">
        <f t="shared" si="6"/>
        <v>135A</v>
      </c>
      <c r="B180" s="89" t="s">
        <v>1323</v>
      </c>
      <c r="C180" s="89" t="s">
        <v>1324</v>
      </c>
      <c r="D180" s="89" t="s">
        <v>196</v>
      </c>
      <c r="E180" s="89" t="s">
        <v>1325</v>
      </c>
      <c r="F180" s="89" t="s">
        <v>1674</v>
      </c>
      <c r="G180" s="89" t="s">
        <v>70</v>
      </c>
      <c r="H180" s="89" t="s">
        <v>70</v>
      </c>
      <c r="I180" s="91"/>
      <c r="J180" s="89">
        <v>0</v>
      </c>
      <c r="K180" s="89" t="s">
        <v>53</v>
      </c>
      <c r="L180" s="89" t="s">
        <v>1548</v>
      </c>
      <c r="M180" s="91"/>
      <c r="N180" s="89" t="s">
        <v>1549</v>
      </c>
      <c r="O180" s="89" t="s">
        <v>615</v>
      </c>
      <c r="P180" s="89" t="s">
        <v>1550</v>
      </c>
      <c r="Q180" s="89" t="s">
        <v>657</v>
      </c>
      <c r="R180" s="89">
        <v>24</v>
      </c>
      <c r="S180" s="89" t="s">
        <v>1551</v>
      </c>
      <c r="T180" s="89" t="s">
        <v>1555</v>
      </c>
      <c r="U180" s="89" t="s">
        <v>1552</v>
      </c>
      <c r="V180" s="89" t="s">
        <v>1561</v>
      </c>
      <c r="W180" s="89" t="s">
        <v>656</v>
      </c>
      <c r="X180" s="89" t="s">
        <v>92</v>
      </c>
      <c r="Y180" s="89" t="s">
        <v>619</v>
      </c>
      <c r="Z180" s="89" t="s">
        <v>68</v>
      </c>
      <c r="AA180" s="89" t="s">
        <v>67</v>
      </c>
      <c r="AB180" s="89">
        <v>1</v>
      </c>
      <c r="AC180" s="89">
        <v>6</v>
      </c>
      <c r="AD180" s="89">
        <v>1</v>
      </c>
      <c r="AE180" s="89" t="s">
        <v>287</v>
      </c>
      <c r="AF180" s="90">
        <v>367</v>
      </c>
      <c r="AG180" s="90">
        <v>45082</v>
      </c>
      <c r="AH180" s="90">
        <v>46174</v>
      </c>
    </row>
    <row r="181" spans="1:37" x14ac:dyDescent="0.35">
      <c r="A181" s="89" t="str">
        <f t="shared" si="6"/>
        <v>681W</v>
      </c>
      <c r="B181" s="89" t="s">
        <v>1723</v>
      </c>
      <c r="C181" s="89" t="s">
        <v>1724</v>
      </c>
      <c r="D181" s="89" t="s">
        <v>353</v>
      </c>
      <c r="E181" s="89" t="s">
        <v>1725</v>
      </c>
      <c r="F181" s="89" t="s">
        <v>1674</v>
      </c>
      <c r="G181" s="89" t="s">
        <v>70</v>
      </c>
      <c r="H181" s="89" t="s">
        <v>70</v>
      </c>
      <c r="I181" s="89" t="s">
        <v>1547</v>
      </c>
      <c r="J181" s="89">
        <v>0</v>
      </c>
      <c r="K181" s="89" t="s">
        <v>53</v>
      </c>
      <c r="L181" s="89" t="s">
        <v>1548</v>
      </c>
      <c r="M181" s="91"/>
      <c r="N181" s="89" t="s">
        <v>1549</v>
      </c>
      <c r="O181" s="89" t="s">
        <v>615</v>
      </c>
      <c r="P181" s="89" t="s">
        <v>1550</v>
      </c>
      <c r="Q181" s="89" t="s">
        <v>629</v>
      </c>
      <c r="R181" s="89">
        <v>15</v>
      </c>
      <c r="S181" s="89" t="s">
        <v>1555</v>
      </c>
      <c r="T181" s="89" t="s">
        <v>1555</v>
      </c>
      <c r="U181" s="89" t="s">
        <v>1552</v>
      </c>
      <c r="V181" s="89" t="s">
        <v>1561</v>
      </c>
      <c r="W181" s="89" t="s">
        <v>649</v>
      </c>
      <c r="X181" s="89" t="s">
        <v>76</v>
      </c>
      <c r="Y181" s="89" t="s">
        <v>619</v>
      </c>
      <c r="Z181" s="89" t="s">
        <v>68</v>
      </c>
      <c r="AA181" s="89" t="s">
        <v>67</v>
      </c>
      <c r="AB181" s="89">
        <v>1</v>
      </c>
      <c r="AC181" s="89">
        <v>6</v>
      </c>
      <c r="AD181" s="89">
        <v>1</v>
      </c>
      <c r="AE181" s="89" t="s">
        <v>287</v>
      </c>
      <c r="AF181" s="90">
        <v>367</v>
      </c>
      <c r="AG181" s="90">
        <v>45082</v>
      </c>
      <c r="AH181" s="90">
        <v>46174</v>
      </c>
    </row>
    <row r="182" spans="1:37" x14ac:dyDescent="0.35">
      <c r="A182" s="89" t="str">
        <f t="shared" si="6"/>
        <v>695F</v>
      </c>
      <c r="B182" s="89" t="s">
        <v>1726</v>
      </c>
      <c r="C182" s="89" t="s">
        <v>1727</v>
      </c>
      <c r="D182" s="89" t="s">
        <v>384</v>
      </c>
      <c r="E182" s="89" t="s">
        <v>1728</v>
      </c>
      <c r="F182" s="89" t="s">
        <v>1674</v>
      </c>
      <c r="G182" s="89" t="s">
        <v>70</v>
      </c>
      <c r="H182" s="89" t="s">
        <v>70</v>
      </c>
      <c r="I182" s="89" t="s">
        <v>1566</v>
      </c>
      <c r="J182" s="89">
        <v>1</v>
      </c>
      <c r="K182" s="89" t="s">
        <v>53</v>
      </c>
      <c r="L182" s="89" t="s">
        <v>1548</v>
      </c>
      <c r="M182" s="91"/>
      <c r="N182" s="89" t="s">
        <v>1549</v>
      </c>
      <c r="O182" s="89" t="s">
        <v>615</v>
      </c>
      <c r="P182" s="89" t="s">
        <v>1550</v>
      </c>
      <c r="Q182" s="89" t="s">
        <v>629</v>
      </c>
      <c r="R182" s="89">
        <v>24</v>
      </c>
      <c r="S182" s="89" t="s">
        <v>1551</v>
      </c>
      <c r="T182" s="89" t="s">
        <v>1555</v>
      </c>
      <c r="U182" s="89" t="s">
        <v>1552</v>
      </c>
      <c r="V182" s="89" t="s">
        <v>1561</v>
      </c>
      <c r="W182" s="89" t="s">
        <v>645</v>
      </c>
      <c r="X182" s="89" t="s">
        <v>100</v>
      </c>
      <c r="Y182" s="89" t="s">
        <v>619</v>
      </c>
      <c r="Z182" s="89" t="s">
        <v>68</v>
      </c>
      <c r="AA182" s="89" t="s">
        <v>67</v>
      </c>
      <c r="AB182" s="89">
        <v>1</v>
      </c>
      <c r="AC182" s="89">
        <v>6</v>
      </c>
      <c r="AD182" s="89">
        <v>1</v>
      </c>
      <c r="AE182" s="89" t="s">
        <v>287</v>
      </c>
      <c r="AF182" s="90">
        <v>367</v>
      </c>
      <c r="AG182" s="90">
        <v>45082</v>
      </c>
      <c r="AH182" s="90">
        <v>46174</v>
      </c>
    </row>
    <row r="183" spans="1:37" x14ac:dyDescent="0.35">
      <c r="A183" s="89" t="str">
        <f t="shared" si="6"/>
        <v>544D</v>
      </c>
      <c r="B183" s="89" t="s">
        <v>1358</v>
      </c>
      <c r="C183" s="89" t="s">
        <v>1359</v>
      </c>
      <c r="D183" s="89" t="s">
        <v>294</v>
      </c>
      <c r="E183" s="89" t="s">
        <v>1360</v>
      </c>
      <c r="F183" s="89" t="s">
        <v>1674</v>
      </c>
      <c r="G183" s="89" t="s">
        <v>70</v>
      </c>
      <c r="H183" s="89" t="s">
        <v>70</v>
      </c>
      <c r="I183" s="91"/>
      <c r="J183" s="89">
        <v>0</v>
      </c>
      <c r="K183" s="89" t="s">
        <v>53</v>
      </c>
      <c r="L183" s="89" t="s">
        <v>1548</v>
      </c>
      <c r="M183" s="91"/>
      <c r="N183" s="89" t="s">
        <v>1549</v>
      </c>
      <c r="O183" s="89" t="s">
        <v>615</v>
      </c>
      <c r="P183" s="89" t="s">
        <v>1550</v>
      </c>
      <c r="Q183" s="89" t="s">
        <v>657</v>
      </c>
      <c r="R183" s="89">
        <v>15</v>
      </c>
      <c r="S183" s="89" t="s">
        <v>1555</v>
      </c>
      <c r="T183" s="89" t="s">
        <v>1555</v>
      </c>
      <c r="U183" s="89" t="s">
        <v>1552</v>
      </c>
      <c r="V183" s="89" t="s">
        <v>1561</v>
      </c>
      <c r="W183" s="89" t="s">
        <v>656</v>
      </c>
      <c r="X183" s="89" t="s">
        <v>92</v>
      </c>
      <c r="Y183" s="89" t="s">
        <v>619</v>
      </c>
      <c r="Z183" s="89" t="s">
        <v>68</v>
      </c>
      <c r="AA183" s="89" t="s">
        <v>67</v>
      </c>
      <c r="AB183" s="89">
        <v>1</v>
      </c>
      <c r="AC183" s="89">
        <v>6</v>
      </c>
      <c r="AD183" s="89">
        <v>1</v>
      </c>
      <c r="AE183" s="89" t="s">
        <v>287</v>
      </c>
      <c r="AF183" s="90">
        <v>367</v>
      </c>
      <c r="AG183" s="90">
        <v>45082</v>
      </c>
      <c r="AH183" s="90">
        <v>46174</v>
      </c>
    </row>
    <row r="184" spans="1:37" x14ac:dyDescent="0.35">
      <c r="A184" s="89" t="str">
        <f t="shared" si="6"/>
        <v>1017</v>
      </c>
      <c r="B184" s="89" t="s">
        <v>1496</v>
      </c>
      <c r="C184" s="89" t="s">
        <v>1497</v>
      </c>
      <c r="D184" s="89" t="s">
        <v>194</v>
      </c>
      <c r="E184" s="89" t="s">
        <v>1729</v>
      </c>
      <c r="F184" s="89" t="s">
        <v>1674</v>
      </c>
      <c r="G184" s="89" t="s">
        <v>70</v>
      </c>
      <c r="H184" s="89" t="s">
        <v>70</v>
      </c>
      <c r="I184" s="89" t="s">
        <v>1556</v>
      </c>
      <c r="J184" s="89">
        <v>0</v>
      </c>
      <c r="K184" s="89" t="s">
        <v>53</v>
      </c>
      <c r="L184" s="89" t="s">
        <v>1548</v>
      </c>
      <c r="M184" s="91"/>
      <c r="N184" s="89" t="s">
        <v>1549</v>
      </c>
      <c r="O184" s="89" t="s">
        <v>615</v>
      </c>
      <c r="P184" s="89" t="s">
        <v>1550</v>
      </c>
      <c r="Q184" s="89" t="s">
        <v>629</v>
      </c>
      <c r="R184" s="89">
        <v>24</v>
      </c>
      <c r="S184" s="89" t="s">
        <v>1551</v>
      </c>
      <c r="T184" s="89" t="s">
        <v>1555</v>
      </c>
      <c r="U184" s="89" t="s">
        <v>1552</v>
      </c>
      <c r="V184" s="89" t="s">
        <v>1561</v>
      </c>
      <c r="W184" s="89" t="s">
        <v>628</v>
      </c>
      <c r="X184" s="89" t="s">
        <v>117</v>
      </c>
      <c r="Y184" s="89" t="s">
        <v>619</v>
      </c>
      <c r="Z184" s="89" t="s">
        <v>68</v>
      </c>
      <c r="AA184" s="89" t="s">
        <v>67</v>
      </c>
      <c r="AB184" s="89">
        <v>1</v>
      </c>
      <c r="AC184" s="89">
        <v>6</v>
      </c>
      <c r="AD184" s="89">
        <v>1</v>
      </c>
      <c r="AE184" s="89" t="s">
        <v>287</v>
      </c>
      <c r="AF184" s="90">
        <v>367</v>
      </c>
      <c r="AG184" s="90">
        <v>45082</v>
      </c>
      <c r="AH184" s="90">
        <v>46174</v>
      </c>
    </row>
    <row r="185" spans="1:37" x14ac:dyDescent="0.35">
      <c r="A185" s="89" t="str">
        <f t="shared" si="6"/>
        <v>ZRB7</v>
      </c>
      <c r="B185" s="89" t="s">
        <v>1271</v>
      </c>
      <c r="C185" s="89" t="s">
        <v>1272</v>
      </c>
      <c r="D185" s="89" t="s">
        <v>513</v>
      </c>
      <c r="E185" s="89" t="s">
        <v>1273</v>
      </c>
      <c r="F185" s="89" t="s">
        <v>1674</v>
      </c>
      <c r="G185" s="89" t="s">
        <v>70</v>
      </c>
      <c r="H185" s="89" t="s">
        <v>70</v>
      </c>
      <c r="I185" s="91"/>
      <c r="J185" s="89">
        <v>0</v>
      </c>
      <c r="K185" s="26" t="s">
        <v>38</v>
      </c>
      <c r="L185" s="89" t="s">
        <v>1588</v>
      </c>
      <c r="M185" s="91"/>
      <c r="N185" s="89" t="s">
        <v>1549</v>
      </c>
      <c r="O185" s="89" t="s">
        <v>615</v>
      </c>
      <c r="P185" s="89" t="s">
        <v>1550</v>
      </c>
      <c r="Q185" s="89" t="s">
        <v>629</v>
      </c>
      <c r="R185" s="89">
        <v>15</v>
      </c>
      <c r="S185" s="89" t="s">
        <v>1551</v>
      </c>
      <c r="T185" s="89" t="s">
        <v>1555</v>
      </c>
      <c r="U185" s="89" t="s">
        <v>1552</v>
      </c>
      <c r="V185" s="89" t="s">
        <v>1561</v>
      </c>
      <c r="W185" s="89" t="s">
        <v>645</v>
      </c>
      <c r="X185" s="89" t="s">
        <v>100</v>
      </c>
      <c r="Y185" s="89" t="s">
        <v>619</v>
      </c>
      <c r="Z185" s="89" t="s">
        <v>68</v>
      </c>
      <c r="AA185" s="89" t="s">
        <v>67</v>
      </c>
      <c r="AB185" s="89">
        <v>1</v>
      </c>
      <c r="AC185" s="89">
        <v>6</v>
      </c>
      <c r="AD185" s="89">
        <v>1</v>
      </c>
      <c r="AE185" s="89" t="s">
        <v>287</v>
      </c>
      <c r="AF185" s="90">
        <v>367</v>
      </c>
      <c r="AG185" s="90">
        <v>45098</v>
      </c>
      <c r="AH185" s="90">
        <v>46174</v>
      </c>
      <c r="AJ185" t="e">
        <f>VLOOKUP(A185,'1'!B:Q,16,0)</f>
        <v>#N/A</v>
      </c>
      <c r="AK185" s="96" t="e">
        <f t="shared" ref="AK185:AK198" si="7">AJ185/250</f>
        <v>#N/A</v>
      </c>
    </row>
    <row r="186" spans="1:37" x14ac:dyDescent="0.35">
      <c r="A186" s="89" t="str">
        <f t="shared" si="6"/>
        <v>ZRF7</v>
      </c>
      <c r="B186" s="89" t="s">
        <v>658</v>
      </c>
      <c r="C186" s="89" t="s">
        <v>659</v>
      </c>
      <c r="D186" s="89" t="s">
        <v>522</v>
      </c>
      <c r="E186" s="89" t="s">
        <v>660</v>
      </c>
      <c r="F186" s="89" t="s">
        <v>1674</v>
      </c>
      <c r="G186" s="89" t="s">
        <v>70</v>
      </c>
      <c r="H186" s="89" t="s">
        <v>70</v>
      </c>
      <c r="I186" s="91"/>
      <c r="J186" s="89">
        <v>0</v>
      </c>
      <c r="K186" s="26" t="s">
        <v>38</v>
      </c>
      <c r="L186" s="89" t="s">
        <v>1588</v>
      </c>
      <c r="M186" s="91"/>
      <c r="N186" s="89" t="s">
        <v>1549</v>
      </c>
      <c r="O186" s="89" t="s">
        <v>615</v>
      </c>
      <c r="P186" s="89" t="s">
        <v>1550</v>
      </c>
      <c r="Q186" s="89" t="s">
        <v>629</v>
      </c>
      <c r="R186" s="89">
        <v>24</v>
      </c>
      <c r="S186" s="89" t="s">
        <v>1551</v>
      </c>
      <c r="T186" s="89" t="s">
        <v>1555</v>
      </c>
      <c r="U186" s="89" t="s">
        <v>1552</v>
      </c>
      <c r="V186" s="89" t="s">
        <v>1561</v>
      </c>
      <c r="W186" s="89" t="s">
        <v>645</v>
      </c>
      <c r="X186" s="89" t="s">
        <v>100</v>
      </c>
      <c r="Y186" s="89" t="s">
        <v>619</v>
      </c>
      <c r="Z186" s="89" t="s">
        <v>68</v>
      </c>
      <c r="AA186" s="89" t="s">
        <v>67</v>
      </c>
      <c r="AB186" s="89">
        <v>1</v>
      </c>
      <c r="AC186" s="89">
        <v>6</v>
      </c>
      <c r="AD186" s="89">
        <v>1</v>
      </c>
      <c r="AE186" s="89" t="s">
        <v>287</v>
      </c>
      <c r="AF186" s="90">
        <v>367</v>
      </c>
      <c r="AG186" s="90">
        <v>45098</v>
      </c>
      <c r="AH186" s="90">
        <v>46174</v>
      </c>
      <c r="AJ186" t="e">
        <f>VLOOKUP(A186,'1'!B:Q,16,0)</f>
        <v>#N/A</v>
      </c>
      <c r="AK186" s="96" t="e">
        <f t="shared" si="7"/>
        <v>#N/A</v>
      </c>
    </row>
    <row r="187" spans="1:37" x14ac:dyDescent="0.35">
      <c r="A187" s="89" t="str">
        <f t="shared" si="6"/>
        <v>ZUB7</v>
      </c>
      <c r="B187" s="89" t="s">
        <v>1730</v>
      </c>
      <c r="C187" s="89" t="s">
        <v>1731</v>
      </c>
      <c r="D187" s="89" t="s">
        <v>550</v>
      </c>
      <c r="E187" s="89" t="s">
        <v>1732</v>
      </c>
      <c r="F187" s="89" t="s">
        <v>1674</v>
      </c>
      <c r="G187" s="89" t="s">
        <v>70</v>
      </c>
      <c r="H187" s="89" t="s">
        <v>70</v>
      </c>
      <c r="I187" s="89" t="s">
        <v>1547</v>
      </c>
      <c r="J187" s="89">
        <v>0</v>
      </c>
      <c r="K187" s="26" t="s">
        <v>38</v>
      </c>
      <c r="L187" s="89" t="s">
        <v>1588</v>
      </c>
      <c r="M187" s="91"/>
      <c r="N187" s="89" t="s">
        <v>1549</v>
      </c>
      <c r="O187" s="89" t="s">
        <v>615</v>
      </c>
      <c r="P187" s="89" t="s">
        <v>1550</v>
      </c>
      <c r="Q187" s="89" t="s">
        <v>629</v>
      </c>
      <c r="R187" s="89">
        <v>24</v>
      </c>
      <c r="S187" s="89" t="s">
        <v>1555</v>
      </c>
      <c r="T187" s="89" t="s">
        <v>1555</v>
      </c>
      <c r="U187" s="89" t="s">
        <v>1552</v>
      </c>
      <c r="V187" s="89" t="s">
        <v>1561</v>
      </c>
      <c r="W187" s="89" t="s">
        <v>645</v>
      </c>
      <c r="X187" s="89" t="s">
        <v>100</v>
      </c>
      <c r="Y187" s="89" t="s">
        <v>619</v>
      </c>
      <c r="Z187" s="89" t="s">
        <v>68</v>
      </c>
      <c r="AA187" s="89" t="s">
        <v>67</v>
      </c>
      <c r="AB187" s="89">
        <v>1</v>
      </c>
      <c r="AC187" s="89">
        <v>6</v>
      </c>
      <c r="AD187" s="89">
        <v>1</v>
      </c>
      <c r="AE187" s="89" t="s">
        <v>287</v>
      </c>
      <c r="AF187" s="90">
        <v>367</v>
      </c>
      <c r="AG187" s="90">
        <v>45098</v>
      </c>
      <c r="AH187" s="90">
        <v>46174</v>
      </c>
      <c r="AJ187" t="e">
        <f>VLOOKUP(A187,'1'!B:Q,16,0)</f>
        <v>#N/A</v>
      </c>
      <c r="AK187" s="96" t="e">
        <f t="shared" si="7"/>
        <v>#N/A</v>
      </c>
    </row>
    <row r="188" spans="1:37" x14ac:dyDescent="0.35">
      <c r="A188" s="89" t="str">
        <f t="shared" si="6"/>
        <v>ZRJ7</v>
      </c>
      <c r="B188" s="89" t="s">
        <v>1283</v>
      </c>
      <c r="C188" s="89" t="s">
        <v>1284</v>
      </c>
      <c r="D188" s="89" t="s">
        <v>526</v>
      </c>
      <c r="E188" s="89" t="s">
        <v>1273</v>
      </c>
      <c r="F188" s="89" t="s">
        <v>1674</v>
      </c>
      <c r="G188" s="89" t="s">
        <v>70</v>
      </c>
      <c r="H188" s="89" t="s">
        <v>70</v>
      </c>
      <c r="I188" s="89" t="s">
        <v>1547</v>
      </c>
      <c r="J188" s="89">
        <v>0</v>
      </c>
      <c r="K188" s="26" t="s">
        <v>38</v>
      </c>
      <c r="L188" s="89" t="s">
        <v>1588</v>
      </c>
      <c r="M188" s="91"/>
      <c r="N188" s="89" t="s">
        <v>1549</v>
      </c>
      <c r="O188" s="89" t="s">
        <v>615</v>
      </c>
      <c r="P188" s="89" t="s">
        <v>1550</v>
      </c>
      <c r="Q188" s="89" t="s">
        <v>629</v>
      </c>
      <c r="R188" s="89">
        <v>17</v>
      </c>
      <c r="S188" s="89" t="s">
        <v>1551</v>
      </c>
      <c r="T188" s="89" t="s">
        <v>1555</v>
      </c>
      <c r="U188" s="89" t="s">
        <v>1552</v>
      </c>
      <c r="V188" s="89" t="s">
        <v>1561</v>
      </c>
      <c r="W188" s="89" t="s">
        <v>645</v>
      </c>
      <c r="X188" s="89" t="s">
        <v>100</v>
      </c>
      <c r="Y188" s="89" t="s">
        <v>619</v>
      </c>
      <c r="Z188" s="89" t="s">
        <v>68</v>
      </c>
      <c r="AA188" s="89" t="s">
        <v>67</v>
      </c>
      <c r="AB188" s="89">
        <v>1</v>
      </c>
      <c r="AC188" s="89">
        <v>6</v>
      </c>
      <c r="AD188" s="89">
        <v>1</v>
      </c>
      <c r="AE188" s="89" t="s">
        <v>287</v>
      </c>
      <c r="AF188" s="90">
        <v>367</v>
      </c>
      <c r="AG188" s="90">
        <v>45098</v>
      </c>
      <c r="AH188" s="90">
        <v>46174</v>
      </c>
      <c r="AJ188" t="e">
        <f>VLOOKUP(A188,'1'!B:Q,16,0)</f>
        <v>#N/A</v>
      </c>
      <c r="AK188" s="96" t="e">
        <f t="shared" si="7"/>
        <v>#N/A</v>
      </c>
    </row>
    <row r="189" spans="1:37" x14ac:dyDescent="0.35">
      <c r="A189" s="89" t="str">
        <f t="shared" si="6"/>
        <v>ZRQ5</v>
      </c>
      <c r="B189" s="89" t="s">
        <v>1289</v>
      </c>
      <c r="C189" s="89" t="s">
        <v>1290</v>
      </c>
      <c r="D189" s="89" t="s">
        <v>536</v>
      </c>
      <c r="E189" s="89" t="s">
        <v>1733</v>
      </c>
      <c r="F189" s="89" t="s">
        <v>1674</v>
      </c>
      <c r="G189" s="89" t="s">
        <v>70</v>
      </c>
      <c r="H189" s="89" t="s">
        <v>70</v>
      </c>
      <c r="I189" s="89" t="s">
        <v>1547</v>
      </c>
      <c r="J189" s="89">
        <v>0</v>
      </c>
      <c r="K189" s="26" t="s">
        <v>38</v>
      </c>
      <c r="L189" s="89" t="s">
        <v>1588</v>
      </c>
      <c r="M189" s="91"/>
      <c r="N189" s="89" t="s">
        <v>1549</v>
      </c>
      <c r="O189" s="89" t="s">
        <v>615</v>
      </c>
      <c r="P189" s="89" t="s">
        <v>1550</v>
      </c>
      <c r="Q189" s="89" t="s">
        <v>629</v>
      </c>
      <c r="R189" s="89">
        <v>24</v>
      </c>
      <c r="S189" s="89" t="s">
        <v>1551</v>
      </c>
      <c r="T189" s="89" t="s">
        <v>1555</v>
      </c>
      <c r="U189" s="89" t="s">
        <v>1552</v>
      </c>
      <c r="V189" s="89" t="s">
        <v>1561</v>
      </c>
      <c r="W189" s="89" t="s">
        <v>690</v>
      </c>
      <c r="X189" s="89" t="s">
        <v>81</v>
      </c>
      <c r="Y189" s="89" t="s">
        <v>619</v>
      </c>
      <c r="Z189" s="89" t="s">
        <v>68</v>
      </c>
      <c r="AA189" s="89" t="s">
        <v>82</v>
      </c>
      <c r="AB189" s="89">
        <v>1</v>
      </c>
      <c r="AC189" s="89">
        <v>6</v>
      </c>
      <c r="AD189" s="89">
        <v>1</v>
      </c>
      <c r="AE189" s="89" t="s">
        <v>287</v>
      </c>
      <c r="AF189" s="90">
        <v>367</v>
      </c>
      <c r="AG189" s="90">
        <v>45100</v>
      </c>
      <c r="AH189" s="90">
        <v>46174</v>
      </c>
      <c r="AJ189" t="e">
        <f>VLOOKUP(A189,'1'!B:Q,16,0)</f>
        <v>#N/A</v>
      </c>
      <c r="AK189" s="96" t="e">
        <f t="shared" si="7"/>
        <v>#N/A</v>
      </c>
    </row>
    <row r="190" spans="1:37" x14ac:dyDescent="0.35">
      <c r="A190" s="89" t="str">
        <f t="shared" si="6"/>
        <v>ZRX6</v>
      </c>
      <c r="B190" s="89" t="s">
        <v>1407</v>
      </c>
      <c r="C190" s="89" t="s">
        <v>1408</v>
      </c>
      <c r="D190" s="89" t="s">
        <v>544</v>
      </c>
      <c r="E190" s="89" t="s">
        <v>1409</v>
      </c>
      <c r="F190" s="89" t="s">
        <v>1674</v>
      </c>
      <c r="G190" s="89" t="s">
        <v>70</v>
      </c>
      <c r="H190" s="89" t="s">
        <v>70</v>
      </c>
      <c r="I190" s="89" t="s">
        <v>1547</v>
      </c>
      <c r="J190" s="89">
        <v>0</v>
      </c>
      <c r="K190" s="26" t="s">
        <v>38</v>
      </c>
      <c r="L190" s="89" t="s">
        <v>1588</v>
      </c>
      <c r="M190" s="91"/>
      <c r="N190" s="89" t="s">
        <v>1549</v>
      </c>
      <c r="O190" s="89" t="s">
        <v>615</v>
      </c>
      <c r="P190" s="89" t="s">
        <v>1550</v>
      </c>
      <c r="Q190" s="89" t="s">
        <v>657</v>
      </c>
      <c r="R190" s="89">
        <v>24</v>
      </c>
      <c r="S190" s="89" t="s">
        <v>1551</v>
      </c>
      <c r="T190" s="89" t="s">
        <v>1558</v>
      </c>
      <c r="U190" s="89" t="s">
        <v>1552</v>
      </c>
      <c r="V190" s="89" t="s">
        <v>1561</v>
      </c>
      <c r="W190" s="89" t="s">
        <v>656</v>
      </c>
      <c r="X190" s="89" t="s">
        <v>92</v>
      </c>
      <c r="Y190" s="89" t="s">
        <v>619</v>
      </c>
      <c r="Z190" s="89" t="s">
        <v>68</v>
      </c>
      <c r="AA190" s="89" t="s">
        <v>67</v>
      </c>
      <c r="AB190" s="89">
        <v>1</v>
      </c>
      <c r="AC190" s="89">
        <v>6</v>
      </c>
      <c r="AD190" s="89">
        <v>1</v>
      </c>
      <c r="AE190" s="89" t="s">
        <v>287</v>
      </c>
      <c r="AF190" s="90">
        <v>367</v>
      </c>
      <c r="AG190" s="90">
        <v>45101</v>
      </c>
      <c r="AH190" s="90">
        <v>46193</v>
      </c>
      <c r="AJ190" t="e">
        <f>VLOOKUP(A190,'1'!B:Q,16,0)</f>
        <v>#N/A</v>
      </c>
      <c r="AK190" s="96" t="e">
        <f t="shared" si="7"/>
        <v>#N/A</v>
      </c>
    </row>
    <row r="191" spans="1:37" x14ac:dyDescent="0.35">
      <c r="A191" s="89" t="str">
        <f t="shared" si="6"/>
        <v>ZRZ6</v>
      </c>
      <c r="B191" s="89" t="s">
        <v>1422</v>
      </c>
      <c r="C191" s="89" t="s">
        <v>1423</v>
      </c>
      <c r="D191" s="89" t="s">
        <v>546</v>
      </c>
      <c r="E191" s="89" t="s">
        <v>1734</v>
      </c>
      <c r="F191" s="89" t="s">
        <v>1674</v>
      </c>
      <c r="G191" s="89" t="s">
        <v>70</v>
      </c>
      <c r="H191" s="89" t="s">
        <v>70</v>
      </c>
      <c r="I191" s="89" t="s">
        <v>1547</v>
      </c>
      <c r="J191" s="89">
        <v>0</v>
      </c>
      <c r="K191" s="26" t="s">
        <v>38</v>
      </c>
      <c r="L191" s="89" t="s">
        <v>1588</v>
      </c>
      <c r="M191" s="91"/>
      <c r="N191" s="89" t="s">
        <v>1549</v>
      </c>
      <c r="O191" s="89" t="s">
        <v>615</v>
      </c>
      <c r="P191" s="89" t="s">
        <v>1550</v>
      </c>
      <c r="Q191" s="89" t="s">
        <v>657</v>
      </c>
      <c r="R191" s="89">
        <v>24</v>
      </c>
      <c r="S191" s="89" t="s">
        <v>1551</v>
      </c>
      <c r="T191" s="89" t="s">
        <v>1558</v>
      </c>
      <c r="U191" s="89" t="s">
        <v>1552</v>
      </c>
      <c r="V191" s="89" t="s">
        <v>1561</v>
      </c>
      <c r="W191" s="89" t="s">
        <v>656</v>
      </c>
      <c r="X191" s="89" t="s">
        <v>92</v>
      </c>
      <c r="Y191" s="89" t="s">
        <v>619</v>
      </c>
      <c r="Z191" s="89" t="s">
        <v>68</v>
      </c>
      <c r="AA191" s="89" t="s">
        <v>67</v>
      </c>
      <c r="AB191" s="89">
        <v>1</v>
      </c>
      <c r="AC191" s="89">
        <v>6</v>
      </c>
      <c r="AD191" s="89">
        <v>1</v>
      </c>
      <c r="AE191" s="89" t="s">
        <v>287</v>
      </c>
      <c r="AF191" s="90">
        <v>367</v>
      </c>
      <c r="AG191" s="90">
        <v>45101</v>
      </c>
      <c r="AH191" s="90">
        <v>46193</v>
      </c>
      <c r="AJ191" t="e">
        <f>VLOOKUP(A191,'1'!B:Q,16,0)</f>
        <v>#N/A</v>
      </c>
      <c r="AK191" s="96" t="e">
        <f t="shared" si="7"/>
        <v>#N/A</v>
      </c>
    </row>
    <row r="192" spans="1:37" x14ac:dyDescent="0.35">
      <c r="A192" s="89" t="str">
        <f t="shared" si="6"/>
        <v>ZRA7</v>
      </c>
      <c r="B192" s="89" t="s">
        <v>1268</v>
      </c>
      <c r="C192" s="89" t="s">
        <v>1269</v>
      </c>
      <c r="D192" s="89" t="s">
        <v>511</v>
      </c>
      <c r="E192" s="89" t="s">
        <v>1270</v>
      </c>
      <c r="F192" s="89" t="s">
        <v>1674</v>
      </c>
      <c r="G192" s="89" t="s">
        <v>70</v>
      </c>
      <c r="H192" s="89" t="s">
        <v>70</v>
      </c>
      <c r="I192" s="91"/>
      <c r="J192" s="89">
        <v>0</v>
      </c>
      <c r="K192" s="26" t="s">
        <v>38</v>
      </c>
      <c r="L192" s="89" t="s">
        <v>1588</v>
      </c>
      <c r="M192" s="91"/>
      <c r="N192" s="89" t="s">
        <v>1549</v>
      </c>
      <c r="O192" s="89" t="s">
        <v>615</v>
      </c>
      <c r="P192" s="89" t="s">
        <v>1550</v>
      </c>
      <c r="Q192" s="89" t="s">
        <v>629</v>
      </c>
      <c r="R192" s="89">
        <v>15</v>
      </c>
      <c r="S192" s="89" t="s">
        <v>1551</v>
      </c>
      <c r="T192" s="89" t="s">
        <v>1558</v>
      </c>
      <c r="U192" s="89" t="s">
        <v>1552</v>
      </c>
      <c r="V192" s="89" t="s">
        <v>1561</v>
      </c>
      <c r="W192" s="89" t="s">
        <v>677</v>
      </c>
      <c r="X192" s="89" t="s">
        <v>66</v>
      </c>
      <c r="Y192" s="89" t="s">
        <v>619</v>
      </c>
      <c r="Z192" s="89" t="s">
        <v>68</v>
      </c>
      <c r="AA192" s="89" t="s">
        <v>67</v>
      </c>
      <c r="AB192" s="89">
        <v>1</v>
      </c>
      <c r="AC192" s="89">
        <v>6</v>
      </c>
      <c r="AD192" s="89">
        <v>1</v>
      </c>
      <c r="AE192" s="89" t="s">
        <v>287</v>
      </c>
      <c r="AF192" s="90">
        <v>367</v>
      </c>
      <c r="AG192" s="90">
        <v>45101</v>
      </c>
      <c r="AH192" s="90">
        <v>46193</v>
      </c>
      <c r="AJ192" t="e">
        <f>VLOOKUP(A192,'1'!B:Q,16,0)</f>
        <v>#N/A</v>
      </c>
      <c r="AK192" s="96" t="e">
        <f t="shared" si="7"/>
        <v>#N/A</v>
      </c>
    </row>
    <row r="193" spans="1:37" x14ac:dyDescent="0.35">
      <c r="A193" s="89" t="str">
        <f t="shared" si="6"/>
        <v>ZRC7</v>
      </c>
      <c r="B193" s="89" t="s">
        <v>691</v>
      </c>
      <c r="C193" s="89" t="s">
        <v>692</v>
      </c>
      <c r="D193" s="89" t="s">
        <v>514</v>
      </c>
      <c r="E193" s="89" t="s">
        <v>1735</v>
      </c>
      <c r="F193" s="89" t="s">
        <v>1674</v>
      </c>
      <c r="G193" s="89" t="s">
        <v>70</v>
      </c>
      <c r="H193" s="89" t="s">
        <v>70</v>
      </c>
      <c r="I193" s="91"/>
      <c r="J193" s="89">
        <v>0</v>
      </c>
      <c r="K193" s="26" t="s">
        <v>38</v>
      </c>
      <c r="L193" s="89" t="s">
        <v>1588</v>
      </c>
      <c r="M193" s="91"/>
      <c r="N193" s="89" t="s">
        <v>1549</v>
      </c>
      <c r="O193" s="89" t="s">
        <v>615</v>
      </c>
      <c r="P193" s="89" t="s">
        <v>1550</v>
      </c>
      <c r="Q193" s="89" t="s">
        <v>629</v>
      </c>
      <c r="R193" s="89">
        <v>24</v>
      </c>
      <c r="S193" s="89" t="s">
        <v>1551</v>
      </c>
      <c r="T193" s="89" t="s">
        <v>1558</v>
      </c>
      <c r="U193" s="89" t="s">
        <v>1552</v>
      </c>
      <c r="V193" s="89" t="s">
        <v>1561</v>
      </c>
      <c r="W193" s="89" t="s">
        <v>677</v>
      </c>
      <c r="X193" s="89" t="s">
        <v>66</v>
      </c>
      <c r="Y193" s="89" t="s">
        <v>619</v>
      </c>
      <c r="Z193" s="89" t="s">
        <v>68</v>
      </c>
      <c r="AA193" s="89" t="s">
        <v>67</v>
      </c>
      <c r="AB193" s="89">
        <v>1</v>
      </c>
      <c r="AC193" s="89">
        <v>6</v>
      </c>
      <c r="AD193" s="89">
        <v>1</v>
      </c>
      <c r="AE193" s="89" t="s">
        <v>287</v>
      </c>
      <c r="AF193" s="90">
        <v>367</v>
      </c>
      <c r="AG193" s="90">
        <v>45101</v>
      </c>
      <c r="AH193" s="90">
        <v>46193</v>
      </c>
      <c r="AJ193" t="e">
        <f>VLOOKUP(A193,'1'!B:Q,16,0)</f>
        <v>#N/A</v>
      </c>
      <c r="AK193" s="96" t="e">
        <f t="shared" si="7"/>
        <v>#N/A</v>
      </c>
    </row>
    <row r="194" spans="1:37" x14ac:dyDescent="0.35">
      <c r="A194" s="89" t="str">
        <f t="shared" si="6"/>
        <v>ZRW6</v>
      </c>
      <c r="B194" s="89" t="s">
        <v>1404</v>
      </c>
      <c r="C194" s="89" t="s">
        <v>1405</v>
      </c>
      <c r="D194" s="89" t="s">
        <v>543</v>
      </c>
      <c r="E194" s="89" t="s">
        <v>1406</v>
      </c>
      <c r="F194" s="89" t="s">
        <v>1674</v>
      </c>
      <c r="G194" s="89" t="s">
        <v>70</v>
      </c>
      <c r="H194" s="89" t="s">
        <v>70</v>
      </c>
      <c r="I194" s="89" t="s">
        <v>1547</v>
      </c>
      <c r="J194" s="89">
        <v>0</v>
      </c>
      <c r="K194" s="26" t="s">
        <v>38</v>
      </c>
      <c r="L194" s="89" t="s">
        <v>1588</v>
      </c>
      <c r="M194" s="91"/>
      <c r="N194" s="89" t="s">
        <v>1549</v>
      </c>
      <c r="O194" s="89" t="s">
        <v>615</v>
      </c>
      <c r="P194" s="89" t="s">
        <v>1550</v>
      </c>
      <c r="Q194" s="89" t="s">
        <v>657</v>
      </c>
      <c r="R194" s="89">
        <v>17</v>
      </c>
      <c r="S194" s="89" t="s">
        <v>1564</v>
      </c>
      <c r="T194" s="89" t="s">
        <v>1558</v>
      </c>
      <c r="U194" s="89" t="s">
        <v>1552</v>
      </c>
      <c r="V194" s="89" t="s">
        <v>1561</v>
      </c>
      <c r="W194" s="89" t="s">
        <v>656</v>
      </c>
      <c r="X194" s="89" t="s">
        <v>92</v>
      </c>
      <c r="Y194" s="89" t="s">
        <v>619</v>
      </c>
      <c r="Z194" s="89" t="s">
        <v>68</v>
      </c>
      <c r="AA194" s="89" t="s">
        <v>67</v>
      </c>
      <c r="AB194" s="89">
        <v>1</v>
      </c>
      <c r="AC194" s="89">
        <v>6</v>
      </c>
      <c r="AD194" s="89">
        <v>1</v>
      </c>
      <c r="AE194" s="89" t="s">
        <v>287</v>
      </c>
      <c r="AF194" s="90">
        <v>367</v>
      </c>
      <c r="AG194" s="90">
        <v>45102</v>
      </c>
      <c r="AH194" s="90">
        <v>46193</v>
      </c>
      <c r="AJ194" t="e">
        <f>VLOOKUP(A194,'1'!B:Q,16,0)</f>
        <v>#N/A</v>
      </c>
      <c r="AK194" s="96" t="e">
        <f t="shared" si="7"/>
        <v>#N/A</v>
      </c>
    </row>
    <row r="195" spans="1:37" x14ac:dyDescent="0.35">
      <c r="A195" s="89" t="str">
        <f t="shared" si="6"/>
        <v>ZRY6</v>
      </c>
      <c r="B195" s="89" t="s">
        <v>654</v>
      </c>
      <c r="C195" s="89" t="s">
        <v>655</v>
      </c>
      <c r="D195" s="89" t="s">
        <v>545</v>
      </c>
      <c r="E195" s="89" t="s">
        <v>1736</v>
      </c>
      <c r="F195" s="89" t="s">
        <v>1674</v>
      </c>
      <c r="G195" s="89" t="s">
        <v>70</v>
      </c>
      <c r="H195" s="89" t="s">
        <v>70</v>
      </c>
      <c r="I195" s="89" t="s">
        <v>1547</v>
      </c>
      <c r="J195" s="89">
        <v>0</v>
      </c>
      <c r="K195" s="26" t="s">
        <v>38</v>
      </c>
      <c r="L195" s="89" t="s">
        <v>1588</v>
      </c>
      <c r="M195" s="91"/>
      <c r="N195" s="89" t="s">
        <v>1549</v>
      </c>
      <c r="O195" s="89" t="s">
        <v>615</v>
      </c>
      <c r="P195" s="89" t="s">
        <v>1550</v>
      </c>
      <c r="Q195" s="89" t="s">
        <v>657</v>
      </c>
      <c r="R195" s="89">
        <v>24</v>
      </c>
      <c r="S195" s="89" t="s">
        <v>1551</v>
      </c>
      <c r="T195" s="89" t="s">
        <v>1558</v>
      </c>
      <c r="U195" s="89" t="s">
        <v>1552</v>
      </c>
      <c r="V195" s="89" t="s">
        <v>1561</v>
      </c>
      <c r="W195" s="89" t="s">
        <v>656</v>
      </c>
      <c r="X195" s="89" t="s">
        <v>92</v>
      </c>
      <c r="Y195" s="89" t="s">
        <v>619</v>
      </c>
      <c r="Z195" s="89" t="s">
        <v>68</v>
      </c>
      <c r="AA195" s="89" t="s">
        <v>67</v>
      </c>
      <c r="AB195" s="89">
        <v>1</v>
      </c>
      <c r="AC195" s="89">
        <v>6</v>
      </c>
      <c r="AD195" s="89">
        <v>1</v>
      </c>
      <c r="AE195" s="89" t="s">
        <v>287</v>
      </c>
      <c r="AF195" s="90">
        <v>367</v>
      </c>
      <c r="AG195" s="90">
        <v>45102</v>
      </c>
      <c r="AH195" s="90">
        <v>46193</v>
      </c>
      <c r="AJ195" t="e">
        <f>VLOOKUP(A195,'1'!B:Q,16,0)</f>
        <v>#N/A</v>
      </c>
      <c r="AK195" s="96" t="e">
        <f t="shared" si="7"/>
        <v>#N/A</v>
      </c>
    </row>
    <row r="196" spans="1:37" x14ac:dyDescent="0.35">
      <c r="A196" s="89" t="str">
        <f t="shared" si="6"/>
        <v>ZRD7</v>
      </c>
      <c r="B196" s="89" t="s">
        <v>1401</v>
      </c>
      <c r="C196" s="89" t="s">
        <v>1402</v>
      </c>
      <c r="D196" s="89" t="s">
        <v>516</v>
      </c>
      <c r="E196" s="89" t="s">
        <v>1403</v>
      </c>
      <c r="F196" s="89" t="s">
        <v>1674</v>
      </c>
      <c r="G196" s="89" t="s">
        <v>70</v>
      </c>
      <c r="H196" s="89" t="s">
        <v>70</v>
      </c>
      <c r="I196" s="91"/>
      <c r="J196" s="89">
        <v>0</v>
      </c>
      <c r="K196" s="26" t="s">
        <v>38</v>
      </c>
      <c r="L196" s="89" t="s">
        <v>1588</v>
      </c>
      <c r="M196" s="91"/>
      <c r="N196" s="89" t="s">
        <v>1549</v>
      </c>
      <c r="O196" s="89" t="s">
        <v>615</v>
      </c>
      <c r="P196" s="89" t="s">
        <v>1550</v>
      </c>
      <c r="Q196" s="89" t="s">
        <v>657</v>
      </c>
      <c r="R196" s="89">
        <v>24</v>
      </c>
      <c r="S196" s="89" t="s">
        <v>1551</v>
      </c>
      <c r="T196" s="89" t="s">
        <v>1558</v>
      </c>
      <c r="U196" s="89" t="s">
        <v>1552</v>
      </c>
      <c r="V196" s="89" t="s">
        <v>1561</v>
      </c>
      <c r="W196" s="89" t="s">
        <v>656</v>
      </c>
      <c r="X196" s="89" t="s">
        <v>92</v>
      </c>
      <c r="Y196" s="89" t="s">
        <v>619</v>
      </c>
      <c r="Z196" s="89" t="s">
        <v>68</v>
      </c>
      <c r="AA196" s="89" t="s">
        <v>67</v>
      </c>
      <c r="AB196" s="89">
        <v>1</v>
      </c>
      <c r="AC196" s="89">
        <v>6</v>
      </c>
      <c r="AD196" s="89">
        <v>1</v>
      </c>
      <c r="AE196" s="89" t="s">
        <v>287</v>
      </c>
      <c r="AF196" s="90">
        <v>367</v>
      </c>
      <c r="AG196" s="90">
        <v>45102</v>
      </c>
      <c r="AH196" s="90">
        <v>46193</v>
      </c>
      <c r="AJ196" t="e">
        <f>VLOOKUP(A196,'1'!B:Q,16,0)</f>
        <v>#N/A</v>
      </c>
      <c r="AK196" s="96" t="e">
        <f t="shared" si="7"/>
        <v>#N/A</v>
      </c>
    </row>
    <row r="197" spans="1:37" x14ac:dyDescent="0.35">
      <c r="A197" s="89" t="str">
        <f t="shared" si="6"/>
        <v>Z4CB</v>
      </c>
      <c r="B197" s="89" t="s">
        <v>1737</v>
      </c>
      <c r="C197" s="89" t="s">
        <v>1738</v>
      </c>
      <c r="D197" s="89" t="s">
        <v>462</v>
      </c>
      <c r="E197" s="89" t="s">
        <v>1739</v>
      </c>
      <c r="F197" s="89" t="s">
        <v>1674</v>
      </c>
      <c r="G197" s="89" t="s">
        <v>70</v>
      </c>
      <c r="H197" s="89" t="s">
        <v>70</v>
      </c>
      <c r="I197" s="91"/>
      <c r="J197" s="89">
        <v>0</v>
      </c>
      <c r="K197" s="26" t="s">
        <v>38</v>
      </c>
      <c r="L197" s="89" t="s">
        <v>1588</v>
      </c>
      <c r="M197" s="91"/>
      <c r="N197" s="89" t="s">
        <v>1549</v>
      </c>
      <c r="O197" s="89" t="s">
        <v>615</v>
      </c>
      <c r="P197" s="89" t="s">
        <v>1550</v>
      </c>
      <c r="Q197" s="89" t="s">
        <v>629</v>
      </c>
      <c r="R197" s="89">
        <v>24</v>
      </c>
      <c r="S197" s="89" t="s">
        <v>1551</v>
      </c>
      <c r="T197" s="89" t="s">
        <v>1558</v>
      </c>
      <c r="U197" s="89" t="s">
        <v>1552</v>
      </c>
      <c r="V197" s="89" t="s">
        <v>1561</v>
      </c>
      <c r="W197" s="89" t="s">
        <v>645</v>
      </c>
      <c r="X197" s="89" t="s">
        <v>100</v>
      </c>
      <c r="Y197" s="89" t="s">
        <v>619</v>
      </c>
      <c r="Z197" s="89" t="s">
        <v>68</v>
      </c>
      <c r="AA197" s="89" t="s">
        <v>67</v>
      </c>
      <c r="AB197" s="89">
        <v>1</v>
      </c>
      <c r="AC197" s="89">
        <v>6</v>
      </c>
      <c r="AD197" s="89">
        <v>1</v>
      </c>
      <c r="AE197" s="89" t="s">
        <v>287</v>
      </c>
      <c r="AF197" s="90">
        <v>367</v>
      </c>
      <c r="AG197" s="90">
        <v>45102</v>
      </c>
      <c r="AH197" s="90">
        <v>46193</v>
      </c>
      <c r="AJ197" t="e">
        <f>VLOOKUP(A197,'1'!B:Q,16,0)</f>
        <v>#N/A</v>
      </c>
      <c r="AK197" s="96" t="e">
        <f t="shared" si="7"/>
        <v>#N/A</v>
      </c>
    </row>
    <row r="198" spans="1:37" x14ac:dyDescent="0.35">
      <c r="A198" s="89" t="str">
        <f t="shared" si="6"/>
        <v>ZQD4</v>
      </c>
      <c r="B198" s="89" t="s">
        <v>705</v>
      </c>
      <c r="C198" s="89" t="s">
        <v>706</v>
      </c>
      <c r="D198" s="89" t="s">
        <v>502</v>
      </c>
      <c r="E198" s="89" t="s">
        <v>1740</v>
      </c>
      <c r="F198" s="89" t="s">
        <v>1674</v>
      </c>
      <c r="G198" s="89" t="s">
        <v>70</v>
      </c>
      <c r="H198" s="89" t="s">
        <v>70</v>
      </c>
      <c r="I198" s="89" t="s">
        <v>1547</v>
      </c>
      <c r="J198" s="89">
        <v>0</v>
      </c>
      <c r="K198" s="26" t="s">
        <v>38</v>
      </c>
      <c r="L198" s="89" t="s">
        <v>1588</v>
      </c>
      <c r="M198" s="91"/>
      <c r="N198" s="89" t="s">
        <v>1549</v>
      </c>
      <c r="O198" s="89" t="s">
        <v>615</v>
      </c>
      <c r="P198" s="89" t="s">
        <v>1550</v>
      </c>
      <c r="Q198" s="89" t="s">
        <v>629</v>
      </c>
      <c r="R198" s="89">
        <v>24</v>
      </c>
      <c r="S198" s="89" t="s">
        <v>1551</v>
      </c>
      <c r="T198" s="89" t="s">
        <v>1555</v>
      </c>
      <c r="U198" s="89" t="s">
        <v>1552</v>
      </c>
      <c r="V198" s="89" t="s">
        <v>1561</v>
      </c>
      <c r="W198" s="89" t="s">
        <v>628</v>
      </c>
      <c r="X198" s="89" t="s">
        <v>117</v>
      </c>
      <c r="Y198" s="89" t="s">
        <v>619</v>
      </c>
      <c r="Z198" s="89" t="s">
        <v>68</v>
      </c>
      <c r="AA198" s="89" t="s">
        <v>67</v>
      </c>
      <c r="AB198" s="89">
        <v>1</v>
      </c>
      <c r="AC198" s="89">
        <v>6</v>
      </c>
      <c r="AD198" s="89">
        <v>1</v>
      </c>
      <c r="AE198" s="89" t="s">
        <v>287</v>
      </c>
      <c r="AF198" s="90">
        <v>367</v>
      </c>
      <c r="AG198" s="90">
        <v>45106</v>
      </c>
      <c r="AH198" s="90">
        <v>46202</v>
      </c>
      <c r="AJ198" t="e">
        <f>VLOOKUP(A198,'1'!B:Q,16,0)</f>
        <v>#N/A</v>
      </c>
      <c r="AK198" s="96" t="e">
        <f t="shared" si="7"/>
        <v>#N/A</v>
      </c>
    </row>
    <row r="199" spans="1:37" x14ac:dyDescent="0.35">
      <c r="A199" s="89" t="str">
        <f t="shared" si="6"/>
        <v>6873</v>
      </c>
      <c r="B199" s="89" t="s">
        <v>1386</v>
      </c>
      <c r="C199" s="89" t="s">
        <v>1387</v>
      </c>
      <c r="D199" s="89" t="s">
        <v>364</v>
      </c>
      <c r="E199" s="89" t="s">
        <v>1388</v>
      </c>
      <c r="F199" s="89" t="s">
        <v>1674</v>
      </c>
      <c r="G199" s="89" t="s">
        <v>70</v>
      </c>
      <c r="H199" s="89" t="s">
        <v>70</v>
      </c>
      <c r="I199" s="89" t="s">
        <v>1591</v>
      </c>
      <c r="J199" s="89">
        <v>0</v>
      </c>
      <c r="K199" s="89" t="s">
        <v>53</v>
      </c>
      <c r="L199" s="89" t="s">
        <v>1548</v>
      </c>
      <c r="M199" s="91"/>
      <c r="N199" s="89" t="s">
        <v>1549</v>
      </c>
      <c r="O199" s="89" t="s">
        <v>615</v>
      </c>
      <c r="P199" s="89" t="s">
        <v>1550</v>
      </c>
      <c r="Q199" s="89" t="s">
        <v>657</v>
      </c>
      <c r="R199" s="89">
        <v>24</v>
      </c>
      <c r="S199" s="89" t="s">
        <v>1551</v>
      </c>
      <c r="T199" s="89" t="s">
        <v>1558</v>
      </c>
      <c r="U199" s="89" t="s">
        <v>1552</v>
      </c>
      <c r="V199" s="89" t="s">
        <v>1561</v>
      </c>
      <c r="W199" s="89" t="s">
        <v>656</v>
      </c>
      <c r="X199" s="89" t="s">
        <v>92</v>
      </c>
      <c r="Y199" s="89" t="s">
        <v>619</v>
      </c>
      <c r="Z199" s="89" t="s">
        <v>68</v>
      </c>
      <c r="AA199" s="89" t="s">
        <v>67</v>
      </c>
      <c r="AB199" s="89">
        <v>1</v>
      </c>
      <c r="AC199" s="89">
        <v>6</v>
      </c>
      <c r="AD199" s="89">
        <v>1</v>
      </c>
      <c r="AE199" s="89" t="s">
        <v>287</v>
      </c>
      <c r="AF199" s="90">
        <v>367</v>
      </c>
      <c r="AG199" s="90">
        <v>45173</v>
      </c>
      <c r="AH199" s="90">
        <v>46269</v>
      </c>
    </row>
    <row r="200" spans="1:37" x14ac:dyDescent="0.35">
      <c r="A200" s="89" t="str">
        <f t="shared" si="6"/>
        <v>00TZ</v>
      </c>
      <c r="B200" s="89" t="s">
        <v>896</v>
      </c>
      <c r="C200" s="89" t="s">
        <v>897</v>
      </c>
      <c r="D200" s="89" t="s">
        <v>145</v>
      </c>
      <c r="E200" s="89" t="s">
        <v>1741</v>
      </c>
      <c r="F200" s="89" t="s">
        <v>1674</v>
      </c>
      <c r="G200" s="89" t="s">
        <v>70</v>
      </c>
      <c r="H200" s="89" t="s">
        <v>70</v>
      </c>
      <c r="I200" s="89" t="s">
        <v>1547</v>
      </c>
      <c r="J200" s="89">
        <v>0</v>
      </c>
      <c r="K200" s="89" t="s">
        <v>53</v>
      </c>
      <c r="L200" s="89" t="s">
        <v>1548</v>
      </c>
      <c r="M200" s="91"/>
      <c r="N200" s="89" t="s">
        <v>1549</v>
      </c>
      <c r="O200" s="89" t="s">
        <v>615</v>
      </c>
      <c r="P200" s="89" t="s">
        <v>1550</v>
      </c>
      <c r="Q200" s="89" t="s">
        <v>629</v>
      </c>
      <c r="R200" s="89">
        <v>14</v>
      </c>
      <c r="S200" s="89" t="s">
        <v>1742</v>
      </c>
      <c r="T200" s="89" t="s">
        <v>1558</v>
      </c>
      <c r="U200" s="89" t="s">
        <v>1552</v>
      </c>
      <c r="V200" s="89" t="s">
        <v>1561</v>
      </c>
      <c r="W200" s="89" t="s">
        <v>677</v>
      </c>
      <c r="X200" s="89" t="s">
        <v>66</v>
      </c>
      <c r="Y200" s="89" t="s">
        <v>619</v>
      </c>
      <c r="Z200" s="89" t="s">
        <v>68</v>
      </c>
      <c r="AA200" s="89" t="s">
        <v>67</v>
      </c>
      <c r="AB200" s="89">
        <v>1</v>
      </c>
      <c r="AC200" s="89">
        <v>6</v>
      </c>
      <c r="AD200" s="89">
        <v>1</v>
      </c>
      <c r="AE200" s="89" t="s">
        <v>287</v>
      </c>
      <c r="AF200" s="90">
        <v>367</v>
      </c>
      <c r="AG200" s="90">
        <v>45264</v>
      </c>
      <c r="AH200" s="90">
        <v>46357</v>
      </c>
    </row>
    <row r="201" spans="1:37" x14ac:dyDescent="0.35">
      <c r="A201" s="89" t="str">
        <f t="shared" si="6"/>
        <v>Z0Q4</v>
      </c>
      <c r="B201" s="89" t="s">
        <v>1743</v>
      </c>
      <c r="C201" s="89" t="s">
        <v>1744</v>
      </c>
      <c r="D201" s="89" t="s">
        <v>420</v>
      </c>
      <c r="E201" s="89" t="s">
        <v>1745</v>
      </c>
      <c r="F201" s="89" t="s">
        <v>1674</v>
      </c>
      <c r="G201" s="89" t="s">
        <v>70</v>
      </c>
      <c r="H201" s="89" t="s">
        <v>70</v>
      </c>
      <c r="I201" s="91"/>
      <c r="J201" s="89">
        <v>0</v>
      </c>
      <c r="K201" s="26" t="s">
        <v>38</v>
      </c>
      <c r="L201" s="89" t="s">
        <v>1620</v>
      </c>
      <c r="M201" s="91"/>
      <c r="N201" s="89" t="s">
        <v>1549</v>
      </c>
      <c r="O201" s="89" t="s">
        <v>615</v>
      </c>
      <c r="P201" s="89" t="s">
        <v>1550</v>
      </c>
      <c r="Q201" s="89" t="s">
        <v>629</v>
      </c>
      <c r="R201" s="89">
        <v>24</v>
      </c>
      <c r="S201" s="89" t="s">
        <v>1551</v>
      </c>
      <c r="T201" s="89" t="s">
        <v>1558</v>
      </c>
      <c r="U201" s="89" t="s">
        <v>1552</v>
      </c>
      <c r="V201" s="89" t="s">
        <v>1561</v>
      </c>
      <c r="W201" s="89" t="s">
        <v>645</v>
      </c>
      <c r="X201" s="89" t="s">
        <v>100</v>
      </c>
      <c r="Y201" s="89" t="s">
        <v>619</v>
      </c>
      <c r="Z201" s="89" t="s">
        <v>68</v>
      </c>
      <c r="AA201" s="89" t="s">
        <v>67</v>
      </c>
      <c r="AB201" s="89">
        <v>1</v>
      </c>
      <c r="AC201" s="89">
        <v>6</v>
      </c>
      <c r="AD201" s="89">
        <v>1</v>
      </c>
      <c r="AE201" s="89" t="s">
        <v>288</v>
      </c>
      <c r="AF201" s="90">
        <v>367</v>
      </c>
      <c r="AG201" s="90">
        <v>45434</v>
      </c>
      <c r="AH201" s="90">
        <v>46537</v>
      </c>
      <c r="AJ201" t="e">
        <f>VLOOKUP(A201,'1'!B:Q,16,0)</f>
        <v>#N/A</v>
      </c>
      <c r="AK201" s="96" t="e">
        <f t="shared" ref="AK201:AK233" si="8">AJ201/250</f>
        <v>#N/A</v>
      </c>
    </row>
    <row r="202" spans="1:37" x14ac:dyDescent="0.35">
      <c r="A202" s="89" t="str">
        <f t="shared" si="6"/>
        <v>Z0Q3</v>
      </c>
      <c r="B202" s="89" t="s">
        <v>1746</v>
      </c>
      <c r="C202" s="89" t="s">
        <v>1744</v>
      </c>
      <c r="D202" s="89" t="s">
        <v>419</v>
      </c>
      <c r="E202" s="89" t="s">
        <v>1745</v>
      </c>
      <c r="F202" s="89" t="s">
        <v>1674</v>
      </c>
      <c r="G202" s="89" t="s">
        <v>70</v>
      </c>
      <c r="H202" s="89" t="s">
        <v>70</v>
      </c>
      <c r="I202" s="91"/>
      <c r="J202" s="89">
        <v>0</v>
      </c>
      <c r="K202" s="26" t="s">
        <v>38</v>
      </c>
      <c r="L202" s="89" t="s">
        <v>1620</v>
      </c>
      <c r="M202" s="91"/>
      <c r="N202" s="89" t="s">
        <v>1549</v>
      </c>
      <c r="O202" s="89" t="s">
        <v>615</v>
      </c>
      <c r="P202" s="89" t="s">
        <v>1550</v>
      </c>
      <c r="Q202" s="89" t="s">
        <v>629</v>
      </c>
      <c r="R202" s="89">
        <v>24</v>
      </c>
      <c r="S202" s="89" t="s">
        <v>1551</v>
      </c>
      <c r="T202" s="89" t="s">
        <v>1558</v>
      </c>
      <c r="U202" s="89" t="s">
        <v>1552</v>
      </c>
      <c r="V202" s="89" t="s">
        <v>1561</v>
      </c>
      <c r="W202" s="89" t="s">
        <v>645</v>
      </c>
      <c r="X202" s="89" t="s">
        <v>100</v>
      </c>
      <c r="Y202" s="89" t="s">
        <v>619</v>
      </c>
      <c r="Z202" s="89" t="s">
        <v>68</v>
      </c>
      <c r="AA202" s="89" t="s">
        <v>67</v>
      </c>
      <c r="AB202" s="89">
        <v>1</v>
      </c>
      <c r="AC202" s="89">
        <v>6</v>
      </c>
      <c r="AD202" s="89">
        <v>1</v>
      </c>
      <c r="AE202" s="89" t="s">
        <v>288</v>
      </c>
      <c r="AF202" s="90">
        <v>367</v>
      </c>
      <c r="AG202" s="90">
        <v>45434</v>
      </c>
      <c r="AH202" s="90">
        <v>46537</v>
      </c>
      <c r="AJ202" t="e">
        <f>VLOOKUP(A202,'1'!B:Q,16,0)</f>
        <v>#N/A</v>
      </c>
      <c r="AK202" s="96" t="e">
        <f t="shared" si="8"/>
        <v>#N/A</v>
      </c>
    </row>
    <row r="203" spans="1:37" x14ac:dyDescent="0.35">
      <c r="A203" s="89" t="str">
        <f t="shared" si="6"/>
        <v>Z08F</v>
      </c>
      <c r="B203" s="89" t="s">
        <v>1445</v>
      </c>
      <c r="C203" s="89" t="s">
        <v>1446</v>
      </c>
      <c r="D203" s="89" t="s">
        <v>401</v>
      </c>
      <c r="E203" s="89" t="s">
        <v>1747</v>
      </c>
      <c r="F203" s="89" t="s">
        <v>1674</v>
      </c>
      <c r="G203" s="89" t="s">
        <v>70</v>
      </c>
      <c r="H203" s="89" t="s">
        <v>70</v>
      </c>
      <c r="I203" s="91"/>
      <c r="J203" s="89">
        <v>0</v>
      </c>
      <c r="K203" s="26" t="s">
        <v>38</v>
      </c>
      <c r="L203" s="89" t="s">
        <v>1620</v>
      </c>
      <c r="M203" s="91"/>
      <c r="N203" s="89" t="s">
        <v>1549</v>
      </c>
      <c r="O203" s="89" t="s">
        <v>615</v>
      </c>
      <c r="P203" s="89" t="s">
        <v>1550</v>
      </c>
      <c r="Q203" s="89" t="s">
        <v>629</v>
      </c>
      <c r="R203" s="89">
        <v>24</v>
      </c>
      <c r="S203" s="89" t="s">
        <v>1551</v>
      </c>
      <c r="T203" s="89" t="s">
        <v>1558</v>
      </c>
      <c r="U203" s="89" t="s">
        <v>1552</v>
      </c>
      <c r="V203" s="89" t="s">
        <v>1561</v>
      </c>
      <c r="W203" s="89" t="s">
        <v>645</v>
      </c>
      <c r="X203" s="89" t="s">
        <v>100</v>
      </c>
      <c r="Y203" s="89" t="s">
        <v>619</v>
      </c>
      <c r="Z203" s="89" t="s">
        <v>68</v>
      </c>
      <c r="AA203" s="89" t="s">
        <v>67</v>
      </c>
      <c r="AB203" s="89">
        <v>1</v>
      </c>
      <c r="AC203" s="89">
        <v>6</v>
      </c>
      <c r="AD203" s="89">
        <v>1</v>
      </c>
      <c r="AE203" s="89" t="s">
        <v>288</v>
      </c>
      <c r="AF203" s="90">
        <v>367</v>
      </c>
      <c r="AG203" s="90">
        <v>45434</v>
      </c>
      <c r="AH203" s="90">
        <v>46537</v>
      </c>
      <c r="AJ203" t="e">
        <f>VLOOKUP(A203,'1'!B:Q,16,0)</f>
        <v>#N/A</v>
      </c>
      <c r="AK203" s="96" t="e">
        <f t="shared" si="8"/>
        <v>#N/A</v>
      </c>
    </row>
    <row r="204" spans="1:37" x14ac:dyDescent="0.35">
      <c r="A204" s="89" t="str">
        <f t="shared" si="6"/>
        <v>Z08E</v>
      </c>
      <c r="B204" s="89" t="s">
        <v>1443</v>
      </c>
      <c r="C204" s="89" t="s">
        <v>1444</v>
      </c>
      <c r="D204" s="89" t="s">
        <v>400</v>
      </c>
      <c r="E204" s="89" t="s">
        <v>1748</v>
      </c>
      <c r="F204" s="89" t="s">
        <v>1674</v>
      </c>
      <c r="G204" s="89" t="s">
        <v>70</v>
      </c>
      <c r="H204" s="89" t="s">
        <v>70</v>
      </c>
      <c r="I204" s="91"/>
      <c r="J204" s="89">
        <v>0</v>
      </c>
      <c r="K204" s="26" t="s">
        <v>38</v>
      </c>
      <c r="L204" s="89" t="s">
        <v>1620</v>
      </c>
      <c r="M204" s="91"/>
      <c r="N204" s="89" t="s">
        <v>1549</v>
      </c>
      <c r="O204" s="89" t="s">
        <v>615</v>
      </c>
      <c r="P204" s="89" t="s">
        <v>1550</v>
      </c>
      <c r="Q204" s="89" t="s">
        <v>629</v>
      </c>
      <c r="R204" s="89">
        <v>24</v>
      </c>
      <c r="S204" s="89" t="s">
        <v>1551</v>
      </c>
      <c r="T204" s="89" t="s">
        <v>1558</v>
      </c>
      <c r="U204" s="89" t="s">
        <v>1552</v>
      </c>
      <c r="V204" s="89" t="s">
        <v>1561</v>
      </c>
      <c r="W204" s="89" t="s">
        <v>645</v>
      </c>
      <c r="X204" s="89" t="s">
        <v>100</v>
      </c>
      <c r="Y204" s="89" t="s">
        <v>619</v>
      </c>
      <c r="Z204" s="89" t="s">
        <v>68</v>
      </c>
      <c r="AA204" s="89" t="s">
        <v>67</v>
      </c>
      <c r="AB204" s="89">
        <v>1</v>
      </c>
      <c r="AC204" s="89">
        <v>6</v>
      </c>
      <c r="AD204" s="89">
        <v>1</v>
      </c>
      <c r="AE204" s="89" t="s">
        <v>288</v>
      </c>
      <c r="AF204" s="90">
        <v>367</v>
      </c>
      <c r="AG204" s="90">
        <v>45434</v>
      </c>
      <c r="AH204" s="90">
        <v>46537</v>
      </c>
      <c r="AJ204" t="e">
        <f>VLOOKUP(A204,'1'!B:Q,16,0)</f>
        <v>#N/A</v>
      </c>
      <c r="AK204" s="96" t="e">
        <f t="shared" si="8"/>
        <v>#N/A</v>
      </c>
    </row>
    <row r="205" spans="1:37" x14ac:dyDescent="0.35">
      <c r="A205" s="89" t="str">
        <f t="shared" si="6"/>
        <v>Z833</v>
      </c>
      <c r="B205" s="89" t="s">
        <v>1234</v>
      </c>
      <c r="C205" s="89" t="s">
        <v>1235</v>
      </c>
      <c r="D205" s="89" t="s">
        <v>474</v>
      </c>
      <c r="E205" s="89" t="s">
        <v>1236</v>
      </c>
      <c r="F205" s="89" t="s">
        <v>1674</v>
      </c>
      <c r="G205" s="89" t="s">
        <v>70</v>
      </c>
      <c r="H205" s="89" t="s">
        <v>70</v>
      </c>
      <c r="I205" s="89" t="s">
        <v>1556</v>
      </c>
      <c r="J205" s="89">
        <v>0</v>
      </c>
      <c r="K205" s="26" t="s">
        <v>38</v>
      </c>
      <c r="L205" s="89" t="s">
        <v>1620</v>
      </c>
      <c r="M205" s="91"/>
      <c r="N205" s="89" t="s">
        <v>1549</v>
      </c>
      <c r="O205" s="89" t="s">
        <v>615</v>
      </c>
      <c r="P205" s="89" t="s">
        <v>1550</v>
      </c>
      <c r="Q205" s="89" t="s">
        <v>629</v>
      </c>
      <c r="R205" s="89">
        <v>24</v>
      </c>
      <c r="S205" s="89" t="s">
        <v>1551</v>
      </c>
      <c r="T205" s="89" t="s">
        <v>1551</v>
      </c>
      <c r="U205" s="89" t="s">
        <v>1552</v>
      </c>
      <c r="V205" s="89" t="s">
        <v>1561</v>
      </c>
      <c r="W205" s="89" t="s">
        <v>645</v>
      </c>
      <c r="X205" s="89" t="s">
        <v>100</v>
      </c>
      <c r="Y205" s="89" t="s">
        <v>619</v>
      </c>
      <c r="Z205" s="89" t="s">
        <v>68</v>
      </c>
      <c r="AA205" s="89" t="s">
        <v>67</v>
      </c>
      <c r="AB205" s="89">
        <v>1</v>
      </c>
      <c r="AC205" s="89">
        <v>6</v>
      </c>
      <c r="AD205" s="89">
        <v>1</v>
      </c>
      <c r="AE205" s="89" t="s">
        <v>288</v>
      </c>
      <c r="AF205" s="90">
        <v>367</v>
      </c>
      <c r="AG205" s="90">
        <v>45435</v>
      </c>
      <c r="AH205" s="90">
        <v>46530</v>
      </c>
      <c r="AJ205" t="e">
        <f>VLOOKUP(A205,'1'!B:Q,16,0)</f>
        <v>#N/A</v>
      </c>
      <c r="AK205" s="96" t="e">
        <f t="shared" si="8"/>
        <v>#N/A</v>
      </c>
    </row>
    <row r="206" spans="1:37" x14ac:dyDescent="0.35">
      <c r="A206" s="89" t="str">
        <f t="shared" si="6"/>
        <v>Z832</v>
      </c>
      <c r="B206" s="89" t="s">
        <v>1456</v>
      </c>
      <c r="C206" s="89" t="s">
        <v>1457</v>
      </c>
      <c r="D206" s="89" t="s">
        <v>473</v>
      </c>
      <c r="E206" s="89" t="s">
        <v>1236</v>
      </c>
      <c r="F206" s="89" t="s">
        <v>1674</v>
      </c>
      <c r="G206" s="89" t="s">
        <v>70</v>
      </c>
      <c r="H206" s="89" t="s">
        <v>70</v>
      </c>
      <c r="I206" s="89" t="s">
        <v>1556</v>
      </c>
      <c r="J206" s="89">
        <v>0</v>
      </c>
      <c r="K206" s="26" t="s">
        <v>38</v>
      </c>
      <c r="L206" s="89" t="s">
        <v>1620</v>
      </c>
      <c r="M206" s="91"/>
      <c r="N206" s="89" t="s">
        <v>1549</v>
      </c>
      <c r="O206" s="89" t="s">
        <v>615</v>
      </c>
      <c r="P206" s="89" t="s">
        <v>1550</v>
      </c>
      <c r="Q206" s="89" t="s">
        <v>629</v>
      </c>
      <c r="R206" s="89">
        <v>24</v>
      </c>
      <c r="S206" s="89" t="s">
        <v>1551</v>
      </c>
      <c r="T206" s="89" t="s">
        <v>1551</v>
      </c>
      <c r="U206" s="89" t="s">
        <v>1552</v>
      </c>
      <c r="V206" s="89" t="s">
        <v>1561</v>
      </c>
      <c r="W206" s="89" t="s">
        <v>645</v>
      </c>
      <c r="X206" s="89" t="s">
        <v>100</v>
      </c>
      <c r="Y206" s="89" t="s">
        <v>619</v>
      </c>
      <c r="Z206" s="89" t="s">
        <v>68</v>
      </c>
      <c r="AA206" s="89" t="s">
        <v>67</v>
      </c>
      <c r="AB206" s="89">
        <v>1</v>
      </c>
      <c r="AC206" s="89">
        <v>6</v>
      </c>
      <c r="AD206" s="89">
        <v>1</v>
      </c>
      <c r="AE206" s="89" t="s">
        <v>288</v>
      </c>
      <c r="AF206" s="90">
        <v>367</v>
      </c>
      <c r="AG206" s="90">
        <v>45435</v>
      </c>
      <c r="AH206" s="90">
        <v>46530</v>
      </c>
      <c r="AJ206" t="e">
        <f>VLOOKUP(A206,'1'!B:Q,16,0)</f>
        <v>#N/A</v>
      </c>
      <c r="AK206" s="96" t="e">
        <f t="shared" si="8"/>
        <v>#N/A</v>
      </c>
    </row>
    <row r="207" spans="1:37" x14ac:dyDescent="0.35">
      <c r="A207" s="89" t="str">
        <f t="shared" si="6"/>
        <v>Z2H4</v>
      </c>
      <c r="B207" s="89" t="s">
        <v>664</v>
      </c>
      <c r="C207" s="89" t="s">
        <v>665</v>
      </c>
      <c r="D207" s="89" t="s">
        <v>453</v>
      </c>
      <c r="E207" s="89" t="s">
        <v>666</v>
      </c>
      <c r="F207" s="89" t="s">
        <v>1674</v>
      </c>
      <c r="G207" s="89" t="s">
        <v>70</v>
      </c>
      <c r="H207" s="89" t="s">
        <v>70</v>
      </c>
      <c r="I207" s="91"/>
      <c r="J207" s="89">
        <v>0</v>
      </c>
      <c r="K207" s="26" t="s">
        <v>38</v>
      </c>
      <c r="L207" s="89" t="s">
        <v>1620</v>
      </c>
      <c r="M207" s="91"/>
      <c r="N207" s="89" t="s">
        <v>1549</v>
      </c>
      <c r="O207" s="89" t="s">
        <v>615</v>
      </c>
      <c r="P207" s="89" t="s">
        <v>1550</v>
      </c>
      <c r="Q207" s="89" t="s">
        <v>629</v>
      </c>
      <c r="R207" s="89">
        <v>24</v>
      </c>
      <c r="S207" s="89" t="s">
        <v>1551</v>
      </c>
      <c r="T207" s="89" t="s">
        <v>1551</v>
      </c>
      <c r="U207" s="89" t="s">
        <v>1552</v>
      </c>
      <c r="V207" s="89" t="s">
        <v>1561</v>
      </c>
      <c r="W207" s="89" t="s">
        <v>649</v>
      </c>
      <c r="X207" s="89" t="s">
        <v>76</v>
      </c>
      <c r="Y207" s="89" t="s">
        <v>619</v>
      </c>
      <c r="Z207" s="89" t="s">
        <v>68</v>
      </c>
      <c r="AA207" s="89" t="s">
        <v>67</v>
      </c>
      <c r="AB207" s="89">
        <v>1</v>
      </c>
      <c r="AC207" s="89">
        <v>6</v>
      </c>
      <c r="AD207" s="89">
        <v>1</v>
      </c>
      <c r="AE207" s="89" t="s">
        <v>288</v>
      </c>
      <c r="AF207" s="90">
        <v>367</v>
      </c>
      <c r="AG207" s="90">
        <v>45435</v>
      </c>
      <c r="AH207" s="90">
        <v>46530</v>
      </c>
      <c r="AJ207" t="e">
        <f>VLOOKUP(A207,'1'!B:Q,16,0)</f>
        <v>#N/A</v>
      </c>
      <c r="AK207" s="96" t="e">
        <f t="shared" si="8"/>
        <v>#N/A</v>
      </c>
    </row>
    <row r="208" spans="1:37" x14ac:dyDescent="0.35">
      <c r="A208" s="89" t="str">
        <f t="shared" si="6"/>
        <v>Z2H3</v>
      </c>
      <c r="B208" s="89" t="s">
        <v>646</v>
      </c>
      <c r="C208" s="89" t="s">
        <v>647</v>
      </c>
      <c r="D208" s="89" t="s">
        <v>452</v>
      </c>
      <c r="E208" s="89" t="s">
        <v>648</v>
      </c>
      <c r="F208" s="89" t="s">
        <v>1674</v>
      </c>
      <c r="G208" s="89" t="s">
        <v>70</v>
      </c>
      <c r="H208" s="89" t="s">
        <v>70</v>
      </c>
      <c r="I208" s="91"/>
      <c r="J208" s="89">
        <v>0</v>
      </c>
      <c r="K208" s="26" t="s">
        <v>38</v>
      </c>
      <c r="L208" s="89" t="s">
        <v>1620</v>
      </c>
      <c r="M208" s="91"/>
      <c r="N208" s="89" t="s">
        <v>1549</v>
      </c>
      <c r="O208" s="89" t="s">
        <v>615</v>
      </c>
      <c r="P208" s="89" t="s">
        <v>1550</v>
      </c>
      <c r="Q208" s="89" t="s">
        <v>629</v>
      </c>
      <c r="R208" s="89">
        <v>24</v>
      </c>
      <c r="S208" s="89" t="s">
        <v>1551</v>
      </c>
      <c r="T208" s="89" t="s">
        <v>1551</v>
      </c>
      <c r="U208" s="89" t="s">
        <v>1552</v>
      </c>
      <c r="V208" s="89" t="s">
        <v>1561</v>
      </c>
      <c r="W208" s="89" t="s">
        <v>649</v>
      </c>
      <c r="X208" s="89" t="s">
        <v>76</v>
      </c>
      <c r="Y208" s="89" t="s">
        <v>619</v>
      </c>
      <c r="Z208" s="89" t="s">
        <v>68</v>
      </c>
      <c r="AA208" s="89" t="s">
        <v>67</v>
      </c>
      <c r="AB208" s="89">
        <v>1</v>
      </c>
      <c r="AC208" s="89">
        <v>6</v>
      </c>
      <c r="AD208" s="89">
        <v>1</v>
      </c>
      <c r="AE208" s="89" t="s">
        <v>288</v>
      </c>
      <c r="AF208" s="90">
        <v>367</v>
      </c>
      <c r="AG208" s="90">
        <v>45435</v>
      </c>
      <c r="AH208" s="90">
        <v>46530</v>
      </c>
      <c r="AJ208" t="e">
        <f>VLOOKUP(A208,'1'!B:Q,16,0)</f>
        <v>#N/A</v>
      </c>
      <c r="AK208" s="96" t="e">
        <f t="shared" si="8"/>
        <v>#N/A</v>
      </c>
    </row>
    <row r="209" spans="1:37" x14ac:dyDescent="0.35">
      <c r="A209" s="89" t="str">
        <f t="shared" si="6"/>
        <v>Z2H2</v>
      </c>
      <c r="B209" s="89" t="s">
        <v>667</v>
      </c>
      <c r="C209" s="89" t="s">
        <v>665</v>
      </c>
      <c r="D209" s="89" t="s">
        <v>451</v>
      </c>
      <c r="E209" s="89" t="s">
        <v>666</v>
      </c>
      <c r="F209" s="89" t="s">
        <v>1674</v>
      </c>
      <c r="G209" s="89" t="s">
        <v>70</v>
      </c>
      <c r="H209" s="89" t="s">
        <v>70</v>
      </c>
      <c r="I209" s="91"/>
      <c r="J209" s="89">
        <v>0</v>
      </c>
      <c r="K209" s="26" t="s">
        <v>38</v>
      </c>
      <c r="L209" s="89" t="s">
        <v>1620</v>
      </c>
      <c r="M209" s="91"/>
      <c r="N209" s="89" t="s">
        <v>1549</v>
      </c>
      <c r="O209" s="89" t="s">
        <v>615</v>
      </c>
      <c r="P209" s="89" t="s">
        <v>1550</v>
      </c>
      <c r="Q209" s="89" t="s">
        <v>629</v>
      </c>
      <c r="R209" s="89">
        <v>24</v>
      </c>
      <c r="S209" s="89" t="s">
        <v>1551</v>
      </c>
      <c r="T209" s="89" t="s">
        <v>1551</v>
      </c>
      <c r="U209" s="89" t="s">
        <v>1552</v>
      </c>
      <c r="V209" s="89" t="s">
        <v>1561</v>
      </c>
      <c r="W209" s="89" t="s">
        <v>649</v>
      </c>
      <c r="X209" s="89" t="s">
        <v>76</v>
      </c>
      <c r="Y209" s="89" t="s">
        <v>619</v>
      </c>
      <c r="Z209" s="89" t="s">
        <v>68</v>
      </c>
      <c r="AA209" s="89" t="s">
        <v>67</v>
      </c>
      <c r="AB209" s="89">
        <v>1</v>
      </c>
      <c r="AC209" s="89">
        <v>6</v>
      </c>
      <c r="AD209" s="89">
        <v>1</v>
      </c>
      <c r="AE209" s="89" t="s">
        <v>288</v>
      </c>
      <c r="AF209" s="90">
        <v>367</v>
      </c>
      <c r="AG209" s="90">
        <v>45435</v>
      </c>
      <c r="AH209" s="90">
        <v>46530</v>
      </c>
      <c r="AJ209" t="e">
        <f>VLOOKUP(A209,'1'!B:Q,16,0)</f>
        <v>#N/A</v>
      </c>
      <c r="AK209" s="96" t="e">
        <f t="shared" si="8"/>
        <v>#N/A</v>
      </c>
    </row>
    <row r="210" spans="1:37" x14ac:dyDescent="0.35">
      <c r="A210" s="89" t="str">
        <f t="shared" si="6"/>
        <v>Z849</v>
      </c>
      <c r="B210" s="89" t="s">
        <v>1749</v>
      </c>
      <c r="C210" s="89" t="s">
        <v>1750</v>
      </c>
      <c r="D210" s="89" t="s">
        <v>483</v>
      </c>
      <c r="E210" s="89" t="s">
        <v>1246</v>
      </c>
      <c r="F210" s="89" t="s">
        <v>1674</v>
      </c>
      <c r="G210" s="89" t="s">
        <v>70</v>
      </c>
      <c r="H210" s="89" t="s">
        <v>70</v>
      </c>
      <c r="I210" s="91"/>
      <c r="J210" s="89">
        <v>0</v>
      </c>
      <c r="K210" s="26" t="s">
        <v>38</v>
      </c>
      <c r="L210" s="89" t="s">
        <v>1620</v>
      </c>
      <c r="M210" s="91"/>
      <c r="N210" s="89" t="s">
        <v>1549</v>
      </c>
      <c r="O210" s="89" t="s">
        <v>615</v>
      </c>
      <c r="P210" s="89" t="s">
        <v>1550</v>
      </c>
      <c r="Q210" s="89" t="s">
        <v>629</v>
      </c>
      <c r="R210" s="89">
        <v>24</v>
      </c>
      <c r="S210" s="89" t="s">
        <v>1551</v>
      </c>
      <c r="T210" s="89" t="s">
        <v>1558</v>
      </c>
      <c r="U210" s="89" t="s">
        <v>1552</v>
      </c>
      <c r="V210" s="89" t="s">
        <v>1561</v>
      </c>
      <c r="W210" s="89" t="s">
        <v>677</v>
      </c>
      <c r="X210" s="89" t="s">
        <v>66</v>
      </c>
      <c r="Y210" s="89" t="s">
        <v>619</v>
      </c>
      <c r="Z210" s="89" t="s">
        <v>68</v>
      </c>
      <c r="AA210" s="89" t="s">
        <v>67</v>
      </c>
      <c r="AB210" s="89">
        <v>1</v>
      </c>
      <c r="AC210" s="89">
        <v>6</v>
      </c>
      <c r="AD210" s="89">
        <v>1</v>
      </c>
      <c r="AE210" s="89" t="s">
        <v>288</v>
      </c>
      <c r="AF210" s="90">
        <v>367</v>
      </c>
      <c r="AG210" s="90">
        <v>45436</v>
      </c>
      <c r="AH210" s="90">
        <v>46537</v>
      </c>
      <c r="AJ210" t="e">
        <f>VLOOKUP(A210,'1'!B:Q,16,0)</f>
        <v>#N/A</v>
      </c>
      <c r="AK210" s="96" t="e">
        <f t="shared" si="8"/>
        <v>#N/A</v>
      </c>
    </row>
    <row r="211" spans="1:37" x14ac:dyDescent="0.35">
      <c r="A211" s="89" t="str">
        <f t="shared" si="6"/>
        <v>Z848</v>
      </c>
      <c r="B211" s="89" t="s">
        <v>1247</v>
      </c>
      <c r="C211" s="89" t="s">
        <v>1248</v>
      </c>
      <c r="D211" s="89" t="s">
        <v>482</v>
      </c>
      <c r="E211" s="89" t="s">
        <v>1246</v>
      </c>
      <c r="F211" s="89" t="s">
        <v>1674</v>
      </c>
      <c r="G211" s="89" t="s">
        <v>70</v>
      </c>
      <c r="H211" s="89" t="s">
        <v>70</v>
      </c>
      <c r="I211" s="91"/>
      <c r="J211" s="89">
        <v>0</v>
      </c>
      <c r="K211" s="26" t="s">
        <v>38</v>
      </c>
      <c r="L211" s="89" t="s">
        <v>1620</v>
      </c>
      <c r="M211" s="91"/>
      <c r="N211" s="89" t="s">
        <v>1549</v>
      </c>
      <c r="O211" s="89" t="s">
        <v>615</v>
      </c>
      <c r="P211" s="89" t="s">
        <v>1550</v>
      </c>
      <c r="Q211" s="89" t="s">
        <v>629</v>
      </c>
      <c r="R211" s="89">
        <v>24</v>
      </c>
      <c r="S211" s="89" t="s">
        <v>1551</v>
      </c>
      <c r="T211" s="89" t="s">
        <v>1558</v>
      </c>
      <c r="U211" s="89" t="s">
        <v>1552</v>
      </c>
      <c r="V211" s="89" t="s">
        <v>1561</v>
      </c>
      <c r="W211" s="89" t="s">
        <v>677</v>
      </c>
      <c r="X211" s="89" t="s">
        <v>66</v>
      </c>
      <c r="Y211" s="89" t="s">
        <v>619</v>
      </c>
      <c r="Z211" s="89" t="s">
        <v>68</v>
      </c>
      <c r="AA211" s="89" t="s">
        <v>67</v>
      </c>
      <c r="AB211" s="89">
        <v>1</v>
      </c>
      <c r="AC211" s="89">
        <v>6</v>
      </c>
      <c r="AD211" s="89">
        <v>1</v>
      </c>
      <c r="AE211" s="89" t="s">
        <v>288</v>
      </c>
      <c r="AF211" s="90">
        <v>367</v>
      </c>
      <c r="AG211" s="90">
        <v>45436</v>
      </c>
      <c r="AH211" s="90">
        <v>46537</v>
      </c>
      <c r="AJ211" t="e">
        <f>VLOOKUP(A211,'1'!B:Q,16,0)</f>
        <v>#N/A</v>
      </c>
      <c r="AK211" s="96" t="e">
        <f t="shared" si="8"/>
        <v>#N/A</v>
      </c>
    </row>
    <row r="212" spans="1:37" x14ac:dyDescent="0.35">
      <c r="A212" s="89" t="str">
        <f t="shared" si="6"/>
        <v>Z847</v>
      </c>
      <c r="B212" s="89" t="s">
        <v>1244</v>
      </c>
      <c r="C212" s="89" t="s">
        <v>1245</v>
      </c>
      <c r="D212" s="89" t="s">
        <v>481</v>
      </c>
      <c r="E212" s="89" t="s">
        <v>1246</v>
      </c>
      <c r="F212" s="89" t="s">
        <v>1674</v>
      </c>
      <c r="G212" s="89" t="s">
        <v>70</v>
      </c>
      <c r="H212" s="89" t="s">
        <v>70</v>
      </c>
      <c r="I212" s="91"/>
      <c r="J212" s="89">
        <v>0</v>
      </c>
      <c r="K212" s="26" t="s">
        <v>38</v>
      </c>
      <c r="L212" s="89" t="s">
        <v>1620</v>
      </c>
      <c r="M212" s="91"/>
      <c r="N212" s="89" t="s">
        <v>1549</v>
      </c>
      <c r="O212" s="89" t="s">
        <v>615</v>
      </c>
      <c r="P212" s="89" t="s">
        <v>1550</v>
      </c>
      <c r="Q212" s="89" t="s">
        <v>629</v>
      </c>
      <c r="R212" s="89">
        <v>24</v>
      </c>
      <c r="S212" s="89" t="s">
        <v>1551</v>
      </c>
      <c r="T212" s="89" t="s">
        <v>1558</v>
      </c>
      <c r="U212" s="89" t="s">
        <v>1552</v>
      </c>
      <c r="V212" s="89" t="s">
        <v>1561</v>
      </c>
      <c r="W212" s="89" t="s">
        <v>677</v>
      </c>
      <c r="X212" s="89" t="s">
        <v>66</v>
      </c>
      <c r="Y212" s="89" t="s">
        <v>619</v>
      </c>
      <c r="Z212" s="89" t="s">
        <v>68</v>
      </c>
      <c r="AA212" s="89" t="s">
        <v>67</v>
      </c>
      <c r="AB212" s="89">
        <v>1</v>
      </c>
      <c r="AC212" s="89">
        <v>6</v>
      </c>
      <c r="AD212" s="89">
        <v>1</v>
      </c>
      <c r="AE212" s="89" t="s">
        <v>288</v>
      </c>
      <c r="AF212" s="90">
        <v>367</v>
      </c>
      <c r="AG212" s="90">
        <v>45436</v>
      </c>
      <c r="AH212" s="90">
        <v>46537</v>
      </c>
      <c r="AJ212" t="e">
        <f>VLOOKUP(A212,'1'!B:Q,16,0)</f>
        <v>#N/A</v>
      </c>
      <c r="AK212" s="96" t="e">
        <f t="shared" si="8"/>
        <v>#N/A</v>
      </c>
    </row>
    <row r="213" spans="1:37" x14ac:dyDescent="0.35">
      <c r="A213" s="89" t="str">
        <f t="shared" si="6"/>
        <v>Z4WJ</v>
      </c>
      <c r="B213" s="89" t="s">
        <v>1228</v>
      </c>
      <c r="C213" s="89" t="s">
        <v>1229</v>
      </c>
      <c r="D213" s="89" t="s">
        <v>468</v>
      </c>
      <c r="E213" s="89" t="s">
        <v>1230</v>
      </c>
      <c r="F213" s="89" t="s">
        <v>1674</v>
      </c>
      <c r="G213" s="89" t="s">
        <v>70</v>
      </c>
      <c r="H213" s="89" t="s">
        <v>70</v>
      </c>
      <c r="I213" s="91"/>
      <c r="J213" s="89">
        <v>0</v>
      </c>
      <c r="K213" s="26" t="s">
        <v>38</v>
      </c>
      <c r="L213" s="89" t="s">
        <v>1620</v>
      </c>
      <c r="M213" s="91"/>
      <c r="N213" s="89" t="s">
        <v>1549</v>
      </c>
      <c r="O213" s="89" t="s">
        <v>615</v>
      </c>
      <c r="P213" s="89" t="s">
        <v>1550</v>
      </c>
      <c r="Q213" s="89" t="s">
        <v>629</v>
      </c>
      <c r="R213" s="89">
        <v>24</v>
      </c>
      <c r="S213" s="89" t="s">
        <v>1551</v>
      </c>
      <c r="T213" s="89" t="s">
        <v>1558</v>
      </c>
      <c r="U213" s="89" t="s">
        <v>1552</v>
      </c>
      <c r="V213" s="89" t="s">
        <v>1561</v>
      </c>
      <c r="W213" s="89" t="s">
        <v>628</v>
      </c>
      <c r="X213" s="89" t="s">
        <v>117</v>
      </c>
      <c r="Y213" s="89" t="s">
        <v>619</v>
      </c>
      <c r="Z213" s="89" t="s">
        <v>68</v>
      </c>
      <c r="AA213" s="89" t="s">
        <v>67</v>
      </c>
      <c r="AB213" s="89">
        <v>1</v>
      </c>
      <c r="AC213" s="89">
        <v>6</v>
      </c>
      <c r="AD213" s="89">
        <v>1</v>
      </c>
      <c r="AE213" s="89" t="s">
        <v>288</v>
      </c>
      <c r="AF213" s="90">
        <v>367</v>
      </c>
      <c r="AG213" s="90">
        <v>45440</v>
      </c>
      <c r="AH213" s="90">
        <v>46537</v>
      </c>
      <c r="AJ213" t="e">
        <f>VLOOKUP(A213,'1'!B:Q,16,0)</f>
        <v>#N/A</v>
      </c>
      <c r="AK213" s="96" t="e">
        <f t="shared" si="8"/>
        <v>#N/A</v>
      </c>
    </row>
    <row r="214" spans="1:37" x14ac:dyDescent="0.35">
      <c r="A214" s="89" t="str">
        <f t="shared" si="6"/>
        <v>Z09R</v>
      </c>
      <c r="B214" s="89" t="s">
        <v>1751</v>
      </c>
      <c r="C214" s="89" t="s">
        <v>1752</v>
      </c>
      <c r="D214" s="89" t="s">
        <v>415</v>
      </c>
      <c r="E214" s="89" t="s">
        <v>1230</v>
      </c>
      <c r="F214" s="89" t="s">
        <v>1674</v>
      </c>
      <c r="G214" s="89" t="s">
        <v>70</v>
      </c>
      <c r="H214" s="89" t="s">
        <v>70</v>
      </c>
      <c r="I214" s="91"/>
      <c r="J214" s="89">
        <v>0</v>
      </c>
      <c r="K214" s="26" t="s">
        <v>38</v>
      </c>
      <c r="L214" s="89" t="s">
        <v>1620</v>
      </c>
      <c r="M214" s="91"/>
      <c r="N214" s="89" t="s">
        <v>1549</v>
      </c>
      <c r="O214" s="89" t="s">
        <v>615</v>
      </c>
      <c r="P214" s="89" t="s">
        <v>1550</v>
      </c>
      <c r="Q214" s="89" t="s">
        <v>629</v>
      </c>
      <c r="R214" s="89">
        <v>24</v>
      </c>
      <c r="S214" s="89" t="s">
        <v>1551</v>
      </c>
      <c r="T214" s="89" t="s">
        <v>1558</v>
      </c>
      <c r="U214" s="89" t="s">
        <v>1552</v>
      </c>
      <c r="V214" s="89" t="s">
        <v>1561</v>
      </c>
      <c r="W214" s="89" t="s">
        <v>628</v>
      </c>
      <c r="X214" s="89" t="s">
        <v>117</v>
      </c>
      <c r="Y214" s="89" t="s">
        <v>619</v>
      </c>
      <c r="Z214" s="89" t="s">
        <v>68</v>
      </c>
      <c r="AA214" s="89" t="s">
        <v>67</v>
      </c>
      <c r="AB214" s="89">
        <v>1</v>
      </c>
      <c r="AC214" s="89">
        <v>6</v>
      </c>
      <c r="AD214" s="89">
        <v>1</v>
      </c>
      <c r="AE214" s="89" t="s">
        <v>288</v>
      </c>
      <c r="AF214" s="90">
        <v>367</v>
      </c>
      <c r="AG214" s="90">
        <v>45440</v>
      </c>
      <c r="AH214" s="90">
        <v>46537</v>
      </c>
      <c r="AJ214" t="e">
        <f>VLOOKUP(A214,'1'!B:Q,16,0)</f>
        <v>#N/A</v>
      </c>
      <c r="AK214" s="96" t="e">
        <f t="shared" si="8"/>
        <v>#N/A</v>
      </c>
    </row>
    <row r="215" spans="1:37" x14ac:dyDescent="0.35">
      <c r="A215" s="89" t="str">
        <f t="shared" si="6"/>
        <v>Z09Q</v>
      </c>
      <c r="B215" s="89" t="s">
        <v>1753</v>
      </c>
      <c r="C215" s="89" t="s">
        <v>1754</v>
      </c>
      <c r="D215" s="89" t="s">
        <v>414</v>
      </c>
      <c r="E215" s="89" t="s">
        <v>1230</v>
      </c>
      <c r="F215" s="89" t="s">
        <v>1674</v>
      </c>
      <c r="G215" s="89" t="s">
        <v>70</v>
      </c>
      <c r="H215" s="89" t="s">
        <v>70</v>
      </c>
      <c r="I215" s="91"/>
      <c r="J215" s="89">
        <v>0</v>
      </c>
      <c r="K215" s="26" t="s">
        <v>38</v>
      </c>
      <c r="L215" s="89" t="s">
        <v>1620</v>
      </c>
      <c r="M215" s="91"/>
      <c r="N215" s="89" t="s">
        <v>1549</v>
      </c>
      <c r="O215" s="89" t="s">
        <v>615</v>
      </c>
      <c r="P215" s="89" t="s">
        <v>1550</v>
      </c>
      <c r="Q215" s="89" t="s">
        <v>629</v>
      </c>
      <c r="R215" s="89">
        <v>24</v>
      </c>
      <c r="S215" s="89" t="s">
        <v>1551</v>
      </c>
      <c r="T215" s="89" t="s">
        <v>1558</v>
      </c>
      <c r="U215" s="89" t="s">
        <v>1552</v>
      </c>
      <c r="V215" s="89" t="s">
        <v>1561</v>
      </c>
      <c r="W215" s="89" t="s">
        <v>628</v>
      </c>
      <c r="X215" s="89" t="s">
        <v>117</v>
      </c>
      <c r="Y215" s="89" t="s">
        <v>619</v>
      </c>
      <c r="Z215" s="89" t="s">
        <v>68</v>
      </c>
      <c r="AA215" s="89" t="s">
        <v>67</v>
      </c>
      <c r="AB215" s="89">
        <v>1</v>
      </c>
      <c r="AC215" s="89">
        <v>6</v>
      </c>
      <c r="AD215" s="89">
        <v>1</v>
      </c>
      <c r="AE215" s="89" t="s">
        <v>288</v>
      </c>
      <c r="AF215" s="90">
        <v>367</v>
      </c>
      <c r="AG215" s="90">
        <v>45440</v>
      </c>
      <c r="AH215" s="90">
        <v>46537</v>
      </c>
      <c r="AJ215" t="e">
        <f>VLOOKUP(A215,'1'!B:Q,16,0)</f>
        <v>#N/A</v>
      </c>
      <c r="AK215" s="96" t="e">
        <f t="shared" si="8"/>
        <v>#N/A</v>
      </c>
    </row>
    <row r="216" spans="1:37" x14ac:dyDescent="0.35">
      <c r="A216" s="89" t="str">
        <f t="shared" si="6"/>
        <v>Z09P</v>
      </c>
      <c r="B216" s="89" t="s">
        <v>1755</v>
      </c>
      <c r="C216" s="89" t="s">
        <v>1756</v>
      </c>
      <c r="D216" s="89" t="s">
        <v>413</v>
      </c>
      <c r="E216" s="89" t="s">
        <v>1230</v>
      </c>
      <c r="F216" s="89" t="s">
        <v>1674</v>
      </c>
      <c r="G216" s="89" t="s">
        <v>70</v>
      </c>
      <c r="H216" s="89" t="s">
        <v>70</v>
      </c>
      <c r="I216" s="91"/>
      <c r="J216" s="89">
        <v>0</v>
      </c>
      <c r="K216" s="26" t="s">
        <v>38</v>
      </c>
      <c r="L216" s="89" t="s">
        <v>1620</v>
      </c>
      <c r="M216" s="91"/>
      <c r="N216" s="89" t="s">
        <v>1549</v>
      </c>
      <c r="O216" s="89" t="s">
        <v>615</v>
      </c>
      <c r="P216" s="89" t="s">
        <v>1550</v>
      </c>
      <c r="Q216" s="89" t="s">
        <v>629</v>
      </c>
      <c r="R216" s="89">
        <v>24</v>
      </c>
      <c r="S216" s="89" t="s">
        <v>1551</v>
      </c>
      <c r="T216" s="89" t="s">
        <v>1558</v>
      </c>
      <c r="U216" s="89" t="s">
        <v>1552</v>
      </c>
      <c r="V216" s="89" t="s">
        <v>1561</v>
      </c>
      <c r="W216" s="89" t="s">
        <v>628</v>
      </c>
      <c r="X216" s="89" t="s">
        <v>117</v>
      </c>
      <c r="Y216" s="89" t="s">
        <v>619</v>
      </c>
      <c r="Z216" s="89" t="s">
        <v>68</v>
      </c>
      <c r="AA216" s="89" t="s">
        <v>67</v>
      </c>
      <c r="AB216" s="89">
        <v>1</v>
      </c>
      <c r="AC216" s="89">
        <v>6</v>
      </c>
      <c r="AD216" s="89">
        <v>1</v>
      </c>
      <c r="AE216" s="89" t="s">
        <v>288</v>
      </c>
      <c r="AF216" s="90">
        <v>367</v>
      </c>
      <c r="AG216" s="90">
        <v>45440</v>
      </c>
      <c r="AH216" s="90">
        <v>46537</v>
      </c>
      <c r="AJ216" t="e">
        <f>VLOOKUP(A216,'1'!B:Q,16,0)</f>
        <v>#N/A</v>
      </c>
      <c r="AK216" s="96" t="e">
        <f t="shared" si="8"/>
        <v>#N/A</v>
      </c>
    </row>
    <row r="217" spans="1:37" x14ac:dyDescent="0.35">
      <c r="A217" s="89" t="str">
        <f t="shared" si="6"/>
        <v>Z09N</v>
      </c>
      <c r="B217" s="89" t="s">
        <v>1449</v>
      </c>
      <c r="C217" s="89" t="s">
        <v>1450</v>
      </c>
      <c r="D217" s="89" t="s">
        <v>412</v>
      </c>
      <c r="E217" s="89" t="s">
        <v>1230</v>
      </c>
      <c r="F217" s="89" t="s">
        <v>1674</v>
      </c>
      <c r="G217" s="89" t="s">
        <v>70</v>
      </c>
      <c r="H217" s="89" t="s">
        <v>70</v>
      </c>
      <c r="I217" s="91"/>
      <c r="J217" s="89">
        <v>0</v>
      </c>
      <c r="K217" s="26" t="s">
        <v>38</v>
      </c>
      <c r="L217" s="89" t="s">
        <v>1620</v>
      </c>
      <c r="M217" s="91"/>
      <c r="N217" s="89" t="s">
        <v>1549</v>
      </c>
      <c r="O217" s="89" t="s">
        <v>615</v>
      </c>
      <c r="P217" s="89" t="s">
        <v>1550</v>
      </c>
      <c r="Q217" s="89" t="s">
        <v>629</v>
      </c>
      <c r="R217" s="89">
        <v>24</v>
      </c>
      <c r="S217" s="89" t="s">
        <v>1551</v>
      </c>
      <c r="T217" s="89" t="s">
        <v>1558</v>
      </c>
      <c r="U217" s="89" t="s">
        <v>1552</v>
      </c>
      <c r="V217" s="89" t="s">
        <v>1561</v>
      </c>
      <c r="W217" s="89" t="s">
        <v>628</v>
      </c>
      <c r="X217" s="89" t="s">
        <v>117</v>
      </c>
      <c r="Y217" s="89" t="s">
        <v>619</v>
      </c>
      <c r="Z217" s="89" t="s">
        <v>68</v>
      </c>
      <c r="AA217" s="89" t="s">
        <v>67</v>
      </c>
      <c r="AB217" s="89">
        <v>1</v>
      </c>
      <c r="AC217" s="89">
        <v>6</v>
      </c>
      <c r="AD217" s="89">
        <v>1</v>
      </c>
      <c r="AE217" s="89" t="s">
        <v>288</v>
      </c>
      <c r="AF217" s="90">
        <v>367</v>
      </c>
      <c r="AG217" s="90">
        <v>45440</v>
      </c>
      <c r="AH217" s="90">
        <v>46537</v>
      </c>
      <c r="AJ217" t="e">
        <f>VLOOKUP(A217,'1'!B:Q,16,0)</f>
        <v>#N/A</v>
      </c>
      <c r="AK217" s="96" t="e">
        <f t="shared" si="8"/>
        <v>#N/A</v>
      </c>
    </row>
    <row r="218" spans="1:37" x14ac:dyDescent="0.35">
      <c r="A218" s="89" t="str">
        <f t="shared" si="6"/>
        <v>Z4WD</v>
      </c>
      <c r="B218" s="89" t="s">
        <v>1757</v>
      </c>
      <c r="C218" s="89" t="s">
        <v>1758</v>
      </c>
      <c r="D218" s="89" t="s">
        <v>466</v>
      </c>
      <c r="E218" s="89" t="s">
        <v>1759</v>
      </c>
      <c r="F218" s="89" t="s">
        <v>1674</v>
      </c>
      <c r="G218" s="89" t="s">
        <v>70</v>
      </c>
      <c r="H218" s="89" t="s">
        <v>70</v>
      </c>
      <c r="I218" s="91"/>
      <c r="J218" s="89">
        <v>0</v>
      </c>
      <c r="K218" s="26" t="s">
        <v>38</v>
      </c>
      <c r="L218" s="89" t="s">
        <v>1620</v>
      </c>
      <c r="M218" s="91"/>
      <c r="N218" s="89" t="s">
        <v>1549</v>
      </c>
      <c r="O218" s="89" t="s">
        <v>615</v>
      </c>
      <c r="P218" s="89" t="s">
        <v>1550</v>
      </c>
      <c r="Q218" s="89" t="s">
        <v>657</v>
      </c>
      <c r="R218" s="89">
        <v>24</v>
      </c>
      <c r="S218" s="89" t="s">
        <v>1551</v>
      </c>
      <c r="T218" s="89" t="s">
        <v>1558</v>
      </c>
      <c r="U218" s="89" t="s">
        <v>1552</v>
      </c>
      <c r="V218" s="89" t="s">
        <v>1561</v>
      </c>
      <c r="W218" s="89" t="s">
        <v>649</v>
      </c>
      <c r="X218" s="89" t="s">
        <v>76</v>
      </c>
      <c r="Y218" s="89" t="s">
        <v>619</v>
      </c>
      <c r="Z218" s="89" t="s">
        <v>68</v>
      </c>
      <c r="AA218" s="89" t="s">
        <v>67</v>
      </c>
      <c r="AB218" s="89">
        <v>1</v>
      </c>
      <c r="AC218" s="89">
        <v>6</v>
      </c>
      <c r="AD218" s="89">
        <v>1</v>
      </c>
      <c r="AE218" s="89" t="s">
        <v>288</v>
      </c>
      <c r="AF218" s="90">
        <v>367</v>
      </c>
      <c r="AG218" s="90">
        <v>45440</v>
      </c>
      <c r="AH218" s="90">
        <v>46537</v>
      </c>
      <c r="AJ218" t="e">
        <f>VLOOKUP(A218,'1'!B:Q,16,0)</f>
        <v>#N/A</v>
      </c>
      <c r="AK218" s="96" t="e">
        <f t="shared" si="8"/>
        <v>#N/A</v>
      </c>
    </row>
    <row r="219" spans="1:37" x14ac:dyDescent="0.35">
      <c r="A219" s="89" t="str">
        <f t="shared" si="6"/>
        <v>Z841</v>
      </c>
      <c r="B219" s="89" t="s">
        <v>1760</v>
      </c>
      <c r="C219" s="89" t="s">
        <v>1761</v>
      </c>
      <c r="D219" s="89" t="s">
        <v>478</v>
      </c>
      <c r="E219" s="89" t="s">
        <v>1762</v>
      </c>
      <c r="F219" s="89" t="s">
        <v>1674</v>
      </c>
      <c r="G219" s="89" t="s">
        <v>70</v>
      </c>
      <c r="H219" s="89" t="s">
        <v>70</v>
      </c>
      <c r="I219" s="91"/>
      <c r="J219" s="89">
        <v>0</v>
      </c>
      <c r="K219" s="26" t="s">
        <v>38</v>
      </c>
      <c r="L219" s="89" t="s">
        <v>1620</v>
      </c>
      <c r="M219" s="91"/>
      <c r="N219" s="89" t="s">
        <v>1549</v>
      </c>
      <c r="O219" s="89" t="s">
        <v>615</v>
      </c>
      <c r="P219" s="89" t="s">
        <v>1550</v>
      </c>
      <c r="Q219" s="89" t="s">
        <v>657</v>
      </c>
      <c r="R219" s="89">
        <v>24</v>
      </c>
      <c r="S219" s="89" t="s">
        <v>1551</v>
      </c>
      <c r="T219" s="89" t="s">
        <v>1558</v>
      </c>
      <c r="U219" s="89" t="s">
        <v>1552</v>
      </c>
      <c r="V219" s="89" t="s">
        <v>1561</v>
      </c>
      <c r="W219" s="89" t="s">
        <v>677</v>
      </c>
      <c r="X219" s="89" t="s">
        <v>66</v>
      </c>
      <c r="Y219" s="89" t="s">
        <v>619</v>
      </c>
      <c r="Z219" s="89" t="s">
        <v>68</v>
      </c>
      <c r="AA219" s="89" t="s">
        <v>67</v>
      </c>
      <c r="AB219" s="89">
        <v>1</v>
      </c>
      <c r="AC219" s="89">
        <v>6</v>
      </c>
      <c r="AD219" s="89">
        <v>1</v>
      </c>
      <c r="AE219" s="89" t="s">
        <v>288</v>
      </c>
      <c r="AF219" s="90">
        <v>367</v>
      </c>
      <c r="AG219" s="90">
        <v>45441</v>
      </c>
      <c r="AH219" s="90">
        <v>46537</v>
      </c>
      <c r="AJ219" t="e">
        <f>VLOOKUP(A219,'1'!B:Q,16,0)</f>
        <v>#N/A</v>
      </c>
      <c r="AK219" s="96" t="e">
        <f t="shared" si="8"/>
        <v>#N/A</v>
      </c>
    </row>
    <row r="220" spans="1:37" x14ac:dyDescent="0.35">
      <c r="A220" s="89" t="str">
        <f t="shared" si="6"/>
        <v>Z840</v>
      </c>
      <c r="B220" s="89" t="s">
        <v>1763</v>
      </c>
      <c r="C220" s="89" t="s">
        <v>1764</v>
      </c>
      <c r="D220" s="89" t="s">
        <v>477</v>
      </c>
      <c r="E220" s="89" t="s">
        <v>1762</v>
      </c>
      <c r="F220" s="89" t="s">
        <v>1674</v>
      </c>
      <c r="G220" s="89" t="s">
        <v>70</v>
      </c>
      <c r="H220" s="89" t="s">
        <v>70</v>
      </c>
      <c r="I220" s="91"/>
      <c r="J220" s="89">
        <v>0</v>
      </c>
      <c r="K220" s="26" t="s">
        <v>38</v>
      </c>
      <c r="L220" s="89" t="s">
        <v>1620</v>
      </c>
      <c r="M220" s="91"/>
      <c r="N220" s="89" t="s">
        <v>1549</v>
      </c>
      <c r="O220" s="89" t="s">
        <v>615</v>
      </c>
      <c r="P220" s="89" t="s">
        <v>1550</v>
      </c>
      <c r="Q220" s="89" t="s">
        <v>657</v>
      </c>
      <c r="R220" s="89">
        <v>24</v>
      </c>
      <c r="S220" s="89" t="s">
        <v>1551</v>
      </c>
      <c r="T220" s="89" t="s">
        <v>1558</v>
      </c>
      <c r="U220" s="89" t="s">
        <v>1552</v>
      </c>
      <c r="V220" s="89" t="s">
        <v>1561</v>
      </c>
      <c r="W220" s="89" t="s">
        <v>677</v>
      </c>
      <c r="X220" s="89" t="s">
        <v>66</v>
      </c>
      <c r="Y220" s="89" t="s">
        <v>619</v>
      </c>
      <c r="Z220" s="89" t="s">
        <v>68</v>
      </c>
      <c r="AA220" s="89" t="s">
        <v>67</v>
      </c>
      <c r="AB220" s="89">
        <v>1</v>
      </c>
      <c r="AC220" s="89">
        <v>6</v>
      </c>
      <c r="AD220" s="89">
        <v>1</v>
      </c>
      <c r="AE220" s="89" t="s">
        <v>288</v>
      </c>
      <c r="AF220" s="90">
        <v>367</v>
      </c>
      <c r="AG220" s="90">
        <v>45441</v>
      </c>
      <c r="AH220" s="90">
        <v>46537</v>
      </c>
      <c r="AJ220" t="e">
        <f>VLOOKUP(A220,'1'!B:Q,16,0)</f>
        <v>#N/A</v>
      </c>
      <c r="AK220" s="96" t="e">
        <f t="shared" si="8"/>
        <v>#N/A</v>
      </c>
    </row>
    <row r="221" spans="1:37" x14ac:dyDescent="0.35">
      <c r="A221" s="89" t="str">
        <f t="shared" si="6"/>
        <v>Z08R</v>
      </c>
      <c r="B221" s="89" t="s">
        <v>686</v>
      </c>
      <c r="C221" s="89" t="s">
        <v>687</v>
      </c>
      <c r="D221" s="89" t="s">
        <v>405</v>
      </c>
      <c r="E221" s="89" t="s">
        <v>1765</v>
      </c>
      <c r="F221" s="89" t="s">
        <v>1674</v>
      </c>
      <c r="G221" s="89" t="s">
        <v>70</v>
      </c>
      <c r="H221" s="89" t="s">
        <v>70</v>
      </c>
      <c r="I221" s="89" t="s">
        <v>1635</v>
      </c>
      <c r="J221" s="89">
        <v>0</v>
      </c>
      <c r="K221" s="26" t="s">
        <v>38</v>
      </c>
      <c r="L221" s="89" t="s">
        <v>1620</v>
      </c>
      <c r="M221" s="91"/>
      <c r="N221" s="89" t="s">
        <v>1549</v>
      </c>
      <c r="O221" s="89" t="s">
        <v>615</v>
      </c>
      <c r="P221" s="89" t="s">
        <v>1550</v>
      </c>
      <c r="Q221" s="89" t="s">
        <v>629</v>
      </c>
      <c r="R221" s="89">
        <v>24</v>
      </c>
      <c r="S221" s="89" t="s">
        <v>1551</v>
      </c>
      <c r="T221" s="89" t="s">
        <v>1558</v>
      </c>
      <c r="U221" s="89" t="s">
        <v>1552</v>
      </c>
      <c r="V221" s="89" t="s">
        <v>1561</v>
      </c>
      <c r="W221" s="89" t="s">
        <v>656</v>
      </c>
      <c r="X221" s="89" t="s">
        <v>92</v>
      </c>
      <c r="Y221" s="89" t="s">
        <v>619</v>
      </c>
      <c r="Z221" s="89" t="s">
        <v>68</v>
      </c>
      <c r="AA221" s="89" t="s">
        <v>67</v>
      </c>
      <c r="AB221" s="89">
        <v>1</v>
      </c>
      <c r="AC221" s="89">
        <v>6</v>
      </c>
      <c r="AD221" s="89">
        <v>1</v>
      </c>
      <c r="AE221" s="89" t="s">
        <v>288</v>
      </c>
      <c r="AF221" s="90">
        <v>367</v>
      </c>
      <c r="AG221" s="90">
        <v>45441</v>
      </c>
      <c r="AH221" s="90">
        <v>46537</v>
      </c>
      <c r="AJ221" t="e">
        <f>VLOOKUP(A221,'1'!B:Q,16,0)</f>
        <v>#N/A</v>
      </c>
      <c r="AK221" s="96" t="e">
        <f t="shared" si="8"/>
        <v>#N/A</v>
      </c>
    </row>
    <row r="222" spans="1:37" x14ac:dyDescent="0.35">
      <c r="A222" s="89" t="str">
        <f t="shared" si="6"/>
        <v>Z08Q</v>
      </c>
      <c r="B222" s="89" t="s">
        <v>1215</v>
      </c>
      <c r="C222" s="89" t="s">
        <v>1216</v>
      </c>
      <c r="D222" s="89" t="s">
        <v>404</v>
      </c>
      <c r="E222" s="89" t="s">
        <v>1765</v>
      </c>
      <c r="F222" s="89" t="s">
        <v>1674</v>
      </c>
      <c r="G222" s="89" t="s">
        <v>70</v>
      </c>
      <c r="H222" s="89" t="s">
        <v>70</v>
      </c>
      <c r="I222" s="89" t="s">
        <v>1635</v>
      </c>
      <c r="J222" s="89">
        <v>0</v>
      </c>
      <c r="K222" s="26" t="s">
        <v>38</v>
      </c>
      <c r="L222" s="89" t="s">
        <v>1620</v>
      </c>
      <c r="M222" s="91"/>
      <c r="N222" s="89" t="s">
        <v>1549</v>
      </c>
      <c r="O222" s="89" t="s">
        <v>615</v>
      </c>
      <c r="P222" s="89" t="s">
        <v>1550</v>
      </c>
      <c r="Q222" s="89" t="s">
        <v>629</v>
      </c>
      <c r="R222" s="89">
        <v>24</v>
      </c>
      <c r="S222" s="89" t="s">
        <v>1551</v>
      </c>
      <c r="T222" s="89" t="s">
        <v>1558</v>
      </c>
      <c r="U222" s="89" t="s">
        <v>1552</v>
      </c>
      <c r="V222" s="89" t="s">
        <v>1561</v>
      </c>
      <c r="W222" s="89" t="s">
        <v>656</v>
      </c>
      <c r="X222" s="89" t="s">
        <v>92</v>
      </c>
      <c r="Y222" s="89" t="s">
        <v>619</v>
      </c>
      <c r="Z222" s="89" t="s">
        <v>68</v>
      </c>
      <c r="AA222" s="89" t="s">
        <v>67</v>
      </c>
      <c r="AB222" s="89">
        <v>1</v>
      </c>
      <c r="AC222" s="89">
        <v>6</v>
      </c>
      <c r="AD222" s="89">
        <v>1</v>
      </c>
      <c r="AE222" s="89" t="s">
        <v>288</v>
      </c>
      <c r="AF222" s="90">
        <v>367</v>
      </c>
      <c r="AG222" s="90">
        <v>45441</v>
      </c>
      <c r="AH222" s="90">
        <v>46537</v>
      </c>
      <c r="AJ222" t="e">
        <f>VLOOKUP(A222,'1'!B:Q,16,0)</f>
        <v>#N/A</v>
      </c>
      <c r="AK222" s="96" t="e">
        <f t="shared" si="8"/>
        <v>#N/A</v>
      </c>
    </row>
    <row r="223" spans="1:37" x14ac:dyDescent="0.35">
      <c r="A223" s="89" t="str">
        <f t="shared" si="6"/>
        <v>Z08P</v>
      </c>
      <c r="B223" s="89" t="s">
        <v>1213</v>
      </c>
      <c r="C223" s="89" t="s">
        <v>1214</v>
      </c>
      <c r="D223" s="89" t="s">
        <v>403</v>
      </c>
      <c r="E223" s="89" t="s">
        <v>1766</v>
      </c>
      <c r="F223" s="89" t="s">
        <v>1674</v>
      </c>
      <c r="G223" s="89" t="s">
        <v>70</v>
      </c>
      <c r="H223" s="89" t="s">
        <v>70</v>
      </c>
      <c r="I223" s="89" t="s">
        <v>1635</v>
      </c>
      <c r="J223" s="89">
        <v>0</v>
      </c>
      <c r="K223" s="26" t="s">
        <v>38</v>
      </c>
      <c r="L223" s="89" t="s">
        <v>1620</v>
      </c>
      <c r="M223" s="91"/>
      <c r="N223" s="89" t="s">
        <v>1549</v>
      </c>
      <c r="O223" s="89" t="s">
        <v>615</v>
      </c>
      <c r="P223" s="89" t="s">
        <v>1550</v>
      </c>
      <c r="Q223" s="89" t="s">
        <v>629</v>
      </c>
      <c r="R223" s="89">
        <v>24</v>
      </c>
      <c r="S223" s="89" t="s">
        <v>1551</v>
      </c>
      <c r="T223" s="89" t="s">
        <v>1558</v>
      </c>
      <c r="U223" s="89" t="s">
        <v>1552</v>
      </c>
      <c r="V223" s="89" t="s">
        <v>1561</v>
      </c>
      <c r="W223" s="89" t="s">
        <v>656</v>
      </c>
      <c r="X223" s="89" t="s">
        <v>92</v>
      </c>
      <c r="Y223" s="89" t="s">
        <v>619</v>
      </c>
      <c r="Z223" s="89" t="s">
        <v>68</v>
      </c>
      <c r="AA223" s="89" t="s">
        <v>67</v>
      </c>
      <c r="AB223" s="89">
        <v>1</v>
      </c>
      <c r="AC223" s="89">
        <v>6</v>
      </c>
      <c r="AD223" s="89">
        <v>1</v>
      </c>
      <c r="AE223" s="89" t="s">
        <v>288</v>
      </c>
      <c r="AF223" s="90">
        <v>367</v>
      </c>
      <c r="AG223" s="90">
        <v>45441</v>
      </c>
      <c r="AH223" s="90">
        <v>46537</v>
      </c>
      <c r="AJ223" t="e">
        <f>VLOOKUP(A223,'1'!B:Q,16,0)</f>
        <v>#N/A</v>
      </c>
      <c r="AK223" s="96" t="e">
        <f t="shared" si="8"/>
        <v>#N/A</v>
      </c>
    </row>
    <row r="224" spans="1:37" x14ac:dyDescent="0.35">
      <c r="A224" s="89" t="str">
        <f t="shared" si="6"/>
        <v>Z08N</v>
      </c>
      <c r="B224" s="89" t="s">
        <v>1211</v>
      </c>
      <c r="C224" s="89" t="s">
        <v>1212</v>
      </c>
      <c r="D224" s="89" t="s">
        <v>402</v>
      </c>
      <c r="E224" s="89" t="s">
        <v>1767</v>
      </c>
      <c r="F224" s="89" t="s">
        <v>1674</v>
      </c>
      <c r="G224" s="89" t="s">
        <v>70</v>
      </c>
      <c r="H224" s="89" t="s">
        <v>70</v>
      </c>
      <c r="I224" s="89" t="s">
        <v>1635</v>
      </c>
      <c r="J224" s="89">
        <v>0</v>
      </c>
      <c r="K224" s="26" t="s">
        <v>38</v>
      </c>
      <c r="L224" s="89" t="s">
        <v>1620</v>
      </c>
      <c r="M224" s="91"/>
      <c r="N224" s="89" t="s">
        <v>1549</v>
      </c>
      <c r="O224" s="89" t="s">
        <v>615</v>
      </c>
      <c r="P224" s="89" t="s">
        <v>1550</v>
      </c>
      <c r="Q224" s="89" t="s">
        <v>629</v>
      </c>
      <c r="R224" s="89">
        <v>24</v>
      </c>
      <c r="S224" s="89" t="s">
        <v>1551</v>
      </c>
      <c r="T224" s="89" t="s">
        <v>1558</v>
      </c>
      <c r="U224" s="89" t="s">
        <v>1552</v>
      </c>
      <c r="V224" s="89" t="s">
        <v>1561</v>
      </c>
      <c r="W224" s="89" t="s">
        <v>656</v>
      </c>
      <c r="X224" s="89" t="s">
        <v>92</v>
      </c>
      <c r="Y224" s="89" t="s">
        <v>619</v>
      </c>
      <c r="Z224" s="89" t="s">
        <v>68</v>
      </c>
      <c r="AA224" s="89" t="s">
        <v>67</v>
      </c>
      <c r="AB224" s="89">
        <v>1</v>
      </c>
      <c r="AC224" s="89">
        <v>6</v>
      </c>
      <c r="AD224" s="89">
        <v>1</v>
      </c>
      <c r="AE224" s="89" t="s">
        <v>288</v>
      </c>
      <c r="AF224" s="90">
        <v>367</v>
      </c>
      <c r="AG224" s="90">
        <v>45441</v>
      </c>
      <c r="AH224" s="90">
        <v>46537</v>
      </c>
      <c r="AJ224" t="e">
        <f>VLOOKUP(A224,'1'!B:Q,16,0)</f>
        <v>#N/A</v>
      </c>
      <c r="AK224" s="96" t="e">
        <f t="shared" si="8"/>
        <v>#N/A</v>
      </c>
    </row>
    <row r="225" spans="1:37" x14ac:dyDescent="0.35">
      <c r="A225" s="89" t="str">
        <f t="shared" si="6"/>
        <v>Z09K</v>
      </c>
      <c r="B225" s="89" t="s">
        <v>1768</v>
      </c>
      <c r="C225" s="89" t="s">
        <v>1769</v>
      </c>
      <c r="D225" s="89" t="s">
        <v>411</v>
      </c>
      <c r="E225" s="89" t="s">
        <v>1770</v>
      </c>
      <c r="F225" s="89" t="s">
        <v>1674</v>
      </c>
      <c r="G225" s="89" t="s">
        <v>70</v>
      </c>
      <c r="H225" s="89" t="s">
        <v>70</v>
      </c>
      <c r="I225" s="89" t="s">
        <v>1635</v>
      </c>
      <c r="J225" s="89">
        <v>0</v>
      </c>
      <c r="K225" s="26" t="s">
        <v>38</v>
      </c>
      <c r="L225" s="89" t="s">
        <v>1620</v>
      </c>
      <c r="M225" s="91"/>
      <c r="N225" s="89" t="s">
        <v>1549</v>
      </c>
      <c r="O225" s="89" t="s">
        <v>615</v>
      </c>
      <c r="P225" s="89" t="s">
        <v>1550</v>
      </c>
      <c r="Q225" s="89" t="s">
        <v>657</v>
      </c>
      <c r="R225" s="89">
        <v>24</v>
      </c>
      <c r="S225" s="89" t="s">
        <v>1551</v>
      </c>
      <c r="T225" s="89" t="s">
        <v>1558</v>
      </c>
      <c r="U225" s="89" t="s">
        <v>1552</v>
      </c>
      <c r="V225" s="89" t="s">
        <v>1561</v>
      </c>
      <c r="W225" s="89" t="s">
        <v>645</v>
      </c>
      <c r="X225" s="89" t="s">
        <v>100</v>
      </c>
      <c r="Y225" s="89" t="s">
        <v>619</v>
      </c>
      <c r="Z225" s="89" t="s">
        <v>68</v>
      </c>
      <c r="AA225" s="89" t="s">
        <v>67</v>
      </c>
      <c r="AB225" s="89">
        <v>1</v>
      </c>
      <c r="AC225" s="89">
        <v>6</v>
      </c>
      <c r="AD225" s="89">
        <v>1</v>
      </c>
      <c r="AE225" s="89" t="s">
        <v>288</v>
      </c>
      <c r="AF225" s="90">
        <v>367</v>
      </c>
      <c r="AG225" s="90">
        <v>45442</v>
      </c>
      <c r="AH225" s="90">
        <v>46537</v>
      </c>
      <c r="AJ225" t="e">
        <f>VLOOKUP(A225,'1'!B:Q,16,0)</f>
        <v>#N/A</v>
      </c>
      <c r="AK225" s="96" t="e">
        <f t="shared" si="8"/>
        <v>#N/A</v>
      </c>
    </row>
    <row r="226" spans="1:37" x14ac:dyDescent="0.35">
      <c r="A226" s="89" t="str">
        <f t="shared" si="6"/>
        <v>Z09A</v>
      </c>
      <c r="B226" s="89" t="s">
        <v>1771</v>
      </c>
      <c r="C226" s="89" t="s">
        <v>1772</v>
      </c>
      <c r="D226" s="89" t="s">
        <v>408</v>
      </c>
      <c r="E226" s="89" t="s">
        <v>1448</v>
      </c>
      <c r="F226" s="89" t="s">
        <v>1674</v>
      </c>
      <c r="G226" s="89" t="s">
        <v>70</v>
      </c>
      <c r="H226" s="89" t="s">
        <v>70</v>
      </c>
      <c r="I226" s="91"/>
      <c r="J226" s="89">
        <v>0</v>
      </c>
      <c r="K226" s="26" t="s">
        <v>38</v>
      </c>
      <c r="L226" s="89" t="s">
        <v>1620</v>
      </c>
      <c r="M226" s="91"/>
      <c r="N226" s="89" t="s">
        <v>1549</v>
      </c>
      <c r="O226" s="89" t="s">
        <v>615</v>
      </c>
      <c r="P226" s="89" t="s">
        <v>1550</v>
      </c>
      <c r="Q226" s="89" t="s">
        <v>657</v>
      </c>
      <c r="R226" s="89">
        <v>24</v>
      </c>
      <c r="S226" s="89" t="s">
        <v>1551</v>
      </c>
      <c r="T226" s="89" t="s">
        <v>1558</v>
      </c>
      <c r="U226" s="89" t="s">
        <v>1552</v>
      </c>
      <c r="V226" s="89" t="s">
        <v>1561</v>
      </c>
      <c r="W226" s="89" t="s">
        <v>656</v>
      </c>
      <c r="X226" s="89" t="s">
        <v>92</v>
      </c>
      <c r="Y226" s="89" t="s">
        <v>619</v>
      </c>
      <c r="Z226" s="89" t="s">
        <v>68</v>
      </c>
      <c r="AA226" s="89" t="s">
        <v>67</v>
      </c>
      <c r="AB226" s="89">
        <v>1</v>
      </c>
      <c r="AC226" s="89">
        <v>6</v>
      </c>
      <c r="AD226" s="89">
        <v>1</v>
      </c>
      <c r="AE226" s="89" t="s">
        <v>288</v>
      </c>
      <c r="AF226" s="90">
        <v>367</v>
      </c>
      <c r="AG226" s="90">
        <v>45442</v>
      </c>
      <c r="AH226" s="90">
        <v>46537</v>
      </c>
      <c r="AJ226" t="e">
        <f>VLOOKUP(A226,'1'!B:Q,16,0)</f>
        <v>#N/A</v>
      </c>
      <c r="AK226" s="96" t="e">
        <f t="shared" si="8"/>
        <v>#N/A</v>
      </c>
    </row>
    <row r="227" spans="1:37" x14ac:dyDescent="0.35">
      <c r="A227" s="89" t="str">
        <f t="shared" si="6"/>
        <v>Z08Z</v>
      </c>
      <c r="B227" s="89" t="s">
        <v>1773</v>
      </c>
      <c r="C227" s="89" t="s">
        <v>1774</v>
      </c>
      <c r="D227" s="89" t="s">
        <v>407</v>
      </c>
      <c r="E227" s="89" t="s">
        <v>1448</v>
      </c>
      <c r="F227" s="89" t="s">
        <v>1674</v>
      </c>
      <c r="G227" s="89" t="s">
        <v>70</v>
      </c>
      <c r="H227" s="89" t="s">
        <v>70</v>
      </c>
      <c r="I227" s="91"/>
      <c r="J227" s="89">
        <v>0</v>
      </c>
      <c r="K227" s="26" t="s">
        <v>38</v>
      </c>
      <c r="L227" s="89" t="s">
        <v>1620</v>
      </c>
      <c r="M227" s="91"/>
      <c r="N227" s="89" t="s">
        <v>1549</v>
      </c>
      <c r="O227" s="89" t="s">
        <v>615</v>
      </c>
      <c r="P227" s="89" t="s">
        <v>1550</v>
      </c>
      <c r="Q227" s="89" t="s">
        <v>657</v>
      </c>
      <c r="R227" s="89">
        <v>24</v>
      </c>
      <c r="S227" s="89" t="s">
        <v>1551</v>
      </c>
      <c r="T227" s="89" t="s">
        <v>1558</v>
      </c>
      <c r="U227" s="89" t="s">
        <v>1552</v>
      </c>
      <c r="V227" s="89" t="s">
        <v>1561</v>
      </c>
      <c r="W227" s="89" t="s">
        <v>656</v>
      </c>
      <c r="X227" s="89" t="s">
        <v>92</v>
      </c>
      <c r="Y227" s="89" t="s">
        <v>619</v>
      </c>
      <c r="Z227" s="89" t="s">
        <v>68</v>
      </c>
      <c r="AA227" s="89" t="s">
        <v>67</v>
      </c>
      <c r="AB227" s="89">
        <v>1</v>
      </c>
      <c r="AC227" s="89">
        <v>6</v>
      </c>
      <c r="AD227" s="89">
        <v>1</v>
      </c>
      <c r="AE227" s="89" t="s">
        <v>288</v>
      </c>
      <c r="AF227" s="90">
        <v>367</v>
      </c>
      <c r="AG227" s="90">
        <v>45442</v>
      </c>
      <c r="AH227" s="90">
        <v>46537</v>
      </c>
      <c r="AJ227" t="e">
        <f>VLOOKUP(A227,'1'!B:Q,16,0)</f>
        <v>#N/A</v>
      </c>
      <c r="AK227" s="96" t="e">
        <f t="shared" si="8"/>
        <v>#N/A</v>
      </c>
    </row>
    <row r="228" spans="1:37" x14ac:dyDescent="0.35">
      <c r="A228" s="89" t="str">
        <f t="shared" si="6"/>
        <v>Z08X</v>
      </c>
      <c r="B228" s="89" t="s">
        <v>1426</v>
      </c>
      <c r="C228" s="89" t="s">
        <v>1447</v>
      </c>
      <c r="D228" s="89" t="s">
        <v>406</v>
      </c>
      <c r="E228" s="89" t="s">
        <v>1448</v>
      </c>
      <c r="F228" s="89" t="s">
        <v>1674</v>
      </c>
      <c r="G228" s="89" t="s">
        <v>70</v>
      </c>
      <c r="H228" s="89" t="s">
        <v>70</v>
      </c>
      <c r="I228" s="91"/>
      <c r="J228" s="89">
        <v>0</v>
      </c>
      <c r="K228" s="26" t="s">
        <v>38</v>
      </c>
      <c r="L228" s="89" t="s">
        <v>1620</v>
      </c>
      <c r="M228" s="91"/>
      <c r="N228" s="89" t="s">
        <v>1549</v>
      </c>
      <c r="O228" s="89" t="s">
        <v>615</v>
      </c>
      <c r="P228" s="89" t="s">
        <v>1550</v>
      </c>
      <c r="Q228" s="89" t="s">
        <v>657</v>
      </c>
      <c r="R228" s="89">
        <v>24</v>
      </c>
      <c r="S228" s="89" t="s">
        <v>1551</v>
      </c>
      <c r="T228" s="89" t="s">
        <v>1558</v>
      </c>
      <c r="U228" s="89" t="s">
        <v>1552</v>
      </c>
      <c r="V228" s="89" t="s">
        <v>1561</v>
      </c>
      <c r="W228" s="89" t="s">
        <v>656</v>
      </c>
      <c r="X228" s="89" t="s">
        <v>92</v>
      </c>
      <c r="Y228" s="89" t="s">
        <v>619</v>
      </c>
      <c r="Z228" s="89" t="s">
        <v>68</v>
      </c>
      <c r="AA228" s="89" t="s">
        <v>67</v>
      </c>
      <c r="AB228" s="89">
        <v>1</v>
      </c>
      <c r="AC228" s="89">
        <v>6</v>
      </c>
      <c r="AD228" s="89">
        <v>1</v>
      </c>
      <c r="AE228" s="89" t="s">
        <v>288</v>
      </c>
      <c r="AF228" s="90">
        <v>367</v>
      </c>
      <c r="AG228" s="90">
        <v>45442</v>
      </c>
      <c r="AH228" s="90">
        <v>46537</v>
      </c>
      <c r="AJ228" t="e">
        <f>VLOOKUP(A228,'1'!B:Q,16,0)</f>
        <v>#N/A</v>
      </c>
      <c r="AK228" s="96" t="e">
        <f t="shared" si="8"/>
        <v>#N/A</v>
      </c>
    </row>
    <row r="229" spans="1:37" x14ac:dyDescent="0.35">
      <c r="A229" s="89" t="str">
        <f t="shared" si="6"/>
        <v>Z09E</v>
      </c>
      <c r="B229" s="89" t="s">
        <v>1775</v>
      </c>
      <c r="C229" s="89" t="s">
        <v>1776</v>
      </c>
      <c r="D229" s="89" t="s">
        <v>410</v>
      </c>
      <c r="E229" s="89" t="s">
        <v>1777</v>
      </c>
      <c r="F229" s="89" t="s">
        <v>1674</v>
      </c>
      <c r="G229" s="89" t="s">
        <v>70</v>
      </c>
      <c r="H229" s="89" t="s">
        <v>70</v>
      </c>
      <c r="I229" s="91"/>
      <c r="J229" s="89">
        <v>0</v>
      </c>
      <c r="K229" s="26" t="s">
        <v>38</v>
      </c>
      <c r="L229" s="89" t="s">
        <v>1620</v>
      </c>
      <c r="M229" s="91"/>
      <c r="N229" s="89" t="s">
        <v>1549</v>
      </c>
      <c r="O229" s="89" t="s">
        <v>615</v>
      </c>
      <c r="P229" s="89" t="s">
        <v>1550</v>
      </c>
      <c r="Q229" s="89" t="s">
        <v>629</v>
      </c>
      <c r="R229" s="89">
        <v>24</v>
      </c>
      <c r="S229" s="89" t="s">
        <v>1551</v>
      </c>
      <c r="T229" s="89" t="s">
        <v>1558</v>
      </c>
      <c r="U229" s="89" t="s">
        <v>1552</v>
      </c>
      <c r="V229" s="89" t="s">
        <v>1561</v>
      </c>
      <c r="W229" s="89" t="s">
        <v>677</v>
      </c>
      <c r="X229" s="89" t="s">
        <v>66</v>
      </c>
      <c r="Y229" s="89" t="s">
        <v>619</v>
      </c>
      <c r="Z229" s="89" t="s">
        <v>68</v>
      </c>
      <c r="AA229" s="89" t="s">
        <v>67</v>
      </c>
      <c r="AB229" s="89">
        <v>1</v>
      </c>
      <c r="AC229" s="89">
        <v>6</v>
      </c>
      <c r="AD229" s="89">
        <v>1</v>
      </c>
      <c r="AE229" s="89" t="s">
        <v>288</v>
      </c>
      <c r="AF229" s="90">
        <v>367</v>
      </c>
      <c r="AG229" s="90">
        <v>45444</v>
      </c>
      <c r="AH229" s="90">
        <v>46568</v>
      </c>
      <c r="AJ229" t="e">
        <f>VLOOKUP(A229,'1'!B:Q,16,0)</f>
        <v>#N/A</v>
      </c>
      <c r="AK229" s="96" t="e">
        <f t="shared" si="8"/>
        <v>#N/A</v>
      </c>
    </row>
    <row r="230" spans="1:37" x14ac:dyDescent="0.35">
      <c r="A230" s="89" t="str">
        <f t="shared" si="6"/>
        <v>Z09D</v>
      </c>
      <c r="B230" s="89" t="s">
        <v>1778</v>
      </c>
      <c r="C230" s="89" t="s">
        <v>1779</v>
      </c>
      <c r="D230" s="89" t="s">
        <v>409</v>
      </c>
      <c r="E230" s="89" t="s">
        <v>1780</v>
      </c>
      <c r="F230" s="89" t="s">
        <v>1674</v>
      </c>
      <c r="G230" s="89" t="s">
        <v>70</v>
      </c>
      <c r="H230" s="89" t="s">
        <v>70</v>
      </c>
      <c r="I230" s="91"/>
      <c r="J230" s="89">
        <v>0</v>
      </c>
      <c r="K230" s="26" t="s">
        <v>38</v>
      </c>
      <c r="L230" s="89" t="s">
        <v>1620</v>
      </c>
      <c r="M230" s="91"/>
      <c r="N230" s="89" t="s">
        <v>1549</v>
      </c>
      <c r="O230" s="89" t="s">
        <v>615</v>
      </c>
      <c r="P230" s="89" t="s">
        <v>1550</v>
      </c>
      <c r="Q230" s="89" t="s">
        <v>629</v>
      </c>
      <c r="R230" s="89">
        <v>24</v>
      </c>
      <c r="S230" s="89" t="s">
        <v>1551</v>
      </c>
      <c r="T230" s="89" t="s">
        <v>1558</v>
      </c>
      <c r="U230" s="89" t="s">
        <v>1552</v>
      </c>
      <c r="V230" s="89" t="s">
        <v>1561</v>
      </c>
      <c r="W230" s="89" t="s">
        <v>677</v>
      </c>
      <c r="X230" s="89" t="s">
        <v>66</v>
      </c>
      <c r="Y230" s="89" t="s">
        <v>619</v>
      </c>
      <c r="Z230" s="89" t="s">
        <v>68</v>
      </c>
      <c r="AA230" s="89" t="s">
        <v>67</v>
      </c>
      <c r="AB230" s="89">
        <v>1</v>
      </c>
      <c r="AC230" s="89">
        <v>6</v>
      </c>
      <c r="AD230" s="89">
        <v>1</v>
      </c>
      <c r="AE230" s="89" t="s">
        <v>288</v>
      </c>
      <c r="AF230" s="90">
        <v>367</v>
      </c>
      <c r="AG230" s="90">
        <v>45444</v>
      </c>
      <c r="AH230" s="90">
        <v>46568</v>
      </c>
      <c r="AJ230" t="e">
        <f>VLOOKUP(A230,'1'!B:Q,16,0)</f>
        <v>#N/A</v>
      </c>
      <c r="AK230" s="96" t="e">
        <f t="shared" si="8"/>
        <v>#N/A</v>
      </c>
    </row>
    <row r="231" spans="1:37" x14ac:dyDescent="0.35">
      <c r="A231" s="89" t="str">
        <f t="shared" si="6"/>
        <v>Z1N0</v>
      </c>
      <c r="B231" s="89" t="s">
        <v>1222</v>
      </c>
      <c r="C231" s="89" t="s">
        <v>1223</v>
      </c>
      <c r="D231" s="89" t="s">
        <v>437</v>
      </c>
      <c r="E231" s="89" t="s">
        <v>1224</v>
      </c>
      <c r="F231" s="89" t="s">
        <v>1674</v>
      </c>
      <c r="G231" s="89" t="s">
        <v>70</v>
      </c>
      <c r="H231" s="89" t="s">
        <v>70</v>
      </c>
      <c r="I231" s="89" t="s">
        <v>1547</v>
      </c>
      <c r="J231" s="89">
        <v>0</v>
      </c>
      <c r="K231" s="26" t="s">
        <v>38</v>
      </c>
      <c r="L231" s="89" t="s">
        <v>1620</v>
      </c>
      <c r="M231" s="91"/>
      <c r="N231" s="89" t="s">
        <v>1549</v>
      </c>
      <c r="O231" s="89" t="s">
        <v>615</v>
      </c>
      <c r="P231" s="89" t="s">
        <v>1550</v>
      </c>
      <c r="Q231" s="89" t="s">
        <v>629</v>
      </c>
      <c r="R231" s="89">
        <v>24</v>
      </c>
      <c r="S231" s="89" t="s">
        <v>1555</v>
      </c>
      <c r="T231" s="89" t="s">
        <v>1558</v>
      </c>
      <c r="U231" s="89" t="s">
        <v>1552</v>
      </c>
      <c r="V231" s="89" t="s">
        <v>1561</v>
      </c>
      <c r="W231" s="89" t="s">
        <v>628</v>
      </c>
      <c r="X231" s="89" t="s">
        <v>117</v>
      </c>
      <c r="Y231" s="89" t="s">
        <v>619</v>
      </c>
      <c r="Z231" s="89" t="s">
        <v>68</v>
      </c>
      <c r="AA231" s="89" t="s">
        <v>67</v>
      </c>
      <c r="AB231" s="89">
        <v>1</v>
      </c>
      <c r="AC231" s="89">
        <v>6</v>
      </c>
      <c r="AD231" s="89">
        <v>1</v>
      </c>
      <c r="AE231" s="89" t="s">
        <v>288</v>
      </c>
      <c r="AF231" s="90">
        <v>367</v>
      </c>
      <c r="AG231" s="90">
        <v>45449</v>
      </c>
      <c r="AH231" s="90">
        <v>46568</v>
      </c>
      <c r="AJ231" t="e">
        <f>VLOOKUP(A231,'1'!B:Q,16,0)</f>
        <v>#N/A</v>
      </c>
      <c r="AK231" s="96" t="e">
        <f t="shared" si="8"/>
        <v>#N/A</v>
      </c>
    </row>
    <row r="232" spans="1:37" x14ac:dyDescent="0.35">
      <c r="A232" s="89" t="str">
        <f t="shared" si="6"/>
        <v>Z24C</v>
      </c>
      <c r="B232" s="89" t="s">
        <v>626</v>
      </c>
      <c r="C232" s="89" t="s">
        <v>627</v>
      </c>
      <c r="D232" s="89" t="s">
        <v>446</v>
      </c>
      <c r="E232" s="89" t="s">
        <v>1781</v>
      </c>
      <c r="F232" s="89" t="s">
        <v>1674</v>
      </c>
      <c r="G232" s="89" t="s">
        <v>70</v>
      </c>
      <c r="H232" s="89" t="s">
        <v>70</v>
      </c>
      <c r="I232" s="89" t="s">
        <v>1547</v>
      </c>
      <c r="J232" s="89">
        <v>0</v>
      </c>
      <c r="K232" s="26" t="s">
        <v>38</v>
      </c>
      <c r="L232" s="89" t="s">
        <v>1620</v>
      </c>
      <c r="M232" s="91"/>
      <c r="N232" s="89" t="s">
        <v>1549</v>
      </c>
      <c r="O232" s="89" t="s">
        <v>615</v>
      </c>
      <c r="P232" s="89" t="s">
        <v>1550</v>
      </c>
      <c r="Q232" s="89" t="s">
        <v>629</v>
      </c>
      <c r="R232" s="89">
        <v>24</v>
      </c>
      <c r="S232" s="89" t="s">
        <v>1551</v>
      </c>
      <c r="T232" s="89" t="s">
        <v>1558</v>
      </c>
      <c r="U232" s="89" t="s">
        <v>1552</v>
      </c>
      <c r="V232" s="89" t="s">
        <v>1561</v>
      </c>
      <c r="W232" s="89" t="s">
        <v>645</v>
      </c>
      <c r="X232" s="89" t="s">
        <v>100</v>
      </c>
      <c r="Y232" s="89" t="s">
        <v>619</v>
      </c>
      <c r="Z232" s="89" t="s">
        <v>68</v>
      </c>
      <c r="AA232" s="89" t="s">
        <v>67</v>
      </c>
      <c r="AB232" s="89">
        <v>1</v>
      </c>
      <c r="AC232" s="89">
        <v>6</v>
      </c>
      <c r="AD232" s="89">
        <v>1</v>
      </c>
      <c r="AE232" s="89" t="s">
        <v>288</v>
      </c>
      <c r="AF232" s="90">
        <v>367</v>
      </c>
      <c r="AG232" s="90">
        <v>45474</v>
      </c>
      <c r="AH232" s="90">
        <v>46598</v>
      </c>
      <c r="AJ232" t="e">
        <f>VLOOKUP(A232,'1'!B:Q,16,0)</f>
        <v>#N/A</v>
      </c>
      <c r="AK232" s="96" t="e">
        <f t="shared" si="8"/>
        <v>#N/A</v>
      </c>
    </row>
    <row r="233" spans="1:37" x14ac:dyDescent="0.35">
      <c r="A233" s="89" t="str">
        <f t="shared" si="6"/>
        <v>Z1Q7</v>
      </c>
      <c r="B233" s="89" t="s">
        <v>1398</v>
      </c>
      <c r="C233" s="89" t="s">
        <v>1399</v>
      </c>
      <c r="D233" s="89" t="s">
        <v>438</v>
      </c>
      <c r="E233" s="89" t="s">
        <v>1400</v>
      </c>
      <c r="F233" s="89" t="s">
        <v>1674</v>
      </c>
      <c r="G233" s="89" t="s">
        <v>70</v>
      </c>
      <c r="H233" s="89" t="s">
        <v>70</v>
      </c>
      <c r="I233" s="89" t="s">
        <v>1547</v>
      </c>
      <c r="J233" s="89">
        <v>0</v>
      </c>
      <c r="K233" s="26" t="s">
        <v>38</v>
      </c>
      <c r="L233" s="89" t="s">
        <v>1620</v>
      </c>
      <c r="M233" s="91"/>
      <c r="N233" s="89" t="s">
        <v>1549</v>
      </c>
      <c r="O233" s="89" t="s">
        <v>615</v>
      </c>
      <c r="P233" s="89" t="s">
        <v>1550</v>
      </c>
      <c r="Q233" s="89" t="s">
        <v>657</v>
      </c>
      <c r="R233" s="89">
        <v>24</v>
      </c>
      <c r="S233" s="89" t="s">
        <v>1564</v>
      </c>
      <c r="T233" s="89" t="s">
        <v>1558</v>
      </c>
      <c r="U233" s="89" t="s">
        <v>1552</v>
      </c>
      <c r="V233" s="89" t="s">
        <v>1561</v>
      </c>
      <c r="W233" s="89" t="s">
        <v>645</v>
      </c>
      <c r="X233" s="89" t="s">
        <v>100</v>
      </c>
      <c r="Y233" s="89" t="s">
        <v>619</v>
      </c>
      <c r="Z233" s="89" t="s">
        <v>68</v>
      </c>
      <c r="AA233" s="89" t="s">
        <v>67</v>
      </c>
      <c r="AB233" s="89">
        <v>1</v>
      </c>
      <c r="AC233" s="89">
        <v>6</v>
      </c>
      <c r="AD233" s="89">
        <v>1</v>
      </c>
      <c r="AE233" s="89" t="s">
        <v>288</v>
      </c>
      <c r="AF233" s="90">
        <v>367</v>
      </c>
      <c r="AG233" s="90">
        <v>45481</v>
      </c>
      <c r="AH233" s="90">
        <v>46598</v>
      </c>
      <c r="AJ233" t="e">
        <f>VLOOKUP(A233,'1'!B:Q,16,0)</f>
        <v>#N/A</v>
      </c>
      <c r="AK233" s="96" t="e">
        <f t="shared" si="8"/>
        <v>#N/A</v>
      </c>
    </row>
    <row r="234" spans="1:37" x14ac:dyDescent="0.35">
      <c r="A234" s="89" t="str">
        <f t="shared" si="6"/>
        <v>00DM</v>
      </c>
      <c r="B234" s="89" t="s">
        <v>840</v>
      </c>
      <c r="C234" s="89" t="s">
        <v>841</v>
      </c>
      <c r="D234" s="89" t="s">
        <v>93</v>
      </c>
      <c r="E234" s="89" t="s">
        <v>842</v>
      </c>
      <c r="F234" s="89" t="s">
        <v>1674</v>
      </c>
      <c r="G234" s="89" t="s">
        <v>70</v>
      </c>
      <c r="H234" s="89" t="s">
        <v>70</v>
      </c>
      <c r="I234" s="89" t="s">
        <v>1547</v>
      </c>
      <c r="J234" s="89">
        <v>0</v>
      </c>
      <c r="K234" s="89" t="s">
        <v>53</v>
      </c>
      <c r="L234" s="89" t="s">
        <v>1548</v>
      </c>
      <c r="M234" s="91"/>
      <c r="N234" s="89" t="s">
        <v>1549</v>
      </c>
      <c r="O234" s="89" t="s">
        <v>615</v>
      </c>
      <c r="P234" s="89" t="s">
        <v>1550</v>
      </c>
      <c r="Q234" s="89" t="s">
        <v>629</v>
      </c>
      <c r="R234" s="89">
        <v>24</v>
      </c>
      <c r="S234" s="89" t="s">
        <v>1551</v>
      </c>
      <c r="T234" s="89" t="s">
        <v>1558</v>
      </c>
      <c r="U234" s="89" t="s">
        <v>1552</v>
      </c>
      <c r="V234" s="89" t="s">
        <v>1561</v>
      </c>
      <c r="W234" s="89" t="s">
        <v>677</v>
      </c>
      <c r="X234" s="89" t="s">
        <v>66</v>
      </c>
      <c r="Y234" s="89" t="s">
        <v>619</v>
      </c>
      <c r="Z234" s="89" t="s">
        <v>68</v>
      </c>
      <c r="AA234" s="89" t="s">
        <v>67</v>
      </c>
      <c r="AB234" s="89">
        <v>1</v>
      </c>
      <c r="AC234" s="89">
        <v>6</v>
      </c>
      <c r="AD234" s="89">
        <v>1</v>
      </c>
      <c r="AE234" s="89" t="s">
        <v>287</v>
      </c>
      <c r="AF234" s="90">
        <v>367</v>
      </c>
      <c r="AG234" s="90">
        <v>45484</v>
      </c>
      <c r="AH234" s="90">
        <v>46598</v>
      </c>
    </row>
    <row r="235" spans="1:37" x14ac:dyDescent="0.35">
      <c r="A235" s="89" t="str">
        <f t="shared" ref="A235:A297" si="9">LEFT(B235,LEN(B235)-3)</f>
        <v>00JN</v>
      </c>
      <c r="B235" s="89" t="s">
        <v>1308</v>
      </c>
      <c r="C235" s="89" t="s">
        <v>1309</v>
      </c>
      <c r="D235" s="89" t="s">
        <v>120</v>
      </c>
      <c r="E235" s="89" t="s">
        <v>1782</v>
      </c>
      <c r="F235" s="89" t="s">
        <v>1674</v>
      </c>
      <c r="G235" s="89" t="s">
        <v>70</v>
      </c>
      <c r="H235" s="89" t="s">
        <v>70</v>
      </c>
      <c r="I235" s="91"/>
      <c r="J235" s="89">
        <v>0</v>
      </c>
      <c r="K235" s="89" t="s">
        <v>53</v>
      </c>
      <c r="L235" s="89" t="s">
        <v>1548</v>
      </c>
      <c r="M235" s="91"/>
      <c r="N235" s="89" t="s">
        <v>1549</v>
      </c>
      <c r="O235" s="89" t="s">
        <v>615</v>
      </c>
      <c r="P235" s="89" t="s">
        <v>1550</v>
      </c>
      <c r="Q235" s="89" t="s">
        <v>657</v>
      </c>
      <c r="R235" s="89">
        <v>24</v>
      </c>
      <c r="S235" s="89" t="s">
        <v>1551</v>
      </c>
      <c r="T235" s="89" t="s">
        <v>1558</v>
      </c>
      <c r="U235" s="89" t="s">
        <v>1552</v>
      </c>
      <c r="V235" s="89" t="s">
        <v>1561</v>
      </c>
      <c r="W235" s="89" t="s">
        <v>649</v>
      </c>
      <c r="X235" s="89" t="s">
        <v>76</v>
      </c>
      <c r="Y235" s="89" t="s">
        <v>619</v>
      </c>
      <c r="Z235" s="89" t="s">
        <v>68</v>
      </c>
      <c r="AA235" s="89" t="s">
        <v>67</v>
      </c>
      <c r="AB235" s="89">
        <v>1</v>
      </c>
      <c r="AC235" s="89">
        <v>6</v>
      </c>
      <c r="AD235" s="89">
        <v>1</v>
      </c>
      <c r="AE235" s="89" t="s">
        <v>287</v>
      </c>
      <c r="AF235" s="90">
        <v>367</v>
      </c>
      <c r="AG235" s="90">
        <v>45518</v>
      </c>
      <c r="AH235" s="90">
        <v>46629</v>
      </c>
    </row>
    <row r="236" spans="1:37" x14ac:dyDescent="0.35">
      <c r="A236" s="89" t="str">
        <f t="shared" si="9"/>
        <v>Z1T7</v>
      </c>
      <c r="B236" s="89" t="s">
        <v>1225</v>
      </c>
      <c r="C236" s="89" t="s">
        <v>1226</v>
      </c>
      <c r="D236" s="89" t="s">
        <v>440</v>
      </c>
      <c r="E236" s="89" t="s">
        <v>1227</v>
      </c>
      <c r="F236" s="89" t="s">
        <v>1674</v>
      </c>
      <c r="G236" s="89" t="s">
        <v>70</v>
      </c>
      <c r="H236" s="89" t="s">
        <v>70</v>
      </c>
      <c r="I236" s="89" t="s">
        <v>1547</v>
      </c>
      <c r="J236" s="89">
        <v>0</v>
      </c>
      <c r="K236" s="26" t="s">
        <v>38</v>
      </c>
      <c r="L236" s="89" t="s">
        <v>1620</v>
      </c>
      <c r="M236" s="91"/>
      <c r="N236" s="89" t="s">
        <v>1549</v>
      </c>
      <c r="O236" s="89" t="s">
        <v>615</v>
      </c>
      <c r="P236" s="89" t="s">
        <v>1550</v>
      </c>
      <c r="Q236" s="89" t="s">
        <v>629</v>
      </c>
      <c r="R236" s="89">
        <v>24</v>
      </c>
      <c r="S236" s="89" t="s">
        <v>1555</v>
      </c>
      <c r="T236" s="89" t="s">
        <v>1558</v>
      </c>
      <c r="U236" s="89" t="s">
        <v>1552</v>
      </c>
      <c r="V236" s="89" t="s">
        <v>1561</v>
      </c>
      <c r="W236" s="89" t="s">
        <v>645</v>
      </c>
      <c r="X236" s="89" t="s">
        <v>100</v>
      </c>
      <c r="Y236" s="89" t="s">
        <v>619</v>
      </c>
      <c r="Z236" s="89" t="s">
        <v>68</v>
      </c>
      <c r="AA236" s="89" t="s">
        <v>67</v>
      </c>
      <c r="AB236" s="89">
        <v>1</v>
      </c>
      <c r="AC236" s="89">
        <v>6</v>
      </c>
      <c r="AD236" s="89">
        <v>1</v>
      </c>
      <c r="AE236" s="89" t="s">
        <v>287</v>
      </c>
      <c r="AF236" s="90">
        <v>367</v>
      </c>
      <c r="AG236" s="90">
        <v>45526</v>
      </c>
      <c r="AH236" s="90">
        <v>46630</v>
      </c>
      <c r="AJ236" t="e">
        <f>VLOOKUP(A236,'1'!B:Q,16,0)</f>
        <v>#N/A</v>
      </c>
      <c r="AK236" s="96" t="e">
        <f t="shared" ref="AK236:AK238" si="10">AJ236/250</f>
        <v>#N/A</v>
      </c>
    </row>
    <row r="237" spans="1:37" x14ac:dyDescent="0.35">
      <c r="A237" s="89" t="str">
        <f t="shared" si="9"/>
        <v>Z263</v>
      </c>
      <c r="B237" s="89" t="s">
        <v>675</v>
      </c>
      <c r="C237" s="89" t="s">
        <v>676</v>
      </c>
      <c r="D237" s="89" t="s">
        <v>448</v>
      </c>
      <c r="E237" s="89" t="s">
        <v>1783</v>
      </c>
      <c r="F237" s="89" t="s">
        <v>1674</v>
      </c>
      <c r="G237" s="89" t="s">
        <v>70</v>
      </c>
      <c r="H237" s="89" t="s">
        <v>70</v>
      </c>
      <c r="I237" s="89" t="s">
        <v>1635</v>
      </c>
      <c r="J237" s="89">
        <v>0</v>
      </c>
      <c r="K237" s="26" t="s">
        <v>38</v>
      </c>
      <c r="L237" s="89" t="s">
        <v>1620</v>
      </c>
      <c r="M237" s="91"/>
      <c r="N237" s="89" t="s">
        <v>1549</v>
      </c>
      <c r="O237" s="89" t="s">
        <v>615</v>
      </c>
      <c r="P237" s="89" t="s">
        <v>1550</v>
      </c>
      <c r="Q237" s="89" t="s">
        <v>657</v>
      </c>
      <c r="R237" s="89">
        <v>24</v>
      </c>
      <c r="S237" s="89" t="s">
        <v>1555</v>
      </c>
      <c r="T237" s="89" t="s">
        <v>1558</v>
      </c>
      <c r="U237" s="89" t="s">
        <v>1552</v>
      </c>
      <c r="V237" s="89" t="s">
        <v>1561</v>
      </c>
      <c r="W237" s="89" t="s">
        <v>677</v>
      </c>
      <c r="X237" s="89" t="s">
        <v>66</v>
      </c>
      <c r="Y237" s="89" t="s">
        <v>619</v>
      </c>
      <c r="Z237" s="89" t="s">
        <v>68</v>
      </c>
      <c r="AA237" s="89" t="s">
        <v>67</v>
      </c>
      <c r="AB237" s="89">
        <v>1</v>
      </c>
      <c r="AC237" s="89">
        <v>6</v>
      </c>
      <c r="AD237" s="89">
        <v>1</v>
      </c>
      <c r="AE237" s="89" t="s">
        <v>287</v>
      </c>
      <c r="AF237" s="90">
        <v>367</v>
      </c>
      <c r="AG237" s="90">
        <v>45527</v>
      </c>
      <c r="AH237" s="90">
        <v>46630</v>
      </c>
      <c r="AJ237" t="e">
        <f>VLOOKUP(A237,'1'!B:Q,16,0)</f>
        <v>#N/A</v>
      </c>
      <c r="AK237" s="96" t="e">
        <f t="shared" si="10"/>
        <v>#N/A</v>
      </c>
    </row>
    <row r="238" spans="1:37" x14ac:dyDescent="0.35">
      <c r="A238" s="89" t="str">
        <f t="shared" si="9"/>
        <v>Z24M</v>
      </c>
      <c r="B238" s="89" t="s">
        <v>1411</v>
      </c>
      <c r="C238" s="89" t="s">
        <v>1412</v>
      </c>
      <c r="D238" s="89" t="s">
        <v>447</v>
      </c>
      <c r="E238" s="89" t="s">
        <v>1784</v>
      </c>
      <c r="F238" s="89" t="s">
        <v>1674</v>
      </c>
      <c r="G238" s="89" t="s">
        <v>70</v>
      </c>
      <c r="H238" s="89" t="s">
        <v>70</v>
      </c>
      <c r="I238" s="89" t="s">
        <v>1547</v>
      </c>
      <c r="J238" s="89">
        <v>0</v>
      </c>
      <c r="K238" s="26" t="s">
        <v>38</v>
      </c>
      <c r="L238" s="89" t="s">
        <v>1620</v>
      </c>
      <c r="M238" s="91"/>
      <c r="N238" s="89" t="s">
        <v>1549</v>
      </c>
      <c r="O238" s="89" t="s">
        <v>615</v>
      </c>
      <c r="P238" s="89" t="s">
        <v>1550</v>
      </c>
      <c r="Q238" s="89" t="s">
        <v>629</v>
      </c>
      <c r="R238" s="89">
        <v>15</v>
      </c>
      <c r="S238" s="89" t="s">
        <v>1555</v>
      </c>
      <c r="T238" s="89" t="s">
        <v>1558</v>
      </c>
      <c r="U238" s="89" t="s">
        <v>1552</v>
      </c>
      <c r="V238" s="89" t="s">
        <v>1561</v>
      </c>
      <c r="W238" s="89" t="s">
        <v>701</v>
      </c>
      <c r="X238" s="89" t="s">
        <v>565</v>
      </c>
      <c r="Y238" s="89" t="s">
        <v>619</v>
      </c>
      <c r="Z238" s="89" t="s">
        <v>68</v>
      </c>
      <c r="AA238" s="89" t="s">
        <v>427</v>
      </c>
      <c r="AB238" s="89">
        <v>2</v>
      </c>
      <c r="AC238" s="89">
        <v>6</v>
      </c>
      <c r="AD238" s="89">
        <v>1</v>
      </c>
      <c r="AE238" s="89" t="s">
        <v>287</v>
      </c>
      <c r="AF238" s="90">
        <v>367</v>
      </c>
      <c r="AG238" s="90">
        <v>45527</v>
      </c>
      <c r="AH238" s="90">
        <v>46630</v>
      </c>
      <c r="AJ238" t="e">
        <f>VLOOKUP(A238,'1'!B:Q,16,0)</f>
        <v>#N/A</v>
      </c>
      <c r="AK238" s="96" t="e">
        <f t="shared" si="10"/>
        <v>#N/A</v>
      </c>
    </row>
    <row r="239" spans="1:37" x14ac:dyDescent="0.35">
      <c r="A239" s="89" t="str">
        <f t="shared" si="9"/>
        <v>01JT</v>
      </c>
      <c r="B239" s="89" t="s">
        <v>1785</v>
      </c>
      <c r="C239" s="89" t="s">
        <v>1786</v>
      </c>
      <c r="D239" s="89" t="s">
        <v>183</v>
      </c>
      <c r="E239" s="89" t="s">
        <v>1787</v>
      </c>
      <c r="F239" s="89" t="s">
        <v>1674</v>
      </c>
      <c r="G239" s="89" t="s">
        <v>70</v>
      </c>
      <c r="H239" s="89" t="s">
        <v>70</v>
      </c>
      <c r="I239" s="91"/>
      <c r="J239" s="89">
        <v>0</v>
      </c>
      <c r="K239" s="89" t="s">
        <v>53</v>
      </c>
      <c r="L239" s="89" t="s">
        <v>1548</v>
      </c>
      <c r="M239" s="91"/>
      <c r="N239" s="89" t="s">
        <v>1549</v>
      </c>
      <c r="O239" s="89" t="s">
        <v>615</v>
      </c>
      <c r="P239" s="89" t="s">
        <v>1550</v>
      </c>
      <c r="Q239" s="89" t="s">
        <v>629</v>
      </c>
      <c r="R239" s="89">
        <v>24</v>
      </c>
      <c r="S239" s="89" t="s">
        <v>1551</v>
      </c>
      <c r="T239" s="89" t="s">
        <v>1551</v>
      </c>
      <c r="U239" s="89" t="s">
        <v>1552</v>
      </c>
      <c r="V239" s="89" t="s">
        <v>1561</v>
      </c>
      <c r="W239" s="89" t="s">
        <v>656</v>
      </c>
      <c r="X239" s="89" t="s">
        <v>92</v>
      </c>
      <c r="Y239" s="89" t="s">
        <v>619</v>
      </c>
      <c r="Z239" s="89" t="s">
        <v>68</v>
      </c>
      <c r="AA239" s="89" t="s">
        <v>67</v>
      </c>
      <c r="AB239" s="89">
        <v>1</v>
      </c>
      <c r="AC239" s="89">
        <v>6</v>
      </c>
      <c r="AD239" s="89">
        <v>1</v>
      </c>
      <c r="AE239" s="89" t="s">
        <v>210</v>
      </c>
      <c r="AF239" s="90">
        <v>367</v>
      </c>
      <c r="AG239" s="90">
        <v>45701</v>
      </c>
      <c r="AH239" s="90">
        <v>46796</v>
      </c>
    </row>
    <row r="240" spans="1:37" x14ac:dyDescent="0.35">
      <c r="A240" s="89" t="str">
        <f t="shared" si="9"/>
        <v>5015</v>
      </c>
      <c r="B240" s="89" t="s">
        <v>1498</v>
      </c>
      <c r="C240" s="89" t="s">
        <v>1788</v>
      </c>
      <c r="D240" s="89" t="s">
        <v>278</v>
      </c>
      <c r="E240" s="89" t="s">
        <v>1789</v>
      </c>
      <c r="F240" s="89" t="s">
        <v>1674</v>
      </c>
      <c r="G240" s="89" t="s">
        <v>70</v>
      </c>
      <c r="H240" s="89" t="s">
        <v>70</v>
      </c>
      <c r="I240" s="91"/>
      <c r="J240" s="89">
        <v>0</v>
      </c>
      <c r="K240" s="89" t="s">
        <v>53</v>
      </c>
      <c r="L240" s="89" t="s">
        <v>1548</v>
      </c>
      <c r="M240" s="91"/>
      <c r="N240" s="89" t="s">
        <v>1549</v>
      </c>
      <c r="O240" s="89" t="s">
        <v>615</v>
      </c>
      <c r="P240" s="89" t="s">
        <v>1550</v>
      </c>
      <c r="Q240" s="89" t="s">
        <v>629</v>
      </c>
      <c r="R240" s="89">
        <v>24</v>
      </c>
      <c r="S240" s="89" t="s">
        <v>1551</v>
      </c>
      <c r="T240" s="89" t="s">
        <v>1551</v>
      </c>
      <c r="U240" s="89" t="s">
        <v>1552</v>
      </c>
      <c r="V240" s="89" t="s">
        <v>1561</v>
      </c>
      <c r="W240" s="89" t="s">
        <v>628</v>
      </c>
      <c r="X240" s="89" t="s">
        <v>117</v>
      </c>
      <c r="Y240" s="89" t="s">
        <v>619</v>
      </c>
      <c r="Z240" s="89" t="s">
        <v>68</v>
      </c>
      <c r="AA240" s="89" t="s">
        <v>67</v>
      </c>
      <c r="AB240" s="89">
        <v>1</v>
      </c>
      <c r="AC240" s="89">
        <v>6</v>
      </c>
      <c r="AD240" s="89">
        <v>1</v>
      </c>
      <c r="AE240" s="89" t="s">
        <v>210</v>
      </c>
      <c r="AF240" s="90">
        <v>367</v>
      </c>
      <c r="AG240" s="90">
        <v>45701</v>
      </c>
      <c r="AH240" s="90">
        <v>46796</v>
      </c>
    </row>
    <row r="241" spans="1:34" x14ac:dyDescent="0.35">
      <c r="A241" s="89" t="str">
        <f t="shared" si="9"/>
        <v>622H</v>
      </c>
      <c r="B241" s="89" t="s">
        <v>1123</v>
      </c>
      <c r="C241" s="89" t="s">
        <v>1124</v>
      </c>
      <c r="D241" s="89" t="s">
        <v>317</v>
      </c>
      <c r="E241" s="89" t="s">
        <v>1125</v>
      </c>
      <c r="F241" s="89" t="s">
        <v>1674</v>
      </c>
      <c r="G241" s="89" t="s">
        <v>70</v>
      </c>
      <c r="H241" s="89" t="s">
        <v>70</v>
      </c>
      <c r="I241" s="89" t="s">
        <v>1547</v>
      </c>
      <c r="J241" s="89">
        <v>0</v>
      </c>
      <c r="K241" s="89" t="s">
        <v>53</v>
      </c>
      <c r="L241" s="89" t="s">
        <v>1548</v>
      </c>
      <c r="M241" s="91"/>
      <c r="N241" s="89" t="s">
        <v>1549</v>
      </c>
      <c r="O241" s="89" t="s">
        <v>615</v>
      </c>
      <c r="P241" s="89" t="s">
        <v>1550</v>
      </c>
      <c r="Q241" s="89" t="s">
        <v>629</v>
      </c>
      <c r="R241" s="89">
        <v>15</v>
      </c>
      <c r="S241" s="89" t="s">
        <v>1555</v>
      </c>
      <c r="T241" s="89" t="s">
        <v>1555</v>
      </c>
      <c r="U241" s="89" t="s">
        <v>1552</v>
      </c>
      <c r="V241" s="89" t="s">
        <v>1561</v>
      </c>
      <c r="W241" s="89" t="s">
        <v>677</v>
      </c>
      <c r="X241" s="89" t="s">
        <v>66</v>
      </c>
      <c r="Y241" s="89" t="s">
        <v>619</v>
      </c>
      <c r="Z241" s="89" t="s">
        <v>68</v>
      </c>
      <c r="AA241" s="89" t="s">
        <v>67</v>
      </c>
      <c r="AB241" s="89">
        <v>1</v>
      </c>
      <c r="AC241" s="89">
        <v>6</v>
      </c>
      <c r="AD241" s="89">
        <v>1</v>
      </c>
      <c r="AE241" s="89" t="s">
        <v>210</v>
      </c>
      <c r="AF241" s="90">
        <v>367</v>
      </c>
      <c r="AG241" s="90">
        <v>45337</v>
      </c>
      <c r="AH241" s="90">
        <v>46798</v>
      </c>
    </row>
    <row r="242" spans="1:34" x14ac:dyDescent="0.35">
      <c r="A242" s="89" t="str">
        <f t="shared" si="9"/>
        <v>2574</v>
      </c>
      <c r="B242" s="89" t="s">
        <v>710</v>
      </c>
      <c r="C242" s="89" t="s">
        <v>711</v>
      </c>
      <c r="D242" s="89" t="s">
        <v>217</v>
      </c>
      <c r="E242" s="89" t="s">
        <v>712</v>
      </c>
      <c r="F242" s="89" t="s">
        <v>1674</v>
      </c>
      <c r="G242" s="89" t="s">
        <v>70</v>
      </c>
      <c r="H242" s="89" t="s">
        <v>70</v>
      </c>
      <c r="I242" s="91"/>
      <c r="J242" s="89">
        <v>0</v>
      </c>
      <c r="K242" s="89" t="s">
        <v>53</v>
      </c>
      <c r="L242" s="89" t="s">
        <v>1548</v>
      </c>
      <c r="M242" s="91"/>
      <c r="N242" s="89" t="s">
        <v>1549</v>
      </c>
      <c r="O242" s="89" t="s">
        <v>615</v>
      </c>
      <c r="P242" s="89" t="s">
        <v>1550</v>
      </c>
      <c r="Q242" s="89" t="s">
        <v>629</v>
      </c>
      <c r="R242" s="89">
        <v>24</v>
      </c>
      <c r="S242" s="89" t="s">
        <v>1551</v>
      </c>
      <c r="T242" s="89" t="s">
        <v>1551</v>
      </c>
      <c r="U242" s="89" t="s">
        <v>1552</v>
      </c>
      <c r="V242" s="89" t="s">
        <v>1561</v>
      </c>
      <c r="W242" s="89" t="s">
        <v>628</v>
      </c>
      <c r="X242" s="89" t="s">
        <v>117</v>
      </c>
      <c r="Y242" s="89" t="s">
        <v>619</v>
      </c>
      <c r="Z242" s="89" t="s">
        <v>68</v>
      </c>
      <c r="AA242" s="89" t="s">
        <v>67</v>
      </c>
      <c r="AB242" s="89">
        <v>1</v>
      </c>
      <c r="AC242" s="89">
        <v>6</v>
      </c>
      <c r="AD242" s="89">
        <v>1</v>
      </c>
      <c r="AE242" s="89" t="s">
        <v>210</v>
      </c>
      <c r="AF242" s="90">
        <v>367</v>
      </c>
      <c r="AG242" s="90">
        <v>45337</v>
      </c>
      <c r="AH242" s="90">
        <v>46798</v>
      </c>
    </row>
    <row r="243" spans="1:34" x14ac:dyDescent="0.35">
      <c r="A243" s="89" t="str">
        <f t="shared" si="9"/>
        <v>686R</v>
      </c>
      <c r="B243" s="89" t="s">
        <v>1177</v>
      </c>
      <c r="C243" s="89" t="s">
        <v>1178</v>
      </c>
      <c r="D243" s="89" t="s">
        <v>362</v>
      </c>
      <c r="E243" s="89" t="s">
        <v>1790</v>
      </c>
      <c r="F243" s="89" t="s">
        <v>1674</v>
      </c>
      <c r="G243" s="89" t="s">
        <v>70</v>
      </c>
      <c r="H243" s="89" t="s">
        <v>70</v>
      </c>
      <c r="I243" s="89" t="s">
        <v>1547</v>
      </c>
      <c r="J243" s="89">
        <v>0</v>
      </c>
      <c r="K243" s="89" t="s">
        <v>53</v>
      </c>
      <c r="L243" s="89" t="s">
        <v>1548</v>
      </c>
      <c r="M243" s="91"/>
      <c r="N243" s="89" t="s">
        <v>1549</v>
      </c>
      <c r="O243" s="89" t="s">
        <v>615</v>
      </c>
      <c r="P243" s="89" t="s">
        <v>1550</v>
      </c>
      <c r="Q243" s="89" t="s">
        <v>629</v>
      </c>
      <c r="R243" s="89">
        <v>15</v>
      </c>
      <c r="S243" s="89" t="s">
        <v>1555</v>
      </c>
      <c r="T243" s="89" t="s">
        <v>1555</v>
      </c>
      <c r="U243" s="89" t="s">
        <v>1552</v>
      </c>
      <c r="V243" s="89" t="s">
        <v>1561</v>
      </c>
      <c r="W243" s="89" t="s">
        <v>677</v>
      </c>
      <c r="X243" s="89" t="s">
        <v>66</v>
      </c>
      <c r="Y243" s="89" t="s">
        <v>619</v>
      </c>
      <c r="Z243" s="89" t="s">
        <v>68</v>
      </c>
      <c r="AA243" s="89" t="s">
        <v>67</v>
      </c>
      <c r="AB243" s="89">
        <v>1</v>
      </c>
      <c r="AC243" s="89">
        <v>6</v>
      </c>
      <c r="AD243" s="89">
        <v>1</v>
      </c>
      <c r="AE243" s="89" t="s">
        <v>210</v>
      </c>
      <c r="AF243" s="90">
        <v>367</v>
      </c>
      <c r="AG243" s="90">
        <v>45337</v>
      </c>
      <c r="AH243" s="90">
        <v>46798</v>
      </c>
    </row>
    <row r="244" spans="1:34" x14ac:dyDescent="0.35">
      <c r="A244" s="89" t="str">
        <f t="shared" si="9"/>
        <v>00FR</v>
      </c>
      <c r="B244" s="89" t="s">
        <v>1791</v>
      </c>
      <c r="C244" s="89" t="s">
        <v>1792</v>
      </c>
      <c r="D244" s="89" t="s">
        <v>105</v>
      </c>
      <c r="E244" s="89" t="s">
        <v>1793</v>
      </c>
      <c r="F244" s="89" t="s">
        <v>1674</v>
      </c>
      <c r="G244" s="89" t="s">
        <v>70</v>
      </c>
      <c r="H244" s="89" t="s">
        <v>70</v>
      </c>
      <c r="I244" s="89" t="s">
        <v>1547</v>
      </c>
      <c r="J244" s="89">
        <v>0</v>
      </c>
      <c r="K244" s="89" t="s">
        <v>53</v>
      </c>
      <c r="L244" s="89" t="s">
        <v>1548</v>
      </c>
      <c r="M244" s="91"/>
      <c r="N244" s="89" t="s">
        <v>1549</v>
      </c>
      <c r="O244" s="89" t="s">
        <v>615</v>
      </c>
      <c r="P244" s="89" t="s">
        <v>1550</v>
      </c>
      <c r="Q244" s="89" t="s">
        <v>629</v>
      </c>
      <c r="R244" s="89">
        <v>24</v>
      </c>
      <c r="S244" s="89" t="s">
        <v>1551</v>
      </c>
      <c r="T244" s="89" t="s">
        <v>1551</v>
      </c>
      <c r="U244" s="89" t="s">
        <v>1552</v>
      </c>
      <c r="V244" s="89" t="s">
        <v>1561</v>
      </c>
      <c r="W244" s="89" t="s">
        <v>649</v>
      </c>
      <c r="X244" s="89" t="s">
        <v>76</v>
      </c>
      <c r="Y244" s="89" t="s">
        <v>619</v>
      </c>
      <c r="Z244" s="89" t="s">
        <v>68</v>
      </c>
      <c r="AA244" s="89" t="s">
        <v>67</v>
      </c>
      <c r="AB244" s="89">
        <v>1</v>
      </c>
      <c r="AC244" s="89">
        <v>6</v>
      </c>
      <c r="AD244" s="89">
        <v>1</v>
      </c>
      <c r="AE244" s="89" t="s">
        <v>288</v>
      </c>
      <c r="AF244" s="90">
        <v>367</v>
      </c>
      <c r="AG244" s="90">
        <v>45704</v>
      </c>
      <c r="AH244" s="90">
        <v>46799</v>
      </c>
    </row>
    <row r="245" spans="1:34" x14ac:dyDescent="0.35">
      <c r="A245" s="89" t="str">
        <f t="shared" si="9"/>
        <v>068Y</v>
      </c>
      <c r="B245" s="89" t="s">
        <v>1508</v>
      </c>
      <c r="C245" s="89" t="s">
        <v>1794</v>
      </c>
      <c r="D245" s="89" t="s">
        <v>191</v>
      </c>
      <c r="E245" s="89" t="s">
        <v>689</v>
      </c>
      <c r="F245" s="89" t="s">
        <v>1674</v>
      </c>
      <c r="G245" s="89" t="s">
        <v>70</v>
      </c>
      <c r="H245" s="89" t="s">
        <v>70</v>
      </c>
      <c r="I245" s="89" t="s">
        <v>1547</v>
      </c>
      <c r="J245" s="89">
        <v>0</v>
      </c>
      <c r="K245" s="89" t="s">
        <v>53</v>
      </c>
      <c r="L245" s="89" t="s">
        <v>1548</v>
      </c>
      <c r="M245" s="91"/>
      <c r="N245" s="89" t="s">
        <v>1549</v>
      </c>
      <c r="O245" s="89" t="s">
        <v>615</v>
      </c>
      <c r="P245" s="89" t="s">
        <v>1550</v>
      </c>
      <c r="Q245" s="89" t="s">
        <v>629</v>
      </c>
      <c r="R245" s="89">
        <v>24</v>
      </c>
      <c r="S245" s="89" t="s">
        <v>1551</v>
      </c>
      <c r="T245" s="89" t="s">
        <v>1551</v>
      </c>
      <c r="U245" s="89" t="s">
        <v>1552</v>
      </c>
      <c r="V245" s="89" t="s">
        <v>1561</v>
      </c>
      <c r="W245" s="89" t="s">
        <v>649</v>
      </c>
      <c r="X245" s="89" t="s">
        <v>76</v>
      </c>
      <c r="Y245" s="89" t="s">
        <v>619</v>
      </c>
      <c r="Z245" s="89" t="s">
        <v>68</v>
      </c>
      <c r="AA245" s="89" t="s">
        <v>67</v>
      </c>
      <c r="AB245" s="89">
        <v>1</v>
      </c>
      <c r="AC245" s="89">
        <v>6</v>
      </c>
      <c r="AD245" s="89">
        <v>1</v>
      </c>
      <c r="AE245" s="89" t="s">
        <v>288</v>
      </c>
      <c r="AF245" s="90">
        <v>367</v>
      </c>
      <c r="AG245" s="90">
        <v>45704</v>
      </c>
      <c r="AH245" s="90">
        <v>46799</v>
      </c>
    </row>
    <row r="246" spans="1:34" x14ac:dyDescent="0.35">
      <c r="A246" s="89" t="str">
        <f t="shared" si="9"/>
        <v>017N</v>
      </c>
      <c r="B246" s="89" t="s">
        <v>945</v>
      </c>
      <c r="C246" s="89" t="s">
        <v>946</v>
      </c>
      <c r="D246" s="89" t="s">
        <v>173</v>
      </c>
      <c r="E246" s="89" t="s">
        <v>947</v>
      </c>
      <c r="F246" s="89" t="s">
        <v>1674</v>
      </c>
      <c r="G246" s="89" t="s">
        <v>70</v>
      </c>
      <c r="H246" s="89" t="s">
        <v>70</v>
      </c>
      <c r="I246" s="89" t="s">
        <v>1547</v>
      </c>
      <c r="J246" s="89">
        <v>0</v>
      </c>
      <c r="K246" s="89" t="s">
        <v>53</v>
      </c>
      <c r="L246" s="89" t="s">
        <v>1548</v>
      </c>
      <c r="M246" s="91"/>
      <c r="N246" s="89" t="s">
        <v>1549</v>
      </c>
      <c r="O246" s="89" t="s">
        <v>615</v>
      </c>
      <c r="P246" s="89" t="s">
        <v>1550</v>
      </c>
      <c r="Q246" s="89" t="s">
        <v>629</v>
      </c>
      <c r="R246" s="89">
        <v>24</v>
      </c>
      <c r="S246" s="89" t="s">
        <v>1551</v>
      </c>
      <c r="T246" s="89" t="s">
        <v>1558</v>
      </c>
      <c r="U246" s="89" t="s">
        <v>1552</v>
      </c>
      <c r="V246" s="89" t="s">
        <v>1561</v>
      </c>
      <c r="W246" s="89" t="s">
        <v>645</v>
      </c>
      <c r="X246" s="89" t="s">
        <v>100</v>
      </c>
      <c r="Y246" s="89" t="s">
        <v>619</v>
      </c>
      <c r="Z246" s="89" t="s">
        <v>68</v>
      </c>
      <c r="AA246" s="89" t="s">
        <v>67</v>
      </c>
      <c r="AB246" s="89">
        <v>1</v>
      </c>
      <c r="AC246" s="89">
        <v>6</v>
      </c>
      <c r="AD246" s="89">
        <v>1</v>
      </c>
      <c r="AE246" s="89" t="s">
        <v>288</v>
      </c>
      <c r="AF246" s="90">
        <v>367</v>
      </c>
      <c r="AG246" s="90">
        <v>45706</v>
      </c>
      <c r="AH246" s="90">
        <v>46811</v>
      </c>
    </row>
    <row r="247" spans="1:34" x14ac:dyDescent="0.35">
      <c r="A247" s="89" t="str">
        <f t="shared" si="9"/>
        <v>5059</v>
      </c>
      <c r="B247" s="89" t="s">
        <v>1795</v>
      </c>
      <c r="C247" s="89" t="s">
        <v>1796</v>
      </c>
      <c r="D247" s="89" t="s">
        <v>281</v>
      </c>
      <c r="E247" s="89" t="s">
        <v>1797</v>
      </c>
      <c r="F247" s="89" t="s">
        <v>1674</v>
      </c>
      <c r="G247" s="89" t="s">
        <v>70</v>
      </c>
      <c r="H247" s="89" t="s">
        <v>70</v>
      </c>
      <c r="I247" s="91"/>
      <c r="J247" s="89">
        <v>0</v>
      </c>
      <c r="K247" s="89" t="s">
        <v>53</v>
      </c>
      <c r="L247" s="89" t="s">
        <v>1548</v>
      </c>
      <c r="M247" s="91"/>
      <c r="N247" s="89" t="s">
        <v>1549</v>
      </c>
      <c r="O247" s="89" t="s">
        <v>615</v>
      </c>
      <c r="P247" s="89" t="s">
        <v>1550</v>
      </c>
      <c r="Q247" s="89" t="s">
        <v>629</v>
      </c>
      <c r="R247" s="89">
        <v>24</v>
      </c>
      <c r="S247" s="89" t="s">
        <v>1551</v>
      </c>
      <c r="T247" s="89" t="s">
        <v>1551</v>
      </c>
      <c r="U247" s="89" t="s">
        <v>1552</v>
      </c>
      <c r="V247" s="89" t="s">
        <v>1561</v>
      </c>
      <c r="W247" s="89" t="s">
        <v>645</v>
      </c>
      <c r="X247" s="89" t="s">
        <v>100</v>
      </c>
      <c r="Y247" s="89" t="s">
        <v>619</v>
      </c>
      <c r="Z247" s="89" t="s">
        <v>68</v>
      </c>
      <c r="AA247" s="89" t="s">
        <v>67</v>
      </c>
      <c r="AB247" s="89">
        <v>1</v>
      </c>
      <c r="AC247" s="89">
        <v>6</v>
      </c>
      <c r="AD247" s="89">
        <v>1</v>
      </c>
      <c r="AE247" s="89" t="s">
        <v>288</v>
      </c>
      <c r="AF247" s="90">
        <v>367</v>
      </c>
      <c r="AG247" s="90">
        <v>45706</v>
      </c>
      <c r="AH247" s="90">
        <v>46801</v>
      </c>
    </row>
    <row r="248" spans="1:34" x14ac:dyDescent="0.35">
      <c r="A248" s="89" t="str">
        <f t="shared" si="9"/>
        <v>067E</v>
      </c>
      <c r="B248" s="89" t="s">
        <v>1320</v>
      </c>
      <c r="C248" s="89" t="s">
        <v>1321</v>
      </c>
      <c r="D248" s="89" t="s">
        <v>189</v>
      </c>
      <c r="E248" s="89" t="s">
        <v>1322</v>
      </c>
      <c r="F248" s="89" t="s">
        <v>1674</v>
      </c>
      <c r="G248" s="89" t="s">
        <v>70</v>
      </c>
      <c r="H248" s="89" t="s">
        <v>70</v>
      </c>
      <c r="I248" s="89" t="s">
        <v>1547</v>
      </c>
      <c r="J248" s="89">
        <v>0</v>
      </c>
      <c r="K248" s="89" t="s">
        <v>53</v>
      </c>
      <c r="L248" s="89" t="s">
        <v>1548</v>
      </c>
      <c r="M248" s="91"/>
      <c r="N248" s="89" t="s">
        <v>1549</v>
      </c>
      <c r="O248" s="89" t="s">
        <v>615</v>
      </c>
      <c r="P248" s="89" t="s">
        <v>1550</v>
      </c>
      <c r="Q248" s="89" t="s">
        <v>657</v>
      </c>
      <c r="R248" s="89">
        <v>24</v>
      </c>
      <c r="S248" s="89" t="s">
        <v>1551</v>
      </c>
      <c r="T248" s="89" t="s">
        <v>1558</v>
      </c>
      <c r="U248" s="89" t="s">
        <v>1552</v>
      </c>
      <c r="V248" s="89" t="s">
        <v>1561</v>
      </c>
      <c r="W248" s="89" t="s">
        <v>649</v>
      </c>
      <c r="X248" s="89" t="s">
        <v>76</v>
      </c>
      <c r="Y248" s="89" t="s">
        <v>619</v>
      </c>
      <c r="Z248" s="89" t="s">
        <v>68</v>
      </c>
      <c r="AA248" s="89" t="s">
        <v>67</v>
      </c>
      <c r="AB248" s="89">
        <v>1</v>
      </c>
      <c r="AC248" s="89">
        <v>6</v>
      </c>
      <c r="AD248" s="89">
        <v>1</v>
      </c>
      <c r="AE248" s="89" t="s">
        <v>288</v>
      </c>
      <c r="AF248" s="90">
        <v>367</v>
      </c>
      <c r="AG248" s="90">
        <v>45709</v>
      </c>
      <c r="AH248" s="90">
        <v>46811</v>
      </c>
    </row>
    <row r="249" spans="1:34" x14ac:dyDescent="0.35">
      <c r="A249" s="89" t="str">
        <f t="shared" si="9"/>
        <v>2578</v>
      </c>
      <c r="B249" s="89" t="s">
        <v>1331</v>
      </c>
      <c r="C249" s="89" t="s">
        <v>1332</v>
      </c>
      <c r="D249" s="89" t="s">
        <v>218</v>
      </c>
      <c r="E249" s="89" t="s">
        <v>1798</v>
      </c>
      <c r="F249" s="89" t="s">
        <v>1674</v>
      </c>
      <c r="G249" s="89" t="s">
        <v>70</v>
      </c>
      <c r="H249" s="89" t="s">
        <v>70</v>
      </c>
      <c r="I249" s="91"/>
      <c r="J249" s="89">
        <v>0</v>
      </c>
      <c r="K249" s="89" t="s">
        <v>53</v>
      </c>
      <c r="L249" s="89" t="s">
        <v>1548</v>
      </c>
      <c r="M249" s="91"/>
      <c r="N249" s="89" t="s">
        <v>1549</v>
      </c>
      <c r="O249" s="89" t="s">
        <v>615</v>
      </c>
      <c r="P249" s="89" t="s">
        <v>1550</v>
      </c>
      <c r="Q249" s="89" t="s">
        <v>657</v>
      </c>
      <c r="R249" s="89">
        <v>24</v>
      </c>
      <c r="S249" s="89" t="s">
        <v>1551</v>
      </c>
      <c r="T249" s="89" t="s">
        <v>1558</v>
      </c>
      <c r="U249" s="89" t="s">
        <v>1552</v>
      </c>
      <c r="V249" s="89" t="s">
        <v>1561</v>
      </c>
      <c r="W249" s="89" t="s">
        <v>649</v>
      </c>
      <c r="X249" s="89" t="s">
        <v>76</v>
      </c>
      <c r="Y249" s="89" t="s">
        <v>619</v>
      </c>
      <c r="Z249" s="89" t="s">
        <v>68</v>
      </c>
      <c r="AA249" s="89" t="s">
        <v>67</v>
      </c>
      <c r="AB249" s="89">
        <v>1</v>
      </c>
      <c r="AC249" s="89">
        <v>6</v>
      </c>
      <c r="AD249" s="89">
        <v>1</v>
      </c>
      <c r="AE249" s="89" t="s">
        <v>288</v>
      </c>
      <c r="AF249" s="90">
        <v>367</v>
      </c>
      <c r="AG249" s="90">
        <v>45709</v>
      </c>
      <c r="AH249" s="90">
        <v>46811</v>
      </c>
    </row>
    <row r="250" spans="1:34" x14ac:dyDescent="0.35">
      <c r="A250" s="89" t="str">
        <f t="shared" si="9"/>
        <v>6840</v>
      </c>
      <c r="B250" s="89" t="s">
        <v>1384</v>
      </c>
      <c r="C250" s="89" t="s">
        <v>1385</v>
      </c>
      <c r="D250" s="89" t="s">
        <v>357</v>
      </c>
      <c r="E250" s="89" t="s">
        <v>1799</v>
      </c>
      <c r="F250" s="89" t="s">
        <v>1674</v>
      </c>
      <c r="G250" s="89" t="s">
        <v>70</v>
      </c>
      <c r="H250" s="89" t="s">
        <v>70</v>
      </c>
      <c r="I250" s="91"/>
      <c r="J250" s="89">
        <v>0</v>
      </c>
      <c r="K250" s="89" t="s">
        <v>53</v>
      </c>
      <c r="L250" s="89" t="s">
        <v>1548</v>
      </c>
      <c r="M250" s="91"/>
      <c r="N250" s="89" t="s">
        <v>1549</v>
      </c>
      <c r="O250" s="89" t="s">
        <v>615</v>
      </c>
      <c r="P250" s="89" t="s">
        <v>1550</v>
      </c>
      <c r="Q250" s="89" t="s">
        <v>657</v>
      </c>
      <c r="R250" s="89">
        <v>24</v>
      </c>
      <c r="S250" s="89" t="s">
        <v>1551</v>
      </c>
      <c r="T250" s="89" t="s">
        <v>1558</v>
      </c>
      <c r="U250" s="89" t="s">
        <v>1552</v>
      </c>
      <c r="V250" s="89" t="s">
        <v>1561</v>
      </c>
      <c r="W250" s="89" t="s">
        <v>645</v>
      </c>
      <c r="X250" s="89" t="s">
        <v>100</v>
      </c>
      <c r="Y250" s="89" t="s">
        <v>619</v>
      </c>
      <c r="Z250" s="89" t="s">
        <v>68</v>
      </c>
      <c r="AA250" s="89" t="s">
        <v>67</v>
      </c>
      <c r="AB250" s="89">
        <v>1</v>
      </c>
      <c r="AC250" s="89">
        <v>6</v>
      </c>
      <c r="AD250" s="89">
        <v>1</v>
      </c>
      <c r="AE250" s="89" t="s">
        <v>288</v>
      </c>
      <c r="AF250" s="90">
        <v>367</v>
      </c>
      <c r="AG250" s="90">
        <v>45709</v>
      </c>
      <c r="AH250" s="90">
        <v>46811</v>
      </c>
    </row>
    <row r="251" spans="1:34" x14ac:dyDescent="0.35">
      <c r="A251" s="89" t="str">
        <f t="shared" si="9"/>
        <v>650K</v>
      </c>
      <c r="B251" s="89" t="s">
        <v>1374</v>
      </c>
      <c r="C251" s="89" t="s">
        <v>1375</v>
      </c>
      <c r="D251" s="89" t="s">
        <v>328</v>
      </c>
      <c r="E251" s="89" t="s">
        <v>1800</v>
      </c>
      <c r="F251" s="89" t="s">
        <v>1674</v>
      </c>
      <c r="G251" s="89" t="s">
        <v>70</v>
      </c>
      <c r="H251" s="89" t="s">
        <v>70</v>
      </c>
      <c r="I251" s="89" t="s">
        <v>1635</v>
      </c>
      <c r="J251" s="89">
        <v>1</v>
      </c>
      <c r="K251" s="89" t="s">
        <v>53</v>
      </c>
      <c r="L251" s="89" t="s">
        <v>1548</v>
      </c>
      <c r="M251" s="91"/>
      <c r="N251" s="89" t="s">
        <v>1549</v>
      </c>
      <c r="O251" s="89" t="s">
        <v>615</v>
      </c>
      <c r="P251" s="89" t="s">
        <v>1550</v>
      </c>
      <c r="Q251" s="89" t="s">
        <v>657</v>
      </c>
      <c r="R251" s="89">
        <v>24</v>
      </c>
      <c r="S251" s="89" t="s">
        <v>1551</v>
      </c>
      <c r="T251" s="89" t="s">
        <v>1558</v>
      </c>
      <c r="U251" s="89" t="s">
        <v>1552</v>
      </c>
      <c r="V251" s="89" t="s">
        <v>1561</v>
      </c>
      <c r="W251" s="89" t="s">
        <v>649</v>
      </c>
      <c r="X251" s="89" t="s">
        <v>76</v>
      </c>
      <c r="Y251" s="89" t="s">
        <v>619</v>
      </c>
      <c r="Z251" s="89" t="s">
        <v>68</v>
      </c>
      <c r="AA251" s="89" t="s">
        <v>67</v>
      </c>
      <c r="AB251" s="89">
        <v>1</v>
      </c>
      <c r="AC251" s="89">
        <v>6</v>
      </c>
      <c r="AD251" s="89">
        <v>1</v>
      </c>
      <c r="AE251" s="89" t="s">
        <v>288</v>
      </c>
      <c r="AF251" s="90">
        <v>367</v>
      </c>
      <c r="AG251" s="90">
        <v>45709</v>
      </c>
      <c r="AH251" s="90">
        <v>46811</v>
      </c>
    </row>
    <row r="252" spans="1:34" x14ac:dyDescent="0.35">
      <c r="A252" s="89" t="str">
        <f t="shared" si="9"/>
        <v>699C</v>
      </c>
      <c r="B252" s="89" t="s">
        <v>1395</v>
      </c>
      <c r="C252" s="89" t="s">
        <v>1396</v>
      </c>
      <c r="D252" s="89" t="s">
        <v>391</v>
      </c>
      <c r="E252" s="89" t="s">
        <v>1397</v>
      </c>
      <c r="F252" s="89" t="s">
        <v>1674</v>
      </c>
      <c r="G252" s="89" t="s">
        <v>70</v>
      </c>
      <c r="H252" s="89" t="s">
        <v>70</v>
      </c>
      <c r="I252" s="89" t="s">
        <v>1547</v>
      </c>
      <c r="J252" s="89">
        <v>0</v>
      </c>
      <c r="K252" s="89" t="s">
        <v>53</v>
      </c>
      <c r="L252" s="89" t="s">
        <v>1548</v>
      </c>
      <c r="M252" s="91"/>
      <c r="N252" s="89" t="s">
        <v>1549</v>
      </c>
      <c r="O252" s="89" t="s">
        <v>615</v>
      </c>
      <c r="P252" s="89" t="s">
        <v>1550</v>
      </c>
      <c r="Q252" s="89" t="s">
        <v>657</v>
      </c>
      <c r="R252" s="89">
        <v>24</v>
      </c>
      <c r="S252" s="89" t="s">
        <v>1551</v>
      </c>
      <c r="T252" s="89" t="s">
        <v>1558</v>
      </c>
      <c r="U252" s="89" t="s">
        <v>1552</v>
      </c>
      <c r="V252" s="89" t="s">
        <v>1561</v>
      </c>
      <c r="W252" s="89" t="s">
        <v>656</v>
      </c>
      <c r="X252" s="89" t="s">
        <v>92</v>
      </c>
      <c r="Y252" s="89" t="s">
        <v>619</v>
      </c>
      <c r="Z252" s="89" t="s">
        <v>68</v>
      </c>
      <c r="AA252" s="89" t="s">
        <v>67</v>
      </c>
      <c r="AB252" s="89">
        <v>1</v>
      </c>
      <c r="AC252" s="89">
        <v>6</v>
      </c>
      <c r="AD252" s="89">
        <v>1</v>
      </c>
      <c r="AE252" s="89" t="s">
        <v>288</v>
      </c>
      <c r="AF252" s="90">
        <v>367</v>
      </c>
      <c r="AG252" s="90">
        <v>45709</v>
      </c>
      <c r="AH252" s="90">
        <v>46811</v>
      </c>
    </row>
    <row r="253" spans="1:34" x14ac:dyDescent="0.35">
      <c r="A253" s="89" t="str">
        <f t="shared" si="9"/>
        <v>652H</v>
      </c>
      <c r="B253" s="89" t="s">
        <v>1376</v>
      </c>
      <c r="C253" s="89" t="s">
        <v>1377</v>
      </c>
      <c r="D253" s="89" t="s">
        <v>337</v>
      </c>
      <c r="E253" s="89" t="s">
        <v>1378</v>
      </c>
      <c r="F253" s="89" t="s">
        <v>1674</v>
      </c>
      <c r="G253" s="89" t="s">
        <v>70</v>
      </c>
      <c r="H253" s="89" t="s">
        <v>70</v>
      </c>
      <c r="I253" s="89" t="s">
        <v>1547</v>
      </c>
      <c r="J253" s="89">
        <v>0</v>
      </c>
      <c r="K253" s="89" t="s">
        <v>53</v>
      </c>
      <c r="L253" s="89" t="s">
        <v>1548</v>
      </c>
      <c r="M253" s="91"/>
      <c r="N253" s="89" t="s">
        <v>1549</v>
      </c>
      <c r="O253" s="89" t="s">
        <v>615</v>
      </c>
      <c r="P253" s="89" t="s">
        <v>1550</v>
      </c>
      <c r="Q253" s="89" t="s">
        <v>657</v>
      </c>
      <c r="R253" s="89">
        <v>15</v>
      </c>
      <c r="S253" s="89" t="s">
        <v>1555</v>
      </c>
      <c r="T253" s="89" t="s">
        <v>1555</v>
      </c>
      <c r="U253" s="89" t="s">
        <v>1552</v>
      </c>
      <c r="V253" s="89" t="s">
        <v>1561</v>
      </c>
      <c r="W253" s="89" t="s">
        <v>656</v>
      </c>
      <c r="X253" s="89" t="s">
        <v>92</v>
      </c>
      <c r="Y253" s="89" t="s">
        <v>619</v>
      </c>
      <c r="Z253" s="89" t="s">
        <v>68</v>
      </c>
      <c r="AA253" s="89" t="s">
        <v>67</v>
      </c>
      <c r="AB253" s="89">
        <v>1</v>
      </c>
      <c r="AC253" s="89">
        <v>6</v>
      </c>
      <c r="AD253" s="89">
        <v>1</v>
      </c>
      <c r="AE253" s="89" t="s">
        <v>288</v>
      </c>
      <c r="AF253" s="90">
        <v>367</v>
      </c>
      <c r="AG253" s="90">
        <v>45709</v>
      </c>
      <c r="AH253" s="90">
        <v>46811</v>
      </c>
    </row>
    <row r="254" spans="1:34" x14ac:dyDescent="0.35">
      <c r="A254" s="89" t="str">
        <f t="shared" si="9"/>
        <v>649Y</v>
      </c>
      <c r="B254" s="89" t="s">
        <v>1371</v>
      </c>
      <c r="C254" s="89" t="s">
        <v>1372</v>
      </c>
      <c r="D254" s="89" t="s">
        <v>327</v>
      </c>
      <c r="E254" s="89" t="s">
        <v>1373</v>
      </c>
      <c r="F254" s="89" t="s">
        <v>1674</v>
      </c>
      <c r="G254" s="89" t="s">
        <v>70</v>
      </c>
      <c r="H254" s="89" t="s">
        <v>70</v>
      </c>
      <c r="I254" s="89" t="s">
        <v>1547</v>
      </c>
      <c r="J254" s="89">
        <v>0</v>
      </c>
      <c r="K254" s="89" t="s">
        <v>53</v>
      </c>
      <c r="L254" s="89" t="s">
        <v>1548</v>
      </c>
      <c r="M254" s="91"/>
      <c r="N254" s="89" t="s">
        <v>1549</v>
      </c>
      <c r="O254" s="89" t="s">
        <v>615</v>
      </c>
      <c r="P254" s="89" t="s">
        <v>1550</v>
      </c>
      <c r="Q254" s="89" t="s">
        <v>657</v>
      </c>
      <c r="R254" s="89">
        <v>24</v>
      </c>
      <c r="S254" s="89" t="s">
        <v>1551</v>
      </c>
      <c r="T254" s="89" t="s">
        <v>1558</v>
      </c>
      <c r="U254" s="89" t="s">
        <v>1552</v>
      </c>
      <c r="V254" s="89" t="s">
        <v>1561</v>
      </c>
      <c r="W254" s="89" t="s">
        <v>656</v>
      </c>
      <c r="X254" s="89" t="s">
        <v>92</v>
      </c>
      <c r="Y254" s="89" t="s">
        <v>619</v>
      </c>
      <c r="Z254" s="89" t="s">
        <v>68</v>
      </c>
      <c r="AA254" s="89" t="s">
        <v>67</v>
      </c>
      <c r="AB254" s="89">
        <v>1</v>
      </c>
      <c r="AC254" s="89">
        <v>6</v>
      </c>
      <c r="AD254" s="89">
        <v>1</v>
      </c>
      <c r="AE254" s="89" t="s">
        <v>288</v>
      </c>
      <c r="AF254" s="90">
        <v>367</v>
      </c>
      <c r="AG254" s="90">
        <v>45709</v>
      </c>
      <c r="AH254" s="90">
        <v>46811</v>
      </c>
    </row>
    <row r="255" spans="1:34" x14ac:dyDescent="0.35">
      <c r="A255" s="89" t="str">
        <f t="shared" si="9"/>
        <v>1850</v>
      </c>
      <c r="B255" s="89" t="s">
        <v>1329</v>
      </c>
      <c r="C255" s="89" t="s">
        <v>1330</v>
      </c>
      <c r="D255" s="89" t="s">
        <v>208</v>
      </c>
      <c r="E255" s="89" t="s">
        <v>1801</v>
      </c>
      <c r="F255" s="89" t="s">
        <v>1674</v>
      </c>
      <c r="G255" s="89" t="s">
        <v>70</v>
      </c>
      <c r="H255" s="89" t="s">
        <v>70</v>
      </c>
      <c r="I255" s="89" t="s">
        <v>1566</v>
      </c>
      <c r="J255" s="89">
        <v>1</v>
      </c>
      <c r="K255" s="89" t="s">
        <v>53</v>
      </c>
      <c r="L255" s="89" t="s">
        <v>1548</v>
      </c>
      <c r="M255" s="91"/>
      <c r="N255" s="89" t="s">
        <v>1549</v>
      </c>
      <c r="O255" s="89" t="s">
        <v>615</v>
      </c>
      <c r="P255" s="89" t="s">
        <v>1550</v>
      </c>
      <c r="Q255" s="89" t="s">
        <v>657</v>
      </c>
      <c r="R255" s="89">
        <v>24</v>
      </c>
      <c r="S255" s="89" t="s">
        <v>1551</v>
      </c>
      <c r="T255" s="89" t="s">
        <v>1558</v>
      </c>
      <c r="U255" s="89" t="s">
        <v>1552</v>
      </c>
      <c r="V255" s="89" t="s">
        <v>1561</v>
      </c>
      <c r="W255" s="89" t="s">
        <v>656</v>
      </c>
      <c r="X255" s="89" t="s">
        <v>92</v>
      </c>
      <c r="Y255" s="89" t="s">
        <v>619</v>
      </c>
      <c r="Z255" s="89" t="s">
        <v>68</v>
      </c>
      <c r="AA255" s="89" t="s">
        <v>67</v>
      </c>
      <c r="AB255" s="89">
        <v>1</v>
      </c>
      <c r="AC255" s="89">
        <v>6</v>
      </c>
      <c r="AD255" s="89">
        <v>1</v>
      </c>
      <c r="AE255" s="89" t="s">
        <v>288</v>
      </c>
      <c r="AF255" s="90">
        <v>367</v>
      </c>
      <c r="AG255" s="90">
        <v>45709</v>
      </c>
      <c r="AH255" s="90">
        <v>46811</v>
      </c>
    </row>
    <row r="256" spans="1:34" x14ac:dyDescent="0.35">
      <c r="A256" s="89" t="str">
        <f t="shared" si="9"/>
        <v>497F</v>
      </c>
      <c r="B256" s="89" t="s">
        <v>1352</v>
      </c>
      <c r="C256" s="89" t="s">
        <v>1353</v>
      </c>
      <c r="D256" s="89" t="s">
        <v>276</v>
      </c>
      <c r="E256" s="89" t="s">
        <v>1354</v>
      </c>
      <c r="F256" s="89" t="s">
        <v>1674</v>
      </c>
      <c r="G256" s="89" t="s">
        <v>70</v>
      </c>
      <c r="H256" s="89" t="s">
        <v>70</v>
      </c>
      <c r="I256" s="91"/>
      <c r="J256" s="89">
        <v>0</v>
      </c>
      <c r="K256" s="89" t="s">
        <v>53</v>
      </c>
      <c r="L256" s="89" t="s">
        <v>1548</v>
      </c>
      <c r="M256" s="91"/>
      <c r="N256" s="89" t="s">
        <v>1549</v>
      </c>
      <c r="O256" s="89" t="s">
        <v>615</v>
      </c>
      <c r="P256" s="89" t="s">
        <v>1550</v>
      </c>
      <c r="Q256" s="89" t="s">
        <v>657</v>
      </c>
      <c r="R256" s="89">
        <v>24</v>
      </c>
      <c r="S256" s="89" t="s">
        <v>1551</v>
      </c>
      <c r="T256" s="89" t="s">
        <v>1558</v>
      </c>
      <c r="U256" s="89" t="s">
        <v>1552</v>
      </c>
      <c r="V256" s="89" t="s">
        <v>1561</v>
      </c>
      <c r="W256" s="89" t="s">
        <v>656</v>
      </c>
      <c r="X256" s="89" t="s">
        <v>92</v>
      </c>
      <c r="Y256" s="89" t="s">
        <v>619</v>
      </c>
      <c r="Z256" s="89" t="s">
        <v>68</v>
      </c>
      <c r="AA256" s="89" t="s">
        <v>67</v>
      </c>
      <c r="AB256" s="89">
        <v>1</v>
      </c>
      <c r="AC256" s="89">
        <v>6</v>
      </c>
      <c r="AD256" s="89">
        <v>1</v>
      </c>
      <c r="AE256" s="89" t="s">
        <v>288</v>
      </c>
      <c r="AF256" s="90">
        <v>367</v>
      </c>
      <c r="AG256" s="90">
        <v>45709</v>
      </c>
      <c r="AH256" s="90">
        <v>46811</v>
      </c>
    </row>
    <row r="257" spans="1:34" x14ac:dyDescent="0.35">
      <c r="A257" s="89" t="str">
        <f t="shared" si="9"/>
        <v>5022</v>
      </c>
      <c r="B257" s="89" t="s">
        <v>1355</v>
      </c>
      <c r="C257" s="89" t="s">
        <v>1356</v>
      </c>
      <c r="D257" s="89" t="s">
        <v>279</v>
      </c>
      <c r="E257" s="89" t="s">
        <v>1357</v>
      </c>
      <c r="F257" s="89" t="s">
        <v>1674</v>
      </c>
      <c r="G257" s="89" t="s">
        <v>70</v>
      </c>
      <c r="H257" s="89" t="s">
        <v>70</v>
      </c>
      <c r="I257" s="91"/>
      <c r="J257" s="89">
        <v>0</v>
      </c>
      <c r="K257" s="89" t="s">
        <v>53</v>
      </c>
      <c r="L257" s="89" t="s">
        <v>1548</v>
      </c>
      <c r="M257" s="91"/>
      <c r="N257" s="89" t="s">
        <v>1549</v>
      </c>
      <c r="O257" s="89" t="s">
        <v>615</v>
      </c>
      <c r="P257" s="89" t="s">
        <v>1550</v>
      </c>
      <c r="Q257" s="89" t="s">
        <v>657</v>
      </c>
      <c r="R257" s="89">
        <v>24</v>
      </c>
      <c r="S257" s="89" t="s">
        <v>1551</v>
      </c>
      <c r="T257" s="89" t="s">
        <v>1558</v>
      </c>
      <c r="U257" s="89" t="s">
        <v>1552</v>
      </c>
      <c r="V257" s="89" t="s">
        <v>1561</v>
      </c>
      <c r="W257" s="89" t="s">
        <v>656</v>
      </c>
      <c r="X257" s="89" t="s">
        <v>92</v>
      </c>
      <c r="Y257" s="89" t="s">
        <v>619</v>
      </c>
      <c r="Z257" s="89" t="s">
        <v>68</v>
      </c>
      <c r="AA257" s="89" t="s">
        <v>67</v>
      </c>
      <c r="AB257" s="89">
        <v>1</v>
      </c>
      <c r="AC257" s="89">
        <v>6</v>
      </c>
      <c r="AD257" s="89">
        <v>1</v>
      </c>
      <c r="AE257" s="89" t="s">
        <v>288</v>
      </c>
      <c r="AF257" s="90">
        <v>367</v>
      </c>
      <c r="AG257" s="90">
        <v>45709</v>
      </c>
      <c r="AH257" s="90">
        <v>46811</v>
      </c>
    </row>
    <row r="258" spans="1:34" x14ac:dyDescent="0.35">
      <c r="A258" s="89" t="str">
        <f t="shared" si="9"/>
        <v>5029</v>
      </c>
      <c r="B258" s="89" t="s">
        <v>1802</v>
      </c>
      <c r="C258" s="89" t="s">
        <v>1803</v>
      </c>
      <c r="D258" s="89" t="s">
        <v>280</v>
      </c>
      <c r="E258" s="89" t="s">
        <v>1804</v>
      </c>
      <c r="F258" s="89" t="s">
        <v>1674</v>
      </c>
      <c r="G258" s="89" t="s">
        <v>70</v>
      </c>
      <c r="H258" s="89" t="s">
        <v>70</v>
      </c>
      <c r="I258" s="91"/>
      <c r="J258" s="89">
        <v>0</v>
      </c>
      <c r="K258" s="89" t="s">
        <v>53</v>
      </c>
      <c r="L258" s="89" t="s">
        <v>1548</v>
      </c>
      <c r="M258" s="91"/>
      <c r="N258" s="89" t="s">
        <v>1549</v>
      </c>
      <c r="O258" s="89" t="s">
        <v>615</v>
      </c>
      <c r="P258" s="89" t="s">
        <v>1550</v>
      </c>
      <c r="Q258" s="89" t="s">
        <v>657</v>
      </c>
      <c r="R258" s="89">
        <v>24</v>
      </c>
      <c r="S258" s="89" t="s">
        <v>1551</v>
      </c>
      <c r="T258" s="89" t="s">
        <v>1558</v>
      </c>
      <c r="U258" s="89" t="s">
        <v>1552</v>
      </c>
      <c r="V258" s="89" t="s">
        <v>1561</v>
      </c>
      <c r="W258" s="89" t="s">
        <v>656</v>
      </c>
      <c r="X258" s="89" t="s">
        <v>92</v>
      </c>
      <c r="Y258" s="89" t="s">
        <v>619</v>
      </c>
      <c r="Z258" s="89" t="s">
        <v>68</v>
      </c>
      <c r="AA258" s="89" t="s">
        <v>67</v>
      </c>
      <c r="AB258" s="89">
        <v>1</v>
      </c>
      <c r="AC258" s="89">
        <v>6</v>
      </c>
      <c r="AD258" s="89">
        <v>1</v>
      </c>
      <c r="AE258" s="89" t="s">
        <v>288</v>
      </c>
      <c r="AF258" s="90">
        <v>367</v>
      </c>
      <c r="AG258" s="90">
        <v>45709</v>
      </c>
      <c r="AH258" s="90">
        <v>46811</v>
      </c>
    </row>
    <row r="259" spans="1:34" x14ac:dyDescent="0.35">
      <c r="A259" s="89" t="str">
        <f t="shared" si="9"/>
        <v>431L</v>
      </c>
      <c r="B259" s="89" t="s">
        <v>1349</v>
      </c>
      <c r="C259" s="89" t="s">
        <v>1350</v>
      </c>
      <c r="D259" s="89" t="s">
        <v>265</v>
      </c>
      <c r="E259" s="89" t="s">
        <v>1351</v>
      </c>
      <c r="F259" s="89" t="s">
        <v>1674</v>
      </c>
      <c r="G259" s="89" t="s">
        <v>70</v>
      </c>
      <c r="H259" s="89" t="s">
        <v>70</v>
      </c>
      <c r="I259" s="89" t="s">
        <v>1547</v>
      </c>
      <c r="J259" s="89">
        <v>0</v>
      </c>
      <c r="K259" s="89" t="s">
        <v>53</v>
      </c>
      <c r="L259" s="89" t="s">
        <v>1548</v>
      </c>
      <c r="M259" s="91"/>
      <c r="N259" s="89" t="s">
        <v>1549</v>
      </c>
      <c r="O259" s="89" t="s">
        <v>615</v>
      </c>
      <c r="P259" s="89" t="s">
        <v>1550</v>
      </c>
      <c r="Q259" s="89" t="s">
        <v>657</v>
      </c>
      <c r="R259" s="89">
        <v>24</v>
      </c>
      <c r="S259" s="89" t="s">
        <v>1551</v>
      </c>
      <c r="T259" s="89" t="s">
        <v>1558</v>
      </c>
      <c r="U259" s="89" t="s">
        <v>1552</v>
      </c>
      <c r="V259" s="89" t="s">
        <v>1561</v>
      </c>
      <c r="W259" s="89" t="s">
        <v>677</v>
      </c>
      <c r="X259" s="89" t="s">
        <v>66</v>
      </c>
      <c r="Y259" s="89" t="s">
        <v>619</v>
      </c>
      <c r="Z259" s="89" t="s">
        <v>68</v>
      </c>
      <c r="AA259" s="89" t="s">
        <v>67</v>
      </c>
      <c r="AB259" s="89">
        <v>1</v>
      </c>
      <c r="AC259" s="89">
        <v>6</v>
      </c>
      <c r="AD259" s="89">
        <v>1</v>
      </c>
      <c r="AE259" s="89" t="s">
        <v>288</v>
      </c>
      <c r="AF259" s="90">
        <v>367</v>
      </c>
      <c r="AG259" s="90">
        <v>45709</v>
      </c>
      <c r="AH259" s="90">
        <v>46811</v>
      </c>
    </row>
    <row r="260" spans="1:34" x14ac:dyDescent="0.35">
      <c r="A260" s="89" t="str">
        <f t="shared" si="9"/>
        <v>621J</v>
      </c>
      <c r="B260" s="89" t="s">
        <v>1368</v>
      </c>
      <c r="C260" s="89" t="s">
        <v>1369</v>
      </c>
      <c r="D260" s="89" t="s">
        <v>316</v>
      </c>
      <c r="E260" s="89" t="s">
        <v>1370</v>
      </c>
      <c r="F260" s="89" t="s">
        <v>1674</v>
      </c>
      <c r="G260" s="89" t="s">
        <v>70</v>
      </c>
      <c r="H260" s="89" t="s">
        <v>70</v>
      </c>
      <c r="I260" s="89" t="s">
        <v>1547</v>
      </c>
      <c r="J260" s="89">
        <v>0</v>
      </c>
      <c r="K260" s="89" t="s">
        <v>53</v>
      </c>
      <c r="L260" s="89" t="s">
        <v>1548</v>
      </c>
      <c r="M260" s="91"/>
      <c r="N260" s="89" t="s">
        <v>1549</v>
      </c>
      <c r="O260" s="89" t="s">
        <v>615</v>
      </c>
      <c r="P260" s="89" t="s">
        <v>1550</v>
      </c>
      <c r="Q260" s="89" t="s">
        <v>657</v>
      </c>
      <c r="R260" s="89">
        <v>24</v>
      </c>
      <c r="S260" s="89" t="s">
        <v>1551</v>
      </c>
      <c r="T260" s="89" t="s">
        <v>1558</v>
      </c>
      <c r="U260" s="89" t="s">
        <v>1552</v>
      </c>
      <c r="V260" s="89" t="s">
        <v>1561</v>
      </c>
      <c r="W260" s="89" t="s">
        <v>677</v>
      </c>
      <c r="X260" s="89" t="s">
        <v>66</v>
      </c>
      <c r="Y260" s="89" t="s">
        <v>619</v>
      </c>
      <c r="Z260" s="89" t="s">
        <v>68</v>
      </c>
      <c r="AA260" s="89" t="s">
        <v>67</v>
      </c>
      <c r="AB260" s="89">
        <v>1</v>
      </c>
      <c r="AC260" s="89">
        <v>6</v>
      </c>
      <c r="AD260" s="89">
        <v>1</v>
      </c>
      <c r="AE260" s="89" t="s">
        <v>288</v>
      </c>
      <c r="AF260" s="90">
        <v>367</v>
      </c>
      <c r="AG260" s="90">
        <v>45709</v>
      </c>
      <c r="AH260" s="90">
        <v>46811</v>
      </c>
    </row>
    <row r="261" spans="1:34" x14ac:dyDescent="0.35">
      <c r="A261" s="89" t="str">
        <f t="shared" si="9"/>
        <v>011C</v>
      </c>
      <c r="B261" s="89" t="s">
        <v>931</v>
      </c>
      <c r="C261" s="89" t="s">
        <v>932</v>
      </c>
      <c r="D261" s="89" t="s">
        <v>165</v>
      </c>
      <c r="E261" s="89" t="s">
        <v>933</v>
      </c>
      <c r="F261" s="89" t="s">
        <v>1674</v>
      </c>
      <c r="G261" s="89" t="s">
        <v>70</v>
      </c>
      <c r="H261" s="89" t="s">
        <v>70</v>
      </c>
      <c r="I261" s="91"/>
      <c r="J261" s="89">
        <v>0</v>
      </c>
      <c r="K261" s="89" t="s">
        <v>53</v>
      </c>
      <c r="L261" s="89" t="s">
        <v>1548</v>
      </c>
      <c r="M261" s="91"/>
      <c r="N261" s="89" t="s">
        <v>1549</v>
      </c>
      <c r="O261" s="89" t="s">
        <v>615</v>
      </c>
      <c r="P261" s="89" t="s">
        <v>1550</v>
      </c>
      <c r="Q261" s="89" t="s">
        <v>629</v>
      </c>
      <c r="R261" s="89">
        <v>24</v>
      </c>
      <c r="S261" s="89" t="s">
        <v>1551</v>
      </c>
      <c r="T261" s="89" t="s">
        <v>1558</v>
      </c>
      <c r="U261" s="89" t="s">
        <v>1552</v>
      </c>
      <c r="V261" s="89" t="s">
        <v>1561</v>
      </c>
      <c r="W261" s="89" t="s">
        <v>645</v>
      </c>
      <c r="X261" s="89" t="s">
        <v>100</v>
      </c>
      <c r="Y261" s="89" t="s">
        <v>619</v>
      </c>
      <c r="Z261" s="89" t="s">
        <v>68</v>
      </c>
      <c r="AA261" s="89" t="s">
        <v>67</v>
      </c>
      <c r="AB261" s="89">
        <v>1</v>
      </c>
      <c r="AC261" s="89">
        <v>6</v>
      </c>
      <c r="AD261" s="89">
        <v>1</v>
      </c>
      <c r="AE261" s="89" t="s">
        <v>288</v>
      </c>
      <c r="AF261" s="90">
        <v>367</v>
      </c>
      <c r="AG261" s="90">
        <v>45839</v>
      </c>
      <c r="AH261" s="90">
        <v>46962</v>
      </c>
    </row>
    <row r="262" spans="1:34" x14ac:dyDescent="0.35">
      <c r="A262" s="89" t="str">
        <f t="shared" si="9"/>
        <v>194Y</v>
      </c>
      <c r="B262" s="89" t="s">
        <v>1805</v>
      </c>
      <c r="C262" s="89" t="s">
        <v>1806</v>
      </c>
      <c r="D262" s="89" t="s">
        <v>209</v>
      </c>
      <c r="E262" s="89" t="s">
        <v>1807</v>
      </c>
      <c r="F262" s="89" t="s">
        <v>1808</v>
      </c>
      <c r="G262" s="89" t="s">
        <v>70</v>
      </c>
      <c r="H262" s="89" t="s">
        <v>70</v>
      </c>
      <c r="I262" s="89" t="s">
        <v>1635</v>
      </c>
      <c r="J262" s="89">
        <v>1</v>
      </c>
      <c r="K262" s="89" t="s">
        <v>53</v>
      </c>
      <c r="L262" s="89" t="s">
        <v>1548</v>
      </c>
      <c r="M262" s="89" t="s">
        <v>51</v>
      </c>
      <c r="N262" s="89" t="s">
        <v>1549</v>
      </c>
      <c r="O262" s="89" t="s">
        <v>615</v>
      </c>
      <c r="P262" s="89" t="s">
        <v>1550</v>
      </c>
      <c r="Q262" s="89" t="s">
        <v>629</v>
      </c>
      <c r="R262" s="89">
        <v>24</v>
      </c>
      <c r="S262" s="89" t="s">
        <v>1551</v>
      </c>
      <c r="T262" s="89" t="s">
        <v>1551</v>
      </c>
      <c r="U262" s="89" t="s">
        <v>1552</v>
      </c>
      <c r="V262" s="89" t="s">
        <v>1553</v>
      </c>
      <c r="W262" s="89" t="s">
        <v>649</v>
      </c>
      <c r="X262" s="89" t="s">
        <v>76</v>
      </c>
      <c r="Y262" s="89" t="s">
        <v>619</v>
      </c>
      <c r="Z262" s="89" t="s">
        <v>68</v>
      </c>
      <c r="AA262" s="89" t="s">
        <v>67</v>
      </c>
      <c r="AB262" s="89">
        <v>2</v>
      </c>
      <c r="AC262" s="89">
        <v>6</v>
      </c>
      <c r="AD262" s="89">
        <v>1</v>
      </c>
      <c r="AE262" s="89" t="s">
        <v>286</v>
      </c>
      <c r="AF262" s="90">
        <v>41604</v>
      </c>
      <c r="AG262" s="90">
        <v>44457</v>
      </c>
      <c r="AH262" s="90">
        <v>45565</v>
      </c>
    </row>
    <row r="263" spans="1:34" x14ac:dyDescent="0.35">
      <c r="A263" s="89" t="str">
        <f t="shared" si="9"/>
        <v>093U</v>
      </c>
      <c r="B263" s="89" t="s">
        <v>1809</v>
      </c>
      <c r="C263" s="89" t="s">
        <v>1810</v>
      </c>
      <c r="D263" s="89" t="s">
        <v>193</v>
      </c>
      <c r="E263" s="89" t="s">
        <v>1811</v>
      </c>
      <c r="F263" s="89" t="s">
        <v>1808</v>
      </c>
      <c r="G263" s="89" t="s">
        <v>70</v>
      </c>
      <c r="H263" s="89" t="s">
        <v>70</v>
      </c>
      <c r="I263" s="91"/>
      <c r="J263" s="89">
        <v>0</v>
      </c>
      <c r="K263" s="89" t="s">
        <v>53</v>
      </c>
      <c r="L263" s="89" t="s">
        <v>1548</v>
      </c>
      <c r="M263" s="91"/>
      <c r="N263" s="89" t="s">
        <v>1549</v>
      </c>
      <c r="O263" s="89" t="s">
        <v>615</v>
      </c>
      <c r="P263" s="89" t="s">
        <v>1550</v>
      </c>
      <c r="Q263" s="89" t="s">
        <v>629</v>
      </c>
      <c r="R263" s="89">
        <v>24</v>
      </c>
      <c r="S263" s="89" t="s">
        <v>1551</v>
      </c>
      <c r="T263" s="89" t="s">
        <v>1555</v>
      </c>
      <c r="U263" s="89" t="s">
        <v>1552</v>
      </c>
      <c r="V263" s="89" t="s">
        <v>1561</v>
      </c>
      <c r="W263" s="89" t="s">
        <v>649</v>
      </c>
      <c r="X263" s="89" t="s">
        <v>76</v>
      </c>
      <c r="Y263" s="89" t="s">
        <v>619</v>
      </c>
      <c r="Z263" s="89" t="s">
        <v>68</v>
      </c>
      <c r="AA263" s="89" t="s">
        <v>67</v>
      </c>
      <c r="AB263" s="89">
        <v>2</v>
      </c>
      <c r="AC263" s="89">
        <v>6</v>
      </c>
      <c r="AD263" s="89">
        <v>1</v>
      </c>
      <c r="AE263" s="89" t="s">
        <v>0</v>
      </c>
      <c r="AF263" s="90">
        <v>367</v>
      </c>
      <c r="AG263" s="90">
        <v>44727</v>
      </c>
      <c r="AH263" s="90">
        <v>45818</v>
      </c>
    </row>
    <row r="264" spans="1:34" x14ac:dyDescent="0.35">
      <c r="A264" s="89" t="str">
        <f t="shared" si="9"/>
        <v>00AN</v>
      </c>
      <c r="B264" s="89" t="s">
        <v>1812</v>
      </c>
      <c r="C264" s="89" t="s">
        <v>1813</v>
      </c>
      <c r="D264" s="89" t="s">
        <v>77</v>
      </c>
      <c r="E264" s="89" t="s">
        <v>1814</v>
      </c>
      <c r="F264" s="89" t="s">
        <v>1808</v>
      </c>
      <c r="G264" s="89" t="s">
        <v>70</v>
      </c>
      <c r="H264" s="89" t="s">
        <v>70</v>
      </c>
      <c r="I264" s="89" t="s">
        <v>1547</v>
      </c>
      <c r="J264" s="89">
        <v>0</v>
      </c>
      <c r="K264" s="89" t="s">
        <v>53</v>
      </c>
      <c r="L264" s="89" t="s">
        <v>1548</v>
      </c>
      <c r="M264" s="91"/>
      <c r="N264" s="89" t="s">
        <v>1549</v>
      </c>
      <c r="O264" s="89" t="s">
        <v>615</v>
      </c>
      <c r="P264" s="89" t="s">
        <v>1550</v>
      </c>
      <c r="Q264" s="89" t="s">
        <v>629</v>
      </c>
      <c r="R264" s="89">
        <v>15</v>
      </c>
      <c r="S264" s="89" t="s">
        <v>1555</v>
      </c>
      <c r="T264" s="89" t="s">
        <v>1555</v>
      </c>
      <c r="U264" s="89" t="s">
        <v>1552</v>
      </c>
      <c r="V264" s="89" t="s">
        <v>1561</v>
      </c>
      <c r="W264" s="89" t="s">
        <v>649</v>
      </c>
      <c r="X264" s="89" t="s">
        <v>76</v>
      </c>
      <c r="Y264" s="89" t="s">
        <v>619</v>
      </c>
      <c r="Z264" s="89" t="s">
        <v>68</v>
      </c>
      <c r="AA264" s="89" t="s">
        <v>67</v>
      </c>
      <c r="AB264" s="89">
        <v>3</v>
      </c>
      <c r="AC264" s="89">
        <v>6</v>
      </c>
      <c r="AD264" s="89">
        <v>1</v>
      </c>
      <c r="AE264" s="89" t="s">
        <v>0</v>
      </c>
      <c r="AF264" s="90">
        <v>367</v>
      </c>
      <c r="AG264" s="90">
        <v>44810</v>
      </c>
      <c r="AH264" s="90">
        <v>45906</v>
      </c>
    </row>
    <row r="265" spans="1:34" x14ac:dyDescent="0.35">
      <c r="A265" s="89" t="str">
        <f t="shared" si="9"/>
        <v>00H8</v>
      </c>
      <c r="B265" s="89" t="s">
        <v>857</v>
      </c>
      <c r="C265" s="89" t="s">
        <v>858</v>
      </c>
      <c r="D265" s="89" t="s">
        <v>109</v>
      </c>
      <c r="E265" s="89" t="s">
        <v>859</v>
      </c>
      <c r="F265" s="89" t="s">
        <v>1815</v>
      </c>
      <c r="G265" s="89" t="s">
        <v>70</v>
      </c>
      <c r="H265" s="89" t="s">
        <v>70</v>
      </c>
      <c r="I265" s="89" t="s">
        <v>1547</v>
      </c>
      <c r="J265" s="89">
        <v>0</v>
      </c>
      <c r="K265" s="89" t="s">
        <v>53</v>
      </c>
      <c r="L265" s="89" t="s">
        <v>1548</v>
      </c>
      <c r="M265" s="89" t="s">
        <v>51</v>
      </c>
      <c r="N265" s="89" t="s">
        <v>1549</v>
      </c>
      <c r="O265" s="89" t="s">
        <v>615</v>
      </c>
      <c r="P265" s="89" t="s">
        <v>1550</v>
      </c>
      <c r="Q265" s="89" t="s">
        <v>629</v>
      </c>
      <c r="R265" s="89">
        <v>24</v>
      </c>
      <c r="S265" s="89" t="s">
        <v>1551</v>
      </c>
      <c r="T265" s="89" t="s">
        <v>1551</v>
      </c>
      <c r="U265" s="89" t="s">
        <v>1552</v>
      </c>
      <c r="V265" s="89" t="s">
        <v>1553</v>
      </c>
      <c r="W265" s="89" t="s">
        <v>644</v>
      </c>
      <c r="X265" s="89" t="s">
        <v>102</v>
      </c>
      <c r="Y265" s="89" t="s">
        <v>619</v>
      </c>
      <c r="Z265" s="89" t="s">
        <v>68</v>
      </c>
      <c r="AA265" s="89" t="s">
        <v>67</v>
      </c>
      <c r="AB265" s="89">
        <v>1</v>
      </c>
      <c r="AC265" s="89">
        <v>6</v>
      </c>
      <c r="AD265" s="89">
        <v>1</v>
      </c>
      <c r="AE265" s="89" t="s">
        <v>283</v>
      </c>
      <c r="AF265" s="90">
        <v>41459</v>
      </c>
      <c r="AG265" s="90">
        <v>43579</v>
      </c>
      <c r="AH265" s="90">
        <v>44681</v>
      </c>
    </row>
    <row r="266" spans="1:34" x14ac:dyDescent="0.35">
      <c r="A266" s="89" t="str">
        <f t="shared" si="9"/>
        <v>00F5</v>
      </c>
      <c r="B266" s="89" t="s">
        <v>849</v>
      </c>
      <c r="C266" s="89" t="s">
        <v>850</v>
      </c>
      <c r="D266" s="89" t="s">
        <v>104</v>
      </c>
      <c r="E266" s="89" t="s">
        <v>851</v>
      </c>
      <c r="F266" s="89" t="s">
        <v>1815</v>
      </c>
      <c r="G266" s="89" t="s">
        <v>70</v>
      </c>
      <c r="H266" s="89" t="s">
        <v>70</v>
      </c>
      <c r="I266" s="89" t="s">
        <v>1560</v>
      </c>
      <c r="J266" s="89">
        <v>0</v>
      </c>
      <c r="K266" s="89" t="s">
        <v>53</v>
      </c>
      <c r="L266" s="89" t="s">
        <v>1548</v>
      </c>
      <c r="M266" s="91"/>
      <c r="N266" s="89" t="s">
        <v>1549</v>
      </c>
      <c r="O266" s="89" t="s">
        <v>615</v>
      </c>
      <c r="P266" s="89" t="s">
        <v>1550</v>
      </c>
      <c r="Q266" s="89" t="s">
        <v>629</v>
      </c>
      <c r="R266" s="89">
        <v>24</v>
      </c>
      <c r="S266" s="89" t="s">
        <v>1551</v>
      </c>
      <c r="T266" s="89" t="s">
        <v>1551</v>
      </c>
      <c r="U266" s="89" t="s">
        <v>1552</v>
      </c>
      <c r="V266" s="89" t="s">
        <v>1553</v>
      </c>
      <c r="W266" s="89" t="s">
        <v>677</v>
      </c>
      <c r="X266" s="89" t="s">
        <v>66</v>
      </c>
      <c r="Y266" s="89" t="s">
        <v>619</v>
      </c>
      <c r="Z266" s="89" t="s">
        <v>68</v>
      </c>
      <c r="AA266" s="89" t="s">
        <v>67</v>
      </c>
      <c r="AB266" s="89">
        <v>2</v>
      </c>
      <c r="AC266" s="89">
        <v>6</v>
      </c>
      <c r="AD266" s="89">
        <v>1</v>
      </c>
      <c r="AE266" s="89" t="s">
        <v>286</v>
      </c>
      <c r="AF266" s="90">
        <v>367</v>
      </c>
      <c r="AG266" s="90">
        <v>44457</v>
      </c>
      <c r="AH266" s="90">
        <v>45565</v>
      </c>
    </row>
    <row r="267" spans="1:34" x14ac:dyDescent="0.35">
      <c r="A267" s="89" t="str">
        <f t="shared" si="9"/>
        <v>355Z</v>
      </c>
      <c r="B267" s="89" t="s">
        <v>1816</v>
      </c>
      <c r="C267" s="89" t="s">
        <v>1817</v>
      </c>
      <c r="D267" s="89" t="s">
        <v>244</v>
      </c>
      <c r="E267" s="89" t="s">
        <v>1818</v>
      </c>
      <c r="F267" s="89" t="s">
        <v>1815</v>
      </c>
      <c r="G267" s="89" t="s">
        <v>70</v>
      </c>
      <c r="H267" s="89" t="s">
        <v>70</v>
      </c>
      <c r="I267" s="89" t="s">
        <v>1547</v>
      </c>
      <c r="J267" s="89">
        <v>0</v>
      </c>
      <c r="K267" s="89" t="s">
        <v>53</v>
      </c>
      <c r="L267" s="89" t="s">
        <v>1548</v>
      </c>
      <c r="M267" s="91"/>
      <c r="N267" s="89" t="s">
        <v>1549</v>
      </c>
      <c r="O267" s="89" t="s">
        <v>615</v>
      </c>
      <c r="P267" s="89" t="s">
        <v>1550</v>
      </c>
      <c r="Q267" s="89" t="s">
        <v>629</v>
      </c>
      <c r="R267" s="89">
        <v>15</v>
      </c>
      <c r="S267" s="89" t="s">
        <v>1555</v>
      </c>
      <c r="T267" s="89" t="s">
        <v>1555</v>
      </c>
      <c r="U267" s="89" t="s">
        <v>1552</v>
      </c>
      <c r="V267" s="89" t="s">
        <v>1561</v>
      </c>
      <c r="W267" s="89" t="s">
        <v>649</v>
      </c>
      <c r="X267" s="89" t="s">
        <v>76</v>
      </c>
      <c r="Y267" s="89" t="s">
        <v>619</v>
      </c>
      <c r="Z267" s="89" t="s">
        <v>68</v>
      </c>
      <c r="AA267" s="89" t="s">
        <v>67</v>
      </c>
      <c r="AB267" s="89">
        <v>2</v>
      </c>
      <c r="AC267" s="89">
        <v>6</v>
      </c>
      <c r="AD267" s="89">
        <v>1</v>
      </c>
      <c r="AE267" s="89" t="s">
        <v>0</v>
      </c>
      <c r="AF267" s="90">
        <v>367</v>
      </c>
      <c r="AG267" s="90">
        <v>44730</v>
      </c>
      <c r="AH267" s="90">
        <v>45818</v>
      </c>
    </row>
    <row r="268" spans="1:34" x14ac:dyDescent="0.35">
      <c r="A268" s="89" t="str">
        <f t="shared" si="9"/>
        <v>639D</v>
      </c>
      <c r="B268" s="89" t="s">
        <v>1132</v>
      </c>
      <c r="C268" s="89" t="s">
        <v>1133</v>
      </c>
      <c r="D268" s="89" t="s">
        <v>325</v>
      </c>
      <c r="E268" s="89" t="s">
        <v>1134</v>
      </c>
      <c r="F268" s="89" t="s">
        <v>1815</v>
      </c>
      <c r="G268" s="89" t="s">
        <v>70</v>
      </c>
      <c r="H268" s="89" t="s">
        <v>70</v>
      </c>
      <c r="I268" s="89" t="s">
        <v>1566</v>
      </c>
      <c r="J268" s="89">
        <v>1</v>
      </c>
      <c r="K268" s="89" t="s">
        <v>53</v>
      </c>
      <c r="L268" s="89" t="s">
        <v>1548</v>
      </c>
      <c r="M268" s="91"/>
      <c r="N268" s="89" t="s">
        <v>1549</v>
      </c>
      <c r="O268" s="89" t="s">
        <v>615</v>
      </c>
      <c r="P268" s="89" t="s">
        <v>1550</v>
      </c>
      <c r="Q268" s="89" t="s">
        <v>629</v>
      </c>
      <c r="R268" s="89">
        <v>24</v>
      </c>
      <c r="S268" s="89" t="s">
        <v>1551</v>
      </c>
      <c r="T268" s="89" t="s">
        <v>1555</v>
      </c>
      <c r="U268" s="89" t="s">
        <v>1552</v>
      </c>
      <c r="V268" s="89" t="s">
        <v>1561</v>
      </c>
      <c r="W268" s="89" t="s">
        <v>649</v>
      </c>
      <c r="X268" s="89" t="s">
        <v>76</v>
      </c>
      <c r="Y268" s="89" t="s">
        <v>619</v>
      </c>
      <c r="Z268" s="89" t="s">
        <v>68</v>
      </c>
      <c r="AA268" s="89" t="s">
        <v>67</v>
      </c>
      <c r="AB268" s="89">
        <v>1</v>
      </c>
      <c r="AC268" s="89">
        <v>6</v>
      </c>
      <c r="AD268" s="89">
        <v>1</v>
      </c>
      <c r="AE268" s="89" t="s">
        <v>0</v>
      </c>
      <c r="AF268" s="90">
        <v>367</v>
      </c>
      <c r="AG268" s="90">
        <v>44730</v>
      </c>
      <c r="AH268" s="90">
        <v>45818</v>
      </c>
    </row>
    <row r="269" spans="1:34" x14ac:dyDescent="0.35">
      <c r="A269" s="89" t="str">
        <f t="shared" si="9"/>
        <v>164B</v>
      </c>
      <c r="B269" s="89" t="s">
        <v>982</v>
      </c>
      <c r="C269" s="89" t="s">
        <v>983</v>
      </c>
      <c r="D269" s="89" t="s">
        <v>204</v>
      </c>
      <c r="E269" s="89" t="s">
        <v>984</v>
      </c>
      <c r="F269" s="89" t="s">
        <v>1815</v>
      </c>
      <c r="G269" s="89" t="s">
        <v>70</v>
      </c>
      <c r="H269" s="89" t="s">
        <v>70</v>
      </c>
      <c r="I269" s="89" t="s">
        <v>1547</v>
      </c>
      <c r="J269" s="89">
        <v>0</v>
      </c>
      <c r="K269" s="89" t="s">
        <v>53</v>
      </c>
      <c r="L269" s="89" t="s">
        <v>1548</v>
      </c>
      <c r="M269" s="91"/>
      <c r="N269" s="89" t="s">
        <v>1549</v>
      </c>
      <c r="O269" s="89" t="s">
        <v>615</v>
      </c>
      <c r="P269" s="89" t="s">
        <v>1550</v>
      </c>
      <c r="Q269" s="89" t="s">
        <v>629</v>
      </c>
      <c r="R269" s="89">
        <v>15</v>
      </c>
      <c r="S269" s="89" t="s">
        <v>1555</v>
      </c>
      <c r="T269" s="89" t="s">
        <v>1555</v>
      </c>
      <c r="U269" s="89" t="s">
        <v>1552</v>
      </c>
      <c r="V269" s="89" t="s">
        <v>1561</v>
      </c>
      <c r="W269" s="89" t="s">
        <v>649</v>
      </c>
      <c r="X269" s="89" t="s">
        <v>76</v>
      </c>
      <c r="Y269" s="89" t="s">
        <v>619</v>
      </c>
      <c r="Z269" s="89" t="s">
        <v>68</v>
      </c>
      <c r="AA269" s="89" t="s">
        <v>67</v>
      </c>
      <c r="AB269" s="89">
        <v>2</v>
      </c>
      <c r="AC269" s="89">
        <v>6</v>
      </c>
      <c r="AD269" s="89">
        <v>1</v>
      </c>
      <c r="AE269" s="89" t="s">
        <v>0</v>
      </c>
      <c r="AF269" s="90">
        <v>367</v>
      </c>
      <c r="AG269" s="90">
        <v>44726</v>
      </c>
      <c r="AH269" s="90">
        <v>45818</v>
      </c>
    </row>
    <row r="270" spans="1:34" x14ac:dyDescent="0.35">
      <c r="A270" s="89" t="str">
        <f t="shared" si="9"/>
        <v>00UV</v>
      </c>
      <c r="B270" s="89" t="s">
        <v>909</v>
      </c>
      <c r="C270" s="89" t="s">
        <v>910</v>
      </c>
      <c r="D270" s="89" t="s">
        <v>154</v>
      </c>
      <c r="E270" s="89" t="s">
        <v>911</v>
      </c>
      <c r="F270" s="89" t="s">
        <v>1815</v>
      </c>
      <c r="G270" s="89" t="s">
        <v>70</v>
      </c>
      <c r="H270" s="89" t="s">
        <v>70</v>
      </c>
      <c r="I270" s="89" t="s">
        <v>1547</v>
      </c>
      <c r="J270" s="89">
        <v>0</v>
      </c>
      <c r="K270" s="89" t="s">
        <v>53</v>
      </c>
      <c r="L270" s="89" t="s">
        <v>1548</v>
      </c>
      <c r="M270" s="91"/>
      <c r="N270" s="89" t="s">
        <v>1549</v>
      </c>
      <c r="O270" s="89" t="s">
        <v>615</v>
      </c>
      <c r="P270" s="89" t="s">
        <v>1550</v>
      </c>
      <c r="Q270" s="89" t="s">
        <v>629</v>
      </c>
      <c r="R270" s="89">
        <v>24</v>
      </c>
      <c r="S270" s="89" t="s">
        <v>1551</v>
      </c>
      <c r="T270" s="89" t="s">
        <v>1555</v>
      </c>
      <c r="U270" s="89" t="s">
        <v>1552</v>
      </c>
      <c r="V270" s="89" t="s">
        <v>1561</v>
      </c>
      <c r="W270" s="89" t="s">
        <v>677</v>
      </c>
      <c r="X270" s="89" t="s">
        <v>66</v>
      </c>
      <c r="Y270" s="89" t="s">
        <v>619</v>
      </c>
      <c r="Z270" s="89" t="s">
        <v>68</v>
      </c>
      <c r="AA270" s="89" t="s">
        <v>67</v>
      </c>
      <c r="AB270" s="89">
        <v>1</v>
      </c>
      <c r="AC270" s="89">
        <v>6</v>
      </c>
      <c r="AD270" s="89">
        <v>1</v>
      </c>
      <c r="AE270" s="89" t="s">
        <v>0</v>
      </c>
      <c r="AF270" s="90">
        <v>367</v>
      </c>
      <c r="AG270" s="90">
        <v>44727</v>
      </c>
      <c r="AH270" s="90">
        <v>45818</v>
      </c>
    </row>
    <row r="271" spans="1:34" x14ac:dyDescent="0.35">
      <c r="A271" s="89" t="str">
        <f t="shared" si="9"/>
        <v>692Q</v>
      </c>
      <c r="B271" s="89" t="s">
        <v>1819</v>
      </c>
      <c r="C271" s="89" t="s">
        <v>1820</v>
      </c>
      <c r="D271" s="89" t="s">
        <v>378</v>
      </c>
      <c r="E271" s="89" t="s">
        <v>1821</v>
      </c>
      <c r="F271" s="89" t="s">
        <v>1815</v>
      </c>
      <c r="G271" s="89" t="s">
        <v>70</v>
      </c>
      <c r="H271" s="89" t="s">
        <v>70</v>
      </c>
      <c r="I271" s="91"/>
      <c r="J271" s="89">
        <v>0</v>
      </c>
      <c r="K271" s="89" t="s">
        <v>53</v>
      </c>
      <c r="L271" s="89" t="s">
        <v>1548</v>
      </c>
      <c r="M271" s="91"/>
      <c r="N271" s="89" t="s">
        <v>1549</v>
      </c>
      <c r="O271" s="89" t="s">
        <v>615</v>
      </c>
      <c r="P271" s="89" t="s">
        <v>1550</v>
      </c>
      <c r="Q271" s="89" t="s">
        <v>629</v>
      </c>
      <c r="R271" s="89">
        <v>24</v>
      </c>
      <c r="S271" s="89" t="s">
        <v>1551</v>
      </c>
      <c r="T271" s="89" t="s">
        <v>1555</v>
      </c>
      <c r="U271" s="89" t="s">
        <v>1552</v>
      </c>
      <c r="V271" s="89" t="s">
        <v>1561</v>
      </c>
      <c r="W271" s="89" t="s">
        <v>649</v>
      </c>
      <c r="X271" s="89" t="s">
        <v>76</v>
      </c>
      <c r="Y271" s="89" t="s">
        <v>619</v>
      </c>
      <c r="Z271" s="89" t="s">
        <v>68</v>
      </c>
      <c r="AA271" s="89" t="s">
        <v>67</v>
      </c>
      <c r="AB271" s="89">
        <v>1</v>
      </c>
      <c r="AC271" s="89">
        <v>6</v>
      </c>
      <c r="AD271" s="89">
        <v>1</v>
      </c>
      <c r="AE271" s="89" t="s">
        <v>0</v>
      </c>
      <c r="AF271" s="90">
        <v>367</v>
      </c>
      <c r="AG271" s="90">
        <v>44727</v>
      </c>
      <c r="AH271" s="90">
        <v>45818</v>
      </c>
    </row>
    <row r="272" spans="1:34" x14ac:dyDescent="0.35">
      <c r="A272" s="89" t="str">
        <f t="shared" si="9"/>
        <v>226K</v>
      </c>
      <c r="B272" s="89" t="s">
        <v>992</v>
      </c>
      <c r="C272" s="89" t="s">
        <v>993</v>
      </c>
      <c r="D272" s="89" t="s">
        <v>213</v>
      </c>
      <c r="E272" s="89" t="s">
        <v>994</v>
      </c>
      <c r="F272" s="89" t="s">
        <v>1815</v>
      </c>
      <c r="G272" s="89" t="s">
        <v>70</v>
      </c>
      <c r="H272" s="89" t="s">
        <v>70</v>
      </c>
      <c r="I272" s="91"/>
      <c r="J272" s="89">
        <v>0</v>
      </c>
      <c r="K272" s="89" t="s">
        <v>53</v>
      </c>
      <c r="L272" s="89" t="s">
        <v>1548</v>
      </c>
      <c r="M272" s="91"/>
      <c r="N272" s="89" t="s">
        <v>1549</v>
      </c>
      <c r="O272" s="89" t="s">
        <v>615</v>
      </c>
      <c r="P272" s="89" t="s">
        <v>1550</v>
      </c>
      <c r="Q272" s="89" t="s">
        <v>629</v>
      </c>
      <c r="R272" s="89">
        <v>24</v>
      </c>
      <c r="S272" s="89" t="s">
        <v>1551</v>
      </c>
      <c r="T272" s="89" t="s">
        <v>1555</v>
      </c>
      <c r="U272" s="89" t="s">
        <v>1552</v>
      </c>
      <c r="V272" s="89" t="s">
        <v>1561</v>
      </c>
      <c r="W272" s="89" t="s">
        <v>649</v>
      </c>
      <c r="X272" s="89" t="s">
        <v>76</v>
      </c>
      <c r="Y272" s="89" t="s">
        <v>619</v>
      </c>
      <c r="Z272" s="89" t="s">
        <v>68</v>
      </c>
      <c r="AA272" s="89" t="s">
        <v>67</v>
      </c>
      <c r="AB272" s="89">
        <v>1</v>
      </c>
      <c r="AC272" s="89">
        <v>6</v>
      </c>
      <c r="AD272" s="89">
        <v>1</v>
      </c>
      <c r="AE272" s="89" t="s">
        <v>0</v>
      </c>
      <c r="AF272" s="90">
        <v>367</v>
      </c>
      <c r="AG272" s="90">
        <v>44723</v>
      </c>
      <c r="AH272" s="90">
        <v>45818</v>
      </c>
    </row>
    <row r="273" spans="1:37" x14ac:dyDescent="0.35">
      <c r="A273" s="89" t="str">
        <f t="shared" si="9"/>
        <v>00X4</v>
      </c>
      <c r="B273" s="89" t="s">
        <v>920</v>
      </c>
      <c r="C273" s="89" t="s">
        <v>921</v>
      </c>
      <c r="D273" s="89" t="s">
        <v>160</v>
      </c>
      <c r="E273" s="89" t="s">
        <v>922</v>
      </c>
      <c r="F273" s="89" t="s">
        <v>1815</v>
      </c>
      <c r="G273" s="89" t="s">
        <v>70</v>
      </c>
      <c r="H273" s="89" t="s">
        <v>70</v>
      </c>
      <c r="I273" s="91"/>
      <c r="J273" s="89">
        <v>0</v>
      </c>
      <c r="K273" s="89" t="s">
        <v>53</v>
      </c>
      <c r="L273" s="89" t="s">
        <v>1548</v>
      </c>
      <c r="M273" s="91"/>
      <c r="N273" s="89" t="s">
        <v>1549</v>
      </c>
      <c r="O273" s="89" t="s">
        <v>615</v>
      </c>
      <c r="P273" s="89" t="s">
        <v>1550</v>
      </c>
      <c r="Q273" s="89" t="s">
        <v>629</v>
      </c>
      <c r="R273" s="89">
        <v>24</v>
      </c>
      <c r="S273" s="89" t="s">
        <v>1551</v>
      </c>
      <c r="T273" s="89" t="s">
        <v>1555</v>
      </c>
      <c r="U273" s="89" t="s">
        <v>1552</v>
      </c>
      <c r="V273" s="89" t="s">
        <v>1561</v>
      </c>
      <c r="W273" s="89" t="s">
        <v>677</v>
      </c>
      <c r="X273" s="89" t="s">
        <v>66</v>
      </c>
      <c r="Y273" s="89" t="s">
        <v>619</v>
      </c>
      <c r="Z273" s="89" t="s">
        <v>68</v>
      </c>
      <c r="AA273" s="89" t="s">
        <v>67</v>
      </c>
      <c r="AB273" s="89">
        <v>2</v>
      </c>
      <c r="AC273" s="89">
        <v>6</v>
      </c>
      <c r="AD273" s="89">
        <v>1</v>
      </c>
      <c r="AE273" s="89" t="s">
        <v>0</v>
      </c>
      <c r="AF273" s="90">
        <v>367</v>
      </c>
      <c r="AG273" s="90">
        <v>44723</v>
      </c>
      <c r="AH273" s="90">
        <v>45818</v>
      </c>
    </row>
    <row r="274" spans="1:37" x14ac:dyDescent="0.35">
      <c r="A274" s="89" t="str">
        <f t="shared" si="9"/>
        <v>01H2</v>
      </c>
      <c r="B274" s="89" t="s">
        <v>1483</v>
      </c>
      <c r="C274" s="89" t="s">
        <v>1484</v>
      </c>
      <c r="D274" s="89" t="s">
        <v>352</v>
      </c>
      <c r="E274" s="89" t="s">
        <v>1822</v>
      </c>
      <c r="F274" s="89" t="s">
        <v>1815</v>
      </c>
      <c r="G274" s="89" t="s">
        <v>70</v>
      </c>
      <c r="H274" s="89" t="s">
        <v>70</v>
      </c>
      <c r="I274" s="91"/>
      <c r="J274" s="89">
        <v>0</v>
      </c>
      <c r="K274" s="89" t="s">
        <v>53</v>
      </c>
      <c r="L274" s="89" t="s">
        <v>1548</v>
      </c>
      <c r="M274" s="91"/>
      <c r="N274" s="89" t="s">
        <v>1549</v>
      </c>
      <c r="O274" s="89" t="s">
        <v>615</v>
      </c>
      <c r="P274" s="89" t="s">
        <v>1550</v>
      </c>
      <c r="Q274" s="89" t="s">
        <v>629</v>
      </c>
      <c r="R274" s="89">
        <v>24</v>
      </c>
      <c r="S274" s="89" t="s">
        <v>1551</v>
      </c>
      <c r="T274" s="89" t="s">
        <v>1555</v>
      </c>
      <c r="U274" s="89" t="s">
        <v>1552</v>
      </c>
      <c r="V274" s="89" t="s">
        <v>1561</v>
      </c>
      <c r="W274" s="89" t="s">
        <v>649</v>
      </c>
      <c r="X274" s="89" t="s">
        <v>76</v>
      </c>
      <c r="Y274" s="89" t="s">
        <v>619</v>
      </c>
      <c r="Z274" s="89" t="s">
        <v>68</v>
      </c>
      <c r="AA274" s="89" t="s">
        <v>67</v>
      </c>
      <c r="AB274" s="89">
        <v>2</v>
      </c>
      <c r="AC274" s="89">
        <v>6</v>
      </c>
      <c r="AD274" s="89">
        <v>1</v>
      </c>
      <c r="AE274" s="89" t="s">
        <v>0</v>
      </c>
      <c r="AF274" s="90">
        <v>367</v>
      </c>
      <c r="AG274" s="90">
        <v>44723</v>
      </c>
      <c r="AH274" s="90">
        <v>45818</v>
      </c>
    </row>
    <row r="275" spans="1:37" x14ac:dyDescent="0.35">
      <c r="A275" s="89" t="str">
        <f t="shared" si="9"/>
        <v>00FT</v>
      </c>
      <c r="B275" s="89" t="s">
        <v>852</v>
      </c>
      <c r="C275" s="89" t="s">
        <v>853</v>
      </c>
      <c r="D275" s="89" t="s">
        <v>106</v>
      </c>
      <c r="E275" s="89" t="s">
        <v>1823</v>
      </c>
      <c r="F275" s="89" t="s">
        <v>1815</v>
      </c>
      <c r="G275" s="89" t="s">
        <v>70</v>
      </c>
      <c r="H275" s="89" t="s">
        <v>70</v>
      </c>
      <c r="I275" s="89" t="s">
        <v>1547</v>
      </c>
      <c r="J275" s="89">
        <v>0</v>
      </c>
      <c r="K275" s="89" t="s">
        <v>53</v>
      </c>
      <c r="L275" s="89" t="s">
        <v>1548</v>
      </c>
      <c r="M275" s="91"/>
      <c r="N275" s="89" t="s">
        <v>1549</v>
      </c>
      <c r="O275" s="89" t="s">
        <v>615</v>
      </c>
      <c r="P275" s="89" t="s">
        <v>1550</v>
      </c>
      <c r="Q275" s="89" t="s">
        <v>629</v>
      </c>
      <c r="R275" s="89">
        <v>24</v>
      </c>
      <c r="S275" s="89" t="s">
        <v>1555</v>
      </c>
      <c r="T275" s="89" t="s">
        <v>1555</v>
      </c>
      <c r="U275" s="89" t="s">
        <v>1552</v>
      </c>
      <c r="V275" s="89" t="s">
        <v>1561</v>
      </c>
      <c r="W275" s="89" t="s">
        <v>649</v>
      </c>
      <c r="X275" s="89" t="s">
        <v>76</v>
      </c>
      <c r="Y275" s="89" t="s">
        <v>619</v>
      </c>
      <c r="Z275" s="89" t="s">
        <v>68</v>
      </c>
      <c r="AA275" s="89" t="s">
        <v>67</v>
      </c>
      <c r="AB275" s="89">
        <v>1</v>
      </c>
      <c r="AC275" s="89">
        <v>6</v>
      </c>
      <c r="AD275" s="89">
        <v>1</v>
      </c>
      <c r="AE275" s="89" t="s">
        <v>0</v>
      </c>
      <c r="AF275" s="90">
        <v>367</v>
      </c>
      <c r="AG275" s="90">
        <v>44724</v>
      </c>
      <c r="AH275" s="90">
        <v>45818</v>
      </c>
    </row>
    <row r="276" spans="1:37" x14ac:dyDescent="0.35">
      <c r="A276" s="89" t="str">
        <f t="shared" si="9"/>
        <v>2900</v>
      </c>
      <c r="B276" s="89" t="s">
        <v>1009</v>
      </c>
      <c r="C276" s="89" t="s">
        <v>1010</v>
      </c>
      <c r="D276" s="89" t="s">
        <v>226</v>
      </c>
      <c r="E276" s="89" t="s">
        <v>1011</v>
      </c>
      <c r="F276" s="89" t="s">
        <v>1815</v>
      </c>
      <c r="G276" s="89" t="s">
        <v>70</v>
      </c>
      <c r="H276" s="89" t="s">
        <v>70</v>
      </c>
      <c r="I276" s="91"/>
      <c r="J276" s="89">
        <v>0</v>
      </c>
      <c r="K276" s="89" t="s">
        <v>53</v>
      </c>
      <c r="L276" s="89" t="s">
        <v>1548</v>
      </c>
      <c r="M276" s="91"/>
      <c r="N276" s="89" t="s">
        <v>1549</v>
      </c>
      <c r="O276" s="89" t="s">
        <v>615</v>
      </c>
      <c r="P276" s="89" t="s">
        <v>1550</v>
      </c>
      <c r="Q276" s="89" t="s">
        <v>629</v>
      </c>
      <c r="R276" s="89">
        <v>24</v>
      </c>
      <c r="S276" s="89" t="s">
        <v>1551</v>
      </c>
      <c r="T276" s="89" t="s">
        <v>1555</v>
      </c>
      <c r="U276" s="89" t="s">
        <v>1552</v>
      </c>
      <c r="V276" s="89" t="s">
        <v>1561</v>
      </c>
      <c r="W276" s="89" t="s">
        <v>677</v>
      </c>
      <c r="X276" s="89" t="s">
        <v>66</v>
      </c>
      <c r="Y276" s="89" t="s">
        <v>619</v>
      </c>
      <c r="Z276" s="89" t="s">
        <v>68</v>
      </c>
      <c r="AA276" s="89" t="s">
        <v>67</v>
      </c>
      <c r="AB276" s="89">
        <v>1</v>
      </c>
      <c r="AC276" s="89">
        <v>6</v>
      </c>
      <c r="AD276" s="89">
        <v>1</v>
      </c>
      <c r="AE276" s="89" t="s">
        <v>0</v>
      </c>
      <c r="AF276" s="90">
        <v>367</v>
      </c>
      <c r="AG276" s="90">
        <v>44724</v>
      </c>
      <c r="AH276" s="90">
        <v>45818</v>
      </c>
    </row>
    <row r="277" spans="1:37" x14ac:dyDescent="0.35">
      <c r="A277" s="89" t="str">
        <f t="shared" si="9"/>
        <v>4078</v>
      </c>
      <c r="B277" s="89" t="s">
        <v>1071</v>
      </c>
      <c r="C277" s="89" t="s">
        <v>1072</v>
      </c>
      <c r="D277" s="89" t="s">
        <v>257</v>
      </c>
      <c r="E277" s="89" t="s">
        <v>1073</v>
      </c>
      <c r="F277" s="89" t="s">
        <v>1815</v>
      </c>
      <c r="G277" s="89" t="s">
        <v>70</v>
      </c>
      <c r="H277" s="89" t="s">
        <v>70</v>
      </c>
      <c r="I277" s="91"/>
      <c r="J277" s="89">
        <v>0</v>
      </c>
      <c r="K277" s="89" t="s">
        <v>53</v>
      </c>
      <c r="L277" s="89" t="s">
        <v>1548</v>
      </c>
      <c r="M277" s="91"/>
      <c r="N277" s="89" t="s">
        <v>1549</v>
      </c>
      <c r="O277" s="89" t="s">
        <v>615</v>
      </c>
      <c r="P277" s="89" t="s">
        <v>1550</v>
      </c>
      <c r="Q277" s="89" t="s">
        <v>629</v>
      </c>
      <c r="R277" s="89">
        <v>24</v>
      </c>
      <c r="S277" s="89" t="s">
        <v>1551</v>
      </c>
      <c r="T277" s="89" t="s">
        <v>1555</v>
      </c>
      <c r="U277" s="89" t="s">
        <v>1552</v>
      </c>
      <c r="V277" s="89" t="s">
        <v>1561</v>
      </c>
      <c r="W277" s="89" t="s">
        <v>677</v>
      </c>
      <c r="X277" s="89" t="s">
        <v>66</v>
      </c>
      <c r="Y277" s="89" t="s">
        <v>619</v>
      </c>
      <c r="Z277" s="89" t="s">
        <v>68</v>
      </c>
      <c r="AA277" s="89" t="s">
        <v>67</v>
      </c>
      <c r="AB277" s="89">
        <v>1</v>
      </c>
      <c r="AC277" s="89">
        <v>6</v>
      </c>
      <c r="AD277" s="89">
        <v>1</v>
      </c>
      <c r="AE277" s="89" t="s">
        <v>0</v>
      </c>
      <c r="AF277" s="90">
        <v>367</v>
      </c>
      <c r="AG277" s="90">
        <v>44724</v>
      </c>
      <c r="AH277" s="90">
        <v>45818</v>
      </c>
    </row>
    <row r="278" spans="1:37" x14ac:dyDescent="0.35">
      <c r="A278" s="89" t="str">
        <f t="shared" si="9"/>
        <v>687L</v>
      </c>
      <c r="B278" s="89" t="s">
        <v>1824</v>
      </c>
      <c r="C278" s="89" t="s">
        <v>1825</v>
      </c>
      <c r="D278" s="89" t="s">
        <v>366</v>
      </c>
      <c r="E278" s="89" t="s">
        <v>1826</v>
      </c>
      <c r="F278" s="89" t="s">
        <v>1815</v>
      </c>
      <c r="G278" s="89" t="s">
        <v>70</v>
      </c>
      <c r="H278" s="89" t="s">
        <v>70</v>
      </c>
      <c r="I278" s="89" t="s">
        <v>1547</v>
      </c>
      <c r="J278" s="89">
        <v>0</v>
      </c>
      <c r="K278" s="89" t="s">
        <v>53</v>
      </c>
      <c r="L278" s="89" t="s">
        <v>1548</v>
      </c>
      <c r="M278" s="91"/>
      <c r="N278" s="89" t="s">
        <v>1549</v>
      </c>
      <c r="O278" s="89" t="s">
        <v>615</v>
      </c>
      <c r="P278" s="89" t="s">
        <v>1550</v>
      </c>
      <c r="Q278" s="89" t="s">
        <v>629</v>
      </c>
      <c r="R278" s="89">
        <v>24</v>
      </c>
      <c r="S278" s="89" t="s">
        <v>1551</v>
      </c>
      <c r="T278" s="89" t="s">
        <v>1555</v>
      </c>
      <c r="U278" s="89" t="s">
        <v>1552</v>
      </c>
      <c r="V278" s="89" t="s">
        <v>1561</v>
      </c>
      <c r="W278" s="89" t="s">
        <v>649</v>
      </c>
      <c r="X278" s="89" t="s">
        <v>76</v>
      </c>
      <c r="Y278" s="89" t="s">
        <v>619</v>
      </c>
      <c r="Z278" s="89" t="s">
        <v>68</v>
      </c>
      <c r="AA278" s="89" t="s">
        <v>67</v>
      </c>
      <c r="AB278" s="89">
        <v>1</v>
      </c>
      <c r="AC278" s="89">
        <v>6</v>
      </c>
      <c r="AD278" s="89">
        <v>1</v>
      </c>
      <c r="AE278" s="89" t="s">
        <v>0</v>
      </c>
      <c r="AF278" s="90">
        <v>367</v>
      </c>
      <c r="AG278" s="90">
        <v>44723</v>
      </c>
      <c r="AH278" s="90">
        <v>45818</v>
      </c>
    </row>
    <row r="279" spans="1:37" x14ac:dyDescent="0.35">
      <c r="A279" s="89" t="str">
        <f t="shared" si="9"/>
        <v>688B</v>
      </c>
      <c r="B279" s="89" t="s">
        <v>1184</v>
      </c>
      <c r="C279" s="89" t="s">
        <v>1185</v>
      </c>
      <c r="D279" s="89" t="s">
        <v>369</v>
      </c>
      <c r="E279" s="89" t="s">
        <v>1186</v>
      </c>
      <c r="F279" s="89" t="s">
        <v>1815</v>
      </c>
      <c r="G279" s="89" t="s">
        <v>70</v>
      </c>
      <c r="H279" s="89" t="s">
        <v>70</v>
      </c>
      <c r="I279" s="89" t="s">
        <v>1547</v>
      </c>
      <c r="J279" s="89">
        <v>0</v>
      </c>
      <c r="K279" s="89" t="s">
        <v>53</v>
      </c>
      <c r="L279" s="89" t="s">
        <v>1548</v>
      </c>
      <c r="M279" s="91"/>
      <c r="N279" s="89" t="s">
        <v>1549</v>
      </c>
      <c r="O279" s="89" t="s">
        <v>615</v>
      </c>
      <c r="P279" s="89" t="s">
        <v>1550</v>
      </c>
      <c r="Q279" s="89" t="s">
        <v>629</v>
      </c>
      <c r="R279" s="89">
        <v>15</v>
      </c>
      <c r="S279" s="89" t="s">
        <v>1555</v>
      </c>
      <c r="T279" s="89" t="s">
        <v>1555</v>
      </c>
      <c r="U279" s="89" t="s">
        <v>1552</v>
      </c>
      <c r="V279" s="89" t="s">
        <v>1561</v>
      </c>
      <c r="W279" s="89" t="s">
        <v>677</v>
      </c>
      <c r="X279" s="89" t="s">
        <v>66</v>
      </c>
      <c r="Y279" s="89" t="s">
        <v>619</v>
      </c>
      <c r="Z279" s="89" t="s">
        <v>68</v>
      </c>
      <c r="AA279" s="89" t="s">
        <v>67</v>
      </c>
      <c r="AB279" s="89">
        <v>1</v>
      </c>
      <c r="AC279" s="89">
        <v>6</v>
      </c>
      <c r="AD279" s="89">
        <v>1</v>
      </c>
      <c r="AE279" s="89" t="s">
        <v>0</v>
      </c>
      <c r="AF279" s="90">
        <v>367</v>
      </c>
      <c r="AG279" s="90">
        <v>44800</v>
      </c>
      <c r="AH279" s="90">
        <v>45896</v>
      </c>
    </row>
    <row r="280" spans="1:37" x14ac:dyDescent="0.35">
      <c r="A280" s="89" t="str">
        <f t="shared" si="9"/>
        <v>00V9</v>
      </c>
      <c r="B280" s="89" t="s">
        <v>915</v>
      </c>
      <c r="C280" s="89" t="s">
        <v>916</v>
      </c>
      <c r="D280" s="89" t="s">
        <v>157</v>
      </c>
      <c r="E280" s="89" t="s">
        <v>1827</v>
      </c>
      <c r="F280" s="89" t="s">
        <v>1815</v>
      </c>
      <c r="G280" s="89" t="s">
        <v>70</v>
      </c>
      <c r="H280" s="89" t="s">
        <v>70</v>
      </c>
      <c r="I280" s="91"/>
      <c r="J280" s="89">
        <v>0</v>
      </c>
      <c r="K280" s="89" t="s">
        <v>53</v>
      </c>
      <c r="L280" s="89" t="s">
        <v>1548</v>
      </c>
      <c r="M280" s="91"/>
      <c r="N280" s="89" t="s">
        <v>1549</v>
      </c>
      <c r="O280" s="89" t="s">
        <v>615</v>
      </c>
      <c r="P280" s="89" t="s">
        <v>1550</v>
      </c>
      <c r="Q280" s="89" t="s">
        <v>629</v>
      </c>
      <c r="R280" s="89">
        <v>24</v>
      </c>
      <c r="S280" s="89" t="s">
        <v>1551</v>
      </c>
      <c r="T280" s="89" t="s">
        <v>1555</v>
      </c>
      <c r="U280" s="89" t="s">
        <v>1552</v>
      </c>
      <c r="V280" s="89" t="s">
        <v>1561</v>
      </c>
      <c r="W280" s="89" t="s">
        <v>649</v>
      </c>
      <c r="X280" s="89" t="s">
        <v>76</v>
      </c>
      <c r="Y280" s="89" t="s">
        <v>619</v>
      </c>
      <c r="Z280" s="89" t="s">
        <v>68</v>
      </c>
      <c r="AA280" s="89" t="s">
        <v>67</v>
      </c>
      <c r="AB280" s="89">
        <v>1</v>
      </c>
      <c r="AC280" s="89">
        <v>6</v>
      </c>
      <c r="AD280" s="89">
        <v>1</v>
      </c>
      <c r="AE280" s="89" t="s">
        <v>287</v>
      </c>
      <c r="AF280" s="90">
        <v>367</v>
      </c>
      <c r="AG280" s="90">
        <v>45059</v>
      </c>
      <c r="AH280" s="90">
        <v>46143</v>
      </c>
    </row>
    <row r="281" spans="1:37" x14ac:dyDescent="0.35">
      <c r="A281" s="89" t="str">
        <f t="shared" si="9"/>
        <v>660D</v>
      </c>
      <c r="B281" s="89" t="s">
        <v>1160</v>
      </c>
      <c r="C281" s="89" t="s">
        <v>1828</v>
      </c>
      <c r="D281" s="89" t="s">
        <v>344</v>
      </c>
      <c r="E281" s="89" t="s">
        <v>1829</v>
      </c>
      <c r="F281" s="89" t="s">
        <v>1815</v>
      </c>
      <c r="G281" s="89" t="s">
        <v>70</v>
      </c>
      <c r="H281" s="89" t="s">
        <v>70</v>
      </c>
      <c r="I281" s="91"/>
      <c r="J281" s="89">
        <v>0</v>
      </c>
      <c r="K281" s="89" t="s">
        <v>53</v>
      </c>
      <c r="L281" s="89" t="s">
        <v>1548</v>
      </c>
      <c r="M281" s="91"/>
      <c r="N281" s="89" t="s">
        <v>1549</v>
      </c>
      <c r="O281" s="89" t="s">
        <v>615</v>
      </c>
      <c r="P281" s="89" t="s">
        <v>1550</v>
      </c>
      <c r="Q281" s="89" t="s">
        <v>629</v>
      </c>
      <c r="R281" s="89">
        <v>24</v>
      </c>
      <c r="S281" s="89" t="s">
        <v>1551</v>
      </c>
      <c r="T281" s="89" t="s">
        <v>1551</v>
      </c>
      <c r="U281" s="89" t="s">
        <v>1552</v>
      </c>
      <c r="V281" s="89" t="s">
        <v>1561</v>
      </c>
      <c r="W281" s="89" t="s">
        <v>649</v>
      </c>
      <c r="X281" s="89" t="s">
        <v>76</v>
      </c>
      <c r="Y281" s="89" t="s">
        <v>619</v>
      </c>
      <c r="Z281" s="89" t="s">
        <v>68</v>
      </c>
      <c r="AA281" s="89" t="s">
        <v>67</v>
      </c>
      <c r="AB281" s="89">
        <v>1</v>
      </c>
      <c r="AC281" s="89">
        <v>6</v>
      </c>
      <c r="AD281" s="89">
        <v>1</v>
      </c>
      <c r="AE281" s="89" t="s">
        <v>287</v>
      </c>
      <c r="AF281" s="90">
        <v>367</v>
      </c>
      <c r="AG281" s="90">
        <v>45061</v>
      </c>
      <c r="AH281" s="90">
        <v>46157</v>
      </c>
    </row>
    <row r="282" spans="1:37" x14ac:dyDescent="0.35">
      <c r="A282" s="89" t="str">
        <f t="shared" si="9"/>
        <v>407D</v>
      </c>
      <c r="B282" s="89" t="s">
        <v>1077</v>
      </c>
      <c r="C282" s="89" t="s">
        <v>1078</v>
      </c>
      <c r="D282" s="89" t="s">
        <v>259</v>
      </c>
      <c r="E282" s="89" t="s">
        <v>1079</v>
      </c>
      <c r="F282" s="89" t="s">
        <v>1815</v>
      </c>
      <c r="G282" s="89" t="s">
        <v>70</v>
      </c>
      <c r="H282" s="89" t="s">
        <v>70</v>
      </c>
      <c r="I282" s="91"/>
      <c r="J282" s="89">
        <v>0</v>
      </c>
      <c r="K282" s="89" t="s">
        <v>53</v>
      </c>
      <c r="L282" s="89" t="s">
        <v>1548</v>
      </c>
      <c r="M282" s="91"/>
      <c r="N282" s="89" t="s">
        <v>1549</v>
      </c>
      <c r="O282" s="89" t="s">
        <v>615</v>
      </c>
      <c r="P282" s="89" t="s">
        <v>1550</v>
      </c>
      <c r="Q282" s="89" t="s">
        <v>629</v>
      </c>
      <c r="R282" s="89">
        <v>24</v>
      </c>
      <c r="S282" s="89" t="s">
        <v>1551</v>
      </c>
      <c r="T282" s="89" t="s">
        <v>1551</v>
      </c>
      <c r="U282" s="89" t="s">
        <v>1552</v>
      </c>
      <c r="V282" s="89" t="s">
        <v>1561</v>
      </c>
      <c r="W282" s="89" t="s">
        <v>677</v>
      </c>
      <c r="X282" s="89" t="s">
        <v>66</v>
      </c>
      <c r="Y282" s="89" t="s">
        <v>619</v>
      </c>
      <c r="Z282" s="89" t="s">
        <v>68</v>
      </c>
      <c r="AA282" s="89" t="s">
        <v>67</v>
      </c>
      <c r="AB282" s="89">
        <v>1</v>
      </c>
      <c r="AC282" s="89">
        <v>6</v>
      </c>
      <c r="AD282" s="89">
        <v>1</v>
      </c>
      <c r="AE282" s="89" t="s">
        <v>287</v>
      </c>
      <c r="AF282" s="90">
        <v>367</v>
      </c>
      <c r="AG282" s="90">
        <v>45061</v>
      </c>
      <c r="AH282" s="90">
        <v>46157</v>
      </c>
    </row>
    <row r="283" spans="1:37" x14ac:dyDescent="0.35">
      <c r="A283" s="89" t="str">
        <f t="shared" si="9"/>
        <v>554H</v>
      </c>
      <c r="B283" s="89" t="s">
        <v>1830</v>
      </c>
      <c r="C283" s="89" t="s">
        <v>1831</v>
      </c>
      <c r="D283" s="89" t="s">
        <v>296</v>
      </c>
      <c r="E283" s="89" t="s">
        <v>1832</v>
      </c>
      <c r="F283" s="89" t="s">
        <v>1815</v>
      </c>
      <c r="G283" s="89" t="s">
        <v>70</v>
      </c>
      <c r="H283" s="89" t="s">
        <v>70</v>
      </c>
      <c r="I283" s="91"/>
      <c r="J283" s="89">
        <v>0</v>
      </c>
      <c r="K283" s="89" t="s">
        <v>53</v>
      </c>
      <c r="L283" s="89" t="s">
        <v>1548</v>
      </c>
      <c r="M283" s="91"/>
      <c r="N283" s="89" t="s">
        <v>1549</v>
      </c>
      <c r="O283" s="89" t="s">
        <v>615</v>
      </c>
      <c r="P283" s="89" t="s">
        <v>1550</v>
      </c>
      <c r="Q283" s="89" t="s">
        <v>629</v>
      </c>
      <c r="R283" s="89">
        <v>24</v>
      </c>
      <c r="S283" s="89" t="s">
        <v>1551</v>
      </c>
      <c r="T283" s="89" t="s">
        <v>1551</v>
      </c>
      <c r="U283" s="89" t="s">
        <v>1552</v>
      </c>
      <c r="V283" s="89" t="s">
        <v>1561</v>
      </c>
      <c r="W283" s="89" t="s">
        <v>649</v>
      </c>
      <c r="X283" s="89" t="s">
        <v>76</v>
      </c>
      <c r="Y283" s="89" t="s">
        <v>619</v>
      </c>
      <c r="Z283" s="89" t="s">
        <v>68</v>
      </c>
      <c r="AA283" s="89" t="s">
        <v>67</v>
      </c>
      <c r="AB283" s="89">
        <v>1</v>
      </c>
      <c r="AC283" s="89">
        <v>6</v>
      </c>
      <c r="AD283" s="89">
        <v>1</v>
      </c>
      <c r="AE283" s="89" t="s">
        <v>287</v>
      </c>
      <c r="AF283" s="90">
        <v>367</v>
      </c>
      <c r="AG283" s="90">
        <v>45061</v>
      </c>
      <c r="AH283" s="90">
        <v>46157</v>
      </c>
    </row>
    <row r="284" spans="1:37" x14ac:dyDescent="0.35">
      <c r="A284" s="89" t="str">
        <f t="shared" si="9"/>
        <v>694M</v>
      </c>
      <c r="B284" s="89" t="s">
        <v>1199</v>
      </c>
      <c r="C284" s="89" t="s">
        <v>1200</v>
      </c>
      <c r="D284" s="89" t="s">
        <v>381</v>
      </c>
      <c r="E284" s="89" t="s">
        <v>1201</v>
      </c>
      <c r="F284" s="89" t="s">
        <v>1815</v>
      </c>
      <c r="G284" s="89" t="s">
        <v>70</v>
      </c>
      <c r="H284" s="89" t="s">
        <v>70</v>
      </c>
      <c r="I284" s="91"/>
      <c r="J284" s="89">
        <v>0</v>
      </c>
      <c r="K284" s="89" t="s">
        <v>53</v>
      </c>
      <c r="L284" s="89" t="s">
        <v>1548</v>
      </c>
      <c r="M284" s="91"/>
      <c r="N284" s="89" t="s">
        <v>1549</v>
      </c>
      <c r="O284" s="89" t="s">
        <v>615</v>
      </c>
      <c r="P284" s="89" t="s">
        <v>1550</v>
      </c>
      <c r="Q284" s="89" t="s">
        <v>629</v>
      </c>
      <c r="R284" s="89">
        <v>24</v>
      </c>
      <c r="S284" s="89" t="s">
        <v>1551</v>
      </c>
      <c r="T284" s="89" t="s">
        <v>1555</v>
      </c>
      <c r="U284" s="89" t="s">
        <v>1552</v>
      </c>
      <c r="V284" s="89" t="s">
        <v>1561</v>
      </c>
      <c r="W284" s="89" t="s">
        <v>677</v>
      </c>
      <c r="X284" s="89" t="s">
        <v>66</v>
      </c>
      <c r="Y284" s="89" t="s">
        <v>619</v>
      </c>
      <c r="Z284" s="89" t="s">
        <v>68</v>
      </c>
      <c r="AA284" s="89" t="s">
        <v>67</v>
      </c>
      <c r="AB284" s="89">
        <v>2</v>
      </c>
      <c r="AC284" s="89">
        <v>6</v>
      </c>
      <c r="AD284" s="89">
        <v>1</v>
      </c>
      <c r="AE284" s="89" t="s">
        <v>287</v>
      </c>
      <c r="AF284" s="90">
        <v>367</v>
      </c>
      <c r="AG284" s="90">
        <v>45082</v>
      </c>
      <c r="AH284" s="90">
        <v>46174</v>
      </c>
    </row>
    <row r="285" spans="1:37" x14ac:dyDescent="0.35">
      <c r="A285" s="89" t="str">
        <f t="shared" si="9"/>
        <v>ZRQ6</v>
      </c>
      <c r="B285" s="89" t="s">
        <v>1291</v>
      </c>
      <c r="C285" s="89" t="s">
        <v>1292</v>
      </c>
      <c r="D285" s="89" t="s">
        <v>537</v>
      </c>
      <c r="E285" s="89" t="s">
        <v>1293</v>
      </c>
      <c r="F285" s="89" t="s">
        <v>1815</v>
      </c>
      <c r="G285" s="89" t="s">
        <v>70</v>
      </c>
      <c r="H285" s="89" t="s">
        <v>70</v>
      </c>
      <c r="I285" s="91"/>
      <c r="J285" s="89">
        <v>0</v>
      </c>
      <c r="K285" s="26" t="s">
        <v>38</v>
      </c>
      <c r="L285" s="89" t="s">
        <v>1588</v>
      </c>
      <c r="M285" s="91"/>
      <c r="N285" s="89" t="s">
        <v>1549</v>
      </c>
      <c r="O285" s="89" t="s">
        <v>615</v>
      </c>
      <c r="P285" s="89" t="s">
        <v>1550</v>
      </c>
      <c r="Q285" s="89" t="s">
        <v>629</v>
      </c>
      <c r="R285" s="89">
        <v>24</v>
      </c>
      <c r="S285" s="89" t="s">
        <v>1551</v>
      </c>
      <c r="T285" s="89" t="s">
        <v>1558</v>
      </c>
      <c r="U285" s="89" t="s">
        <v>1552</v>
      </c>
      <c r="V285" s="89" t="s">
        <v>1561</v>
      </c>
      <c r="W285" s="89" t="s">
        <v>649</v>
      </c>
      <c r="X285" s="89" t="s">
        <v>76</v>
      </c>
      <c r="Y285" s="89" t="s">
        <v>619</v>
      </c>
      <c r="Z285" s="89" t="s">
        <v>68</v>
      </c>
      <c r="AA285" s="89" t="s">
        <v>67</v>
      </c>
      <c r="AB285" s="89">
        <v>1</v>
      </c>
      <c r="AC285" s="89">
        <v>6</v>
      </c>
      <c r="AD285" s="89">
        <v>1</v>
      </c>
      <c r="AE285" s="89" t="s">
        <v>287</v>
      </c>
      <c r="AF285" s="90">
        <v>367</v>
      </c>
      <c r="AG285" s="90">
        <v>45102</v>
      </c>
      <c r="AH285" s="90">
        <v>46193</v>
      </c>
      <c r="AJ285" t="e">
        <f>VLOOKUP(A285,'1'!B:Q,16,0)</f>
        <v>#N/A</v>
      </c>
      <c r="AK285" s="96" t="e">
        <f t="shared" ref="AK285:AK290" si="11">AJ285/250</f>
        <v>#N/A</v>
      </c>
    </row>
    <row r="286" spans="1:37" x14ac:dyDescent="0.35">
      <c r="A286" s="89" t="str">
        <f t="shared" si="9"/>
        <v>ZRR6</v>
      </c>
      <c r="B286" s="89" t="s">
        <v>1833</v>
      </c>
      <c r="C286" s="89" t="s">
        <v>1834</v>
      </c>
      <c r="D286" s="89" t="s">
        <v>539</v>
      </c>
      <c r="E286" s="89" t="s">
        <v>1835</v>
      </c>
      <c r="F286" s="89" t="s">
        <v>1815</v>
      </c>
      <c r="G286" s="89" t="s">
        <v>70</v>
      </c>
      <c r="H286" s="89" t="s">
        <v>70</v>
      </c>
      <c r="I286" s="89" t="s">
        <v>1547</v>
      </c>
      <c r="J286" s="89">
        <v>0</v>
      </c>
      <c r="K286" s="26" t="s">
        <v>38</v>
      </c>
      <c r="L286" s="89" t="s">
        <v>1588</v>
      </c>
      <c r="M286" s="91"/>
      <c r="N286" s="89" t="s">
        <v>1549</v>
      </c>
      <c r="O286" s="89" t="s">
        <v>615</v>
      </c>
      <c r="P286" s="89" t="s">
        <v>1550</v>
      </c>
      <c r="Q286" s="89" t="s">
        <v>629</v>
      </c>
      <c r="R286" s="89">
        <v>24</v>
      </c>
      <c r="S286" s="89" t="s">
        <v>1551</v>
      </c>
      <c r="T286" s="89" t="s">
        <v>1558</v>
      </c>
      <c r="U286" s="89" t="s">
        <v>1552</v>
      </c>
      <c r="V286" s="89" t="s">
        <v>1561</v>
      </c>
      <c r="W286" s="89" t="s">
        <v>649</v>
      </c>
      <c r="X286" s="89" t="s">
        <v>76</v>
      </c>
      <c r="Y286" s="89" t="s">
        <v>619</v>
      </c>
      <c r="Z286" s="89" t="s">
        <v>68</v>
      </c>
      <c r="AA286" s="89" t="s">
        <v>67</v>
      </c>
      <c r="AB286" s="89">
        <v>1</v>
      </c>
      <c r="AC286" s="89">
        <v>6</v>
      </c>
      <c r="AD286" s="89">
        <v>1</v>
      </c>
      <c r="AE286" s="89" t="s">
        <v>287</v>
      </c>
      <c r="AF286" s="90">
        <v>367</v>
      </c>
      <c r="AG286" s="90">
        <v>45102</v>
      </c>
      <c r="AH286" s="90">
        <v>46193</v>
      </c>
      <c r="AJ286" t="e">
        <f>VLOOKUP(A286,'1'!B:Q,16,0)</f>
        <v>#N/A</v>
      </c>
      <c r="AK286" s="96" t="e">
        <f t="shared" si="11"/>
        <v>#N/A</v>
      </c>
    </row>
    <row r="287" spans="1:37" x14ac:dyDescent="0.35">
      <c r="A287" s="89" t="str">
        <f t="shared" si="9"/>
        <v>ZRT6</v>
      </c>
      <c r="B287" s="89" t="s">
        <v>1297</v>
      </c>
      <c r="C287" s="89" t="s">
        <v>1298</v>
      </c>
      <c r="D287" s="89" t="s">
        <v>541</v>
      </c>
      <c r="E287" s="89" t="s">
        <v>1299</v>
      </c>
      <c r="F287" s="89" t="s">
        <v>1815</v>
      </c>
      <c r="G287" s="89" t="s">
        <v>70</v>
      </c>
      <c r="H287" s="89" t="s">
        <v>70</v>
      </c>
      <c r="I287" s="89" t="s">
        <v>1547</v>
      </c>
      <c r="J287" s="89">
        <v>0</v>
      </c>
      <c r="K287" s="26" t="s">
        <v>38</v>
      </c>
      <c r="L287" s="89" t="s">
        <v>1588</v>
      </c>
      <c r="M287" s="91"/>
      <c r="N287" s="89" t="s">
        <v>1549</v>
      </c>
      <c r="O287" s="89" t="s">
        <v>615</v>
      </c>
      <c r="P287" s="89" t="s">
        <v>1550</v>
      </c>
      <c r="Q287" s="89" t="s">
        <v>629</v>
      </c>
      <c r="R287" s="89">
        <v>15</v>
      </c>
      <c r="S287" s="89" t="s">
        <v>1555</v>
      </c>
      <c r="T287" s="89" t="s">
        <v>1558</v>
      </c>
      <c r="U287" s="89" t="s">
        <v>1552</v>
      </c>
      <c r="V287" s="89" t="s">
        <v>1561</v>
      </c>
      <c r="W287" s="89" t="s">
        <v>649</v>
      </c>
      <c r="X287" s="89" t="s">
        <v>76</v>
      </c>
      <c r="Y287" s="89" t="s">
        <v>619</v>
      </c>
      <c r="Z287" s="89" t="s">
        <v>68</v>
      </c>
      <c r="AA287" s="89" t="s">
        <v>67</v>
      </c>
      <c r="AB287" s="89">
        <v>1</v>
      </c>
      <c r="AC287" s="89">
        <v>6</v>
      </c>
      <c r="AD287" s="89">
        <v>1</v>
      </c>
      <c r="AE287" s="89" t="s">
        <v>287</v>
      </c>
      <c r="AF287" s="90">
        <v>367</v>
      </c>
      <c r="AG287" s="90">
        <v>45102</v>
      </c>
      <c r="AH287" s="90">
        <v>46193</v>
      </c>
      <c r="AJ287" t="e">
        <f>VLOOKUP(A287,'1'!B:Q,16,0)</f>
        <v>#N/A</v>
      </c>
      <c r="AK287" s="96" t="e">
        <f t="shared" si="11"/>
        <v>#N/A</v>
      </c>
    </row>
    <row r="288" spans="1:37" x14ac:dyDescent="0.35">
      <c r="A288" s="89" t="str">
        <f t="shared" si="9"/>
        <v>ZRE7</v>
      </c>
      <c r="B288" s="89" t="s">
        <v>1277</v>
      </c>
      <c r="C288" s="89" t="s">
        <v>1278</v>
      </c>
      <c r="D288" s="89" t="s">
        <v>519</v>
      </c>
      <c r="E288" s="89" t="s">
        <v>1279</v>
      </c>
      <c r="F288" s="89" t="s">
        <v>1815</v>
      </c>
      <c r="G288" s="89" t="s">
        <v>70</v>
      </c>
      <c r="H288" s="89" t="s">
        <v>70</v>
      </c>
      <c r="I288" s="91"/>
      <c r="J288" s="89">
        <v>0</v>
      </c>
      <c r="K288" s="26" t="s">
        <v>38</v>
      </c>
      <c r="L288" s="89" t="s">
        <v>1588</v>
      </c>
      <c r="M288" s="91"/>
      <c r="N288" s="89" t="s">
        <v>1549</v>
      </c>
      <c r="O288" s="89" t="s">
        <v>615</v>
      </c>
      <c r="P288" s="89" t="s">
        <v>1550</v>
      </c>
      <c r="Q288" s="89" t="s">
        <v>629</v>
      </c>
      <c r="R288" s="89">
        <v>24</v>
      </c>
      <c r="S288" s="89" t="s">
        <v>1551</v>
      </c>
      <c r="T288" s="89" t="s">
        <v>1558</v>
      </c>
      <c r="U288" s="89" t="s">
        <v>1552</v>
      </c>
      <c r="V288" s="89" t="s">
        <v>1561</v>
      </c>
      <c r="W288" s="89" t="s">
        <v>649</v>
      </c>
      <c r="X288" s="89" t="s">
        <v>76</v>
      </c>
      <c r="Y288" s="89" t="s">
        <v>619</v>
      </c>
      <c r="Z288" s="89" t="s">
        <v>68</v>
      </c>
      <c r="AA288" s="89" t="s">
        <v>67</v>
      </c>
      <c r="AB288" s="89">
        <v>1</v>
      </c>
      <c r="AC288" s="89">
        <v>6</v>
      </c>
      <c r="AD288" s="89">
        <v>1</v>
      </c>
      <c r="AE288" s="89" t="s">
        <v>287</v>
      </c>
      <c r="AF288" s="90">
        <v>367</v>
      </c>
      <c r="AG288" s="90">
        <v>45102</v>
      </c>
      <c r="AH288" s="90">
        <v>46193</v>
      </c>
      <c r="AJ288" t="e">
        <f>VLOOKUP(A288,'1'!B:Q,16,0)</f>
        <v>#N/A</v>
      </c>
      <c r="AK288" s="96" t="e">
        <f t="shared" si="11"/>
        <v>#N/A</v>
      </c>
    </row>
    <row r="289" spans="1:37" x14ac:dyDescent="0.35">
      <c r="A289" s="89" t="str">
        <f t="shared" si="9"/>
        <v>ZQE4</v>
      </c>
      <c r="B289" s="89" t="s">
        <v>1260</v>
      </c>
      <c r="C289" s="89" t="s">
        <v>1261</v>
      </c>
      <c r="D289" s="89" t="s">
        <v>503</v>
      </c>
      <c r="E289" s="89" t="s">
        <v>1836</v>
      </c>
      <c r="F289" s="89" t="s">
        <v>1815</v>
      </c>
      <c r="G289" s="89" t="s">
        <v>70</v>
      </c>
      <c r="H289" s="89" t="s">
        <v>70</v>
      </c>
      <c r="I289" s="91"/>
      <c r="J289" s="89">
        <v>0</v>
      </c>
      <c r="K289" s="26" t="s">
        <v>38</v>
      </c>
      <c r="L289" s="89" t="s">
        <v>1588</v>
      </c>
      <c r="M289" s="91"/>
      <c r="N289" s="89" t="s">
        <v>1549</v>
      </c>
      <c r="O289" s="89" t="s">
        <v>615</v>
      </c>
      <c r="P289" s="89" t="s">
        <v>1550</v>
      </c>
      <c r="Q289" s="89" t="s">
        <v>629</v>
      </c>
      <c r="R289" s="89">
        <v>24</v>
      </c>
      <c r="S289" s="89" t="s">
        <v>1551</v>
      </c>
      <c r="T289" s="89" t="s">
        <v>1555</v>
      </c>
      <c r="U289" s="89" t="s">
        <v>1552</v>
      </c>
      <c r="V289" s="89" t="s">
        <v>1561</v>
      </c>
      <c r="W289" s="89" t="s">
        <v>677</v>
      </c>
      <c r="X289" s="89" t="s">
        <v>66</v>
      </c>
      <c r="Y289" s="89" t="s">
        <v>619</v>
      </c>
      <c r="Z289" s="89" t="s">
        <v>68</v>
      </c>
      <c r="AA289" s="89" t="s">
        <v>67</v>
      </c>
      <c r="AB289" s="89">
        <v>1</v>
      </c>
      <c r="AC289" s="89">
        <v>6</v>
      </c>
      <c r="AD289" s="89">
        <v>1</v>
      </c>
      <c r="AE289" s="89" t="s">
        <v>287</v>
      </c>
      <c r="AF289" s="90">
        <v>367</v>
      </c>
      <c r="AG289" s="90">
        <v>45106</v>
      </c>
      <c r="AH289" s="90">
        <v>46202</v>
      </c>
      <c r="AJ289" t="e">
        <f>VLOOKUP(A289,'1'!B:Q,16,0)</f>
        <v>#N/A</v>
      </c>
      <c r="AK289" s="96" t="e">
        <f t="shared" si="11"/>
        <v>#N/A</v>
      </c>
    </row>
    <row r="290" spans="1:37" x14ac:dyDescent="0.35">
      <c r="A290" s="89" t="str">
        <f t="shared" si="9"/>
        <v>ZQB4</v>
      </c>
      <c r="B290" s="89" t="s">
        <v>1837</v>
      </c>
      <c r="C290" s="89" t="s">
        <v>1838</v>
      </c>
      <c r="D290" s="89" t="s">
        <v>500</v>
      </c>
      <c r="E290" s="89" t="s">
        <v>1839</v>
      </c>
      <c r="F290" s="89" t="s">
        <v>1815</v>
      </c>
      <c r="G290" s="89" t="s">
        <v>70</v>
      </c>
      <c r="H290" s="89" t="s">
        <v>70</v>
      </c>
      <c r="I290" s="91"/>
      <c r="J290" s="89">
        <v>1</v>
      </c>
      <c r="K290" s="26" t="s">
        <v>38</v>
      </c>
      <c r="L290" s="89" t="s">
        <v>1588</v>
      </c>
      <c r="M290" s="91"/>
      <c r="N290" s="89" t="s">
        <v>1549</v>
      </c>
      <c r="O290" s="89" t="s">
        <v>615</v>
      </c>
      <c r="P290" s="89" t="s">
        <v>1550</v>
      </c>
      <c r="Q290" s="89" t="s">
        <v>629</v>
      </c>
      <c r="R290" s="89">
        <v>24</v>
      </c>
      <c r="S290" s="89" t="s">
        <v>1551</v>
      </c>
      <c r="T290" s="89" t="s">
        <v>1558</v>
      </c>
      <c r="U290" s="89" t="s">
        <v>1552</v>
      </c>
      <c r="V290" s="89" t="s">
        <v>1561</v>
      </c>
      <c r="W290" s="89" t="s">
        <v>677</v>
      </c>
      <c r="X290" s="89" t="s">
        <v>66</v>
      </c>
      <c r="Y290" s="89" t="s">
        <v>619</v>
      </c>
      <c r="Z290" s="89" t="s">
        <v>68</v>
      </c>
      <c r="AA290" s="89" t="s">
        <v>67</v>
      </c>
      <c r="AB290" s="89">
        <v>2</v>
      </c>
      <c r="AC290" s="89">
        <v>6</v>
      </c>
      <c r="AD290" s="89">
        <v>1</v>
      </c>
      <c r="AE290" s="89" t="s">
        <v>287</v>
      </c>
      <c r="AF290" s="90">
        <v>367</v>
      </c>
      <c r="AG290" s="90">
        <v>45145</v>
      </c>
      <c r="AH290" s="90">
        <v>46264</v>
      </c>
      <c r="AJ290" t="e">
        <f>VLOOKUP(A290,'1'!B:Q,16,0)</f>
        <v>#N/A</v>
      </c>
      <c r="AK290" s="96" t="e">
        <f t="shared" si="11"/>
        <v>#N/A</v>
      </c>
    </row>
    <row r="291" spans="1:37" x14ac:dyDescent="0.35">
      <c r="A291" s="89" t="str">
        <f t="shared" si="9"/>
        <v>691X</v>
      </c>
      <c r="B291" s="89" t="s">
        <v>1840</v>
      </c>
      <c r="C291" s="89" t="s">
        <v>1841</v>
      </c>
      <c r="D291" s="89" t="s">
        <v>376</v>
      </c>
      <c r="E291" s="89" t="s">
        <v>1842</v>
      </c>
      <c r="F291" s="89" t="s">
        <v>1815</v>
      </c>
      <c r="G291" s="89" t="s">
        <v>70</v>
      </c>
      <c r="H291" s="89" t="s">
        <v>70</v>
      </c>
      <c r="I291" s="91"/>
      <c r="J291" s="89">
        <v>0</v>
      </c>
      <c r="K291" s="89" t="s">
        <v>53</v>
      </c>
      <c r="L291" s="89" t="s">
        <v>1548</v>
      </c>
      <c r="M291" s="91"/>
      <c r="N291" s="89" t="s">
        <v>1549</v>
      </c>
      <c r="O291" s="89" t="s">
        <v>615</v>
      </c>
      <c r="P291" s="89" t="s">
        <v>1550</v>
      </c>
      <c r="Q291" s="89" t="s">
        <v>629</v>
      </c>
      <c r="R291" s="89">
        <v>24</v>
      </c>
      <c r="S291" s="89" t="s">
        <v>1551</v>
      </c>
      <c r="T291" s="89" t="s">
        <v>1551</v>
      </c>
      <c r="U291" s="89" t="s">
        <v>1552</v>
      </c>
      <c r="V291" s="89" t="s">
        <v>1561</v>
      </c>
      <c r="W291" s="89" t="s">
        <v>649</v>
      </c>
      <c r="X291" s="89" t="s">
        <v>76</v>
      </c>
      <c r="Y291" s="89" t="s">
        <v>619</v>
      </c>
      <c r="Z291" s="89" t="s">
        <v>68</v>
      </c>
      <c r="AA291" s="89" t="s">
        <v>67</v>
      </c>
      <c r="AB291" s="89">
        <v>1</v>
      </c>
      <c r="AC291" s="89">
        <v>6</v>
      </c>
      <c r="AD291" s="89">
        <v>1</v>
      </c>
      <c r="AE291" s="89" t="s">
        <v>287</v>
      </c>
      <c r="AF291" s="90">
        <v>367</v>
      </c>
      <c r="AG291" s="90">
        <v>45202</v>
      </c>
      <c r="AH291" s="90">
        <v>46298</v>
      </c>
    </row>
    <row r="292" spans="1:37" x14ac:dyDescent="0.35">
      <c r="A292" s="89" t="str">
        <f t="shared" si="9"/>
        <v>Z844</v>
      </c>
      <c r="B292" s="89" t="s">
        <v>1417</v>
      </c>
      <c r="C292" s="89" t="s">
        <v>1418</v>
      </c>
      <c r="D292" s="89" t="s">
        <v>480</v>
      </c>
      <c r="E292" s="89" t="s">
        <v>1233</v>
      </c>
      <c r="F292" s="89" t="s">
        <v>1815</v>
      </c>
      <c r="G292" s="89" t="s">
        <v>70</v>
      </c>
      <c r="H292" s="89" t="s">
        <v>70</v>
      </c>
      <c r="I292" s="91"/>
      <c r="J292" s="89">
        <v>0</v>
      </c>
      <c r="K292" s="26" t="s">
        <v>38</v>
      </c>
      <c r="L292" s="89" t="s">
        <v>1620</v>
      </c>
      <c r="M292" s="91"/>
      <c r="N292" s="89" t="s">
        <v>1549</v>
      </c>
      <c r="O292" s="89" t="s">
        <v>615</v>
      </c>
      <c r="P292" s="89" t="s">
        <v>1550</v>
      </c>
      <c r="Q292" s="89" t="s">
        <v>629</v>
      </c>
      <c r="R292" s="89">
        <v>24</v>
      </c>
      <c r="S292" s="89" t="s">
        <v>1551</v>
      </c>
      <c r="T292" s="89" t="s">
        <v>1558</v>
      </c>
      <c r="U292" s="89" t="s">
        <v>1552</v>
      </c>
      <c r="V292" s="89" t="s">
        <v>1561</v>
      </c>
      <c r="W292" s="89" t="s">
        <v>649</v>
      </c>
      <c r="X292" s="89" t="s">
        <v>76</v>
      </c>
      <c r="Y292" s="89" t="s">
        <v>619</v>
      </c>
      <c r="Z292" s="89" t="s">
        <v>68</v>
      </c>
      <c r="AA292" s="89" t="s">
        <v>67</v>
      </c>
      <c r="AB292" s="89">
        <v>2</v>
      </c>
      <c r="AC292" s="89">
        <v>6</v>
      </c>
      <c r="AD292" s="89">
        <v>1</v>
      </c>
      <c r="AE292" s="89" t="s">
        <v>288</v>
      </c>
      <c r="AF292" s="90">
        <v>367</v>
      </c>
      <c r="AG292" s="90">
        <v>45438</v>
      </c>
      <c r="AH292" s="90">
        <v>46537</v>
      </c>
      <c r="AJ292" t="e">
        <f>VLOOKUP(A292,'1'!B:Q,16,0)</f>
        <v>#N/A</v>
      </c>
      <c r="AK292" s="96" t="e">
        <f t="shared" ref="AK292:AK294" si="12">AJ292/250</f>
        <v>#N/A</v>
      </c>
    </row>
    <row r="293" spans="1:37" x14ac:dyDescent="0.35">
      <c r="A293" s="89" t="str">
        <f t="shared" si="9"/>
        <v>Z4XL</v>
      </c>
      <c r="B293" s="89" t="s">
        <v>1231</v>
      </c>
      <c r="C293" s="89" t="s">
        <v>1232</v>
      </c>
      <c r="D293" s="89" t="s">
        <v>469</v>
      </c>
      <c r="E293" s="89" t="s">
        <v>1233</v>
      </c>
      <c r="F293" s="89" t="s">
        <v>1815</v>
      </c>
      <c r="G293" s="89" t="s">
        <v>70</v>
      </c>
      <c r="H293" s="89" t="s">
        <v>70</v>
      </c>
      <c r="I293" s="91"/>
      <c r="J293" s="89">
        <v>0</v>
      </c>
      <c r="K293" s="26" t="s">
        <v>38</v>
      </c>
      <c r="L293" s="89" t="s">
        <v>1620</v>
      </c>
      <c r="M293" s="91"/>
      <c r="N293" s="89" t="s">
        <v>1549</v>
      </c>
      <c r="O293" s="89" t="s">
        <v>615</v>
      </c>
      <c r="P293" s="89" t="s">
        <v>1550</v>
      </c>
      <c r="Q293" s="89" t="s">
        <v>629</v>
      </c>
      <c r="R293" s="89">
        <v>24</v>
      </c>
      <c r="S293" s="89" t="s">
        <v>1551</v>
      </c>
      <c r="T293" s="89" t="s">
        <v>1558</v>
      </c>
      <c r="U293" s="89" t="s">
        <v>1552</v>
      </c>
      <c r="V293" s="89" t="s">
        <v>1561</v>
      </c>
      <c r="W293" s="89" t="s">
        <v>649</v>
      </c>
      <c r="X293" s="89" t="s">
        <v>76</v>
      </c>
      <c r="Y293" s="89" t="s">
        <v>619</v>
      </c>
      <c r="Z293" s="89" t="s">
        <v>68</v>
      </c>
      <c r="AA293" s="89" t="s">
        <v>67</v>
      </c>
      <c r="AB293" s="89">
        <v>2</v>
      </c>
      <c r="AC293" s="89">
        <v>6</v>
      </c>
      <c r="AD293" s="89">
        <v>1</v>
      </c>
      <c r="AE293" s="89" t="s">
        <v>288</v>
      </c>
      <c r="AF293" s="90">
        <v>367</v>
      </c>
      <c r="AG293" s="90">
        <v>45438</v>
      </c>
      <c r="AH293" s="90">
        <v>46537</v>
      </c>
      <c r="AJ293" t="e">
        <f>VLOOKUP(A293,'1'!B:Q,16,0)</f>
        <v>#N/A</v>
      </c>
      <c r="AK293" s="96" t="e">
        <f t="shared" si="12"/>
        <v>#N/A</v>
      </c>
    </row>
    <row r="294" spans="1:37" x14ac:dyDescent="0.35">
      <c r="A294" s="89" t="str">
        <f t="shared" si="9"/>
        <v>Z843</v>
      </c>
      <c r="B294" s="89" t="s">
        <v>1242</v>
      </c>
      <c r="C294" s="89" t="s">
        <v>1243</v>
      </c>
      <c r="D294" s="89" t="s">
        <v>479</v>
      </c>
      <c r="E294" s="89" t="s">
        <v>1233</v>
      </c>
      <c r="F294" s="89" t="s">
        <v>1815</v>
      </c>
      <c r="G294" s="89" t="s">
        <v>70</v>
      </c>
      <c r="H294" s="89" t="s">
        <v>70</v>
      </c>
      <c r="I294" s="91"/>
      <c r="J294" s="89">
        <v>0</v>
      </c>
      <c r="K294" s="26" t="s">
        <v>38</v>
      </c>
      <c r="L294" s="89" t="s">
        <v>1620</v>
      </c>
      <c r="M294" s="91"/>
      <c r="N294" s="89" t="s">
        <v>1549</v>
      </c>
      <c r="O294" s="89" t="s">
        <v>615</v>
      </c>
      <c r="P294" s="89" t="s">
        <v>1550</v>
      </c>
      <c r="Q294" s="89" t="s">
        <v>629</v>
      </c>
      <c r="R294" s="89">
        <v>24</v>
      </c>
      <c r="S294" s="89" t="s">
        <v>1551</v>
      </c>
      <c r="T294" s="89" t="s">
        <v>1558</v>
      </c>
      <c r="U294" s="89" t="s">
        <v>1552</v>
      </c>
      <c r="V294" s="89" t="s">
        <v>1561</v>
      </c>
      <c r="W294" s="89" t="s">
        <v>649</v>
      </c>
      <c r="X294" s="89" t="s">
        <v>76</v>
      </c>
      <c r="Y294" s="89" t="s">
        <v>619</v>
      </c>
      <c r="Z294" s="89" t="s">
        <v>68</v>
      </c>
      <c r="AA294" s="89" t="s">
        <v>67</v>
      </c>
      <c r="AB294" s="89">
        <v>2</v>
      </c>
      <c r="AC294" s="89">
        <v>6</v>
      </c>
      <c r="AD294" s="89">
        <v>1</v>
      </c>
      <c r="AE294" s="89" t="s">
        <v>288</v>
      </c>
      <c r="AF294" s="90">
        <v>367</v>
      </c>
      <c r="AG294" s="90">
        <v>45438</v>
      </c>
      <c r="AH294" s="90">
        <v>46537</v>
      </c>
      <c r="AJ294" t="e">
        <f>VLOOKUP(A294,'1'!B:Q,16,0)</f>
        <v>#N/A</v>
      </c>
      <c r="AK294" s="96" t="e">
        <f t="shared" si="12"/>
        <v>#N/A</v>
      </c>
    </row>
    <row r="295" spans="1:37" x14ac:dyDescent="0.35">
      <c r="A295" s="89" t="str">
        <f t="shared" si="9"/>
        <v>00C6</v>
      </c>
      <c r="B295" s="89" t="s">
        <v>832</v>
      </c>
      <c r="C295" s="89" t="s">
        <v>833</v>
      </c>
      <c r="D295" s="89" t="s">
        <v>85</v>
      </c>
      <c r="E295" s="89" t="s">
        <v>1843</v>
      </c>
      <c r="F295" s="89" t="s">
        <v>1815</v>
      </c>
      <c r="G295" s="89" t="s">
        <v>70</v>
      </c>
      <c r="H295" s="89" t="s">
        <v>70</v>
      </c>
      <c r="I295" s="89" t="s">
        <v>1547</v>
      </c>
      <c r="J295" s="89">
        <v>0</v>
      </c>
      <c r="K295" s="89" t="s">
        <v>53</v>
      </c>
      <c r="L295" s="89" t="s">
        <v>1548</v>
      </c>
      <c r="M295" s="91"/>
      <c r="N295" s="89" t="s">
        <v>1549</v>
      </c>
      <c r="O295" s="89" t="s">
        <v>615</v>
      </c>
      <c r="P295" s="89" t="s">
        <v>1550</v>
      </c>
      <c r="Q295" s="89" t="s">
        <v>629</v>
      </c>
      <c r="R295" s="89">
        <v>24</v>
      </c>
      <c r="S295" s="89" t="s">
        <v>1844</v>
      </c>
      <c r="T295" s="89" t="s">
        <v>1558</v>
      </c>
      <c r="U295" s="89" t="s">
        <v>1552</v>
      </c>
      <c r="V295" s="89" t="s">
        <v>1561</v>
      </c>
      <c r="W295" s="89" t="s">
        <v>690</v>
      </c>
      <c r="X295" s="89" t="s">
        <v>81</v>
      </c>
      <c r="Y295" s="89" t="s">
        <v>619</v>
      </c>
      <c r="Z295" s="89" t="s">
        <v>68</v>
      </c>
      <c r="AA295" s="89" t="s">
        <v>82</v>
      </c>
      <c r="AB295" s="89">
        <v>1</v>
      </c>
      <c r="AC295" s="89">
        <v>6</v>
      </c>
      <c r="AD295" s="89">
        <v>1</v>
      </c>
      <c r="AE295" s="89" t="s">
        <v>287</v>
      </c>
      <c r="AF295" s="90">
        <v>367</v>
      </c>
      <c r="AG295" s="90">
        <v>45450</v>
      </c>
      <c r="AH295" s="90">
        <v>46545</v>
      </c>
    </row>
    <row r="296" spans="1:37" x14ac:dyDescent="0.35">
      <c r="A296" s="89" t="str">
        <f t="shared" si="9"/>
        <v>00D9</v>
      </c>
      <c r="B296" s="89" t="s">
        <v>837</v>
      </c>
      <c r="C296" s="89" t="s">
        <v>838</v>
      </c>
      <c r="D296" s="89" t="s">
        <v>91</v>
      </c>
      <c r="E296" s="89" t="s">
        <v>839</v>
      </c>
      <c r="F296" s="89" t="s">
        <v>1815</v>
      </c>
      <c r="G296" s="89" t="s">
        <v>70</v>
      </c>
      <c r="H296" s="89" t="s">
        <v>70</v>
      </c>
      <c r="I296" s="89" t="s">
        <v>1547</v>
      </c>
      <c r="J296" s="89">
        <v>0</v>
      </c>
      <c r="K296" s="89" t="s">
        <v>53</v>
      </c>
      <c r="L296" s="89" t="s">
        <v>1548</v>
      </c>
      <c r="M296" s="91"/>
      <c r="N296" s="89" t="s">
        <v>1549</v>
      </c>
      <c r="O296" s="89" t="s">
        <v>615</v>
      </c>
      <c r="P296" s="89" t="s">
        <v>1550</v>
      </c>
      <c r="Q296" s="89" t="s">
        <v>629</v>
      </c>
      <c r="R296" s="89">
        <v>24</v>
      </c>
      <c r="S296" s="89" t="s">
        <v>1551</v>
      </c>
      <c r="T296" s="89" t="s">
        <v>1558</v>
      </c>
      <c r="U296" s="89" t="s">
        <v>1552</v>
      </c>
      <c r="V296" s="89" t="s">
        <v>1561</v>
      </c>
      <c r="W296" s="89" t="s">
        <v>677</v>
      </c>
      <c r="X296" s="89" t="s">
        <v>66</v>
      </c>
      <c r="Y296" s="89" t="s">
        <v>619</v>
      </c>
      <c r="Z296" s="89" t="s">
        <v>68</v>
      </c>
      <c r="AA296" s="89" t="s">
        <v>67</v>
      </c>
      <c r="AB296" s="89">
        <v>2</v>
      </c>
      <c r="AC296" s="89">
        <v>6</v>
      </c>
      <c r="AD296" s="89">
        <v>1</v>
      </c>
      <c r="AE296" s="89" t="s">
        <v>288</v>
      </c>
      <c r="AF296" s="90">
        <v>367</v>
      </c>
      <c r="AG296" s="90">
        <v>45593</v>
      </c>
      <c r="AH296" s="90">
        <v>46690</v>
      </c>
    </row>
    <row r="297" spans="1:37" x14ac:dyDescent="0.35">
      <c r="A297" s="89" t="str">
        <f t="shared" si="9"/>
        <v>066P</v>
      </c>
      <c r="B297" s="89" t="s">
        <v>963</v>
      </c>
      <c r="C297" s="89" t="s">
        <v>964</v>
      </c>
      <c r="D297" s="89" t="s">
        <v>188</v>
      </c>
      <c r="E297" s="89" t="s">
        <v>965</v>
      </c>
      <c r="F297" s="89" t="s">
        <v>1815</v>
      </c>
      <c r="G297" s="89" t="s">
        <v>70</v>
      </c>
      <c r="H297" s="89" t="s">
        <v>70</v>
      </c>
      <c r="I297" s="91"/>
      <c r="J297" s="89">
        <v>0</v>
      </c>
      <c r="K297" s="89" t="s">
        <v>53</v>
      </c>
      <c r="L297" s="89" t="s">
        <v>1548</v>
      </c>
      <c r="M297" s="91"/>
      <c r="N297" s="89" t="s">
        <v>1549</v>
      </c>
      <c r="O297" s="89" t="s">
        <v>615</v>
      </c>
      <c r="P297" s="89" t="s">
        <v>1550</v>
      </c>
      <c r="Q297" s="89" t="s">
        <v>629</v>
      </c>
      <c r="R297" s="89">
        <v>24</v>
      </c>
      <c r="S297" s="89" t="s">
        <v>1551</v>
      </c>
      <c r="T297" s="89" t="s">
        <v>1551</v>
      </c>
      <c r="U297" s="89" t="s">
        <v>1552</v>
      </c>
      <c r="V297" s="89" t="s">
        <v>1561</v>
      </c>
      <c r="W297" s="89" t="s">
        <v>649</v>
      </c>
      <c r="X297" s="89" t="s">
        <v>76</v>
      </c>
      <c r="Y297" s="89" t="s">
        <v>619</v>
      </c>
      <c r="Z297" s="89" t="s">
        <v>68</v>
      </c>
      <c r="AA297" s="89" t="s">
        <v>67</v>
      </c>
      <c r="AB297" s="89">
        <v>1</v>
      </c>
      <c r="AC297" s="89">
        <v>6</v>
      </c>
      <c r="AD297" s="89">
        <v>1</v>
      </c>
      <c r="AE297" s="89" t="s">
        <v>288</v>
      </c>
      <c r="AF297" s="90">
        <v>367</v>
      </c>
      <c r="AG297" s="90">
        <v>45704</v>
      </c>
      <c r="AH297" s="90">
        <v>46799</v>
      </c>
    </row>
    <row r="298" spans="1:37" x14ac:dyDescent="0.35">
      <c r="A298" s="89" t="str">
        <f t="shared" ref="A298:A353" si="13">LEFT(B298,LEN(B298)-3)</f>
        <v>016Y</v>
      </c>
      <c r="B298" s="89" t="s">
        <v>1845</v>
      </c>
      <c r="C298" s="89" t="s">
        <v>1846</v>
      </c>
      <c r="D298" s="89" t="s">
        <v>169</v>
      </c>
      <c r="E298" s="89" t="s">
        <v>1847</v>
      </c>
      <c r="F298" s="89" t="s">
        <v>1815</v>
      </c>
      <c r="G298" s="89" t="s">
        <v>70</v>
      </c>
      <c r="H298" s="89" t="s">
        <v>70</v>
      </c>
      <c r="I298" s="89" t="s">
        <v>1547</v>
      </c>
      <c r="J298" s="89">
        <v>0</v>
      </c>
      <c r="K298" s="89" t="s">
        <v>53</v>
      </c>
      <c r="L298" s="89" t="s">
        <v>1548</v>
      </c>
      <c r="M298" s="91"/>
      <c r="N298" s="89" t="s">
        <v>1549</v>
      </c>
      <c r="O298" s="89" t="s">
        <v>615</v>
      </c>
      <c r="P298" s="89" t="s">
        <v>1550</v>
      </c>
      <c r="Q298" s="89" t="s">
        <v>629</v>
      </c>
      <c r="R298" s="89">
        <v>24</v>
      </c>
      <c r="S298" s="89" t="s">
        <v>1551</v>
      </c>
      <c r="T298" s="89" t="s">
        <v>1551</v>
      </c>
      <c r="U298" s="89" t="s">
        <v>1552</v>
      </c>
      <c r="V298" s="89" t="s">
        <v>1561</v>
      </c>
      <c r="W298" s="89" t="s">
        <v>649</v>
      </c>
      <c r="X298" s="89" t="s">
        <v>76</v>
      </c>
      <c r="Y298" s="89" t="s">
        <v>619</v>
      </c>
      <c r="Z298" s="89" t="s">
        <v>68</v>
      </c>
      <c r="AA298" s="89" t="s">
        <v>67</v>
      </c>
      <c r="AB298" s="89">
        <v>1</v>
      </c>
      <c r="AC298" s="89">
        <v>6</v>
      </c>
      <c r="AD298" s="89">
        <v>1</v>
      </c>
      <c r="AE298" s="89" t="s">
        <v>288</v>
      </c>
      <c r="AF298" s="90">
        <v>367</v>
      </c>
      <c r="AG298" s="90">
        <v>45704</v>
      </c>
      <c r="AH298" s="90">
        <v>46799</v>
      </c>
    </row>
    <row r="299" spans="1:37" x14ac:dyDescent="0.35">
      <c r="A299" s="89" t="str">
        <f t="shared" si="13"/>
        <v>011B</v>
      </c>
      <c r="B299" s="89" t="s">
        <v>1848</v>
      </c>
      <c r="C299" s="89" t="s">
        <v>1849</v>
      </c>
      <c r="D299" s="89" t="s">
        <v>561</v>
      </c>
      <c r="E299" s="89" t="s">
        <v>1850</v>
      </c>
      <c r="F299" s="89" t="s">
        <v>1815</v>
      </c>
      <c r="G299" s="89" t="s">
        <v>70</v>
      </c>
      <c r="H299" s="89" t="s">
        <v>70</v>
      </c>
      <c r="I299" s="89" t="s">
        <v>1547</v>
      </c>
      <c r="J299" s="89">
        <v>0</v>
      </c>
      <c r="K299" s="89" t="s">
        <v>53</v>
      </c>
      <c r="L299" s="89" t="s">
        <v>1548</v>
      </c>
      <c r="M299" s="91"/>
      <c r="N299" s="89" t="s">
        <v>1549</v>
      </c>
      <c r="O299" s="89" t="s">
        <v>615</v>
      </c>
      <c r="P299" s="89" t="s">
        <v>1550</v>
      </c>
      <c r="Q299" s="89" t="s">
        <v>629</v>
      </c>
      <c r="R299" s="89">
        <v>24</v>
      </c>
      <c r="S299" s="89" t="s">
        <v>1551</v>
      </c>
      <c r="T299" s="89" t="s">
        <v>1558</v>
      </c>
      <c r="U299" s="89" t="s">
        <v>1552</v>
      </c>
      <c r="V299" s="89" t="s">
        <v>1561</v>
      </c>
      <c r="W299" s="89" t="s">
        <v>649</v>
      </c>
      <c r="X299" s="89" t="s">
        <v>76</v>
      </c>
      <c r="Y299" s="89" t="s">
        <v>619</v>
      </c>
      <c r="Z299" s="89" t="s">
        <v>68</v>
      </c>
      <c r="AA299" s="89" t="s">
        <v>67</v>
      </c>
      <c r="AB299" s="89">
        <v>1</v>
      </c>
      <c r="AC299" s="89">
        <v>6</v>
      </c>
      <c r="AD299" s="89">
        <v>1</v>
      </c>
      <c r="AE299" s="89" t="s">
        <v>288</v>
      </c>
      <c r="AF299" s="90">
        <v>367</v>
      </c>
      <c r="AG299" s="90">
        <v>45839</v>
      </c>
      <c r="AH299" s="90">
        <v>46962</v>
      </c>
    </row>
    <row r="300" spans="1:37" x14ac:dyDescent="0.35">
      <c r="A300" s="89" t="str">
        <f t="shared" si="13"/>
        <v>374T</v>
      </c>
      <c r="B300" s="89" t="s">
        <v>1056</v>
      </c>
      <c r="C300" s="89" t="s">
        <v>1057</v>
      </c>
      <c r="D300" s="89" t="s">
        <v>250</v>
      </c>
      <c r="E300" s="89" t="s">
        <v>1058</v>
      </c>
      <c r="F300" s="89" t="s">
        <v>1851</v>
      </c>
      <c r="G300" s="89" t="s">
        <v>70</v>
      </c>
      <c r="H300" s="89" t="s">
        <v>70</v>
      </c>
      <c r="I300" s="89" t="s">
        <v>1547</v>
      </c>
      <c r="J300" s="89">
        <v>0</v>
      </c>
      <c r="K300" s="89" t="s">
        <v>53</v>
      </c>
      <c r="L300" s="89" t="s">
        <v>1548</v>
      </c>
      <c r="M300" s="91"/>
      <c r="N300" s="89" t="s">
        <v>1549</v>
      </c>
      <c r="O300" s="89" t="s">
        <v>615</v>
      </c>
      <c r="P300" s="89" t="s">
        <v>1550</v>
      </c>
      <c r="Q300" s="89" t="s">
        <v>629</v>
      </c>
      <c r="R300" s="89">
        <v>15</v>
      </c>
      <c r="S300" s="89" t="s">
        <v>1555</v>
      </c>
      <c r="T300" s="89" t="s">
        <v>1555</v>
      </c>
      <c r="U300" s="89" t="s">
        <v>1552</v>
      </c>
      <c r="V300" s="89" t="s">
        <v>1561</v>
      </c>
      <c r="W300" s="89" t="s">
        <v>663</v>
      </c>
      <c r="X300" s="89" t="s">
        <v>78</v>
      </c>
      <c r="Y300" s="89" t="s">
        <v>619</v>
      </c>
      <c r="Z300" s="89" t="s">
        <v>68</v>
      </c>
      <c r="AA300" s="89" t="s">
        <v>67</v>
      </c>
      <c r="AB300" s="89">
        <v>1</v>
      </c>
      <c r="AC300" s="89">
        <v>6</v>
      </c>
      <c r="AD300" s="89">
        <v>1</v>
      </c>
      <c r="AE300" s="89" t="s">
        <v>0</v>
      </c>
      <c r="AF300" s="90">
        <v>367</v>
      </c>
      <c r="AG300" s="90">
        <v>44725</v>
      </c>
      <c r="AH300" s="90">
        <v>45818</v>
      </c>
    </row>
    <row r="301" spans="1:37" x14ac:dyDescent="0.35">
      <c r="A301" s="89" t="str">
        <f t="shared" si="13"/>
        <v>686H</v>
      </c>
      <c r="B301" s="89" t="s">
        <v>1414</v>
      </c>
      <c r="C301" s="89" t="s">
        <v>1415</v>
      </c>
      <c r="D301" s="89" t="s">
        <v>360</v>
      </c>
      <c r="E301" s="89" t="s">
        <v>1416</v>
      </c>
      <c r="F301" s="89" t="s">
        <v>1851</v>
      </c>
      <c r="G301" s="89" t="s">
        <v>70</v>
      </c>
      <c r="H301" s="89" t="s">
        <v>70</v>
      </c>
      <c r="I301" s="89" t="s">
        <v>1547</v>
      </c>
      <c r="J301" s="89">
        <v>0</v>
      </c>
      <c r="K301" s="89" t="s">
        <v>53</v>
      </c>
      <c r="L301" s="89" t="s">
        <v>1548</v>
      </c>
      <c r="M301" s="91"/>
      <c r="N301" s="89" t="s">
        <v>1549</v>
      </c>
      <c r="O301" s="89" t="s">
        <v>615</v>
      </c>
      <c r="P301" s="89" t="s">
        <v>1550</v>
      </c>
      <c r="Q301" s="89" t="s">
        <v>629</v>
      </c>
      <c r="R301" s="89">
        <v>15</v>
      </c>
      <c r="S301" s="89" t="s">
        <v>1611</v>
      </c>
      <c r="T301" s="89" t="s">
        <v>1555</v>
      </c>
      <c r="U301" s="89" t="s">
        <v>1552</v>
      </c>
      <c r="V301" s="89" t="s">
        <v>1561</v>
      </c>
      <c r="W301" s="89" t="s">
        <v>690</v>
      </c>
      <c r="X301" s="89" t="s">
        <v>81</v>
      </c>
      <c r="Y301" s="89" t="s">
        <v>619</v>
      </c>
      <c r="Z301" s="89" t="s">
        <v>68</v>
      </c>
      <c r="AA301" s="89" t="s">
        <v>82</v>
      </c>
      <c r="AB301" s="89">
        <v>2</v>
      </c>
      <c r="AC301" s="89">
        <v>6</v>
      </c>
      <c r="AD301" s="89">
        <v>1</v>
      </c>
      <c r="AE301" s="89" t="s">
        <v>0</v>
      </c>
      <c r="AF301" s="90">
        <v>367</v>
      </c>
      <c r="AG301" s="90">
        <v>44729</v>
      </c>
      <c r="AH301" s="90">
        <v>45818</v>
      </c>
    </row>
    <row r="302" spans="1:37" x14ac:dyDescent="0.35">
      <c r="A302" s="89" t="str">
        <f t="shared" si="13"/>
        <v>00B7</v>
      </c>
      <c r="B302" s="89" t="s">
        <v>1437</v>
      </c>
      <c r="C302" s="89" t="s">
        <v>1438</v>
      </c>
      <c r="D302" s="89" t="s">
        <v>80</v>
      </c>
      <c r="E302" s="89" t="s">
        <v>1852</v>
      </c>
      <c r="F302" s="89" t="s">
        <v>1851</v>
      </c>
      <c r="G302" s="89" t="s">
        <v>70</v>
      </c>
      <c r="H302" s="89" t="s">
        <v>70</v>
      </c>
      <c r="I302" s="89" t="s">
        <v>1547</v>
      </c>
      <c r="J302" s="89">
        <v>0</v>
      </c>
      <c r="K302" s="89" t="s">
        <v>53</v>
      </c>
      <c r="L302" s="89" t="s">
        <v>1548</v>
      </c>
      <c r="M302" s="91"/>
      <c r="N302" s="89" t="s">
        <v>1549</v>
      </c>
      <c r="O302" s="89" t="s">
        <v>615</v>
      </c>
      <c r="P302" s="89" t="s">
        <v>1550</v>
      </c>
      <c r="Q302" s="89" t="s">
        <v>629</v>
      </c>
      <c r="R302" s="89">
        <v>15</v>
      </c>
      <c r="S302" s="89" t="s">
        <v>1555</v>
      </c>
      <c r="T302" s="89" t="s">
        <v>1555</v>
      </c>
      <c r="U302" s="89" t="s">
        <v>1552</v>
      </c>
      <c r="V302" s="89" t="s">
        <v>1561</v>
      </c>
      <c r="W302" s="89" t="s">
        <v>663</v>
      </c>
      <c r="X302" s="89" t="s">
        <v>78</v>
      </c>
      <c r="Y302" s="89" t="s">
        <v>619</v>
      </c>
      <c r="Z302" s="89" t="s">
        <v>68</v>
      </c>
      <c r="AA302" s="89" t="s">
        <v>67</v>
      </c>
      <c r="AB302" s="89">
        <v>2</v>
      </c>
      <c r="AC302" s="89">
        <v>6</v>
      </c>
      <c r="AD302" s="89">
        <v>1</v>
      </c>
      <c r="AE302" s="89" t="s">
        <v>0</v>
      </c>
      <c r="AF302" s="90">
        <v>367</v>
      </c>
      <c r="AG302" s="90">
        <v>44783</v>
      </c>
      <c r="AH302" s="90">
        <v>45879</v>
      </c>
    </row>
    <row r="303" spans="1:37" x14ac:dyDescent="0.35">
      <c r="A303" s="89" t="str">
        <f t="shared" si="13"/>
        <v>498T</v>
      </c>
      <c r="B303" s="89" t="s">
        <v>1853</v>
      </c>
      <c r="C303" s="89" t="s">
        <v>1854</v>
      </c>
      <c r="D303" s="89" t="s">
        <v>277</v>
      </c>
      <c r="E303" s="89" t="s">
        <v>1855</v>
      </c>
      <c r="F303" s="89" t="s">
        <v>1851</v>
      </c>
      <c r="G303" s="89" t="s">
        <v>70</v>
      </c>
      <c r="H303" s="89" t="s">
        <v>70</v>
      </c>
      <c r="I303" s="91"/>
      <c r="J303" s="89">
        <v>0</v>
      </c>
      <c r="K303" s="89" t="s">
        <v>53</v>
      </c>
      <c r="L303" s="89" t="s">
        <v>1548</v>
      </c>
      <c r="M303" s="91"/>
      <c r="N303" s="89" t="s">
        <v>1549</v>
      </c>
      <c r="O303" s="89" t="s">
        <v>615</v>
      </c>
      <c r="P303" s="89" t="s">
        <v>1550</v>
      </c>
      <c r="Q303" s="89" t="s">
        <v>629</v>
      </c>
      <c r="R303" s="89">
        <v>15</v>
      </c>
      <c r="S303" s="89" t="s">
        <v>1551</v>
      </c>
      <c r="T303" s="89" t="s">
        <v>1555</v>
      </c>
      <c r="U303" s="89" t="s">
        <v>1552</v>
      </c>
      <c r="V303" s="89" t="s">
        <v>1561</v>
      </c>
      <c r="W303" s="89" t="s">
        <v>663</v>
      </c>
      <c r="X303" s="89" t="s">
        <v>78</v>
      </c>
      <c r="Y303" s="89" t="s">
        <v>619</v>
      </c>
      <c r="Z303" s="89" t="s">
        <v>68</v>
      </c>
      <c r="AA303" s="89" t="s">
        <v>67</v>
      </c>
      <c r="AB303" s="89">
        <v>2</v>
      </c>
      <c r="AC303" s="89">
        <v>6</v>
      </c>
      <c r="AD303" s="89">
        <v>1</v>
      </c>
      <c r="AE303" s="89" t="s">
        <v>0</v>
      </c>
      <c r="AF303" s="90">
        <v>367</v>
      </c>
      <c r="AG303" s="90">
        <v>44723</v>
      </c>
      <c r="AH303" s="90">
        <v>45818</v>
      </c>
    </row>
    <row r="304" spans="1:37" x14ac:dyDescent="0.35">
      <c r="A304" s="89" t="str">
        <f t="shared" si="13"/>
        <v>694Q</v>
      </c>
      <c r="B304" s="89" t="s">
        <v>1202</v>
      </c>
      <c r="C304" s="89" t="s">
        <v>1203</v>
      </c>
      <c r="D304" s="89" t="s">
        <v>382</v>
      </c>
      <c r="E304" s="89" t="s">
        <v>1204</v>
      </c>
      <c r="F304" s="89" t="s">
        <v>1851</v>
      </c>
      <c r="G304" s="89" t="s">
        <v>70</v>
      </c>
      <c r="H304" s="89" t="s">
        <v>70</v>
      </c>
      <c r="I304" s="89" t="s">
        <v>1547</v>
      </c>
      <c r="J304" s="89">
        <v>0</v>
      </c>
      <c r="K304" s="89" t="s">
        <v>53</v>
      </c>
      <c r="L304" s="89" t="s">
        <v>1548</v>
      </c>
      <c r="M304" s="91"/>
      <c r="N304" s="89" t="s">
        <v>1549</v>
      </c>
      <c r="O304" s="89" t="s">
        <v>615</v>
      </c>
      <c r="P304" s="89" t="s">
        <v>1550</v>
      </c>
      <c r="Q304" s="89" t="s">
        <v>629</v>
      </c>
      <c r="R304" s="89">
        <v>15</v>
      </c>
      <c r="S304" s="89" t="s">
        <v>1555</v>
      </c>
      <c r="T304" s="89" t="s">
        <v>1555</v>
      </c>
      <c r="U304" s="89" t="s">
        <v>1552</v>
      </c>
      <c r="V304" s="89" t="s">
        <v>1561</v>
      </c>
      <c r="W304" s="89" t="s">
        <v>663</v>
      </c>
      <c r="X304" s="89" t="s">
        <v>78</v>
      </c>
      <c r="Y304" s="89" t="s">
        <v>619</v>
      </c>
      <c r="Z304" s="89" t="s">
        <v>68</v>
      </c>
      <c r="AA304" s="89" t="s">
        <v>67</v>
      </c>
      <c r="AB304" s="89">
        <v>1</v>
      </c>
      <c r="AC304" s="89">
        <v>6</v>
      </c>
      <c r="AD304" s="89">
        <v>1</v>
      </c>
      <c r="AE304" s="89" t="s">
        <v>0</v>
      </c>
      <c r="AF304" s="90">
        <v>367</v>
      </c>
      <c r="AG304" s="90">
        <v>44727</v>
      </c>
      <c r="AH304" s="90">
        <v>45818</v>
      </c>
    </row>
    <row r="305" spans="1:37" x14ac:dyDescent="0.35">
      <c r="A305" s="89" t="str">
        <f t="shared" si="13"/>
        <v>00TY</v>
      </c>
      <c r="B305" s="89" t="s">
        <v>893</v>
      </c>
      <c r="C305" s="89" t="s">
        <v>894</v>
      </c>
      <c r="D305" s="89" t="s">
        <v>144</v>
      </c>
      <c r="E305" s="89" t="s">
        <v>895</v>
      </c>
      <c r="F305" s="89" t="s">
        <v>1851</v>
      </c>
      <c r="G305" s="89" t="s">
        <v>70</v>
      </c>
      <c r="H305" s="89" t="s">
        <v>70</v>
      </c>
      <c r="I305" s="89" t="s">
        <v>1547</v>
      </c>
      <c r="J305" s="89">
        <v>0</v>
      </c>
      <c r="K305" s="89" t="s">
        <v>53</v>
      </c>
      <c r="L305" s="89" t="s">
        <v>1548</v>
      </c>
      <c r="M305" s="91"/>
      <c r="N305" s="89" t="s">
        <v>1549</v>
      </c>
      <c r="O305" s="89" t="s">
        <v>615</v>
      </c>
      <c r="P305" s="89" t="s">
        <v>1550</v>
      </c>
      <c r="Q305" s="89" t="s">
        <v>629</v>
      </c>
      <c r="R305" s="89">
        <v>24</v>
      </c>
      <c r="S305" s="89" t="s">
        <v>1551</v>
      </c>
      <c r="T305" s="89" t="s">
        <v>1555</v>
      </c>
      <c r="U305" s="89" t="s">
        <v>1552</v>
      </c>
      <c r="V305" s="89" t="s">
        <v>1561</v>
      </c>
      <c r="W305" s="89" t="s">
        <v>663</v>
      </c>
      <c r="X305" s="89" t="s">
        <v>78</v>
      </c>
      <c r="Y305" s="89" t="s">
        <v>619</v>
      </c>
      <c r="Z305" s="89" t="s">
        <v>68</v>
      </c>
      <c r="AA305" s="89" t="s">
        <v>67</v>
      </c>
      <c r="AB305" s="89">
        <v>1</v>
      </c>
      <c r="AC305" s="89">
        <v>6</v>
      </c>
      <c r="AD305" s="89">
        <v>1</v>
      </c>
      <c r="AE305" s="89" t="s">
        <v>287</v>
      </c>
      <c r="AF305" s="90">
        <v>367</v>
      </c>
      <c r="AG305" s="90">
        <v>45082</v>
      </c>
      <c r="AH305" s="90">
        <v>46174</v>
      </c>
    </row>
    <row r="306" spans="1:37" x14ac:dyDescent="0.35">
      <c r="A306" s="89" t="str">
        <f t="shared" si="13"/>
        <v>625H</v>
      </c>
      <c r="B306" s="89" t="s">
        <v>1129</v>
      </c>
      <c r="C306" s="89" t="s">
        <v>1130</v>
      </c>
      <c r="D306" s="89" t="s">
        <v>320</v>
      </c>
      <c r="E306" s="89" t="s">
        <v>1131</v>
      </c>
      <c r="F306" s="89" t="s">
        <v>1851</v>
      </c>
      <c r="G306" s="89" t="s">
        <v>70</v>
      </c>
      <c r="H306" s="89" t="s">
        <v>70</v>
      </c>
      <c r="I306" s="89" t="s">
        <v>1547</v>
      </c>
      <c r="J306" s="89">
        <v>0</v>
      </c>
      <c r="K306" s="89" t="s">
        <v>53</v>
      </c>
      <c r="L306" s="89" t="s">
        <v>1548</v>
      </c>
      <c r="M306" s="91"/>
      <c r="N306" s="89" t="s">
        <v>1549</v>
      </c>
      <c r="O306" s="89" t="s">
        <v>615</v>
      </c>
      <c r="P306" s="89" t="s">
        <v>1550</v>
      </c>
      <c r="Q306" s="89" t="s">
        <v>629</v>
      </c>
      <c r="R306" s="89">
        <v>15</v>
      </c>
      <c r="S306" s="89" t="s">
        <v>1555</v>
      </c>
      <c r="T306" s="89" t="s">
        <v>1555</v>
      </c>
      <c r="U306" s="89" t="s">
        <v>1552</v>
      </c>
      <c r="V306" s="89" t="s">
        <v>1561</v>
      </c>
      <c r="W306" s="89" t="s">
        <v>663</v>
      </c>
      <c r="X306" s="89" t="s">
        <v>78</v>
      </c>
      <c r="Y306" s="89" t="s">
        <v>619</v>
      </c>
      <c r="Z306" s="89" t="s">
        <v>68</v>
      </c>
      <c r="AA306" s="89" t="s">
        <v>67</v>
      </c>
      <c r="AB306" s="89">
        <v>1</v>
      </c>
      <c r="AC306" s="89">
        <v>6</v>
      </c>
      <c r="AD306" s="89">
        <v>1</v>
      </c>
      <c r="AE306" s="89" t="s">
        <v>287</v>
      </c>
      <c r="AF306" s="90">
        <v>367</v>
      </c>
      <c r="AG306" s="90">
        <v>45082</v>
      </c>
      <c r="AH306" s="90">
        <v>46174</v>
      </c>
    </row>
    <row r="307" spans="1:37" x14ac:dyDescent="0.35">
      <c r="A307" s="89" t="str">
        <f t="shared" si="13"/>
        <v>ZRA6</v>
      </c>
      <c r="B307" s="89" t="s">
        <v>1265</v>
      </c>
      <c r="C307" s="89" t="s">
        <v>1266</v>
      </c>
      <c r="D307" s="89" t="s">
        <v>510</v>
      </c>
      <c r="E307" s="89" t="s">
        <v>1267</v>
      </c>
      <c r="F307" s="89" t="s">
        <v>1851</v>
      </c>
      <c r="G307" s="89" t="s">
        <v>70</v>
      </c>
      <c r="H307" s="89" t="s">
        <v>70</v>
      </c>
      <c r="I307" s="89" t="s">
        <v>1547</v>
      </c>
      <c r="J307" s="89">
        <v>0</v>
      </c>
      <c r="K307" s="26" t="s">
        <v>38</v>
      </c>
      <c r="L307" s="89" t="s">
        <v>1588</v>
      </c>
      <c r="M307" s="91"/>
      <c r="N307" s="89" t="s">
        <v>1549</v>
      </c>
      <c r="O307" s="89" t="s">
        <v>615</v>
      </c>
      <c r="P307" s="89" t="s">
        <v>1550</v>
      </c>
      <c r="Q307" s="89" t="s">
        <v>629</v>
      </c>
      <c r="R307" s="89">
        <v>24</v>
      </c>
      <c r="S307" s="89" t="s">
        <v>1551</v>
      </c>
      <c r="T307" s="89" t="s">
        <v>1555</v>
      </c>
      <c r="U307" s="89" t="s">
        <v>1552</v>
      </c>
      <c r="V307" s="89" t="s">
        <v>1561</v>
      </c>
      <c r="W307" s="89" t="s">
        <v>663</v>
      </c>
      <c r="X307" s="89" t="s">
        <v>78</v>
      </c>
      <c r="Y307" s="89" t="s">
        <v>619</v>
      </c>
      <c r="Z307" s="89" t="s">
        <v>68</v>
      </c>
      <c r="AA307" s="89" t="s">
        <v>67</v>
      </c>
      <c r="AB307" s="89">
        <v>1</v>
      </c>
      <c r="AC307" s="89">
        <v>6</v>
      </c>
      <c r="AD307" s="89">
        <v>1</v>
      </c>
      <c r="AE307" s="89" t="s">
        <v>287</v>
      </c>
      <c r="AF307" s="90">
        <v>367</v>
      </c>
      <c r="AG307" s="90">
        <v>45096</v>
      </c>
      <c r="AH307" s="90">
        <v>46174</v>
      </c>
      <c r="AJ307" t="e">
        <f>VLOOKUP(A307,'1'!B:Q,16,0)</f>
        <v>#N/A</v>
      </c>
      <c r="AK307" s="96" t="e">
        <f t="shared" ref="AK307:AK313" si="14">AJ307/250</f>
        <v>#N/A</v>
      </c>
    </row>
    <row r="308" spans="1:37" x14ac:dyDescent="0.35">
      <c r="A308" s="89" t="str">
        <f t="shared" si="13"/>
        <v>ZRB6</v>
      </c>
      <c r="B308" s="89" t="s">
        <v>1463</v>
      </c>
      <c r="C308" s="89" t="s">
        <v>1464</v>
      </c>
      <c r="D308" s="89" t="s">
        <v>512</v>
      </c>
      <c r="E308" s="89" t="s">
        <v>1465</v>
      </c>
      <c r="F308" s="89" t="s">
        <v>1851</v>
      </c>
      <c r="G308" s="89" t="s">
        <v>70</v>
      </c>
      <c r="H308" s="89" t="s">
        <v>70</v>
      </c>
      <c r="I308" s="89" t="s">
        <v>1547</v>
      </c>
      <c r="J308" s="89">
        <v>0</v>
      </c>
      <c r="K308" s="26" t="s">
        <v>38</v>
      </c>
      <c r="L308" s="89" t="s">
        <v>1588</v>
      </c>
      <c r="M308" s="91"/>
      <c r="N308" s="89" t="s">
        <v>1549</v>
      </c>
      <c r="O308" s="89" t="s">
        <v>615</v>
      </c>
      <c r="P308" s="89" t="s">
        <v>1550</v>
      </c>
      <c r="Q308" s="89" t="s">
        <v>629</v>
      </c>
      <c r="R308" s="89">
        <v>15</v>
      </c>
      <c r="S308" s="89" t="s">
        <v>1555</v>
      </c>
      <c r="T308" s="89" t="s">
        <v>1555</v>
      </c>
      <c r="U308" s="89" t="s">
        <v>1552</v>
      </c>
      <c r="V308" s="89" t="s">
        <v>1561</v>
      </c>
      <c r="W308" s="89" t="s">
        <v>663</v>
      </c>
      <c r="X308" s="89" t="s">
        <v>78</v>
      </c>
      <c r="Y308" s="89" t="s">
        <v>619</v>
      </c>
      <c r="Z308" s="89" t="s">
        <v>68</v>
      </c>
      <c r="AA308" s="89" t="s">
        <v>67</v>
      </c>
      <c r="AB308" s="89">
        <v>1</v>
      </c>
      <c r="AC308" s="89">
        <v>6</v>
      </c>
      <c r="AD308" s="89">
        <v>1</v>
      </c>
      <c r="AE308" s="89" t="s">
        <v>287</v>
      </c>
      <c r="AF308" s="90">
        <v>367</v>
      </c>
      <c r="AG308" s="90">
        <v>45096</v>
      </c>
      <c r="AH308" s="90">
        <v>46174</v>
      </c>
      <c r="AJ308" t="e">
        <f>VLOOKUP(A308,'1'!B:Q,16,0)</f>
        <v>#N/A</v>
      </c>
      <c r="AK308" s="96" t="e">
        <f t="shared" si="14"/>
        <v>#N/A</v>
      </c>
    </row>
    <row r="309" spans="1:37" x14ac:dyDescent="0.35">
      <c r="A309" s="89" t="str">
        <f t="shared" si="13"/>
        <v>ZDX5</v>
      </c>
      <c r="B309" s="89" t="s">
        <v>1255</v>
      </c>
      <c r="C309" s="89" t="s">
        <v>1256</v>
      </c>
      <c r="D309" s="89" t="s">
        <v>489</v>
      </c>
      <c r="E309" s="89" t="s">
        <v>1856</v>
      </c>
      <c r="F309" s="89" t="s">
        <v>1851</v>
      </c>
      <c r="G309" s="89" t="s">
        <v>70</v>
      </c>
      <c r="H309" s="89" t="s">
        <v>70</v>
      </c>
      <c r="I309" s="89" t="s">
        <v>1547</v>
      </c>
      <c r="J309" s="89">
        <v>0</v>
      </c>
      <c r="K309" s="26" t="s">
        <v>38</v>
      </c>
      <c r="L309" s="89" t="s">
        <v>1620</v>
      </c>
      <c r="M309" s="91"/>
      <c r="N309" s="89" t="s">
        <v>1549</v>
      </c>
      <c r="O309" s="89" t="s">
        <v>615</v>
      </c>
      <c r="P309" s="89" t="s">
        <v>1550</v>
      </c>
      <c r="Q309" s="89" t="s">
        <v>629</v>
      </c>
      <c r="R309" s="89">
        <v>15</v>
      </c>
      <c r="S309" s="89" t="s">
        <v>1555</v>
      </c>
      <c r="T309" s="89" t="s">
        <v>1555</v>
      </c>
      <c r="U309" s="89" t="s">
        <v>1552</v>
      </c>
      <c r="V309" s="89" t="s">
        <v>1561</v>
      </c>
      <c r="W309" s="89" t="s">
        <v>663</v>
      </c>
      <c r="X309" s="89" t="s">
        <v>78</v>
      </c>
      <c r="Y309" s="89" t="s">
        <v>619</v>
      </c>
      <c r="Z309" s="89" t="s">
        <v>68</v>
      </c>
      <c r="AA309" s="89" t="s">
        <v>67</v>
      </c>
      <c r="AB309" s="89">
        <v>1</v>
      </c>
      <c r="AC309" s="89">
        <v>6</v>
      </c>
      <c r="AD309" s="89">
        <v>1</v>
      </c>
      <c r="AE309" s="89" t="s">
        <v>288</v>
      </c>
      <c r="AF309" s="90">
        <v>367</v>
      </c>
      <c r="AG309" s="90">
        <v>45439</v>
      </c>
      <c r="AH309" s="90">
        <v>46534</v>
      </c>
      <c r="AJ309" t="e">
        <f>VLOOKUP(A309,'1'!B:Q,16,0)</f>
        <v>#N/A</v>
      </c>
      <c r="AK309" s="96" t="e">
        <f t="shared" si="14"/>
        <v>#N/A</v>
      </c>
    </row>
    <row r="310" spans="1:37" x14ac:dyDescent="0.35">
      <c r="A310" s="89" t="str">
        <f t="shared" si="13"/>
        <v>Z867</v>
      </c>
      <c r="B310" s="89" t="s">
        <v>1458</v>
      </c>
      <c r="C310" s="89" t="s">
        <v>1459</v>
      </c>
      <c r="D310" s="89" t="s">
        <v>487</v>
      </c>
      <c r="E310" s="89" t="s">
        <v>1251</v>
      </c>
      <c r="F310" s="89" t="s">
        <v>1851</v>
      </c>
      <c r="G310" s="89" t="s">
        <v>70</v>
      </c>
      <c r="H310" s="89" t="s">
        <v>70</v>
      </c>
      <c r="I310" s="91"/>
      <c r="J310" s="89">
        <v>0</v>
      </c>
      <c r="K310" s="26" t="s">
        <v>38</v>
      </c>
      <c r="L310" s="89" t="s">
        <v>1620</v>
      </c>
      <c r="M310" s="91"/>
      <c r="N310" s="89" t="s">
        <v>1549</v>
      </c>
      <c r="O310" s="89" t="s">
        <v>615</v>
      </c>
      <c r="P310" s="89" t="s">
        <v>1550</v>
      </c>
      <c r="Q310" s="89" t="s">
        <v>629</v>
      </c>
      <c r="R310" s="89">
        <v>24</v>
      </c>
      <c r="S310" s="89" t="s">
        <v>1551</v>
      </c>
      <c r="T310" s="89" t="s">
        <v>1558</v>
      </c>
      <c r="U310" s="89" t="s">
        <v>1552</v>
      </c>
      <c r="V310" s="89" t="s">
        <v>1561</v>
      </c>
      <c r="W310" s="89" t="s">
        <v>663</v>
      </c>
      <c r="X310" s="89" t="s">
        <v>78</v>
      </c>
      <c r="Y310" s="89" t="s">
        <v>619</v>
      </c>
      <c r="Z310" s="89" t="s">
        <v>68</v>
      </c>
      <c r="AA310" s="89" t="s">
        <v>67</v>
      </c>
      <c r="AB310" s="89">
        <v>1</v>
      </c>
      <c r="AC310" s="89">
        <v>6</v>
      </c>
      <c r="AD310" s="89">
        <v>1</v>
      </c>
      <c r="AE310" s="89" t="s">
        <v>288</v>
      </c>
      <c r="AF310" s="90">
        <v>367</v>
      </c>
      <c r="AG310" s="90">
        <v>45439</v>
      </c>
      <c r="AH310" s="90">
        <v>46537</v>
      </c>
      <c r="AJ310" t="e">
        <f>VLOOKUP(A310,'1'!B:Q,16,0)</f>
        <v>#N/A</v>
      </c>
      <c r="AK310" s="96" t="e">
        <f t="shared" si="14"/>
        <v>#N/A</v>
      </c>
    </row>
    <row r="311" spans="1:37" x14ac:dyDescent="0.35">
      <c r="A311" s="89" t="str">
        <f t="shared" si="13"/>
        <v>Z866</v>
      </c>
      <c r="B311" s="89" t="s">
        <v>1249</v>
      </c>
      <c r="C311" s="89" t="s">
        <v>1250</v>
      </c>
      <c r="D311" s="89" t="s">
        <v>486</v>
      </c>
      <c r="E311" s="89" t="s">
        <v>1251</v>
      </c>
      <c r="F311" s="89" t="s">
        <v>1851</v>
      </c>
      <c r="G311" s="89" t="s">
        <v>70</v>
      </c>
      <c r="H311" s="89" t="s">
        <v>70</v>
      </c>
      <c r="I311" s="91"/>
      <c r="J311" s="89">
        <v>0</v>
      </c>
      <c r="K311" s="26" t="s">
        <v>38</v>
      </c>
      <c r="L311" s="89" t="s">
        <v>1620</v>
      </c>
      <c r="M311" s="91"/>
      <c r="N311" s="89" t="s">
        <v>1549</v>
      </c>
      <c r="O311" s="89" t="s">
        <v>615</v>
      </c>
      <c r="P311" s="89" t="s">
        <v>1550</v>
      </c>
      <c r="Q311" s="89" t="s">
        <v>629</v>
      </c>
      <c r="R311" s="89">
        <v>24</v>
      </c>
      <c r="S311" s="89" t="s">
        <v>1551</v>
      </c>
      <c r="T311" s="89" t="s">
        <v>1558</v>
      </c>
      <c r="U311" s="89" t="s">
        <v>1552</v>
      </c>
      <c r="V311" s="89" t="s">
        <v>1561</v>
      </c>
      <c r="W311" s="89" t="s">
        <v>663</v>
      </c>
      <c r="X311" s="89" t="s">
        <v>78</v>
      </c>
      <c r="Y311" s="89" t="s">
        <v>619</v>
      </c>
      <c r="Z311" s="89" t="s">
        <v>68</v>
      </c>
      <c r="AA311" s="89" t="s">
        <v>67</v>
      </c>
      <c r="AB311" s="89">
        <v>1</v>
      </c>
      <c r="AC311" s="89">
        <v>6</v>
      </c>
      <c r="AD311" s="89">
        <v>1</v>
      </c>
      <c r="AE311" s="89" t="s">
        <v>288</v>
      </c>
      <c r="AF311" s="90">
        <v>367</v>
      </c>
      <c r="AG311" s="90">
        <v>45439</v>
      </c>
      <c r="AH311" s="90">
        <v>46537</v>
      </c>
      <c r="AJ311" t="e">
        <f>VLOOKUP(A311,'1'!B:Q,16,0)</f>
        <v>#N/A</v>
      </c>
      <c r="AK311" s="96" t="e">
        <f t="shared" si="14"/>
        <v>#N/A</v>
      </c>
    </row>
    <row r="312" spans="1:37" x14ac:dyDescent="0.35">
      <c r="A312" s="89" t="str">
        <f t="shared" si="13"/>
        <v>ZC07</v>
      </c>
      <c r="B312" s="89" t="s">
        <v>2041</v>
      </c>
      <c r="C312" s="89" t="s">
        <v>1300</v>
      </c>
      <c r="D312" s="89" t="s">
        <v>553</v>
      </c>
      <c r="E312" s="89" t="s">
        <v>1301</v>
      </c>
      <c r="F312" s="89" t="s">
        <v>1851</v>
      </c>
      <c r="G312" s="89" t="s">
        <v>70</v>
      </c>
      <c r="H312" s="89" t="s">
        <v>70</v>
      </c>
      <c r="I312" s="91"/>
      <c r="J312" s="89">
        <v>0</v>
      </c>
      <c r="K312" s="26" t="s">
        <v>38</v>
      </c>
      <c r="L312" s="89" t="s">
        <v>1620</v>
      </c>
      <c r="M312" s="91"/>
      <c r="N312" s="89" t="s">
        <v>1549</v>
      </c>
      <c r="O312" s="89" t="s">
        <v>615</v>
      </c>
      <c r="P312" s="89" t="s">
        <v>1550</v>
      </c>
      <c r="Q312" s="89" t="s">
        <v>629</v>
      </c>
      <c r="R312" s="89">
        <v>24</v>
      </c>
      <c r="S312" s="89" t="s">
        <v>1551</v>
      </c>
      <c r="T312" s="89" t="s">
        <v>1558</v>
      </c>
      <c r="U312" s="89" t="s">
        <v>1552</v>
      </c>
      <c r="V312" s="89" t="s">
        <v>1561</v>
      </c>
      <c r="W312" s="89" t="s">
        <v>690</v>
      </c>
      <c r="X312" s="89" t="s">
        <v>81</v>
      </c>
      <c r="Y312" s="89" t="s">
        <v>619</v>
      </c>
      <c r="Z312" s="89" t="s">
        <v>68</v>
      </c>
      <c r="AA312" s="89" t="s">
        <v>82</v>
      </c>
      <c r="AB312" s="89">
        <v>2</v>
      </c>
      <c r="AC312" s="89">
        <v>6</v>
      </c>
      <c r="AD312" s="89">
        <v>1</v>
      </c>
      <c r="AE312" s="89" t="s">
        <v>288</v>
      </c>
      <c r="AF312" s="90">
        <v>367</v>
      </c>
      <c r="AG312" s="90">
        <v>45444</v>
      </c>
      <c r="AH312" s="90">
        <v>46568</v>
      </c>
      <c r="AJ312" t="e">
        <f>VLOOKUP(A312,'1'!B:Q,16,0)</f>
        <v>#N/A</v>
      </c>
      <c r="AK312" s="96" t="e">
        <f t="shared" si="14"/>
        <v>#N/A</v>
      </c>
    </row>
    <row r="313" spans="1:37" x14ac:dyDescent="0.35">
      <c r="A313" s="89" t="str">
        <f t="shared" si="13"/>
        <v>ZC06</v>
      </c>
      <c r="B313" s="89" t="s">
        <v>2034</v>
      </c>
      <c r="C313" s="89" t="s">
        <v>1300</v>
      </c>
      <c r="D313" s="89" t="s">
        <v>552</v>
      </c>
      <c r="E313" s="89" t="s">
        <v>1301</v>
      </c>
      <c r="F313" s="89" t="s">
        <v>1851</v>
      </c>
      <c r="G313" s="89" t="s">
        <v>70</v>
      </c>
      <c r="H313" s="89" t="s">
        <v>70</v>
      </c>
      <c r="I313" s="91"/>
      <c r="J313" s="89">
        <v>0</v>
      </c>
      <c r="K313" s="26" t="s">
        <v>38</v>
      </c>
      <c r="L313" s="89" t="s">
        <v>1620</v>
      </c>
      <c r="M313" s="91"/>
      <c r="N313" s="89" t="s">
        <v>1549</v>
      </c>
      <c r="O313" s="89" t="s">
        <v>615</v>
      </c>
      <c r="P313" s="89" t="s">
        <v>1550</v>
      </c>
      <c r="Q313" s="89" t="s">
        <v>629</v>
      </c>
      <c r="R313" s="89">
        <v>24</v>
      </c>
      <c r="S313" s="89" t="s">
        <v>1551</v>
      </c>
      <c r="T313" s="89" t="s">
        <v>1558</v>
      </c>
      <c r="U313" s="89" t="s">
        <v>1552</v>
      </c>
      <c r="V313" s="89" t="s">
        <v>1561</v>
      </c>
      <c r="W313" s="89" t="s">
        <v>690</v>
      </c>
      <c r="X313" s="89" t="s">
        <v>81</v>
      </c>
      <c r="Y313" s="89" t="s">
        <v>619</v>
      </c>
      <c r="Z313" s="89" t="s">
        <v>68</v>
      </c>
      <c r="AA313" s="89" t="s">
        <v>82</v>
      </c>
      <c r="AB313" s="89">
        <v>2</v>
      </c>
      <c r="AC313" s="89">
        <v>6</v>
      </c>
      <c r="AD313" s="89">
        <v>1</v>
      </c>
      <c r="AE313" s="89" t="s">
        <v>288</v>
      </c>
      <c r="AF313" s="90">
        <v>367</v>
      </c>
      <c r="AG313" s="90">
        <v>45444</v>
      </c>
      <c r="AH313" s="90">
        <v>46568</v>
      </c>
      <c r="AJ313" t="e">
        <f>VLOOKUP(A313,'1'!B:Q,16,0)</f>
        <v>#N/A</v>
      </c>
      <c r="AK313" s="96" t="e">
        <f t="shared" si="14"/>
        <v>#N/A</v>
      </c>
    </row>
    <row r="314" spans="1:37" x14ac:dyDescent="0.35">
      <c r="A314" s="89" t="str">
        <f t="shared" si="13"/>
        <v>00ZB</v>
      </c>
      <c r="B314" s="89" t="s">
        <v>926</v>
      </c>
      <c r="C314" s="89" t="s">
        <v>927</v>
      </c>
      <c r="D314" s="89" t="s">
        <v>163</v>
      </c>
      <c r="E314" s="89" t="s">
        <v>928</v>
      </c>
      <c r="F314" s="89" t="s">
        <v>1851</v>
      </c>
      <c r="G314" s="89" t="s">
        <v>70</v>
      </c>
      <c r="H314" s="89" t="s">
        <v>70</v>
      </c>
      <c r="I314" s="91"/>
      <c r="J314" s="89">
        <v>0</v>
      </c>
      <c r="K314" s="89" t="s">
        <v>53</v>
      </c>
      <c r="L314" s="89" t="s">
        <v>1548</v>
      </c>
      <c r="M314" s="91"/>
      <c r="N314" s="89" t="s">
        <v>1549</v>
      </c>
      <c r="O314" s="89" t="s">
        <v>615</v>
      </c>
      <c r="P314" s="89" t="s">
        <v>1550</v>
      </c>
      <c r="Q314" s="89" t="s">
        <v>629</v>
      </c>
      <c r="R314" s="89">
        <v>24</v>
      </c>
      <c r="S314" s="89" t="s">
        <v>1551</v>
      </c>
      <c r="T314" s="89" t="s">
        <v>1558</v>
      </c>
      <c r="U314" s="89" t="s">
        <v>1552</v>
      </c>
      <c r="V314" s="89" t="s">
        <v>1561</v>
      </c>
      <c r="W314" s="89" t="s">
        <v>663</v>
      </c>
      <c r="X314" s="89" t="s">
        <v>78</v>
      </c>
      <c r="Y314" s="89" t="s">
        <v>619</v>
      </c>
      <c r="Z314" s="89" t="s">
        <v>68</v>
      </c>
      <c r="AA314" s="89" t="s">
        <v>67</v>
      </c>
      <c r="AB314" s="89">
        <v>1</v>
      </c>
      <c r="AC314" s="89">
        <v>6</v>
      </c>
      <c r="AD314" s="89">
        <v>1</v>
      </c>
      <c r="AE314" s="89" t="s">
        <v>288</v>
      </c>
      <c r="AF314" s="90">
        <v>367</v>
      </c>
      <c r="AG314" s="90">
        <v>45625</v>
      </c>
      <c r="AH314" s="90">
        <v>46721</v>
      </c>
    </row>
    <row r="315" spans="1:37" x14ac:dyDescent="0.35">
      <c r="A315" s="89" t="str">
        <f t="shared" si="13"/>
        <v>068W</v>
      </c>
      <c r="B315" s="89" t="s">
        <v>966</v>
      </c>
      <c r="C315" s="89" t="s">
        <v>967</v>
      </c>
      <c r="D315" s="89" t="s">
        <v>190</v>
      </c>
      <c r="E315" s="89" t="s">
        <v>968</v>
      </c>
      <c r="F315" s="89" t="s">
        <v>1851</v>
      </c>
      <c r="G315" s="89" t="s">
        <v>70</v>
      </c>
      <c r="H315" s="89" t="s">
        <v>70</v>
      </c>
      <c r="I315" s="89" t="s">
        <v>1547</v>
      </c>
      <c r="J315" s="89">
        <v>0</v>
      </c>
      <c r="K315" s="89" t="s">
        <v>53</v>
      </c>
      <c r="L315" s="89" t="s">
        <v>1548</v>
      </c>
      <c r="M315" s="91"/>
      <c r="N315" s="89" t="s">
        <v>1549</v>
      </c>
      <c r="O315" s="89" t="s">
        <v>615</v>
      </c>
      <c r="P315" s="89" t="s">
        <v>1550</v>
      </c>
      <c r="Q315" s="89" t="s">
        <v>629</v>
      </c>
      <c r="R315" s="89">
        <v>24</v>
      </c>
      <c r="S315" s="89" t="s">
        <v>1551</v>
      </c>
      <c r="T315" s="89" t="s">
        <v>1551</v>
      </c>
      <c r="U315" s="89" t="s">
        <v>1552</v>
      </c>
      <c r="V315" s="89" t="s">
        <v>1561</v>
      </c>
      <c r="W315" s="89" t="s">
        <v>663</v>
      </c>
      <c r="X315" s="89" t="s">
        <v>78</v>
      </c>
      <c r="Y315" s="89" t="s">
        <v>619</v>
      </c>
      <c r="Z315" s="89" t="s">
        <v>68</v>
      </c>
      <c r="AA315" s="89" t="s">
        <v>67</v>
      </c>
      <c r="AB315" s="89">
        <v>1</v>
      </c>
      <c r="AC315" s="89">
        <v>6</v>
      </c>
      <c r="AD315" s="89">
        <v>1</v>
      </c>
      <c r="AE315" s="89" t="s">
        <v>288</v>
      </c>
      <c r="AF315" s="90">
        <v>367</v>
      </c>
      <c r="AG315" s="90">
        <v>45702</v>
      </c>
      <c r="AH315" s="90">
        <v>46598</v>
      </c>
    </row>
    <row r="316" spans="1:37" x14ac:dyDescent="0.35">
      <c r="A316" s="89" t="str">
        <f t="shared" si="13"/>
        <v>694R</v>
      </c>
      <c r="B316" s="89" t="s">
        <v>1857</v>
      </c>
      <c r="C316" s="89" t="s">
        <v>1858</v>
      </c>
      <c r="D316" s="89" t="s">
        <v>383</v>
      </c>
      <c r="E316" s="89" t="s">
        <v>1859</v>
      </c>
      <c r="F316" s="89" t="s">
        <v>1851</v>
      </c>
      <c r="G316" s="89" t="s">
        <v>70</v>
      </c>
      <c r="H316" s="89" t="s">
        <v>70</v>
      </c>
      <c r="I316" s="89" t="s">
        <v>1547</v>
      </c>
      <c r="J316" s="89">
        <v>0</v>
      </c>
      <c r="K316" s="89" t="s">
        <v>53</v>
      </c>
      <c r="L316" s="89" t="s">
        <v>1548</v>
      </c>
      <c r="M316" s="91"/>
      <c r="N316" s="89" t="s">
        <v>1549</v>
      </c>
      <c r="O316" s="89" t="s">
        <v>615</v>
      </c>
      <c r="P316" s="89" t="s">
        <v>1550</v>
      </c>
      <c r="Q316" s="89" t="s">
        <v>629</v>
      </c>
      <c r="R316" s="89">
        <v>24</v>
      </c>
      <c r="S316" s="89" t="s">
        <v>1551</v>
      </c>
      <c r="T316" s="89" t="s">
        <v>1551</v>
      </c>
      <c r="U316" s="89" t="s">
        <v>1552</v>
      </c>
      <c r="V316" s="89" t="s">
        <v>1561</v>
      </c>
      <c r="W316" s="89" t="s">
        <v>663</v>
      </c>
      <c r="X316" s="89" t="s">
        <v>78</v>
      </c>
      <c r="Y316" s="89" t="s">
        <v>619</v>
      </c>
      <c r="Z316" s="89" t="s">
        <v>68</v>
      </c>
      <c r="AA316" s="89" t="s">
        <v>67</v>
      </c>
      <c r="AB316" s="89">
        <v>2</v>
      </c>
      <c r="AC316" s="89">
        <v>6</v>
      </c>
      <c r="AD316" s="89">
        <v>1</v>
      </c>
      <c r="AE316" s="89" t="s">
        <v>210</v>
      </c>
      <c r="AF316" s="90">
        <v>367</v>
      </c>
      <c r="AG316" s="90">
        <v>45707</v>
      </c>
      <c r="AH316" s="90">
        <v>46802</v>
      </c>
    </row>
    <row r="317" spans="1:37" x14ac:dyDescent="0.35">
      <c r="A317" s="89" t="str">
        <f t="shared" si="13"/>
        <v>017P</v>
      </c>
      <c r="B317" s="89" t="s">
        <v>1860</v>
      </c>
      <c r="C317" s="89" t="s">
        <v>1861</v>
      </c>
      <c r="D317" s="89" t="s">
        <v>174</v>
      </c>
      <c r="E317" s="89" t="s">
        <v>1862</v>
      </c>
      <c r="F317" s="89" t="s">
        <v>1851</v>
      </c>
      <c r="G317" s="89" t="s">
        <v>70</v>
      </c>
      <c r="H317" s="89" t="s">
        <v>70</v>
      </c>
      <c r="I317" s="89" t="s">
        <v>1547</v>
      </c>
      <c r="J317" s="89">
        <v>0</v>
      </c>
      <c r="K317" s="89" t="s">
        <v>53</v>
      </c>
      <c r="L317" s="89" t="s">
        <v>1548</v>
      </c>
      <c r="M317" s="91"/>
      <c r="N317" s="89" t="s">
        <v>1549</v>
      </c>
      <c r="O317" s="89" t="s">
        <v>615</v>
      </c>
      <c r="P317" s="89" t="s">
        <v>1550</v>
      </c>
      <c r="Q317" s="89" t="s">
        <v>629</v>
      </c>
      <c r="R317" s="89">
        <v>15</v>
      </c>
      <c r="S317" s="89" t="s">
        <v>1555</v>
      </c>
      <c r="T317" s="89" t="s">
        <v>1555</v>
      </c>
      <c r="U317" s="89" t="s">
        <v>1552</v>
      </c>
      <c r="V317" s="89" t="s">
        <v>1561</v>
      </c>
      <c r="W317" s="89" t="s">
        <v>663</v>
      </c>
      <c r="X317" s="89" t="s">
        <v>78</v>
      </c>
      <c r="Y317" s="89" t="s">
        <v>619</v>
      </c>
      <c r="Z317" s="89" t="s">
        <v>68</v>
      </c>
      <c r="AA317" s="89" t="s">
        <v>67</v>
      </c>
      <c r="AB317" s="89">
        <v>1</v>
      </c>
      <c r="AC317" s="89">
        <v>6</v>
      </c>
      <c r="AD317" s="89">
        <v>1</v>
      </c>
      <c r="AE317" s="89" t="s">
        <v>210</v>
      </c>
      <c r="AF317" s="90">
        <v>367</v>
      </c>
      <c r="AG317" s="90">
        <v>45707</v>
      </c>
      <c r="AH317" s="90">
        <v>46802</v>
      </c>
    </row>
    <row r="318" spans="1:37" x14ac:dyDescent="0.35">
      <c r="A318" s="89" t="str">
        <f t="shared" si="13"/>
        <v>00KK</v>
      </c>
      <c r="B318" s="89" t="s">
        <v>869</v>
      </c>
      <c r="C318" s="89" t="s">
        <v>870</v>
      </c>
      <c r="D318" s="89" t="s">
        <v>123</v>
      </c>
      <c r="E318" s="89" t="s">
        <v>871</v>
      </c>
      <c r="F318" s="89" t="s">
        <v>1851</v>
      </c>
      <c r="G318" s="89" t="s">
        <v>70</v>
      </c>
      <c r="H318" s="89" t="s">
        <v>70</v>
      </c>
      <c r="I318" s="91"/>
      <c r="J318" s="89">
        <v>0</v>
      </c>
      <c r="K318" s="89" t="s">
        <v>53</v>
      </c>
      <c r="L318" s="89" t="s">
        <v>1548</v>
      </c>
      <c r="M318" s="91"/>
      <c r="N318" s="89" t="s">
        <v>1549</v>
      </c>
      <c r="O318" s="89" t="s">
        <v>615</v>
      </c>
      <c r="P318" s="89" t="s">
        <v>1550</v>
      </c>
      <c r="Q318" s="89" t="s">
        <v>629</v>
      </c>
      <c r="R318" s="89">
        <v>24</v>
      </c>
      <c r="S318" s="89" t="s">
        <v>1551</v>
      </c>
      <c r="T318" s="89" t="s">
        <v>1558</v>
      </c>
      <c r="U318" s="89" t="s">
        <v>1552</v>
      </c>
      <c r="V318" s="89" t="s">
        <v>1561</v>
      </c>
      <c r="W318" s="89" t="s">
        <v>690</v>
      </c>
      <c r="X318" s="89" t="s">
        <v>81</v>
      </c>
      <c r="Y318" s="89" t="s">
        <v>619</v>
      </c>
      <c r="Z318" s="89" t="s">
        <v>68</v>
      </c>
      <c r="AA318" s="89" t="s">
        <v>82</v>
      </c>
      <c r="AB318" s="89">
        <v>2</v>
      </c>
      <c r="AC318" s="89">
        <v>6</v>
      </c>
      <c r="AD318" s="89">
        <v>1</v>
      </c>
      <c r="AE318" s="89" t="s">
        <v>288</v>
      </c>
      <c r="AF318" s="90">
        <v>367</v>
      </c>
      <c r="AG318" s="90">
        <v>45706</v>
      </c>
      <c r="AH318" s="90">
        <v>46811</v>
      </c>
    </row>
    <row r="319" spans="1:37" x14ac:dyDescent="0.35">
      <c r="A319" s="89" t="str">
        <f t="shared" si="13"/>
        <v>401D</v>
      </c>
      <c r="B319" s="89" t="s">
        <v>1068</v>
      </c>
      <c r="C319" s="89" t="s">
        <v>1069</v>
      </c>
      <c r="D319" s="89" t="s">
        <v>255</v>
      </c>
      <c r="E319" s="89" t="s">
        <v>1070</v>
      </c>
      <c r="F319" s="89" t="s">
        <v>1863</v>
      </c>
      <c r="G319" s="89" t="s">
        <v>70</v>
      </c>
      <c r="H319" s="89" t="s">
        <v>70</v>
      </c>
      <c r="I319" s="91"/>
      <c r="J319" s="89">
        <v>0</v>
      </c>
      <c r="K319" s="89" t="s">
        <v>53</v>
      </c>
      <c r="L319" s="89" t="s">
        <v>1548</v>
      </c>
      <c r="M319" s="91"/>
      <c r="N319" s="89" t="s">
        <v>1549</v>
      </c>
      <c r="O319" s="89" t="s">
        <v>615</v>
      </c>
      <c r="P319" s="89" t="s">
        <v>1550</v>
      </c>
      <c r="Q319" s="89" t="s">
        <v>629</v>
      </c>
      <c r="R319" s="89">
        <v>24</v>
      </c>
      <c r="S319" s="89" t="s">
        <v>1551</v>
      </c>
      <c r="T319" s="89" t="s">
        <v>1551</v>
      </c>
      <c r="U319" s="89" t="s">
        <v>1552</v>
      </c>
      <c r="V319" s="89" t="s">
        <v>1553</v>
      </c>
      <c r="W319" s="89" t="s">
        <v>690</v>
      </c>
      <c r="X319" s="89" t="s">
        <v>81</v>
      </c>
      <c r="Y319" s="89" t="s">
        <v>619</v>
      </c>
      <c r="Z319" s="89" t="s">
        <v>68</v>
      </c>
      <c r="AA319" s="89" t="s">
        <v>82</v>
      </c>
      <c r="AB319" s="89">
        <v>1</v>
      </c>
      <c r="AC319" s="89">
        <v>6</v>
      </c>
      <c r="AD319" s="89">
        <v>1</v>
      </c>
      <c r="AE319" s="89" t="s">
        <v>286</v>
      </c>
      <c r="AF319" s="90">
        <v>367</v>
      </c>
      <c r="AG319" s="90">
        <v>44460</v>
      </c>
      <c r="AH319" s="90">
        <v>45565</v>
      </c>
    </row>
    <row r="320" spans="1:37" x14ac:dyDescent="0.35">
      <c r="A320" s="89" t="str">
        <f t="shared" si="13"/>
        <v>253H</v>
      </c>
      <c r="B320" s="89" t="s">
        <v>998</v>
      </c>
      <c r="C320" s="89" t="s">
        <v>999</v>
      </c>
      <c r="D320" s="89" t="s">
        <v>216</v>
      </c>
      <c r="E320" s="89" t="s">
        <v>1000</v>
      </c>
      <c r="F320" s="89" t="s">
        <v>1863</v>
      </c>
      <c r="G320" s="89" t="s">
        <v>70</v>
      </c>
      <c r="H320" s="89" t="s">
        <v>70</v>
      </c>
      <c r="I320" s="89" t="s">
        <v>1560</v>
      </c>
      <c r="J320" s="89">
        <v>0</v>
      </c>
      <c r="K320" s="89" t="s">
        <v>53</v>
      </c>
      <c r="L320" s="89" t="s">
        <v>1548</v>
      </c>
      <c r="M320" s="91"/>
      <c r="N320" s="89" t="s">
        <v>1549</v>
      </c>
      <c r="O320" s="89" t="s">
        <v>615</v>
      </c>
      <c r="P320" s="89" t="s">
        <v>1550</v>
      </c>
      <c r="Q320" s="89" t="s">
        <v>629</v>
      </c>
      <c r="R320" s="89">
        <v>24</v>
      </c>
      <c r="S320" s="89" t="s">
        <v>1551</v>
      </c>
      <c r="T320" s="89" t="s">
        <v>1551</v>
      </c>
      <c r="U320" s="89" t="s">
        <v>1552</v>
      </c>
      <c r="V320" s="89" t="s">
        <v>1553</v>
      </c>
      <c r="W320" s="89" t="s">
        <v>701</v>
      </c>
      <c r="X320" s="89" t="s">
        <v>565</v>
      </c>
      <c r="Y320" s="89" t="s">
        <v>619</v>
      </c>
      <c r="Z320" s="89" t="s">
        <v>68</v>
      </c>
      <c r="AA320" s="89" t="s">
        <v>427</v>
      </c>
      <c r="AB320" s="89">
        <v>2</v>
      </c>
      <c r="AC320" s="89">
        <v>6</v>
      </c>
      <c r="AD320" s="89">
        <v>1</v>
      </c>
      <c r="AE320" s="89" t="s">
        <v>286</v>
      </c>
      <c r="AF320" s="90">
        <v>367</v>
      </c>
      <c r="AG320" s="90">
        <v>44465</v>
      </c>
      <c r="AH320" s="90">
        <v>45565</v>
      </c>
    </row>
    <row r="321" spans="1:37" x14ac:dyDescent="0.35">
      <c r="A321" s="89" t="str">
        <f t="shared" si="13"/>
        <v>5174</v>
      </c>
      <c r="B321" s="89" t="s">
        <v>1091</v>
      </c>
      <c r="C321" s="89" t="s">
        <v>1092</v>
      </c>
      <c r="D321" s="89" t="s">
        <v>290</v>
      </c>
      <c r="E321" s="89" t="s">
        <v>1864</v>
      </c>
      <c r="F321" s="89" t="s">
        <v>1863</v>
      </c>
      <c r="G321" s="89" t="s">
        <v>70</v>
      </c>
      <c r="H321" s="89" t="s">
        <v>70</v>
      </c>
      <c r="I321" s="91"/>
      <c r="J321" s="89">
        <v>0</v>
      </c>
      <c r="K321" s="89" t="s">
        <v>53</v>
      </c>
      <c r="L321" s="89" t="s">
        <v>1548</v>
      </c>
      <c r="M321" s="91"/>
      <c r="N321" s="89" t="s">
        <v>1549</v>
      </c>
      <c r="O321" s="89" t="s">
        <v>615</v>
      </c>
      <c r="P321" s="89" t="s">
        <v>1550</v>
      </c>
      <c r="Q321" s="89" t="s">
        <v>629</v>
      </c>
      <c r="R321" s="89">
        <v>15</v>
      </c>
      <c r="S321" s="89" t="s">
        <v>1551</v>
      </c>
      <c r="T321" s="89" t="s">
        <v>1555</v>
      </c>
      <c r="U321" s="89" t="s">
        <v>1552</v>
      </c>
      <c r="V321" s="89" t="s">
        <v>1561</v>
      </c>
      <c r="W321" s="89" t="s">
        <v>690</v>
      </c>
      <c r="X321" s="89" t="s">
        <v>81</v>
      </c>
      <c r="Y321" s="89" t="s">
        <v>619</v>
      </c>
      <c r="Z321" s="89" t="s">
        <v>68</v>
      </c>
      <c r="AA321" s="89" t="s">
        <v>82</v>
      </c>
      <c r="AB321" s="89">
        <v>1</v>
      </c>
      <c r="AC321" s="89">
        <v>6</v>
      </c>
      <c r="AD321" s="89">
        <v>1</v>
      </c>
      <c r="AE321" s="89" t="s">
        <v>0</v>
      </c>
      <c r="AF321" s="90">
        <v>367</v>
      </c>
      <c r="AG321" s="90">
        <v>44730</v>
      </c>
      <c r="AH321" s="90">
        <v>45818</v>
      </c>
    </row>
    <row r="322" spans="1:37" x14ac:dyDescent="0.35">
      <c r="A322" s="89" t="str">
        <f t="shared" si="13"/>
        <v>01CX</v>
      </c>
      <c r="B322" s="89" t="s">
        <v>1865</v>
      </c>
      <c r="C322" s="89" t="s">
        <v>1866</v>
      </c>
      <c r="D322" s="89" t="s">
        <v>272</v>
      </c>
      <c r="E322" s="89" t="s">
        <v>1867</v>
      </c>
      <c r="F322" s="89" t="s">
        <v>1863</v>
      </c>
      <c r="G322" s="89" t="s">
        <v>70</v>
      </c>
      <c r="H322" s="89" t="s">
        <v>70</v>
      </c>
      <c r="I322" s="89" t="s">
        <v>1547</v>
      </c>
      <c r="J322" s="89">
        <v>0</v>
      </c>
      <c r="K322" s="89" t="s">
        <v>53</v>
      </c>
      <c r="L322" s="89" t="s">
        <v>1548</v>
      </c>
      <c r="M322" s="91"/>
      <c r="N322" s="89" t="s">
        <v>1549</v>
      </c>
      <c r="O322" s="89" t="s">
        <v>615</v>
      </c>
      <c r="P322" s="89" t="s">
        <v>1550</v>
      </c>
      <c r="Q322" s="89" t="s">
        <v>629</v>
      </c>
      <c r="R322" s="89">
        <v>16</v>
      </c>
      <c r="S322" s="89" t="s">
        <v>1611</v>
      </c>
      <c r="T322" s="89" t="s">
        <v>1555</v>
      </c>
      <c r="U322" s="89" t="s">
        <v>1552</v>
      </c>
      <c r="V322" s="89" t="s">
        <v>1561</v>
      </c>
      <c r="W322" s="89" t="s">
        <v>690</v>
      </c>
      <c r="X322" s="89" t="s">
        <v>81</v>
      </c>
      <c r="Y322" s="89" t="s">
        <v>619</v>
      </c>
      <c r="Z322" s="89" t="s">
        <v>68</v>
      </c>
      <c r="AA322" s="89" t="s">
        <v>82</v>
      </c>
      <c r="AB322" s="89">
        <v>2</v>
      </c>
      <c r="AC322" s="89">
        <v>6</v>
      </c>
      <c r="AD322" s="89">
        <v>1</v>
      </c>
      <c r="AE322" s="89" t="s">
        <v>0</v>
      </c>
      <c r="AF322" s="90">
        <v>367</v>
      </c>
      <c r="AG322" s="90">
        <v>44726</v>
      </c>
      <c r="AH322" s="90">
        <v>45818</v>
      </c>
    </row>
    <row r="323" spans="1:37" x14ac:dyDescent="0.35">
      <c r="A323" s="89" t="str">
        <f t="shared" si="13"/>
        <v>ZQJ4</v>
      </c>
      <c r="B323" s="89" t="s">
        <v>1460</v>
      </c>
      <c r="C323" s="89" t="s">
        <v>1461</v>
      </c>
      <c r="D323" s="89" t="s">
        <v>506</v>
      </c>
      <c r="E323" s="89" t="s">
        <v>1462</v>
      </c>
      <c r="F323" s="89" t="s">
        <v>1863</v>
      </c>
      <c r="G323" s="89" t="s">
        <v>70</v>
      </c>
      <c r="H323" s="89" t="s">
        <v>70</v>
      </c>
      <c r="I323" s="89" t="s">
        <v>1547</v>
      </c>
      <c r="J323" s="89">
        <v>0</v>
      </c>
      <c r="K323" s="26" t="s">
        <v>38</v>
      </c>
      <c r="L323" s="89" t="s">
        <v>1588</v>
      </c>
      <c r="M323" s="91"/>
      <c r="N323" s="89" t="s">
        <v>1549</v>
      </c>
      <c r="O323" s="89" t="s">
        <v>615</v>
      </c>
      <c r="P323" s="89" t="s">
        <v>1550</v>
      </c>
      <c r="Q323" s="89" t="s">
        <v>629</v>
      </c>
      <c r="R323" s="89">
        <v>13</v>
      </c>
      <c r="S323" s="89" t="s">
        <v>1713</v>
      </c>
      <c r="T323" s="89" t="s">
        <v>1868</v>
      </c>
      <c r="U323" s="89" t="s">
        <v>1552</v>
      </c>
      <c r="V323" s="89" t="s">
        <v>1561</v>
      </c>
      <c r="W323" s="89" t="s">
        <v>690</v>
      </c>
      <c r="X323" s="89" t="s">
        <v>81</v>
      </c>
      <c r="Y323" s="89" t="s">
        <v>619</v>
      </c>
      <c r="Z323" s="89" t="s">
        <v>68</v>
      </c>
      <c r="AA323" s="89" t="s">
        <v>82</v>
      </c>
      <c r="AB323" s="89">
        <v>1</v>
      </c>
      <c r="AC323" s="89">
        <v>6</v>
      </c>
      <c r="AD323" s="89">
        <v>1</v>
      </c>
      <c r="AE323" s="89" t="s">
        <v>287</v>
      </c>
      <c r="AF323" s="90">
        <v>367</v>
      </c>
      <c r="AG323" s="90">
        <v>45104</v>
      </c>
      <c r="AH323" s="90">
        <v>46200</v>
      </c>
      <c r="AJ323" t="e">
        <f>VLOOKUP(A323,'1'!B:Q,16,0)</f>
        <v>#N/A</v>
      </c>
      <c r="AK323" s="96" t="e">
        <f>AJ323/250</f>
        <v>#N/A</v>
      </c>
    </row>
    <row r="324" spans="1:37" x14ac:dyDescent="0.35">
      <c r="A324" s="89" t="str">
        <f t="shared" si="13"/>
        <v>602U</v>
      </c>
      <c r="B324" s="89" t="s">
        <v>1112</v>
      </c>
      <c r="C324" s="89" t="s">
        <v>1113</v>
      </c>
      <c r="D324" s="89" t="s">
        <v>305</v>
      </c>
      <c r="E324" s="89" t="s">
        <v>1114</v>
      </c>
      <c r="F324" s="89" t="s">
        <v>1863</v>
      </c>
      <c r="G324" s="89" t="s">
        <v>70</v>
      </c>
      <c r="H324" s="89" t="s">
        <v>70</v>
      </c>
      <c r="I324" s="89" t="s">
        <v>1547</v>
      </c>
      <c r="J324" s="89">
        <v>0</v>
      </c>
      <c r="K324" s="89" t="s">
        <v>53</v>
      </c>
      <c r="L324" s="89" t="s">
        <v>1548</v>
      </c>
      <c r="M324" s="91"/>
      <c r="N324" s="89" t="s">
        <v>1549</v>
      </c>
      <c r="O324" s="89" t="s">
        <v>615</v>
      </c>
      <c r="P324" s="89" t="s">
        <v>1550</v>
      </c>
      <c r="Q324" s="89" t="s">
        <v>629</v>
      </c>
      <c r="R324" s="89">
        <v>15</v>
      </c>
      <c r="S324" s="89" t="s">
        <v>1555</v>
      </c>
      <c r="T324" s="89" t="s">
        <v>1558</v>
      </c>
      <c r="U324" s="89" t="s">
        <v>1552</v>
      </c>
      <c r="V324" s="89" t="s">
        <v>1561</v>
      </c>
      <c r="W324" s="89" t="s">
        <v>690</v>
      </c>
      <c r="X324" s="89" t="s">
        <v>81</v>
      </c>
      <c r="Y324" s="89" t="s">
        <v>619</v>
      </c>
      <c r="Z324" s="89" t="s">
        <v>68</v>
      </c>
      <c r="AA324" s="89" t="s">
        <v>82</v>
      </c>
      <c r="AB324" s="89">
        <v>2</v>
      </c>
      <c r="AC324" s="89">
        <v>6</v>
      </c>
      <c r="AD324" s="89">
        <v>1</v>
      </c>
      <c r="AE324" s="89" t="s">
        <v>287</v>
      </c>
      <c r="AF324" s="90">
        <v>367</v>
      </c>
      <c r="AG324" s="90">
        <v>45123</v>
      </c>
      <c r="AH324" s="90">
        <v>46221</v>
      </c>
    </row>
    <row r="325" spans="1:37" x14ac:dyDescent="0.35">
      <c r="A325" s="89" t="str">
        <f t="shared" si="13"/>
        <v>00UX</v>
      </c>
      <c r="B325" s="89" t="s">
        <v>912</v>
      </c>
      <c r="C325" s="89" t="s">
        <v>913</v>
      </c>
      <c r="D325" s="89" t="s">
        <v>155</v>
      </c>
      <c r="E325" s="89" t="s">
        <v>914</v>
      </c>
      <c r="F325" s="89" t="s">
        <v>1863</v>
      </c>
      <c r="G325" s="89" t="s">
        <v>70</v>
      </c>
      <c r="H325" s="89" t="s">
        <v>70</v>
      </c>
      <c r="I325" s="89" t="s">
        <v>1591</v>
      </c>
      <c r="J325" s="89">
        <v>0</v>
      </c>
      <c r="K325" s="89" t="s">
        <v>53</v>
      </c>
      <c r="L325" s="89" t="s">
        <v>1548</v>
      </c>
      <c r="M325" s="91"/>
      <c r="N325" s="89" t="s">
        <v>1549</v>
      </c>
      <c r="O325" s="89" t="s">
        <v>615</v>
      </c>
      <c r="P325" s="89" t="s">
        <v>1550</v>
      </c>
      <c r="Q325" s="89" t="s">
        <v>629</v>
      </c>
      <c r="R325" s="89">
        <v>24</v>
      </c>
      <c r="S325" s="89" t="s">
        <v>1551</v>
      </c>
      <c r="T325" s="89" t="s">
        <v>1558</v>
      </c>
      <c r="U325" s="89" t="s">
        <v>1552</v>
      </c>
      <c r="V325" s="89" t="s">
        <v>1561</v>
      </c>
      <c r="W325" s="89" t="s">
        <v>690</v>
      </c>
      <c r="X325" s="89" t="s">
        <v>81</v>
      </c>
      <c r="Y325" s="89" t="s">
        <v>619</v>
      </c>
      <c r="Z325" s="89" t="s">
        <v>68</v>
      </c>
      <c r="AA325" s="89" t="s">
        <v>82</v>
      </c>
      <c r="AB325" s="89">
        <v>1</v>
      </c>
      <c r="AC325" s="89">
        <v>6</v>
      </c>
      <c r="AD325" s="89">
        <v>1</v>
      </c>
      <c r="AE325" s="89" t="s">
        <v>287</v>
      </c>
      <c r="AF325" s="90">
        <v>367</v>
      </c>
      <c r="AG325" s="90">
        <v>45167</v>
      </c>
      <c r="AH325" s="90">
        <v>46264</v>
      </c>
    </row>
    <row r="326" spans="1:37" x14ac:dyDescent="0.35">
      <c r="A326" s="89" t="str">
        <f t="shared" si="13"/>
        <v>Z15V</v>
      </c>
      <c r="B326" s="89" t="s">
        <v>1869</v>
      </c>
      <c r="C326" s="89" t="s">
        <v>1870</v>
      </c>
      <c r="D326" s="89" t="s">
        <v>435</v>
      </c>
      <c r="E326" s="89" t="s">
        <v>1221</v>
      </c>
      <c r="F326" s="89" t="s">
        <v>1863</v>
      </c>
      <c r="G326" s="89" t="s">
        <v>70</v>
      </c>
      <c r="H326" s="89" t="s">
        <v>70</v>
      </c>
      <c r="I326" s="91"/>
      <c r="J326" s="89">
        <v>0</v>
      </c>
      <c r="K326" s="26" t="s">
        <v>38</v>
      </c>
      <c r="L326" s="89" t="s">
        <v>1620</v>
      </c>
      <c r="M326" s="91"/>
      <c r="N326" s="89" t="s">
        <v>1549</v>
      </c>
      <c r="O326" s="89" t="s">
        <v>615</v>
      </c>
      <c r="P326" s="89" t="s">
        <v>1550</v>
      </c>
      <c r="Q326" s="89" t="s">
        <v>629</v>
      </c>
      <c r="R326" s="89">
        <v>24</v>
      </c>
      <c r="S326" s="89" t="s">
        <v>1551</v>
      </c>
      <c r="T326" s="89" t="s">
        <v>1558</v>
      </c>
      <c r="U326" s="89" t="s">
        <v>1552</v>
      </c>
      <c r="V326" s="89" t="s">
        <v>1561</v>
      </c>
      <c r="W326" s="89" t="s">
        <v>690</v>
      </c>
      <c r="X326" s="89" t="s">
        <v>81</v>
      </c>
      <c r="Y326" s="89" t="s">
        <v>619</v>
      </c>
      <c r="Z326" s="89" t="s">
        <v>68</v>
      </c>
      <c r="AA326" s="89" t="s">
        <v>82</v>
      </c>
      <c r="AB326" s="89">
        <v>1</v>
      </c>
      <c r="AC326" s="89">
        <v>6</v>
      </c>
      <c r="AD326" s="89">
        <v>1</v>
      </c>
      <c r="AE326" s="89" t="s">
        <v>288</v>
      </c>
      <c r="AF326" s="90">
        <v>367</v>
      </c>
      <c r="AG326" s="90">
        <v>45444</v>
      </c>
      <c r="AH326" s="90">
        <v>46568</v>
      </c>
      <c r="AJ326" t="e">
        <f>VLOOKUP(A326,'1'!B:Q,16,0)</f>
        <v>#N/A</v>
      </c>
      <c r="AK326" s="96" t="e">
        <f t="shared" ref="AK326:AK332" si="15">AJ326/250</f>
        <v>#N/A</v>
      </c>
    </row>
    <row r="327" spans="1:37" x14ac:dyDescent="0.35">
      <c r="A327" s="89" t="str">
        <f t="shared" si="13"/>
        <v>Z15U</v>
      </c>
      <c r="B327" s="89" t="s">
        <v>1219</v>
      </c>
      <c r="C327" s="89" t="s">
        <v>1220</v>
      </c>
      <c r="D327" s="89" t="s">
        <v>434</v>
      </c>
      <c r="E327" s="89" t="s">
        <v>1221</v>
      </c>
      <c r="F327" s="89" t="s">
        <v>1863</v>
      </c>
      <c r="G327" s="89" t="s">
        <v>70</v>
      </c>
      <c r="H327" s="89" t="s">
        <v>70</v>
      </c>
      <c r="I327" s="91"/>
      <c r="J327" s="89">
        <v>0</v>
      </c>
      <c r="K327" s="26" t="s">
        <v>38</v>
      </c>
      <c r="L327" s="89" t="s">
        <v>1620</v>
      </c>
      <c r="M327" s="91"/>
      <c r="N327" s="89" t="s">
        <v>1549</v>
      </c>
      <c r="O327" s="89" t="s">
        <v>615</v>
      </c>
      <c r="P327" s="89" t="s">
        <v>1550</v>
      </c>
      <c r="Q327" s="89" t="s">
        <v>629</v>
      </c>
      <c r="R327" s="89">
        <v>24</v>
      </c>
      <c r="S327" s="89" t="s">
        <v>1551</v>
      </c>
      <c r="T327" s="89" t="s">
        <v>1558</v>
      </c>
      <c r="U327" s="89" t="s">
        <v>1552</v>
      </c>
      <c r="V327" s="89" t="s">
        <v>1561</v>
      </c>
      <c r="W327" s="89" t="s">
        <v>690</v>
      </c>
      <c r="X327" s="89" t="s">
        <v>81</v>
      </c>
      <c r="Y327" s="89" t="s">
        <v>619</v>
      </c>
      <c r="Z327" s="89" t="s">
        <v>68</v>
      </c>
      <c r="AA327" s="89" t="s">
        <v>82</v>
      </c>
      <c r="AB327" s="89">
        <v>1</v>
      </c>
      <c r="AC327" s="89">
        <v>6</v>
      </c>
      <c r="AD327" s="89">
        <v>1</v>
      </c>
      <c r="AE327" s="89" t="s">
        <v>288</v>
      </c>
      <c r="AF327" s="90">
        <v>367</v>
      </c>
      <c r="AG327" s="90">
        <v>45444</v>
      </c>
      <c r="AH327" s="90">
        <v>46568</v>
      </c>
      <c r="AJ327" t="e">
        <f>VLOOKUP(A327,'1'!B:Q,16,0)</f>
        <v>#N/A</v>
      </c>
      <c r="AK327" s="96" t="e">
        <f t="shared" si="15"/>
        <v>#N/A</v>
      </c>
    </row>
    <row r="328" spans="1:37" x14ac:dyDescent="0.35">
      <c r="A328" s="89" t="str">
        <f t="shared" si="13"/>
        <v>Z15T</v>
      </c>
      <c r="B328" s="89" t="s">
        <v>1424</v>
      </c>
      <c r="C328" s="89" t="s">
        <v>1425</v>
      </c>
      <c r="D328" s="89" t="s">
        <v>433</v>
      </c>
      <c r="E328" s="89" t="s">
        <v>1221</v>
      </c>
      <c r="F328" s="89" t="s">
        <v>1863</v>
      </c>
      <c r="G328" s="89" t="s">
        <v>70</v>
      </c>
      <c r="H328" s="89" t="s">
        <v>70</v>
      </c>
      <c r="I328" s="91"/>
      <c r="J328" s="89">
        <v>0</v>
      </c>
      <c r="K328" s="26" t="s">
        <v>38</v>
      </c>
      <c r="L328" s="89" t="s">
        <v>1620</v>
      </c>
      <c r="M328" s="91"/>
      <c r="N328" s="89" t="s">
        <v>1549</v>
      </c>
      <c r="O328" s="89" t="s">
        <v>615</v>
      </c>
      <c r="P328" s="89" t="s">
        <v>1550</v>
      </c>
      <c r="Q328" s="89" t="s">
        <v>629</v>
      </c>
      <c r="R328" s="89">
        <v>24</v>
      </c>
      <c r="S328" s="89" t="s">
        <v>1551</v>
      </c>
      <c r="T328" s="89" t="s">
        <v>1558</v>
      </c>
      <c r="U328" s="89" t="s">
        <v>1552</v>
      </c>
      <c r="V328" s="89" t="s">
        <v>1561</v>
      </c>
      <c r="W328" s="89" t="s">
        <v>690</v>
      </c>
      <c r="X328" s="89" t="s">
        <v>81</v>
      </c>
      <c r="Y328" s="89" t="s">
        <v>619</v>
      </c>
      <c r="Z328" s="89" t="s">
        <v>68</v>
      </c>
      <c r="AA328" s="89" t="s">
        <v>82</v>
      </c>
      <c r="AB328" s="89">
        <v>1</v>
      </c>
      <c r="AC328" s="89">
        <v>6</v>
      </c>
      <c r="AD328" s="89">
        <v>1</v>
      </c>
      <c r="AE328" s="89" t="s">
        <v>288</v>
      </c>
      <c r="AF328" s="90">
        <v>367</v>
      </c>
      <c r="AG328" s="90">
        <v>45444</v>
      </c>
      <c r="AH328" s="90">
        <v>46568</v>
      </c>
      <c r="AJ328" t="e">
        <f>VLOOKUP(A328,'1'!B:Q,16,0)</f>
        <v>#N/A</v>
      </c>
      <c r="AK328" s="96" t="e">
        <f t="shared" si="15"/>
        <v>#N/A</v>
      </c>
    </row>
    <row r="329" spans="1:37" x14ac:dyDescent="0.35">
      <c r="A329" s="89" t="str">
        <f t="shared" si="13"/>
        <v>ZY9P</v>
      </c>
      <c r="B329" s="89" t="s">
        <v>1470</v>
      </c>
      <c r="C329" s="89" t="s">
        <v>1471</v>
      </c>
      <c r="D329" s="89" t="s">
        <v>555</v>
      </c>
      <c r="E329" s="89" t="s">
        <v>1472</v>
      </c>
      <c r="F329" s="89" t="s">
        <v>1863</v>
      </c>
      <c r="G329" s="89" t="s">
        <v>70</v>
      </c>
      <c r="H329" s="89" t="s">
        <v>70</v>
      </c>
      <c r="I329" s="89" t="s">
        <v>1547</v>
      </c>
      <c r="J329" s="89">
        <v>0</v>
      </c>
      <c r="K329" s="26" t="s">
        <v>38</v>
      </c>
      <c r="L329" s="89" t="s">
        <v>1620</v>
      </c>
      <c r="M329" s="91"/>
      <c r="N329" s="89" t="s">
        <v>1549</v>
      </c>
      <c r="O329" s="89" t="s">
        <v>615</v>
      </c>
      <c r="P329" s="89" t="s">
        <v>1550</v>
      </c>
      <c r="Q329" s="89" t="s">
        <v>629</v>
      </c>
      <c r="R329" s="89">
        <v>24</v>
      </c>
      <c r="S329" s="89" t="s">
        <v>1551</v>
      </c>
      <c r="T329" s="89" t="s">
        <v>1558</v>
      </c>
      <c r="U329" s="89" t="s">
        <v>1552</v>
      </c>
      <c r="V329" s="89" t="s">
        <v>1561</v>
      </c>
      <c r="W329" s="89" t="s">
        <v>690</v>
      </c>
      <c r="X329" s="89" t="s">
        <v>81</v>
      </c>
      <c r="Y329" s="89" t="s">
        <v>619</v>
      </c>
      <c r="Z329" s="89" t="s">
        <v>68</v>
      </c>
      <c r="AA329" s="89" t="s">
        <v>82</v>
      </c>
      <c r="AB329" s="89">
        <v>1</v>
      </c>
      <c r="AC329" s="89">
        <v>6</v>
      </c>
      <c r="AD329" s="89">
        <v>1</v>
      </c>
      <c r="AE329" s="89" t="s">
        <v>288</v>
      </c>
      <c r="AF329" s="90">
        <v>367</v>
      </c>
      <c r="AG329" s="90">
        <v>45446</v>
      </c>
      <c r="AH329" s="90">
        <v>46568</v>
      </c>
      <c r="AJ329" t="e">
        <f>VLOOKUP(A329,'1'!B:Q,16,0)</f>
        <v>#N/A</v>
      </c>
      <c r="AK329" s="96" t="e">
        <f t="shared" si="15"/>
        <v>#N/A</v>
      </c>
    </row>
    <row r="330" spans="1:37" x14ac:dyDescent="0.35">
      <c r="A330" s="89" t="str">
        <f t="shared" si="13"/>
        <v>ZCD2</v>
      </c>
      <c r="B330" s="89" t="s">
        <v>1252</v>
      </c>
      <c r="C330" s="89" t="s">
        <v>1253</v>
      </c>
      <c r="D330" s="89" t="s">
        <v>488</v>
      </c>
      <c r="E330" s="89" t="s">
        <v>1254</v>
      </c>
      <c r="F330" s="89" t="s">
        <v>1863</v>
      </c>
      <c r="G330" s="89" t="s">
        <v>70</v>
      </c>
      <c r="H330" s="89" t="s">
        <v>70</v>
      </c>
      <c r="I330" s="89" t="s">
        <v>1547</v>
      </c>
      <c r="J330" s="89">
        <v>0</v>
      </c>
      <c r="K330" s="26" t="s">
        <v>38</v>
      </c>
      <c r="L330" s="89" t="s">
        <v>1620</v>
      </c>
      <c r="M330" s="91"/>
      <c r="N330" s="89" t="s">
        <v>1549</v>
      </c>
      <c r="O330" s="89" t="s">
        <v>615</v>
      </c>
      <c r="P330" s="89" t="s">
        <v>1550</v>
      </c>
      <c r="Q330" s="89" t="s">
        <v>629</v>
      </c>
      <c r="R330" s="89">
        <v>24</v>
      </c>
      <c r="S330" s="89" t="s">
        <v>1551</v>
      </c>
      <c r="T330" s="89" t="s">
        <v>1558</v>
      </c>
      <c r="U330" s="89" t="s">
        <v>1552</v>
      </c>
      <c r="V330" s="89" t="s">
        <v>1561</v>
      </c>
      <c r="W330" s="89" t="s">
        <v>690</v>
      </c>
      <c r="X330" s="89" t="s">
        <v>81</v>
      </c>
      <c r="Y330" s="89" t="s">
        <v>619</v>
      </c>
      <c r="Z330" s="89" t="s">
        <v>68</v>
      </c>
      <c r="AA330" s="89" t="s">
        <v>82</v>
      </c>
      <c r="AB330" s="89">
        <v>1</v>
      </c>
      <c r="AC330" s="89">
        <v>6</v>
      </c>
      <c r="AD330" s="89">
        <v>1</v>
      </c>
      <c r="AE330" s="89" t="s">
        <v>288</v>
      </c>
      <c r="AF330" s="90">
        <v>367</v>
      </c>
      <c r="AG330" s="90">
        <v>45446</v>
      </c>
      <c r="AH330" s="90">
        <v>46568</v>
      </c>
      <c r="AJ330" t="e">
        <f>VLOOKUP(A330,'1'!B:Q,16,0)</f>
        <v>#N/A</v>
      </c>
      <c r="AK330" s="96" t="e">
        <f t="shared" si="15"/>
        <v>#N/A</v>
      </c>
    </row>
    <row r="331" spans="1:37" x14ac:dyDescent="0.35">
      <c r="A331" s="89" t="str">
        <f t="shared" si="13"/>
        <v>ZY9N</v>
      </c>
      <c r="B331" s="89" t="s">
        <v>1302</v>
      </c>
      <c r="C331" s="89" t="s">
        <v>1303</v>
      </c>
      <c r="D331" s="89" t="s">
        <v>554</v>
      </c>
      <c r="E331" s="89" t="s">
        <v>1304</v>
      </c>
      <c r="F331" s="89" t="s">
        <v>1863</v>
      </c>
      <c r="G331" s="89" t="s">
        <v>70</v>
      </c>
      <c r="H331" s="89" t="s">
        <v>70</v>
      </c>
      <c r="I331" s="89" t="s">
        <v>1547</v>
      </c>
      <c r="J331" s="89">
        <v>0</v>
      </c>
      <c r="K331" s="26" t="s">
        <v>38</v>
      </c>
      <c r="L331" s="89" t="s">
        <v>1620</v>
      </c>
      <c r="M331" s="91"/>
      <c r="N331" s="89" t="s">
        <v>1549</v>
      </c>
      <c r="O331" s="89" t="s">
        <v>615</v>
      </c>
      <c r="P331" s="89" t="s">
        <v>1550</v>
      </c>
      <c r="Q331" s="89" t="s">
        <v>629</v>
      </c>
      <c r="R331" s="89">
        <v>24</v>
      </c>
      <c r="S331" s="89" t="s">
        <v>1551</v>
      </c>
      <c r="T331" s="89" t="s">
        <v>1558</v>
      </c>
      <c r="U331" s="89" t="s">
        <v>1552</v>
      </c>
      <c r="V331" s="89" t="s">
        <v>1561</v>
      </c>
      <c r="W331" s="89" t="s">
        <v>690</v>
      </c>
      <c r="X331" s="89" t="s">
        <v>81</v>
      </c>
      <c r="Y331" s="89" t="s">
        <v>619</v>
      </c>
      <c r="Z331" s="89" t="s">
        <v>68</v>
      </c>
      <c r="AA331" s="89" t="s">
        <v>82</v>
      </c>
      <c r="AB331" s="89">
        <v>1</v>
      </c>
      <c r="AC331" s="89">
        <v>6</v>
      </c>
      <c r="AD331" s="89">
        <v>1</v>
      </c>
      <c r="AE331" s="89" t="s">
        <v>288</v>
      </c>
      <c r="AF331" s="90">
        <v>367</v>
      </c>
      <c r="AG331" s="90">
        <v>45446</v>
      </c>
      <c r="AH331" s="90">
        <v>46568</v>
      </c>
      <c r="AJ331" t="e">
        <f>VLOOKUP(A331,'1'!B:Q,16,0)</f>
        <v>#N/A</v>
      </c>
      <c r="AK331" s="96" t="e">
        <f t="shared" si="15"/>
        <v>#N/A</v>
      </c>
    </row>
    <row r="332" spans="1:37" x14ac:dyDescent="0.35">
      <c r="A332" s="89" t="str">
        <f t="shared" si="13"/>
        <v>Z15Q</v>
      </c>
      <c r="B332" s="89" t="s">
        <v>1217</v>
      </c>
      <c r="C332" s="89" t="s">
        <v>1871</v>
      </c>
      <c r="D332" s="89" t="s">
        <v>432</v>
      </c>
      <c r="E332" s="89" t="s">
        <v>1218</v>
      </c>
      <c r="F332" s="89" t="s">
        <v>1863</v>
      </c>
      <c r="G332" s="89" t="s">
        <v>70</v>
      </c>
      <c r="H332" s="89" t="s">
        <v>70</v>
      </c>
      <c r="I332" s="89" t="s">
        <v>1556</v>
      </c>
      <c r="J332" s="89">
        <v>0</v>
      </c>
      <c r="K332" s="26" t="s">
        <v>38</v>
      </c>
      <c r="L332" s="89" t="s">
        <v>1620</v>
      </c>
      <c r="M332" s="91"/>
      <c r="N332" s="89" t="s">
        <v>1549</v>
      </c>
      <c r="O332" s="89" t="s">
        <v>615</v>
      </c>
      <c r="P332" s="89" t="s">
        <v>1550</v>
      </c>
      <c r="Q332" s="89" t="s">
        <v>629</v>
      </c>
      <c r="R332" s="89">
        <v>15</v>
      </c>
      <c r="S332" s="89" t="s">
        <v>1551</v>
      </c>
      <c r="T332" s="89" t="s">
        <v>1555</v>
      </c>
      <c r="U332" s="89" t="s">
        <v>1552</v>
      </c>
      <c r="V332" s="89" t="s">
        <v>1561</v>
      </c>
      <c r="W332" s="89" t="s">
        <v>690</v>
      </c>
      <c r="X332" s="89" t="s">
        <v>81</v>
      </c>
      <c r="Y332" s="89" t="s">
        <v>619</v>
      </c>
      <c r="Z332" s="89" t="s">
        <v>68</v>
      </c>
      <c r="AA332" s="89" t="s">
        <v>82</v>
      </c>
      <c r="AB332" s="89">
        <v>2</v>
      </c>
      <c r="AC332" s="89">
        <v>6</v>
      </c>
      <c r="AD332" s="89">
        <v>1</v>
      </c>
      <c r="AE332" s="89" t="s">
        <v>288</v>
      </c>
      <c r="AF332" s="90">
        <v>367</v>
      </c>
      <c r="AG332" s="90">
        <v>45446</v>
      </c>
      <c r="AH332" s="90">
        <v>46541</v>
      </c>
      <c r="AJ332" t="e">
        <f>VLOOKUP(A332,'1'!B:Q,16,0)</f>
        <v>#N/A</v>
      </c>
      <c r="AK332" s="96" t="e">
        <f t="shared" si="15"/>
        <v>#N/A</v>
      </c>
    </row>
    <row r="333" spans="1:37" x14ac:dyDescent="0.35">
      <c r="A333" s="89" t="str">
        <f t="shared" si="13"/>
        <v>00LT</v>
      </c>
      <c r="B333" s="89" t="s">
        <v>878</v>
      </c>
      <c r="C333" s="89" t="s">
        <v>879</v>
      </c>
      <c r="D333" s="89" t="s">
        <v>127</v>
      </c>
      <c r="E333" s="89" t="s">
        <v>1872</v>
      </c>
      <c r="F333" s="89" t="s">
        <v>1863</v>
      </c>
      <c r="G333" s="89" t="s">
        <v>70</v>
      </c>
      <c r="H333" s="89" t="s">
        <v>70</v>
      </c>
      <c r="I333" s="91"/>
      <c r="J333" s="89">
        <v>0</v>
      </c>
      <c r="K333" s="89" t="s">
        <v>53</v>
      </c>
      <c r="L333" s="89" t="s">
        <v>1548</v>
      </c>
      <c r="M333" s="91"/>
      <c r="N333" s="89" t="s">
        <v>1549</v>
      </c>
      <c r="O333" s="89" t="s">
        <v>615</v>
      </c>
      <c r="P333" s="89" t="s">
        <v>1550</v>
      </c>
      <c r="Q333" s="89" t="s">
        <v>629</v>
      </c>
      <c r="R333" s="89">
        <v>24</v>
      </c>
      <c r="S333" s="89" t="s">
        <v>1551</v>
      </c>
      <c r="T333" s="89" t="s">
        <v>1558</v>
      </c>
      <c r="U333" s="89" t="s">
        <v>1552</v>
      </c>
      <c r="V333" s="89" t="s">
        <v>1561</v>
      </c>
      <c r="W333" s="89" t="s">
        <v>701</v>
      </c>
      <c r="X333" s="89" t="s">
        <v>565</v>
      </c>
      <c r="Y333" s="89" t="s">
        <v>619</v>
      </c>
      <c r="Z333" s="89" t="s">
        <v>68</v>
      </c>
      <c r="AA333" s="89" t="s">
        <v>427</v>
      </c>
      <c r="AB333" s="89">
        <v>2</v>
      </c>
      <c r="AC333" s="89">
        <v>6</v>
      </c>
      <c r="AD333" s="89">
        <v>1</v>
      </c>
      <c r="AE333" s="89" t="s">
        <v>287</v>
      </c>
      <c r="AF333" s="90">
        <v>367</v>
      </c>
      <c r="AG333" s="90">
        <v>45509</v>
      </c>
      <c r="AH333" s="90">
        <v>46629</v>
      </c>
    </row>
    <row r="334" spans="1:37" x14ac:dyDescent="0.35">
      <c r="A334" s="89" t="str">
        <f t="shared" si="13"/>
        <v>00TM</v>
      </c>
      <c r="B334" s="89" t="s">
        <v>891</v>
      </c>
      <c r="C334" s="89" t="s">
        <v>892</v>
      </c>
      <c r="D334" s="89" t="s">
        <v>142</v>
      </c>
      <c r="E334" s="89" t="s">
        <v>1873</v>
      </c>
      <c r="F334" s="89" t="s">
        <v>1863</v>
      </c>
      <c r="G334" s="89" t="s">
        <v>70</v>
      </c>
      <c r="H334" s="89" t="s">
        <v>70</v>
      </c>
      <c r="I334" s="89" t="s">
        <v>1547</v>
      </c>
      <c r="J334" s="89">
        <v>0</v>
      </c>
      <c r="K334" s="89" t="s">
        <v>53</v>
      </c>
      <c r="L334" s="89" t="s">
        <v>1548</v>
      </c>
      <c r="M334" s="91"/>
      <c r="N334" s="89" t="s">
        <v>1549</v>
      </c>
      <c r="O334" s="89" t="s">
        <v>615</v>
      </c>
      <c r="P334" s="89" t="s">
        <v>1550</v>
      </c>
      <c r="Q334" s="89" t="s">
        <v>629</v>
      </c>
      <c r="R334" s="89">
        <v>24</v>
      </c>
      <c r="S334" s="89" t="s">
        <v>1551</v>
      </c>
      <c r="T334" s="89" t="s">
        <v>1558</v>
      </c>
      <c r="U334" s="89" t="s">
        <v>1552</v>
      </c>
      <c r="V334" s="89" t="s">
        <v>1561</v>
      </c>
      <c r="W334" s="89" t="s">
        <v>690</v>
      </c>
      <c r="X334" s="89" t="s">
        <v>81</v>
      </c>
      <c r="Y334" s="89" t="s">
        <v>619</v>
      </c>
      <c r="Z334" s="89" t="s">
        <v>68</v>
      </c>
      <c r="AA334" s="89" t="s">
        <v>82</v>
      </c>
      <c r="AB334" s="89">
        <v>1</v>
      </c>
      <c r="AC334" s="89">
        <v>6</v>
      </c>
      <c r="AD334" s="89">
        <v>1</v>
      </c>
      <c r="AE334" s="89" t="s">
        <v>288</v>
      </c>
      <c r="AF334" s="90">
        <v>367</v>
      </c>
      <c r="AG334" s="90">
        <v>45706</v>
      </c>
      <c r="AH334" s="90">
        <v>46811</v>
      </c>
    </row>
    <row r="335" spans="1:37" x14ac:dyDescent="0.35">
      <c r="A335" s="89" t="str">
        <f t="shared" si="13"/>
        <v>00KP</v>
      </c>
      <c r="B335" s="89" t="s">
        <v>875</v>
      </c>
      <c r="C335" s="89" t="s">
        <v>876</v>
      </c>
      <c r="D335" s="89" t="s">
        <v>125</v>
      </c>
      <c r="E335" s="89" t="s">
        <v>877</v>
      </c>
      <c r="F335" s="89" t="s">
        <v>1874</v>
      </c>
      <c r="G335" s="89" t="s">
        <v>70</v>
      </c>
      <c r="H335" s="89" t="s">
        <v>70</v>
      </c>
      <c r="I335" s="89" t="s">
        <v>1547</v>
      </c>
      <c r="J335" s="89">
        <v>0</v>
      </c>
      <c r="K335" s="89" t="s">
        <v>53</v>
      </c>
      <c r="L335" s="89" t="s">
        <v>1548</v>
      </c>
      <c r="M335" s="91"/>
      <c r="N335" s="89" t="s">
        <v>1549</v>
      </c>
      <c r="O335" s="89" t="s">
        <v>615</v>
      </c>
      <c r="P335" s="89" t="s">
        <v>1550</v>
      </c>
      <c r="Q335" s="89" t="s">
        <v>629</v>
      </c>
      <c r="R335" s="89">
        <v>15</v>
      </c>
      <c r="S335" s="89" t="s">
        <v>1742</v>
      </c>
      <c r="T335" s="89" t="s">
        <v>1555</v>
      </c>
      <c r="U335" s="89" t="s">
        <v>1552</v>
      </c>
      <c r="V335" s="89" t="s">
        <v>1561</v>
      </c>
      <c r="W335" s="89" t="s">
        <v>649</v>
      </c>
      <c r="X335" s="89" t="s">
        <v>76</v>
      </c>
      <c r="Y335" s="89" t="s">
        <v>619</v>
      </c>
      <c r="Z335" s="89" t="s">
        <v>68</v>
      </c>
      <c r="AA335" s="89" t="s">
        <v>67</v>
      </c>
      <c r="AB335" s="89">
        <v>2</v>
      </c>
      <c r="AC335" s="89">
        <v>6</v>
      </c>
      <c r="AD335" s="89">
        <v>1</v>
      </c>
      <c r="AE335" s="89" t="s">
        <v>0</v>
      </c>
      <c r="AF335" s="90">
        <v>367</v>
      </c>
      <c r="AG335" s="90">
        <v>44719</v>
      </c>
      <c r="AH335" s="90">
        <v>45818</v>
      </c>
    </row>
    <row r="336" spans="1:37" x14ac:dyDescent="0.35">
      <c r="A336" s="89" t="str">
        <f t="shared" si="13"/>
        <v>00KJ</v>
      </c>
      <c r="B336" s="89" t="s">
        <v>1499</v>
      </c>
      <c r="C336" s="89" t="s">
        <v>1500</v>
      </c>
      <c r="D336" s="89" t="s">
        <v>122</v>
      </c>
      <c r="E336" s="89" t="s">
        <v>1501</v>
      </c>
      <c r="F336" s="89" t="s">
        <v>1874</v>
      </c>
      <c r="G336" s="89" t="s">
        <v>70</v>
      </c>
      <c r="H336" s="89" t="s">
        <v>70</v>
      </c>
      <c r="I336" s="89" t="s">
        <v>1547</v>
      </c>
      <c r="J336" s="89">
        <v>0</v>
      </c>
      <c r="K336" s="89" t="s">
        <v>53</v>
      </c>
      <c r="L336" s="89" t="s">
        <v>1548</v>
      </c>
      <c r="M336" s="91"/>
      <c r="N336" s="89" t="s">
        <v>1549</v>
      </c>
      <c r="O336" s="89" t="s">
        <v>615</v>
      </c>
      <c r="P336" s="89" t="s">
        <v>1550</v>
      </c>
      <c r="Q336" s="89" t="s">
        <v>629</v>
      </c>
      <c r="R336" s="89">
        <v>24</v>
      </c>
      <c r="S336" s="89" t="s">
        <v>1555</v>
      </c>
      <c r="T336" s="89" t="s">
        <v>1551</v>
      </c>
      <c r="U336" s="89" t="s">
        <v>1552</v>
      </c>
      <c r="V336" s="89" t="s">
        <v>1561</v>
      </c>
      <c r="W336" s="89" t="s">
        <v>649</v>
      </c>
      <c r="X336" s="89" t="s">
        <v>76</v>
      </c>
      <c r="Y336" s="89" t="s">
        <v>619</v>
      </c>
      <c r="Z336" s="89" t="s">
        <v>68</v>
      </c>
      <c r="AA336" s="89" t="s">
        <v>67</v>
      </c>
      <c r="AB336" s="89">
        <v>2</v>
      </c>
      <c r="AC336" s="89">
        <v>6</v>
      </c>
      <c r="AD336" s="89">
        <v>1</v>
      </c>
      <c r="AE336" s="89" t="s">
        <v>0</v>
      </c>
      <c r="AF336" s="90">
        <v>367</v>
      </c>
      <c r="AG336" s="90">
        <v>44726</v>
      </c>
      <c r="AH336" s="90">
        <v>45818</v>
      </c>
    </row>
    <row r="337" spans="1:37" x14ac:dyDescent="0.35">
      <c r="A337" s="89" t="str">
        <f t="shared" si="13"/>
        <v>01AT</v>
      </c>
      <c r="B337" s="89" t="s">
        <v>1876</v>
      </c>
      <c r="C337" s="89" t="s">
        <v>1877</v>
      </c>
      <c r="D337" s="89" t="s">
        <v>176</v>
      </c>
      <c r="E337" s="89" t="s">
        <v>1878</v>
      </c>
      <c r="F337" s="89" t="s">
        <v>1875</v>
      </c>
      <c r="G337" s="89" t="s">
        <v>70</v>
      </c>
      <c r="H337" s="89" t="s">
        <v>70</v>
      </c>
      <c r="I337" s="89" t="s">
        <v>1547</v>
      </c>
      <c r="J337" s="89">
        <v>0</v>
      </c>
      <c r="K337" s="89" t="s">
        <v>53</v>
      </c>
      <c r="L337" s="89" t="s">
        <v>1548</v>
      </c>
      <c r="M337" s="91"/>
      <c r="N337" s="89" t="s">
        <v>1549</v>
      </c>
      <c r="O337" s="89" t="s">
        <v>615</v>
      </c>
      <c r="P337" s="89" t="s">
        <v>1550</v>
      </c>
      <c r="Q337" s="89" t="s">
        <v>629</v>
      </c>
      <c r="R337" s="89">
        <v>24</v>
      </c>
      <c r="S337" s="89" t="s">
        <v>1551</v>
      </c>
      <c r="T337" s="89" t="s">
        <v>1742</v>
      </c>
      <c r="U337" s="89" t="s">
        <v>1552</v>
      </c>
      <c r="V337" s="89" t="s">
        <v>1553</v>
      </c>
      <c r="W337" s="89" t="s">
        <v>701</v>
      </c>
      <c r="X337" s="89" t="s">
        <v>565</v>
      </c>
      <c r="Y337" s="89" t="s">
        <v>619</v>
      </c>
      <c r="Z337" s="89" t="s">
        <v>68</v>
      </c>
      <c r="AA337" s="89" t="s">
        <v>427</v>
      </c>
      <c r="AB337" s="89">
        <v>2</v>
      </c>
      <c r="AC337" s="89">
        <v>6</v>
      </c>
      <c r="AD337" s="89">
        <v>1</v>
      </c>
      <c r="AE337" s="89" t="s">
        <v>286</v>
      </c>
      <c r="AF337" s="90">
        <v>367</v>
      </c>
      <c r="AG337" s="90">
        <v>44460</v>
      </c>
      <c r="AH337" s="90">
        <v>45565</v>
      </c>
    </row>
    <row r="338" spans="1:37" x14ac:dyDescent="0.35">
      <c r="A338" s="89" t="str">
        <f t="shared" si="13"/>
        <v>0173</v>
      </c>
      <c r="B338" s="89" t="s">
        <v>940</v>
      </c>
      <c r="C338" s="89" t="s">
        <v>941</v>
      </c>
      <c r="D338" s="89" t="s">
        <v>170</v>
      </c>
      <c r="E338" s="89" t="s">
        <v>1879</v>
      </c>
      <c r="F338" s="89" t="s">
        <v>1875</v>
      </c>
      <c r="G338" s="89" t="s">
        <v>70</v>
      </c>
      <c r="H338" s="89" t="s">
        <v>70</v>
      </c>
      <c r="I338" s="89" t="s">
        <v>1591</v>
      </c>
      <c r="J338" s="89">
        <v>0</v>
      </c>
      <c r="K338" s="89" t="s">
        <v>53</v>
      </c>
      <c r="L338" s="89" t="s">
        <v>1548</v>
      </c>
      <c r="M338" s="91"/>
      <c r="N338" s="89" t="s">
        <v>1549</v>
      </c>
      <c r="O338" s="89" t="s">
        <v>615</v>
      </c>
      <c r="P338" s="89" t="s">
        <v>1550</v>
      </c>
      <c r="Q338" s="89" t="s">
        <v>629</v>
      </c>
      <c r="R338" s="89">
        <v>24</v>
      </c>
      <c r="S338" s="89" t="s">
        <v>1551</v>
      </c>
      <c r="T338" s="89" t="s">
        <v>1555</v>
      </c>
      <c r="U338" s="89" t="s">
        <v>1552</v>
      </c>
      <c r="V338" s="89" t="s">
        <v>1561</v>
      </c>
      <c r="W338" s="89" t="s">
        <v>701</v>
      </c>
      <c r="X338" s="89" t="s">
        <v>565</v>
      </c>
      <c r="Y338" s="89" t="s">
        <v>619</v>
      </c>
      <c r="Z338" s="89" t="s">
        <v>68</v>
      </c>
      <c r="AA338" s="89" t="s">
        <v>427</v>
      </c>
      <c r="AB338" s="89">
        <v>1</v>
      </c>
      <c r="AC338" s="89">
        <v>6</v>
      </c>
      <c r="AD338" s="89">
        <v>1</v>
      </c>
      <c r="AE338" s="89" t="s">
        <v>0</v>
      </c>
      <c r="AF338" s="90">
        <v>367</v>
      </c>
      <c r="AG338" s="90">
        <v>44726</v>
      </c>
      <c r="AH338" s="90">
        <v>45818</v>
      </c>
    </row>
    <row r="339" spans="1:37" x14ac:dyDescent="0.35">
      <c r="A339" s="89" t="str">
        <f t="shared" si="13"/>
        <v>418Q</v>
      </c>
      <c r="B339" s="89" t="s">
        <v>1880</v>
      </c>
      <c r="C339" s="89" t="s">
        <v>1881</v>
      </c>
      <c r="D339" s="89" t="s">
        <v>264</v>
      </c>
      <c r="E339" s="89" t="s">
        <v>1882</v>
      </c>
      <c r="F339" s="89" t="s">
        <v>1875</v>
      </c>
      <c r="G339" s="89" t="s">
        <v>70</v>
      </c>
      <c r="H339" s="89" t="s">
        <v>70</v>
      </c>
      <c r="I339" s="91"/>
      <c r="J339" s="89">
        <v>1</v>
      </c>
      <c r="K339" s="89" t="s">
        <v>53</v>
      </c>
      <c r="L339" s="89" t="s">
        <v>1548</v>
      </c>
      <c r="M339" s="91"/>
      <c r="N339" s="89" t="s">
        <v>1549</v>
      </c>
      <c r="O339" s="89" t="s">
        <v>615</v>
      </c>
      <c r="P339" s="89" t="s">
        <v>1550</v>
      </c>
      <c r="Q339" s="89" t="s">
        <v>629</v>
      </c>
      <c r="R339" s="89">
        <v>24</v>
      </c>
      <c r="S339" s="89" t="s">
        <v>1551</v>
      </c>
      <c r="T339" s="89" t="s">
        <v>1555</v>
      </c>
      <c r="U339" s="89" t="s">
        <v>1552</v>
      </c>
      <c r="V339" s="89" t="s">
        <v>1561</v>
      </c>
      <c r="W339" s="89" t="s">
        <v>701</v>
      </c>
      <c r="X339" s="89" t="s">
        <v>565</v>
      </c>
      <c r="Y339" s="89" t="s">
        <v>619</v>
      </c>
      <c r="Z339" s="89" t="s">
        <v>68</v>
      </c>
      <c r="AA339" s="89" t="s">
        <v>427</v>
      </c>
      <c r="AB339" s="89">
        <v>2</v>
      </c>
      <c r="AC339" s="89">
        <v>6</v>
      </c>
      <c r="AD339" s="89">
        <v>1</v>
      </c>
      <c r="AE339" s="89" t="s">
        <v>287</v>
      </c>
      <c r="AF339" s="90">
        <v>367</v>
      </c>
      <c r="AG339" s="90">
        <v>45054</v>
      </c>
      <c r="AH339" s="90">
        <v>46150</v>
      </c>
    </row>
    <row r="340" spans="1:37" x14ac:dyDescent="0.35">
      <c r="A340" s="89" t="str">
        <f t="shared" si="13"/>
        <v>ZRR5</v>
      </c>
      <c r="B340" s="89" t="s">
        <v>698</v>
      </c>
      <c r="C340" s="89" t="s">
        <v>699</v>
      </c>
      <c r="D340" s="89" t="s">
        <v>538</v>
      </c>
      <c r="E340" s="89" t="s">
        <v>700</v>
      </c>
      <c r="F340" s="89" t="s">
        <v>1875</v>
      </c>
      <c r="G340" s="89" t="s">
        <v>70</v>
      </c>
      <c r="H340" s="89" t="s">
        <v>70</v>
      </c>
      <c r="I340" s="89" t="s">
        <v>1547</v>
      </c>
      <c r="J340" s="89">
        <v>0</v>
      </c>
      <c r="K340" s="26" t="s">
        <v>38</v>
      </c>
      <c r="L340" s="89" t="s">
        <v>1588</v>
      </c>
      <c r="M340" s="91"/>
      <c r="N340" s="89" t="s">
        <v>1549</v>
      </c>
      <c r="O340" s="89" t="s">
        <v>615</v>
      </c>
      <c r="P340" s="89" t="s">
        <v>1550</v>
      </c>
      <c r="Q340" s="89" t="s">
        <v>629</v>
      </c>
      <c r="R340" s="89">
        <v>24</v>
      </c>
      <c r="S340" s="89" t="s">
        <v>1551</v>
      </c>
      <c r="T340" s="89" t="s">
        <v>1555</v>
      </c>
      <c r="U340" s="89" t="s">
        <v>1552</v>
      </c>
      <c r="V340" s="89" t="s">
        <v>1561</v>
      </c>
      <c r="W340" s="89" t="s">
        <v>701</v>
      </c>
      <c r="X340" s="89" t="s">
        <v>565</v>
      </c>
      <c r="Y340" s="89" t="s">
        <v>619</v>
      </c>
      <c r="Z340" s="89" t="s">
        <v>68</v>
      </c>
      <c r="AA340" s="89" t="s">
        <v>427</v>
      </c>
      <c r="AB340" s="89">
        <v>1</v>
      </c>
      <c r="AC340" s="89">
        <v>12</v>
      </c>
      <c r="AD340" s="89">
        <v>1</v>
      </c>
      <c r="AE340" s="89" t="s">
        <v>287</v>
      </c>
      <c r="AF340" s="90">
        <v>367</v>
      </c>
      <c r="AG340" s="90">
        <v>45096</v>
      </c>
      <c r="AH340" s="90">
        <v>46174</v>
      </c>
      <c r="AJ340" t="e">
        <f>VLOOKUP(A340,'1'!B:Q,16,0)</f>
        <v>#N/A</v>
      </c>
      <c r="AK340" s="96" t="e">
        <f t="shared" ref="AK340:AK341" si="16">AJ340/250</f>
        <v>#N/A</v>
      </c>
    </row>
    <row r="341" spans="1:37" x14ac:dyDescent="0.35">
      <c r="A341" s="89" t="str">
        <f t="shared" si="13"/>
        <v>ZRT5</v>
      </c>
      <c r="B341" s="89" t="s">
        <v>1294</v>
      </c>
      <c r="C341" s="89" t="s">
        <v>1295</v>
      </c>
      <c r="D341" s="89" t="s">
        <v>540</v>
      </c>
      <c r="E341" s="89" t="s">
        <v>1296</v>
      </c>
      <c r="F341" s="89" t="s">
        <v>1875</v>
      </c>
      <c r="G341" s="89" t="s">
        <v>70</v>
      </c>
      <c r="H341" s="89" t="s">
        <v>70</v>
      </c>
      <c r="I341" s="89" t="s">
        <v>1547</v>
      </c>
      <c r="J341" s="89">
        <v>0</v>
      </c>
      <c r="K341" s="26" t="s">
        <v>38</v>
      </c>
      <c r="L341" s="89" t="s">
        <v>1588</v>
      </c>
      <c r="M341" s="91"/>
      <c r="N341" s="89" t="s">
        <v>1549</v>
      </c>
      <c r="O341" s="89" t="s">
        <v>615</v>
      </c>
      <c r="P341" s="89" t="s">
        <v>1550</v>
      </c>
      <c r="Q341" s="89" t="s">
        <v>629</v>
      </c>
      <c r="R341" s="89">
        <v>24</v>
      </c>
      <c r="S341" s="89" t="s">
        <v>1551</v>
      </c>
      <c r="T341" s="89" t="s">
        <v>1555</v>
      </c>
      <c r="U341" s="89" t="s">
        <v>1552</v>
      </c>
      <c r="V341" s="89" t="s">
        <v>1561</v>
      </c>
      <c r="W341" s="89" t="s">
        <v>701</v>
      </c>
      <c r="X341" s="89" t="s">
        <v>565</v>
      </c>
      <c r="Y341" s="89" t="s">
        <v>619</v>
      </c>
      <c r="Z341" s="89" t="s">
        <v>68</v>
      </c>
      <c r="AA341" s="89" t="s">
        <v>427</v>
      </c>
      <c r="AB341" s="89">
        <v>1</v>
      </c>
      <c r="AC341" s="89">
        <v>6</v>
      </c>
      <c r="AD341" s="89">
        <v>1</v>
      </c>
      <c r="AE341" s="89" t="s">
        <v>287</v>
      </c>
      <c r="AF341" s="90">
        <v>367</v>
      </c>
      <c r="AG341" s="90">
        <v>45096</v>
      </c>
      <c r="AH341" s="90">
        <v>46174</v>
      </c>
      <c r="AJ341" t="e">
        <f>VLOOKUP(A341,'1'!B:Q,16,0)</f>
        <v>#N/A</v>
      </c>
      <c r="AK341" s="96" t="e">
        <f t="shared" si="16"/>
        <v>#N/A</v>
      </c>
    </row>
    <row r="342" spans="1:37" x14ac:dyDescent="0.35">
      <c r="A342" s="89" t="str">
        <f t="shared" si="13"/>
        <v>00BH</v>
      </c>
      <c r="B342" s="89" t="s">
        <v>826</v>
      </c>
      <c r="C342" s="89" t="s">
        <v>827</v>
      </c>
      <c r="D342" s="89" t="s">
        <v>83</v>
      </c>
      <c r="E342" s="89" t="s">
        <v>828</v>
      </c>
      <c r="F342" s="89" t="s">
        <v>1875</v>
      </c>
      <c r="G342" s="89" t="s">
        <v>70</v>
      </c>
      <c r="H342" s="89" t="s">
        <v>70</v>
      </c>
      <c r="I342" s="89" t="s">
        <v>1547</v>
      </c>
      <c r="J342" s="89">
        <v>0</v>
      </c>
      <c r="K342" s="89" t="s">
        <v>53</v>
      </c>
      <c r="L342" s="89" t="s">
        <v>1548</v>
      </c>
      <c r="M342" s="91"/>
      <c r="N342" s="89" t="s">
        <v>1549</v>
      </c>
      <c r="O342" s="89" t="s">
        <v>615</v>
      </c>
      <c r="P342" s="89" t="s">
        <v>1550</v>
      </c>
      <c r="Q342" s="89" t="s">
        <v>629</v>
      </c>
      <c r="R342" s="89">
        <v>24</v>
      </c>
      <c r="S342" s="89" t="s">
        <v>1551</v>
      </c>
      <c r="T342" s="89" t="s">
        <v>1558</v>
      </c>
      <c r="U342" s="89" t="s">
        <v>1552</v>
      </c>
      <c r="V342" s="89" t="s">
        <v>1561</v>
      </c>
      <c r="W342" s="89" t="s">
        <v>701</v>
      </c>
      <c r="X342" s="89" t="s">
        <v>565</v>
      </c>
      <c r="Y342" s="89" t="s">
        <v>619</v>
      </c>
      <c r="Z342" s="89" t="s">
        <v>68</v>
      </c>
      <c r="AA342" s="89" t="s">
        <v>427</v>
      </c>
      <c r="AB342" s="89">
        <v>1</v>
      </c>
      <c r="AC342" s="89">
        <v>6</v>
      </c>
      <c r="AD342" s="89">
        <v>1</v>
      </c>
      <c r="AE342" s="89" t="s">
        <v>287</v>
      </c>
      <c r="AF342" s="90">
        <v>367</v>
      </c>
      <c r="AG342" s="90">
        <v>45355</v>
      </c>
      <c r="AH342" s="90">
        <v>46476</v>
      </c>
    </row>
    <row r="343" spans="1:37" x14ac:dyDescent="0.35">
      <c r="A343" s="89" t="str">
        <f t="shared" si="13"/>
        <v>00BJ</v>
      </c>
      <c r="B343" s="89" t="s">
        <v>829</v>
      </c>
      <c r="C343" s="89" t="s">
        <v>830</v>
      </c>
      <c r="D343" s="89" t="s">
        <v>84</v>
      </c>
      <c r="E343" s="89" t="s">
        <v>831</v>
      </c>
      <c r="F343" s="89" t="s">
        <v>1875</v>
      </c>
      <c r="G343" s="89" t="s">
        <v>70</v>
      </c>
      <c r="H343" s="89" t="s">
        <v>70</v>
      </c>
      <c r="I343" s="89" t="s">
        <v>1547</v>
      </c>
      <c r="J343" s="89">
        <v>0</v>
      </c>
      <c r="K343" s="89" t="s">
        <v>53</v>
      </c>
      <c r="L343" s="89" t="s">
        <v>1548</v>
      </c>
      <c r="M343" s="91"/>
      <c r="N343" s="89" t="s">
        <v>1549</v>
      </c>
      <c r="O343" s="89" t="s">
        <v>615</v>
      </c>
      <c r="P343" s="89" t="s">
        <v>1550</v>
      </c>
      <c r="Q343" s="89" t="s">
        <v>629</v>
      </c>
      <c r="R343" s="89">
        <v>17</v>
      </c>
      <c r="S343" s="89" t="s">
        <v>1564</v>
      </c>
      <c r="T343" s="89" t="s">
        <v>1555</v>
      </c>
      <c r="U343" s="89" t="s">
        <v>1552</v>
      </c>
      <c r="V343" s="89" t="s">
        <v>1561</v>
      </c>
      <c r="W343" s="89" t="s">
        <v>701</v>
      </c>
      <c r="X343" s="89" t="s">
        <v>565</v>
      </c>
      <c r="Y343" s="89" t="s">
        <v>619</v>
      </c>
      <c r="Z343" s="89" t="s">
        <v>68</v>
      </c>
      <c r="AA343" s="89" t="s">
        <v>427</v>
      </c>
      <c r="AB343" s="89">
        <v>2</v>
      </c>
      <c r="AC343" s="89">
        <v>6</v>
      </c>
      <c r="AD343" s="89">
        <v>1</v>
      </c>
      <c r="AE343" s="89" t="s">
        <v>288</v>
      </c>
      <c r="AF343" s="90">
        <v>367</v>
      </c>
      <c r="AG343" s="90">
        <v>45359</v>
      </c>
      <c r="AH343" s="90">
        <v>46454</v>
      </c>
    </row>
    <row r="344" spans="1:37" x14ac:dyDescent="0.35">
      <c r="A344" s="89" t="str">
        <f t="shared" si="13"/>
        <v>Z7TR</v>
      </c>
      <c r="B344" s="89" t="s">
        <v>1430</v>
      </c>
      <c r="C344" s="89" t="s">
        <v>1431</v>
      </c>
      <c r="D344" s="89" t="s">
        <v>429</v>
      </c>
      <c r="E344" s="89" t="s">
        <v>1432</v>
      </c>
      <c r="F344" s="89" t="s">
        <v>1875</v>
      </c>
      <c r="G344" s="89" t="s">
        <v>70</v>
      </c>
      <c r="H344" s="89" t="s">
        <v>70</v>
      </c>
      <c r="I344" s="91"/>
      <c r="J344" s="89">
        <v>0</v>
      </c>
      <c r="K344" s="26" t="s">
        <v>38</v>
      </c>
      <c r="L344" s="89" t="s">
        <v>1620</v>
      </c>
      <c r="M344" s="91"/>
      <c r="N344" s="89" t="s">
        <v>1549</v>
      </c>
      <c r="O344" s="89" t="s">
        <v>615</v>
      </c>
      <c r="P344" s="89" t="s">
        <v>1550</v>
      </c>
      <c r="Q344" s="89" t="s">
        <v>629</v>
      </c>
      <c r="R344" s="89">
        <v>24</v>
      </c>
      <c r="S344" s="89" t="s">
        <v>1551</v>
      </c>
      <c r="T344" s="89" t="s">
        <v>1558</v>
      </c>
      <c r="U344" s="89" t="s">
        <v>1552</v>
      </c>
      <c r="V344" s="89" t="s">
        <v>1561</v>
      </c>
      <c r="W344" s="89" t="s">
        <v>701</v>
      </c>
      <c r="X344" s="89" t="s">
        <v>565</v>
      </c>
      <c r="Y344" s="89" t="s">
        <v>619</v>
      </c>
      <c r="Z344" s="89" t="s">
        <v>68</v>
      </c>
      <c r="AA344" s="89" t="s">
        <v>427</v>
      </c>
      <c r="AB344" s="89">
        <v>1</v>
      </c>
      <c r="AC344" s="89">
        <v>6</v>
      </c>
      <c r="AD344" s="89">
        <v>1</v>
      </c>
      <c r="AE344" s="89" t="s">
        <v>288</v>
      </c>
      <c r="AF344" s="90">
        <v>367</v>
      </c>
      <c r="AG344" s="90">
        <v>45447</v>
      </c>
      <c r="AH344" s="90">
        <v>46542</v>
      </c>
      <c r="AJ344" t="e">
        <f>VLOOKUP(A344,'1'!B:Q,16,0)</f>
        <v>#N/A</v>
      </c>
      <c r="AK344" s="96" t="e">
        <f t="shared" ref="AK344:AK345" si="17">AJ344/250</f>
        <v>#N/A</v>
      </c>
    </row>
    <row r="345" spans="1:37" x14ac:dyDescent="0.35">
      <c r="A345" s="89" t="str">
        <f t="shared" si="13"/>
        <v>Z7Z6</v>
      </c>
      <c r="B345" s="89" t="s">
        <v>1883</v>
      </c>
      <c r="C345" s="89" t="s">
        <v>1884</v>
      </c>
      <c r="D345" s="89" t="s">
        <v>428</v>
      </c>
      <c r="E345" s="89" t="s">
        <v>1885</v>
      </c>
      <c r="F345" s="89" t="s">
        <v>1875</v>
      </c>
      <c r="G345" s="89" t="s">
        <v>70</v>
      </c>
      <c r="H345" s="89" t="s">
        <v>70</v>
      </c>
      <c r="I345" s="91"/>
      <c r="J345" s="89">
        <v>0</v>
      </c>
      <c r="K345" s="26" t="s">
        <v>38</v>
      </c>
      <c r="L345" s="89" t="s">
        <v>1620</v>
      </c>
      <c r="M345" s="91"/>
      <c r="N345" s="89" t="s">
        <v>1549</v>
      </c>
      <c r="O345" s="89" t="s">
        <v>615</v>
      </c>
      <c r="P345" s="89" t="s">
        <v>1550</v>
      </c>
      <c r="Q345" s="89" t="s">
        <v>629</v>
      </c>
      <c r="R345" s="89">
        <v>24</v>
      </c>
      <c r="S345" s="89" t="s">
        <v>1551</v>
      </c>
      <c r="T345" s="89" t="s">
        <v>1558</v>
      </c>
      <c r="U345" s="89" t="s">
        <v>1552</v>
      </c>
      <c r="V345" s="89" t="s">
        <v>1561</v>
      </c>
      <c r="W345" s="89" t="s">
        <v>701</v>
      </c>
      <c r="X345" s="89" t="s">
        <v>565</v>
      </c>
      <c r="Y345" s="89" t="s">
        <v>619</v>
      </c>
      <c r="Z345" s="89" t="s">
        <v>68</v>
      </c>
      <c r="AA345" s="89" t="s">
        <v>427</v>
      </c>
      <c r="AB345" s="89">
        <v>1</v>
      </c>
      <c r="AC345" s="89">
        <v>6</v>
      </c>
      <c r="AD345" s="89">
        <v>1</v>
      </c>
      <c r="AE345" s="89" t="s">
        <v>288</v>
      </c>
      <c r="AF345" s="90">
        <v>367</v>
      </c>
      <c r="AG345" s="90">
        <v>45447</v>
      </c>
      <c r="AH345" s="90">
        <v>46542</v>
      </c>
      <c r="AJ345" t="e">
        <f>VLOOKUP(A345,'1'!B:Q,16,0)</f>
        <v>#N/A</v>
      </c>
      <c r="AK345" s="96" t="e">
        <f t="shared" si="17"/>
        <v>#N/A</v>
      </c>
    </row>
    <row r="346" spans="1:37" x14ac:dyDescent="0.35">
      <c r="A346" s="89" t="str">
        <f t="shared" si="13"/>
        <v>00UP</v>
      </c>
      <c r="B346" s="89" t="s">
        <v>904</v>
      </c>
      <c r="C346" s="89" t="s">
        <v>905</v>
      </c>
      <c r="D346" s="89" t="s">
        <v>152</v>
      </c>
      <c r="E346" s="89" t="s">
        <v>906</v>
      </c>
      <c r="F346" s="89" t="s">
        <v>1875</v>
      </c>
      <c r="G346" s="89" t="s">
        <v>70</v>
      </c>
      <c r="H346" s="89" t="s">
        <v>70</v>
      </c>
      <c r="I346" s="89" t="s">
        <v>1591</v>
      </c>
      <c r="J346" s="89">
        <v>0</v>
      </c>
      <c r="K346" s="89" t="s">
        <v>53</v>
      </c>
      <c r="L346" s="89" t="s">
        <v>1548</v>
      </c>
      <c r="M346" s="91"/>
      <c r="N346" s="89" t="s">
        <v>1549</v>
      </c>
      <c r="O346" s="89" t="s">
        <v>615</v>
      </c>
      <c r="P346" s="89" t="s">
        <v>1550</v>
      </c>
      <c r="Q346" s="89" t="s">
        <v>629</v>
      </c>
      <c r="R346" s="89">
        <v>24</v>
      </c>
      <c r="S346" s="89" t="s">
        <v>1551</v>
      </c>
      <c r="T346" s="89" t="s">
        <v>1551</v>
      </c>
      <c r="U346" s="89" t="s">
        <v>1552</v>
      </c>
      <c r="V346" s="89" t="s">
        <v>1561</v>
      </c>
      <c r="W346" s="89" t="s">
        <v>701</v>
      </c>
      <c r="X346" s="89" t="s">
        <v>565</v>
      </c>
      <c r="Y346" s="89" t="s">
        <v>619</v>
      </c>
      <c r="Z346" s="89" t="s">
        <v>68</v>
      </c>
      <c r="AA346" s="89" t="s">
        <v>427</v>
      </c>
      <c r="AB346" s="89">
        <v>1</v>
      </c>
      <c r="AC346" s="89">
        <v>6</v>
      </c>
      <c r="AD346" s="89">
        <v>1</v>
      </c>
      <c r="AE346" s="89" t="s">
        <v>210</v>
      </c>
      <c r="AF346" s="90">
        <v>367</v>
      </c>
      <c r="AG346" s="90">
        <v>45707</v>
      </c>
      <c r="AH346" s="90">
        <v>46802</v>
      </c>
    </row>
    <row r="347" spans="1:37" x14ac:dyDescent="0.35">
      <c r="A347" s="89" t="str">
        <f t="shared" si="13"/>
        <v>ZDZ5</v>
      </c>
      <c r="B347" s="89" t="s">
        <v>1887</v>
      </c>
      <c r="C347" s="89" t="s">
        <v>1888</v>
      </c>
      <c r="D347" s="89" t="s">
        <v>490</v>
      </c>
      <c r="E347" s="89" t="s">
        <v>1889</v>
      </c>
      <c r="F347" s="89" t="s">
        <v>1886</v>
      </c>
      <c r="G347" s="89" t="s">
        <v>70</v>
      </c>
      <c r="H347" s="89" t="s">
        <v>70</v>
      </c>
      <c r="I347" s="89" t="s">
        <v>1547</v>
      </c>
      <c r="J347" s="89">
        <v>0</v>
      </c>
      <c r="K347" s="26" t="s">
        <v>38</v>
      </c>
      <c r="L347" s="89" t="s">
        <v>1588</v>
      </c>
      <c r="M347" s="91"/>
      <c r="N347" s="89" t="s">
        <v>1549</v>
      </c>
      <c r="O347" s="89" t="s">
        <v>615</v>
      </c>
      <c r="P347" s="89" t="s">
        <v>1550</v>
      </c>
      <c r="Q347" s="89" t="s">
        <v>629</v>
      </c>
      <c r="R347" s="89">
        <v>16</v>
      </c>
      <c r="S347" s="89" t="s">
        <v>1611</v>
      </c>
      <c r="T347" s="89" t="s">
        <v>1555</v>
      </c>
      <c r="U347" s="89" t="s">
        <v>1552</v>
      </c>
      <c r="V347" s="89" t="s">
        <v>1561</v>
      </c>
      <c r="W347" s="89" t="s">
        <v>649</v>
      </c>
      <c r="X347" s="89" t="s">
        <v>76</v>
      </c>
      <c r="Y347" s="89" t="s">
        <v>619</v>
      </c>
      <c r="Z347" s="89" t="s">
        <v>68</v>
      </c>
      <c r="AA347" s="89" t="s">
        <v>67</v>
      </c>
      <c r="AB347" s="89">
        <v>2</v>
      </c>
      <c r="AC347" s="89">
        <v>6</v>
      </c>
      <c r="AD347" s="89">
        <v>1</v>
      </c>
      <c r="AE347" s="89" t="s">
        <v>287</v>
      </c>
      <c r="AF347" s="90">
        <v>367</v>
      </c>
      <c r="AG347" s="90">
        <v>45098</v>
      </c>
      <c r="AH347" s="90">
        <v>46174</v>
      </c>
      <c r="AJ347" t="e">
        <f>VLOOKUP(A347,'1'!B:Q,16,0)</f>
        <v>#N/A</v>
      </c>
      <c r="AK347" s="96" t="e">
        <f t="shared" ref="AK347:AK349" si="18">AJ347/250</f>
        <v>#N/A</v>
      </c>
    </row>
    <row r="348" spans="1:37" x14ac:dyDescent="0.35">
      <c r="A348" s="89" t="str">
        <f t="shared" si="13"/>
        <v>Z837</v>
      </c>
      <c r="B348" s="89" t="s">
        <v>1240</v>
      </c>
      <c r="C348" s="89" t="s">
        <v>1241</v>
      </c>
      <c r="D348" s="89" t="s">
        <v>476</v>
      </c>
      <c r="E348" s="89" t="s">
        <v>1239</v>
      </c>
      <c r="F348" s="89" t="s">
        <v>1886</v>
      </c>
      <c r="G348" s="89" t="s">
        <v>70</v>
      </c>
      <c r="H348" s="89" t="s">
        <v>70</v>
      </c>
      <c r="I348" s="91"/>
      <c r="J348" s="89">
        <v>0</v>
      </c>
      <c r="K348" s="26" t="s">
        <v>38</v>
      </c>
      <c r="L348" s="89" t="s">
        <v>1620</v>
      </c>
      <c r="M348" s="91"/>
      <c r="N348" s="89" t="s">
        <v>1549</v>
      </c>
      <c r="O348" s="89" t="s">
        <v>615</v>
      </c>
      <c r="P348" s="89" t="s">
        <v>1550</v>
      </c>
      <c r="Q348" s="89" t="s">
        <v>629</v>
      </c>
      <c r="R348" s="89">
        <v>24</v>
      </c>
      <c r="S348" s="89" t="s">
        <v>1551</v>
      </c>
      <c r="T348" s="89" t="s">
        <v>1558</v>
      </c>
      <c r="U348" s="89" t="s">
        <v>1552</v>
      </c>
      <c r="V348" s="89" t="s">
        <v>1561</v>
      </c>
      <c r="W348" s="89" t="s">
        <v>649</v>
      </c>
      <c r="X348" s="89" t="s">
        <v>76</v>
      </c>
      <c r="Y348" s="89" t="s">
        <v>619</v>
      </c>
      <c r="Z348" s="89" t="s">
        <v>68</v>
      </c>
      <c r="AA348" s="89" t="s">
        <v>67</v>
      </c>
      <c r="AB348" s="89">
        <v>2</v>
      </c>
      <c r="AC348" s="89">
        <v>6</v>
      </c>
      <c r="AD348" s="89">
        <v>1</v>
      </c>
      <c r="AE348" s="89" t="s">
        <v>288</v>
      </c>
      <c r="AF348" s="90">
        <v>367</v>
      </c>
      <c r="AG348" s="90">
        <v>45438</v>
      </c>
      <c r="AH348" s="90">
        <v>46537</v>
      </c>
      <c r="AJ348" t="e">
        <f>VLOOKUP(A348,'1'!B:Q,16,0)</f>
        <v>#N/A</v>
      </c>
      <c r="AK348" s="96" t="e">
        <f t="shared" si="18"/>
        <v>#N/A</v>
      </c>
    </row>
    <row r="349" spans="1:37" x14ac:dyDescent="0.35">
      <c r="A349" s="89" t="str">
        <f t="shared" si="13"/>
        <v>Z836</v>
      </c>
      <c r="B349" s="89" t="s">
        <v>1237</v>
      </c>
      <c r="C349" s="89" t="s">
        <v>1238</v>
      </c>
      <c r="D349" s="89" t="s">
        <v>475</v>
      </c>
      <c r="E349" s="89" t="s">
        <v>1239</v>
      </c>
      <c r="F349" s="89" t="s">
        <v>1886</v>
      </c>
      <c r="G349" s="89" t="s">
        <v>70</v>
      </c>
      <c r="H349" s="89" t="s">
        <v>70</v>
      </c>
      <c r="I349" s="91"/>
      <c r="J349" s="89">
        <v>0</v>
      </c>
      <c r="K349" s="26" t="s">
        <v>38</v>
      </c>
      <c r="L349" s="89" t="s">
        <v>1620</v>
      </c>
      <c r="M349" s="91"/>
      <c r="N349" s="89" t="s">
        <v>1549</v>
      </c>
      <c r="O349" s="89" t="s">
        <v>615</v>
      </c>
      <c r="P349" s="89" t="s">
        <v>1550</v>
      </c>
      <c r="Q349" s="89" t="s">
        <v>629</v>
      </c>
      <c r="R349" s="89">
        <v>24</v>
      </c>
      <c r="S349" s="89" t="s">
        <v>1551</v>
      </c>
      <c r="T349" s="89" t="s">
        <v>1558</v>
      </c>
      <c r="U349" s="89" t="s">
        <v>1552</v>
      </c>
      <c r="V349" s="89" t="s">
        <v>1561</v>
      </c>
      <c r="W349" s="89" t="s">
        <v>649</v>
      </c>
      <c r="X349" s="89" t="s">
        <v>76</v>
      </c>
      <c r="Y349" s="89" t="s">
        <v>619</v>
      </c>
      <c r="Z349" s="89" t="s">
        <v>68</v>
      </c>
      <c r="AA349" s="89" t="s">
        <v>67</v>
      </c>
      <c r="AB349" s="89">
        <v>2</v>
      </c>
      <c r="AC349" s="89">
        <v>6</v>
      </c>
      <c r="AD349" s="89">
        <v>1</v>
      </c>
      <c r="AE349" s="89" t="s">
        <v>288</v>
      </c>
      <c r="AF349" s="90">
        <v>367</v>
      </c>
      <c r="AG349" s="90">
        <v>45438</v>
      </c>
      <c r="AH349" s="90">
        <v>46537</v>
      </c>
      <c r="AJ349" t="e">
        <f>VLOOKUP(A349,'1'!B:Q,16,0)</f>
        <v>#N/A</v>
      </c>
      <c r="AK349" s="96" t="e">
        <f t="shared" si="18"/>
        <v>#N/A</v>
      </c>
    </row>
    <row r="350" spans="1:37" x14ac:dyDescent="0.35">
      <c r="A350" s="89" t="str">
        <f t="shared" si="13"/>
        <v>00JP</v>
      </c>
      <c r="B350" s="89" t="s">
        <v>866</v>
      </c>
      <c r="C350" s="89" t="s">
        <v>867</v>
      </c>
      <c r="D350" s="89" t="s">
        <v>121</v>
      </c>
      <c r="E350" s="89" t="s">
        <v>868</v>
      </c>
      <c r="F350" s="89" t="s">
        <v>1886</v>
      </c>
      <c r="G350" s="89" t="s">
        <v>70</v>
      </c>
      <c r="H350" s="89" t="s">
        <v>70</v>
      </c>
      <c r="I350" s="91"/>
      <c r="J350" s="89">
        <v>0</v>
      </c>
      <c r="K350" s="89" t="s">
        <v>53</v>
      </c>
      <c r="L350" s="89" t="s">
        <v>1548</v>
      </c>
      <c r="M350" s="91"/>
      <c r="N350" s="89" t="s">
        <v>1549</v>
      </c>
      <c r="O350" s="89" t="s">
        <v>615</v>
      </c>
      <c r="P350" s="89" t="s">
        <v>1550</v>
      </c>
      <c r="Q350" s="89" t="s">
        <v>629</v>
      </c>
      <c r="R350" s="89">
        <v>24</v>
      </c>
      <c r="S350" s="89" t="s">
        <v>1551</v>
      </c>
      <c r="T350" s="89" t="s">
        <v>1558</v>
      </c>
      <c r="U350" s="89" t="s">
        <v>1552</v>
      </c>
      <c r="V350" s="89" t="s">
        <v>1561</v>
      </c>
      <c r="W350" s="89" t="s">
        <v>649</v>
      </c>
      <c r="X350" s="89" t="s">
        <v>76</v>
      </c>
      <c r="Y350" s="89" t="s">
        <v>619</v>
      </c>
      <c r="Z350" s="89" t="s">
        <v>68</v>
      </c>
      <c r="AA350" s="89" t="s">
        <v>67</v>
      </c>
      <c r="AB350" s="89">
        <v>2</v>
      </c>
      <c r="AC350" s="89">
        <v>6</v>
      </c>
      <c r="AD350" s="89">
        <v>1</v>
      </c>
      <c r="AE350" s="89" t="s">
        <v>287</v>
      </c>
      <c r="AF350" s="90">
        <v>367</v>
      </c>
      <c r="AG350" s="90">
        <v>45526</v>
      </c>
      <c r="AH350" s="90">
        <v>46629</v>
      </c>
    </row>
    <row r="351" spans="1:37" x14ac:dyDescent="0.35">
      <c r="A351" s="89" t="str">
        <f t="shared" si="13"/>
        <v>617C</v>
      </c>
      <c r="B351" s="89" t="s">
        <v>1509</v>
      </c>
      <c r="C351" s="89" t="s">
        <v>1510</v>
      </c>
      <c r="D351" s="89" t="s">
        <v>313</v>
      </c>
      <c r="E351" s="89" t="s">
        <v>1511</v>
      </c>
      <c r="F351" s="89" t="s">
        <v>1890</v>
      </c>
      <c r="G351" s="89" t="s">
        <v>75</v>
      </c>
      <c r="H351" s="89" t="s">
        <v>1891</v>
      </c>
      <c r="I351" s="91"/>
      <c r="J351" s="89">
        <v>0</v>
      </c>
      <c r="K351" s="89" t="s">
        <v>53</v>
      </c>
      <c r="L351" s="89" t="s">
        <v>1548</v>
      </c>
      <c r="M351" s="91"/>
      <c r="N351" s="89" t="s">
        <v>1549</v>
      </c>
      <c r="O351" s="89" t="s">
        <v>615</v>
      </c>
      <c r="P351" s="89" t="s">
        <v>1550</v>
      </c>
      <c r="Q351" s="89" t="s">
        <v>620</v>
      </c>
      <c r="R351" s="89">
        <v>24</v>
      </c>
      <c r="S351" s="89" t="s">
        <v>1551</v>
      </c>
      <c r="T351" s="89" t="s">
        <v>1555</v>
      </c>
      <c r="U351" s="89" t="s">
        <v>1552</v>
      </c>
      <c r="V351" s="89" t="s">
        <v>1561</v>
      </c>
      <c r="W351" s="89" t="s">
        <v>688</v>
      </c>
      <c r="X351" s="89" t="s">
        <v>86</v>
      </c>
      <c r="Y351" s="89" t="s">
        <v>619</v>
      </c>
      <c r="Z351" s="89" t="s">
        <v>68</v>
      </c>
      <c r="AA351" s="89" t="s">
        <v>73</v>
      </c>
      <c r="AB351" s="89">
        <v>2</v>
      </c>
      <c r="AC351" s="89">
        <v>6</v>
      </c>
      <c r="AD351" s="89">
        <v>1</v>
      </c>
      <c r="AE351" s="89" t="s">
        <v>287</v>
      </c>
      <c r="AF351" s="90">
        <v>367</v>
      </c>
      <c r="AG351" s="90">
        <v>45057</v>
      </c>
      <c r="AH351" s="90">
        <v>46153</v>
      </c>
    </row>
    <row r="352" spans="1:37" x14ac:dyDescent="0.35">
      <c r="A352" s="89" t="str">
        <f t="shared" si="13"/>
        <v>ZRP5</v>
      </c>
      <c r="B352" s="89" t="s">
        <v>1892</v>
      </c>
      <c r="C352" s="89" t="s">
        <v>1893</v>
      </c>
      <c r="D352" s="89" t="s">
        <v>535</v>
      </c>
      <c r="E352" s="89" t="s">
        <v>1894</v>
      </c>
      <c r="F352" s="89" t="s">
        <v>1890</v>
      </c>
      <c r="G352" s="89" t="s">
        <v>75</v>
      </c>
      <c r="H352" s="89" t="s">
        <v>1891</v>
      </c>
      <c r="I352" s="89" t="s">
        <v>1547</v>
      </c>
      <c r="J352" s="89">
        <v>0</v>
      </c>
      <c r="K352" s="26" t="s">
        <v>38</v>
      </c>
      <c r="L352" s="89" t="s">
        <v>1588</v>
      </c>
      <c r="M352" s="91"/>
      <c r="N352" s="89" t="s">
        <v>1549</v>
      </c>
      <c r="O352" s="89" t="s">
        <v>615</v>
      </c>
      <c r="P352" s="89" t="s">
        <v>1550</v>
      </c>
      <c r="Q352" s="89" t="s">
        <v>620</v>
      </c>
      <c r="R352" s="89">
        <v>0</v>
      </c>
      <c r="S352" s="89" t="s">
        <v>1551</v>
      </c>
      <c r="T352" s="89" t="s">
        <v>1558</v>
      </c>
      <c r="U352" s="89" t="s">
        <v>1552</v>
      </c>
      <c r="V352" s="89" t="s">
        <v>1561</v>
      </c>
      <c r="W352" s="89" t="s">
        <v>618</v>
      </c>
      <c r="X352" s="89" t="s">
        <v>237</v>
      </c>
      <c r="Y352" s="89" t="s">
        <v>619</v>
      </c>
      <c r="Z352" s="89" t="s">
        <v>68</v>
      </c>
      <c r="AA352" s="89" t="s">
        <v>73</v>
      </c>
      <c r="AB352" s="89">
        <v>4</v>
      </c>
      <c r="AC352" s="89">
        <v>6</v>
      </c>
      <c r="AD352" s="89">
        <v>1</v>
      </c>
      <c r="AE352" s="89" t="s">
        <v>287</v>
      </c>
      <c r="AF352" s="90">
        <v>367</v>
      </c>
      <c r="AG352" s="90">
        <v>45102</v>
      </c>
      <c r="AH352" s="90">
        <v>46193</v>
      </c>
      <c r="AJ352" t="e">
        <f>VLOOKUP(A352,'1'!B:Q,16,0)</f>
        <v>#N/A</v>
      </c>
      <c r="AK352" s="96" t="e">
        <f>AJ352/250</f>
        <v>#N/A</v>
      </c>
    </row>
    <row r="353" spans="1:37" x14ac:dyDescent="0.35">
      <c r="A353" s="89" t="str">
        <f t="shared" si="13"/>
        <v>00R1</v>
      </c>
      <c r="B353" s="89" t="s">
        <v>736</v>
      </c>
      <c r="C353" s="89" t="s">
        <v>737</v>
      </c>
      <c r="D353" s="89" t="s">
        <v>131</v>
      </c>
      <c r="E353" s="89" t="s">
        <v>738</v>
      </c>
      <c r="F353" s="89" t="s">
        <v>1895</v>
      </c>
      <c r="G353" s="89" t="s">
        <v>75</v>
      </c>
      <c r="H353" s="89" t="s">
        <v>1896</v>
      </c>
      <c r="I353" s="89" t="s">
        <v>1547</v>
      </c>
      <c r="J353" s="89">
        <v>0</v>
      </c>
      <c r="K353" s="89" t="s">
        <v>53</v>
      </c>
      <c r="L353" s="89" t="s">
        <v>1548</v>
      </c>
      <c r="M353" s="91"/>
      <c r="N353" s="89" t="s">
        <v>1549</v>
      </c>
      <c r="O353" s="89" t="s">
        <v>615</v>
      </c>
      <c r="P353" s="89" t="s">
        <v>1550</v>
      </c>
      <c r="Q353" s="89" t="s">
        <v>620</v>
      </c>
      <c r="R353" s="89">
        <v>17</v>
      </c>
      <c r="S353" s="89" t="s">
        <v>1564</v>
      </c>
      <c r="T353" s="89" t="s">
        <v>1551</v>
      </c>
      <c r="U353" s="89" t="s">
        <v>1552</v>
      </c>
      <c r="V353" s="89" t="s">
        <v>1553</v>
      </c>
      <c r="W353" s="89" t="s">
        <v>688</v>
      </c>
      <c r="X353" s="89" t="s">
        <v>86</v>
      </c>
      <c r="Y353" s="89" t="s">
        <v>619</v>
      </c>
      <c r="Z353" s="89" t="s">
        <v>68</v>
      </c>
      <c r="AA353" s="89" t="s">
        <v>73</v>
      </c>
      <c r="AB353" s="89">
        <v>1</v>
      </c>
      <c r="AC353" s="89">
        <v>6</v>
      </c>
      <c r="AD353" s="89">
        <v>1</v>
      </c>
      <c r="AE353" s="89" t="s">
        <v>285</v>
      </c>
      <c r="AF353" s="90">
        <v>367</v>
      </c>
      <c r="AG353" s="90">
        <v>44055</v>
      </c>
      <c r="AH353" s="90">
        <v>45169</v>
      </c>
    </row>
    <row r="354" spans="1:37" x14ac:dyDescent="0.35">
      <c r="A354" s="89" t="str">
        <f t="shared" ref="A354:A413" si="19">LEFT(B354,LEN(B354)-3)</f>
        <v>Z3TZ</v>
      </c>
      <c r="B354" s="89" t="s">
        <v>630</v>
      </c>
      <c r="C354" s="89" t="s">
        <v>631</v>
      </c>
      <c r="D354" s="89" t="s">
        <v>461</v>
      </c>
      <c r="E354" s="89" t="s">
        <v>632</v>
      </c>
      <c r="F354" s="89" t="s">
        <v>1895</v>
      </c>
      <c r="G354" s="89" t="s">
        <v>75</v>
      </c>
      <c r="H354" s="89" t="s">
        <v>1896</v>
      </c>
      <c r="I354" s="89" t="s">
        <v>1556</v>
      </c>
      <c r="J354" s="89">
        <v>0</v>
      </c>
      <c r="K354" s="26" t="s">
        <v>38</v>
      </c>
      <c r="L354" s="89" t="s">
        <v>1588</v>
      </c>
      <c r="M354" s="91"/>
      <c r="N354" s="89" t="s">
        <v>1549</v>
      </c>
      <c r="O354" s="89" t="s">
        <v>615</v>
      </c>
      <c r="P354" s="89" t="s">
        <v>1550</v>
      </c>
      <c r="Q354" s="89" t="s">
        <v>620</v>
      </c>
      <c r="R354" s="89">
        <v>24</v>
      </c>
      <c r="S354" s="89" t="s">
        <v>1551</v>
      </c>
      <c r="T354" s="89" t="s">
        <v>1551</v>
      </c>
      <c r="U354" s="89" t="s">
        <v>1552</v>
      </c>
      <c r="V354" s="89" t="s">
        <v>1561</v>
      </c>
      <c r="W354" s="89" t="s">
        <v>639</v>
      </c>
      <c r="X354" s="89" t="s">
        <v>71</v>
      </c>
      <c r="Y354" s="89" t="s">
        <v>619</v>
      </c>
      <c r="Z354" s="89" t="s">
        <v>68</v>
      </c>
      <c r="AA354" s="89" t="s">
        <v>73</v>
      </c>
      <c r="AB354" s="89">
        <v>1</v>
      </c>
      <c r="AC354" s="89">
        <v>6</v>
      </c>
      <c r="AD354" s="89">
        <v>1</v>
      </c>
      <c r="AE354" s="89" t="s">
        <v>285</v>
      </c>
      <c r="AF354" s="90">
        <v>367</v>
      </c>
      <c r="AG354" s="90">
        <v>44173</v>
      </c>
      <c r="AH354" s="90">
        <v>45291</v>
      </c>
      <c r="AJ354" t="e">
        <f>VLOOKUP(A354,'1'!B:Q,16,0)</f>
        <v>#N/A</v>
      </c>
      <c r="AK354" s="96" t="e">
        <f t="shared" ref="AK354:AK359" si="20">AJ354/250</f>
        <v>#N/A</v>
      </c>
    </row>
    <row r="355" spans="1:37" x14ac:dyDescent="0.35">
      <c r="A355" s="89" t="str">
        <f t="shared" si="19"/>
        <v>Z16J</v>
      </c>
      <c r="B355" s="89" t="s">
        <v>783</v>
      </c>
      <c r="C355" s="89" t="s">
        <v>784</v>
      </c>
      <c r="D355" s="89" t="s">
        <v>436</v>
      </c>
      <c r="E355" s="89" t="s">
        <v>632</v>
      </c>
      <c r="F355" s="89" t="s">
        <v>1895</v>
      </c>
      <c r="G355" s="89" t="s">
        <v>75</v>
      </c>
      <c r="H355" s="89" t="s">
        <v>1896</v>
      </c>
      <c r="I355" s="89" t="s">
        <v>1556</v>
      </c>
      <c r="J355" s="89">
        <v>0</v>
      </c>
      <c r="K355" s="26" t="s">
        <v>38</v>
      </c>
      <c r="L355" s="89" t="s">
        <v>1588</v>
      </c>
      <c r="M355" s="91"/>
      <c r="N355" s="89" t="s">
        <v>1549</v>
      </c>
      <c r="O355" s="89" t="s">
        <v>615</v>
      </c>
      <c r="P355" s="89" t="s">
        <v>1550</v>
      </c>
      <c r="Q355" s="89" t="s">
        <v>620</v>
      </c>
      <c r="R355" s="89">
        <v>24</v>
      </c>
      <c r="S355" s="89" t="s">
        <v>1551</v>
      </c>
      <c r="T355" s="89" t="s">
        <v>1551</v>
      </c>
      <c r="U355" s="89" t="s">
        <v>1552</v>
      </c>
      <c r="V355" s="89" t="s">
        <v>1561</v>
      </c>
      <c r="W355" s="89" t="s">
        <v>639</v>
      </c>
      <c r="X355" s="89" t="s">
        <v>71</v>
      </c>
      <c r="Y355" s="89" t="s">
        <v>619</v>
      </c>
      <c r="Z355" s="89" t="s">
        <v>68</v>
      </c>
      <c r="AA355" s="89" t="s">
        <v>73</v>
      </c>
      <c r="AB355" s="89">
        <v>1</v>
      </c>
      <c r="AC355" s="89">
        <v>6</v>
      </c>
      <c r="AD355" s="89">
        <v>1</v>
      </c>
      <c r="AE355" s="89" t="s">
        <v>285</v>
      </c>
      <c r="AF355" s="90">
        <v>367</v>
      </c>
      <c r="AG355" s="90">
        <v>44173</v>
      </c>
      <c r="AH355" s="90">
        <v>45291</v>
      </c>
      <c r="AJ355" t="e">
        <f>VLOOKUP(A355,'1'!B:Q,16,0)</f>
        <v>#N/A</v>
      </c>
      <c r="AK355" s="96" t="e">
        <f t="shared" si="20"/>
        <v>#N/A</v>
      </c>
    </row>
    <row r="356" spans="1:37" x14ac:dyDescent="0.35">
      <c r="A356" s="89" t="str">
        <f t="shared" si="19"/>
        <v>Z4WF</v>
      </c>
      <c r="B356" s="89" t="s">
        <v>792</v>
      </c>
      <c r="C356" s="89" t="s">
        <v>793</v>
      </c>
      <c r="D356" s="89" t="s">
        <v>467</v>
      </c>
      <c r="E356" s="89" t="s">
        <v>724</v>
      </c>
      <c r="F356" s="89" t="s">
        <v>1895</v>
      </c>
      <c r="G356" s="89" t="s">
        <v>75</v>
      </c>
      <c r="H356" s="89" t="s">
        <v>1896</v>
      </c>
      <c r="I356" s="91"/>
      <c r="J356" s="89">
        <v>0</v>
      </c>
      <c r="K356" s="26" t="s">
        <v>38</v>
      </c>
      <c r="L356" s="89" t="s">
        <v>1588</v>
      </c>
      <c r="M356" s="91"/>
      <c r="N356" s="89" t="s">
        <v>1549</v>
      </c>
      <c r="O356" s="89" t="s">
        <v>615</v>
      </c>
      <c r="P356" s="89" t="s">
        <v>1550</v>
      </c>
      <c r="Q356" s="89" t="s">
        <v>620</v>
      </c>
      <c r="R356" s="89">
        <v>24</v>
      </c>
      <c r="S356" s="89" t="s">
        <v>1551</v>
      </c>
      <c r="T356" s="89" t="s">
        <v>1551</v>
      </c>
      <c r="U356" s="89" t="s">
        <v>1552</v>
      </c>
      <c r="V356" s="89" t="s">
        <v>1561</v>
      </c>
      <c r="W356" s="89" t="s">
        <v>618</v>
      </c>
      <c r="X356" s="89" t="s">
        <v>237</v>
      </c>
      <c r="Y356" s="89" t="s">
        <v>619</v>
      </c>
      <c r="Z356" s="89" t="s">
        <v>68</v>
      </c>
      <c r="AA356" s="89" t="s">
        <v>73</v>
      </c>
      <c r="AB356" s="89">
        <v>1</v>
      </c>
      <c r="AC356" s="89">
        <v>6</v>
      </c>
      <c r="AD356" s="89">
        <v>1</v>
      </c>
      <c r="AE356" s="89" t="s">
        <v>285</v>
      </c>
      <c r="AF356" s="90">
        <v>367</v>
      </c>
      <c r="AG356" s="90">
        <v>44173</v>
      </c>
      <c r="AH356" s="90">
        <v>45291</v>
      </c>
      <c r="AJ356" t="e">
        <f>VLOOKUP(A356,'1'!B:Q,16,0)</f>
        <v>#N/A</v>
      </c>
      <c r="AK356" s="96" t="e">
        <f t="shared" si="20"/>
        <v>#N/A</v>
      </c>
    </row>
    <row r="357" spans="1:37" x14ac:dyDescent="0.35">
      <c r="A357" s="89" t="str">
        <f t="shared" si="19"/>
        <v>Z07Z</v>
      </c>
      <c r="B357" s="89" t="s">
        <v>722</v>
      </c>
      <c r="C357" s="89" t="s">
        <v>723</v>
      </c>
      <c r="D357" s="89" t="s">
        <v>398</v>
      </c>
      <c r="E357" s="89" t="s">
        <v>724</v>
      </c>
      <c r="F357" s="89" t="s">
        <v>1895</v>
      </c>
      <c r="G357" s="89" t="s">
        <v>75</v>
      </c>
      <c r="H357" s="89" t="s">
        <v>1896</v>
      </c>
      <c r="I357" s="91"/>
      <c r="J357" s="89">
        <v>0</v>
      </c>
      <c r="K357" s="26" t="s">
        <v>38</v>
      </c>
      <c r="L357" s="89" t="s">
        <v>1588</v>
      </c>
      <c r="M357" s="91"/>
      <c r="N357" s="89" t="s">
        <v>1549</v>
      </c>
      <c r="O357" s="89" t="s">
        <v>615</v>
      </c>
      <c r="P357" s="89" t="s">
        <v>1550</v>
      </c>
      <c r="Q357" s="89" t="s">
        <v>620</v>
      </c>
      <c r="R357" s="89">
        <v>24</v>
      </c>
      <c r="S357" s="89" t="s">
        <v>1551</v>
      </c>
      <c r="T357" s="89" t="s">
        <v>1551</v>
      </c>
      <c r="U357" s="89" t="s">
        <v>1552</v>
      </c>
      <c r="V357" s="89" t="s">
        <v>1561</v>
      </c>
      <c r="W357" s="89" t="s">
        <v>618</v>
      </c>
      <c r="X357" s="89" t="s">
        <v>237</v>
      </c>
      <c r="Y357" s="89" t="s">
        <v>619</v>
      </c>
      <c r="Z357" s="89" t="s">
        <v>68</v>
      </c>
      <c r="AA357" s="89" t="s">
        <v>73</v>
      </c>
      <c r="AB357" s="89">
        <v>1</v>
      </c>
      <c r="AC357" s="89">
        <v>6</v>
      </c>
      <c r="AD357" s="89">
        <v>1</v>
      </c>
      <c r="AE357" s="89" t="s">
        <v>285</v>
      </c>
      <c r="AF357" s="90">
        <v>367</v>
      </c>
      <c r="AG357" s="90">
        <v>44173</v>
      </c>
      <c r="AH357" s="90">
        <v>45291</v>
      </c>
      <c r="AJ357" t="e">
        <f>VLOOKUP(A357,'1'!B:Q,16,0)</f>
        <v>#N/A</v>
      </c>
      <c r="AK357" s="96" t="e">
        <f t="shared" si="20"/>
        <v>#N/A</v>
      </c>
    </row>
    <row r="358" spans="1:37" x14ac:dyDescent="0.35">
      <c r="A358" s="89" t="str">
        <f t="shared" si="19"/>
        <v>Z08A</v>
      </c>
      <c r="B358" s="89" t="s">
        <v>781</v>
      </c>
      <c r="C358" s="89" t="s">
        <v>1413</v>
      </c>
      <c r="D358" s="89" t="s">
        <v>399</v>
      </c>
      <c r="E358" s="89" t="s">
        <v>782</v>
      </c>
      <c r="F358" s="89" t="s">
        <v>1895</v>
      </c>
      <c r="G358" s="89" t="s">
        <v>75</v>
      </c>
      <c r="H358" s="89" t="s">
        <v>1896</v>
      </c>
      <c r="I358" s="91"/>
      <c r="J358" s="89">
        <v>0</v>
      </c>
      <c r="K358" s="26" t="s">
        <v>38</v>
      </c>
      <c r="L358" s="89" t="s">
        <v>1588</v>
      </c>
      <c r="M358" s="91"/>
      <c r="N358" s="89" t="s">
        <v>1549</v>
      </c>
      <c r="O358" s="89" t="s">
        <v>615</v>
      </c>
      <c r="P358" s="89" t="s">
        <v>1550</v>
      </c>
      <c r="Q358" s="89" t="s">
        <v>620</v>
      </c>
      <c r="R358" s="89">
        <v>24</v>
      </c>
      <c r="S358" s="89" t="s">
        <v>1551</v>
      </c>
      <c r="T358" s="89" t="s">
        <v>1551</v>
      </c>
      <c r="U358" s="89" t="s">
        <v>1552</v>
      </c>
      <c r="V358" s="89" t="s">
        <v>1561</v>
      </c>
      <c r="W358" s="89" t="s">
        <v>618</v>
      </c>
      <c r="X358" s="89" t="s">
        <v>237</v>
      </c>
      <c r="Y358" s="89" t="s">
        <v>619</v>
      </c>
      <c r="Z358" s="89" t="s">
        <v>68</v>
      </c>
      <c r="AA358" s="89" t="s">
        <v>73</v>
      </c>
      <c r="AB358" s="89">
        <v>1</v>
      </c>
      <c r="AC358" s="89">
        <v>12</v>
      </c>
      <c r="AD358" s="89">
        <v>1</v>
      </c>
      <c r="AE358" s="89" t="s">
        <v>285</v>
      </c>
      <c r="AF358" s="90">
        <v>367</v>
      </c>
      <c r="AG358" s="90">
        <v>44174</v>
      </c>
      <c r="AH358" s="90">
        <v>45291</v>
      </c>
      <c r="AJ358" t="e">
        <f>VLOOKUP(A358,'1'!B:Q,16,0)</f>
        <v>#N/A</v>
      </c>
      <c r="AK358" s="96" t="e">
        <f t="shared" si="20"/>
        <v>#N/A</v>
      </c>
    </row>
    <row r="359" spans="1:37" x14ac:dyDescent="0.35">
      <c r="A359" s="89" t="str">
        <f t="shared" si="19"/>
        <v>ZQ1R</v>
      </c>
      <c r="B359" s="89" t="s">
        <v>799</v>
      </c>
      <c r="C359" s="89" t="s">
        <v>800</v>
      </c>
      <c r="D359" s="89" t="s">
        <v>498</v>
      </c>
      <c r="E359" s="89" t="s">
        <v>801</v>
      </c>
      <c r="F359" s="89" t="s">
        <v>1895</v>
      </c>
      <c r="G359" s="89" t="s">
        <v>75</v>
      </c>
      <c r="H359" s="89" t="s">
        <v>1896</v>
      </c>
      <c r="I359" s="91"/>
      <c r="J359" s="89">
        <v>0</v>
      </c>
      <c r="K359" s="26" t="s">
        <v>38</v>
      </c>
      <c r="L359" s="89" t="s">
        <v>1588</v>
      </c>
      <c r="M359" s="91"/>
      <c r="N359" s="89" t="s">
        <v>1549</v>
      </c>
      <c r="O359" s="89" t="s">
        <v>615</v>
      </c>
      <c r="P359" s="89" t="s">
        <v>1550</v>
      </c>
      <c r="Q359" s="89" t="s">
        <v>620</v>
      </c>
      <c r="R359" s="89">
        <v>24</v>
      </c>
      <c r="S359" s="89" t="s">
        <v>1551</v>
      </c>
      <c r="T359" s="89" t="s">
        <v>1551</v>
      </c>
      <c r="U359" s="89" t="s">
        <v>1552</v>
      </c>
      <c r="V359" s="89" t="s">
        <v>1561</v>
      </c>
      <c r="W359" s="89" t="s">
        <v>618</v>
      </c>
      <c r="X359" s="89" t="s">
        <v>237</v>
      </c>
      <c r="Y359" s="89" t="s">
        <v>619</v>
      </c>
      <c r="Z359" s="89" t="s">
        <v>68</v>
      </c>
      <c r="AA359" s="89" t="s">
        <v>73</v>
      </c>
      <c r="AB359" s="89">
        <v>1</v>
      </c>
      <c r="AC359" s="89">
        <v>6</v>
      </c>
      <c r="AD359" s="89">
        <v>1</v>
      </c>
      <c r="AE359" s="89" t="s">
        <v>286</v>
      </c>
      <c r="AF359" s="90">
        <v>367</v>
      </c>
      <c r="AG359" s="90">
        <v>44414</v>
      </c>
      <c r="AH359" s="90">
        <v>45535</v>
      </c>
      <c r="AJ359" t="e">
        <f>VLOOKUP(A359,'1'!B:Q,16,0)</f>
        <v>#N/A</v>
      </c>
      <c r="AK359" s="96" t="e">
        <f t="shared" si="20"/>
        <v>#N/A</v>
      </c>
    </row>
    <row r="360" spans="1:37" x14ac:dyDescent="0.35">
      <c r="A360" s="89" t="str">
        <f t="shared" si="19"/>
        <v>630X</v>
      </c>
      <c r="B360" s="89" t="s">
        <v>1898</v>
      </c>
      <c r="C360" s="89" t="s">
        <v>1899</v>
      </c>
      <c r="D360" s="89" t="s">
        <v>321</v>
      </c>
      <c r="E360" s="89" t="s">
        <v>1900</v>
      </c>
      <c r="F360" s="89" t="s">
        <v>1895</v>
      </c>
      <c r="G360" s="89" t="s">
        <v>75</v>
      </c>
      <c r="H360" s="89" t="s">
        <v>1896</v>
      </c>
      <c r="I360" s="89" t="s">
        <v>1560</v>
      </c>
      <c r="J360" s="89">
        <v>0</v>
      </c>
      <c r="K360" s="89" t="s">
        <v>53</v>
      </c>
      <c r="L360" s="89" t="s">
        <v>1548</v>
      </c>
      <c r="M360" s="91"/>
      <c r="N360" s="89" t="s">
        <v>1549</v>
      </c>
      <c r="O360" s="89" t="s">
        <v>615</v>
      </c>
      <c r="P360" s="89" t="s">
        <v>1550</v>
      </c>
      <c r="Q360" s="89" t="s">
        <v>620</v>
      </c>
      <c r="R360" s="89">
        <v>24</v>
      </c>
      <c r="S360" s="89" t="s">
        <v>1551</v>
      </c>
      <c r="T360" s="89" t="s">
        <v>1551</v>
      </c>
      <c r="U360" s="89" t="s">
        <v>1552</v>
      </c>
      <c r="V360" s="89" t="s">
        <v>1553</v>
      </c>
      <c r="W360" s="89" t="s">
        <v>618</v>
      </c>
      <c r="X360" s="89" t="s">
        <v>237</v>
      </c>
      <c r="Y360" s="89" t="s">
        <v>619</v>
      </c>
      <c r="Z360" s="89" t="s">
        <v>68</v>
      </c>
      <c r="AA360" s="89" t="s">
        <v>73</v>
      </c>
      <c r="AB360" s="89">
        <v>1</v>
      </c>
      <c r="AC360" s="89">
        <v>6</v>
      </c>
      <c r="AD360" s="89">
        <v>1</v>
      </c>
      <c r="AE360" s="89" t="s">
        <v>286</v>
      </c>
      <c r="AF360" s="90">
        <v>367</v>
      </c>
      <c r="AG360" s="90">
        <v>44463</v>
      </c>
      <c r="AH360" s="90">
        <v>45565</v>
      </c>
    </row>
    <row r="361" spans="1:37" x14ac:dyDescent="0.35">
      <c r="A361" s="89" t="str">
        <f t="shared" si="19"/>
        <v>688J</v>
      </c>
      <c r="B361" s="89" t="s">
        <v>769</v>
      </c>
      <c r="C361" s="89" t="s">
        <v>770</v>
      </c>
      <c r="D361" s="89" t="s">
        <v>371</v>
      </c>
      <c r="E361" s="89" t="s">
        <v>1901</v>
      </c>
      <c r="F361" s="89" t="s">
        <v>1895</v>
      </c>
      <c r="G361" s="89" t="s">
        <v>75</v>
      </c>
      <c r="H361" s="89" t="s">
        <v>1896</v>
      </c>
      <c r="I361" s="89" t="s">
        <v>1547</v>
      </c>
      <c r="J361" s="89">
        <v>0</v>
      </c>
      <c r="K361" s="89" t="s">
        <v>53</v>
      </c>
      <c r="L361" s="89" t="s">
        <v>1548</v>
      </c>
      <c r="M361" s="91"/>
      <c r="N361" s="89" t="s">
        <v>1549</v>
      </c>
      <c r="O361" s="89" t="s">
        <v>615</v>
      </c>
      <c r="P361" s="89" t="s">
        <v>1550</v>
      </c>
      <c r="Q361" s="89" t="s">
        <v>620</v>
      </c>
      <c r="R361" s="89">
        <v>16</v>
      </c>
      <c r="S361" s="89" t="s">
        <v>1902</v>
      </c>
      <c r="T361" s="89" t="s">
        <v>1555</v>
      </c>
      <c r="U361" s="89" t="s">
        <v>1552</v>
      </c>
      <c r="V361" s="89" t="s">
        <v>1561</v>
      </c>
      <c r="W361" s="89" t="s">
        <v>688</v>
      </c>
      <c r="X361" s="89" t="s">
        <v>86</v>
      </c>
      <c r="Y361" s="89" t="s">
        <v>619</v>
      </c>
      <c r="Z361" s="89" t="s">
        <v>68</v>
      </c>
      <c r="AA361" s="89" t="s">
        <v>73</v>
      </c>
      <c r="AB361" s="89">
        <v>1</v>
      </c>
      <c r="AC361" s="89">
        <v>6</v>
      </c>
      <c r="AD361" s="89">
        <v>1</v>
      </c>
      <c r="AE361" s="89" t="s">
        <v>0</v>
      </c>
      <c r="AF361" s="90">
        <v>367</v>
      </c>
      <c r="AG361" s="90">
        <v>44730</v>
      </c>
      <c r="AH361" s="90">
        <v>45818</v>
      </c>
    </row>
    <row r="362" spans="1:37" x14ac:dyDescent="0.35">
      <c r="A362" s="89" t="str">
        <f t="shared" si="19"/>
        <v>634B</v>
      </c>
      <c r="B362" s="89" t="s">
        <v>764</v>
      </c>
      <c r="C362" s="89" t="s">
        <v>765</v>
      </c>
      <c r="D362" s="89" t="s">
        <v>323</v>
      </c>
      <c r="E362" s="89" t="s">
        <v>766</v>
      </c>
      <c r="F362" s="89" t="s">
        <v>1895</v>
      </c>
      <c r="G362" s="89" t="s">
        <v>75</v>
      </c>
      <c r="H362" s="89" t="s">
        <v>1896</v>
      </c>
      <c r="I362" s="89" t="s">
        <v>1547</v>
      </c>
      <c r="J362" s="89">
        <v>0</v>
      </c>
      <c r="K362" s="89" t="s">
        <v>53</v>
      </c>
      <c r="L362" s="89" t="s">
        <v>1548</v>
      </c>
      <c r="M362" s="91"/>
      <c r="N362" s="89" t="s">
        <v>1549</v>
      </c>
      <c r="O362" s="89" t="s">
        <v>615</v>
      </c>
      <c r="P362" s="89" t="s">
        <v>1550</v>
      </c>
      <c r="Q362" s="89" t="s">
        <v>620</v>
      </c>
      <c r="R362" s="89">
        <v>24</v>
      </c>
      <c r="S362" s="89" t="s">
        <v>1551</v>
      </c>
      <c r="T362" s="89" t="s">
        <v>1555</v>
      </c>
      <c r="U362" s="89" t="s">
        <v>1552</v>
      </c>
      <c r="V362" s="89" t="s">
        <v>1561</v>
      </c>
      <c r="W362" s="89" t="s">
        <v>618</v>
      </c>
      <c r="X362" s="89" t="s">
        <v>237</v>
      </c>
      <c r="Y362" s="89" t="s">
        <v>619</v>
      </c>
      <c r="Z362" s="89" t="s">
        <v>68</v>
      </c>
      <c r="AA362" s="89" t="s">
        <v>73</v>
      </c>
      <c r="AB362" s="89">
        <v>1</v>
      </c>
      <c r="AC362" s="89">
        <v>6</v>
      </c>
      <c r="AD362" s="89">
        <v>1</v>
      </c>
      <c r="AE362" s="89" t="s">
        <v>0</v>
      </c>
      <c r="AF362" s="90">
        <v>367</v>
      </c>
      <c r="AG362" s="90">
        <v>44728</v>
      </c>
      <c r="AH362" s="90">
        <v>45818</v>
      </c>
    </row>
    <row r="363" spans="1:37" x14ac:dyDescent="0.35">
      <c r="A363" s="89" t="str">
        <f t="shared" si="19"/>
        <v>653K</v>
      </c>
      <c r="B363" s="89" t="s">
        <v>1903</v>
      </c>
      <c r="C363" s="89" t="s">
        <v>1904</v>
      </c>
      <c r="D363" s="89" t="s">
        <v>339</v>
      </c>
      <c r="E363" s="89" t="s">
        <v>1905</v>
      </c>
      <c r="F363" s="89" t="s">
        <v>1895</v>
      </c>
      <c r="G363" s="89" t="s">
        <v>75</v>
      </c>
      <c r="H363" s="89" t="s">
        <v>1896</v>
      </c>
      <c r="I363" s="89" t="s">
        <v>1547</v>
      </c>
      <c r="J363" s="89">
        <v>0</v>
      </c>
      <c r="K363" s="89" t="s">
        <v>53</v>
      </c>
      <c r="L363" s="89" t="s">
        <v>1548</v>
      </c>
      <c r="M363" s="91"/>
      <c r="N363" s="89" t="s">
        <v>1549</v>
      </c>
      <c r="O363" s="89" t="s">
        <v>615</v>
      </c>
      <c r="P363" s="89" t="s">
        <v>1550</v>
      </c>
      <c r="Q363" s="89" t="s">
        <v>620</v>
      </c>
      <c r="R363" s="89">
        <v>13</v>
      </c>
      <c r="S363" s="89" t="s">
        <v>1713</v>
      </c>
      <c r="T363" s="89" t="s">
        <v>1555</v>
      </c>
      <c r="U363" s="89" t="s">
        <v>1552</v>
      </c>
      <c r="V363" s="89" t="s">
        <v>1561</v>
      </c>
      <c r="W363" s="89" t="s">
        <v>639</v>
      </c>
      <c r="X363" s="89" t="s">
        <v>71</v>
      </c>
      <c r="Y363" s="89" t="s">
        <v>619</v>
      </c>
      <c r="Z363" s="89" t="s">
        <v>68</v>
      </c>
      <c r="AA363" s="89" t="s">
        <v>73</v>
      </c>
      <c r="AB363" s="89">
        <v>1</v>
      </c>
      <c r="AC363" s="89">
        <v>6</v>
      </c>
      <c r="AD363" s="89">
        <v>1</v>
      </c>
      <c r="AE363" s="89" t="s">
        <v>0</v>
      </c>
      <c r="AF363" s="90">
        <v>367</v>
      </c>
      <c r="AG363" s="90">
        <v>44728</v>
      </c>
      <c r="AH363" s="90">
        <v>45818</v>
      </c>
    </row>
    <row r="364" spans="1:37" x14ac:dyDescent="0.35">
      <c r="A364" s="89" t="str">
        <f t="shared" si="19"/>
        <v>5918</v>
      </c>
      <c r="B364" s="89" t="s">
        <v>1906</v>
      </c>
      <c r="C364" s="89" t="s">
        <v>1907</v>
      </c>
      <c r="D364" s="89" t="s">
        <v>304</v>
      </c>
      <c r="E364" s="89" t="s">
        <v>1908</v>
      </c>
      <c r="F364" s="89" t="s">
        <v>1895</v>
      </c>
      <c r="G364" s="89" t="s">
        <v>75</v>
      </c>
      <c r="H364" s="89" t="s">
        <v>1896</v>
      </c>
      <c r="I364" s="89" t="s">
        <v>1566</v>
      </c>
      <c r="J364" s="89">
        <v>1</v>
      </c>
      <c r="K364" s="89" t="s">
        <v>53</v>
      </c>
      <c r="L364" s="89" t="s">
        <v>1548</v>
      </c>
      <c r="M364" s="91"/>
      <c r="N364" s="89" t="s">
        <v>1549</v>
      </c>
      <c r="O364" s="89" t="s">
        <v>615</v>
      </c>
      <c r="P364" s="89" t="s">
        <v>1550</v>
      </c>
      <c r="Q364" s="89" t="s">
        <v>620</v>
      </c>
      <c r="R364" s="89">
        <v>24</v>
      </c>
      <c r="S364" s="89" t="s">
        <v>1551</v>
      </c>
      <c r="T364" s="89" t="s">
        <v>1555</v>
      </c>
      <c r="U364" s="89" t="s">
        <v>1552</v>
      </c>
      <c r="V364" s="89" t="s">
        <v>1561</v>
      </c>
      <c r="W364" s="89" t="s">
        <v>618</v>
      </c>
      <c r="X364" s="89" t="s">
        <v>237</v>
      </c>
      <c r="Y364" s="89" t="s">
        <v>619</v>
      </c>
      <c r="Z364" s="89" t="s">
        <v>68</v>
      </c>
      <c r="AA364" s="89" t="s">
        <v>73</v>
      </c>
      <c r="AB364" s="89">
        <v>1</v>
      </c>
      <c r="AC364" s="89">
        <v>6</v>
      </c>
      <c r="AD364" s="89">
        <v>1</v>
      </c>
      <c r="AE364" s="89" t="s">
        <v>287</v>
      </c>
      <c r="AF364" s="90">
        <v>367</v>
      </c>
      <c r="AG364" s="90">
        <v>45056</v>
      </c>
      <c r="AH364" s="90">
        <v>46143</v>
      </c>
    </row>
    <row r="365" spans="1:37" x14ac:dyDescent="0.35">
      <c r="A365" s="89" t="str">
        <f t="shared" si="19"/>
        <v>676Q</v>
      </c>
      <c r="B365" s="89" t="s">
        <v>1473</v>
      </c>
      <c r="C365" s="89" t="s">
        <v>1474</v>
      </c>
      <c r="D365" s="89" t="s">
        <v>351</v>
      </c>
      <c r="E365" s="89" t="s">
        <v>1475</v>
      </c>
      <c r="F365" s="89" t="s">
        <v>1895</v>
      </c>
      <c r="G365" s="89" t="s">
        <v>75</v>
      </c>
      <c r="H365" s="89" t="s">
        <v>1896</v>
      </c>
      <c r="I365" s="89" t="s">
        <v>1560</v>
      </c>
      <c r="J365" s="89">
        <v>0</v>
      </c>
      <c r="K365" s="89" t="s">
        <v>53</v>
      </c>
      <c r="L365" s="89" t="s">
        <v>1548</v>
      </c>
      <c r="M365" s="91"/>
      <c r="N365" s="89" t="s">
        <v>1549</v>
      </c>
      <c r="O365" s="89" t="s">
        <v>615</v>
      </c>
      <c r="P365" s="89" t="s">
        <v>1550</v>
      </c>
      <c r="Q365" s="89" t="s">
        <v>620</v>
      </c>
      <c r="R365" s="89">
        <v>24</v>
      </c>
      <c r="S365" s="89" t="s">
        <v>1551</v>
      </c>
      <c r="T365" s="89" t="s">
        <v>1555</v>
      </c>
      <c r="U365" s="89" t="s">
        <v>1552</v>
      </c>
      <c r="V365" s="89" t="s">
        <v>1561</v>
      </c>
      <c r="W365" s="89" t="s">
        <v>639</v>
      </c>
      <c r="X365" s="89" t="s">
        <v>71</v>
      </c>
      <c r="Y365" s="89" t="s">
        <v>619</v>
      </c>
      <c r="Z365" s="89" t="s">
        <v>68</v>
      </c>
      <c r="AA365" s="89" t="s">
        <v>73</v>
      </c>
      <c r="AB365" s="89">
        <v>1</v>
      </c>
      <c r="AC365" s="89">
        <v>6</v>
      </c>
      <c r="AD365" s="89">
        <v>1</v>
      </c>
      <c r="AE365" s="89" t="s">
        <v>287</v>
      </c>
      <c r="AF365" s="90">
        <v>367</v>
      </c>
      <c r="AG365" s="90">
        <v>45057</v>
      </c>
      <c r="AH365" s="90">
        <v>46143</v>
      </c>
    </row>
    <row r="366" spans="1:37" x14ac:dyDescent="0.35">
      <c r="A366" s="89" t="str">
        <f t="shared" si="19"/>
        <v>ZLX2</v>
      </c>
      <c r="B366" s="89" t="s">
        <v>1419</v>
      </c>
      <c r="C366" s="89" t="s">
        <v>1420</v>
      </c>
      <c r="D366" s="89" t="s">
        <v>496</v>
      </c>
      <c r="E366" s="89" t="s">
        <v>1421</v>
      </c>
      <c r="F366" s="89" t="s">
        <v>1895</v>
      </c>
      <c r="G366" s="89" t="s">
        <v>75</v>
      </c>
      <c r="H366" s="89" t="s">
        <v>1896</v>
      </c>
      <c r="I366" s="89" t="s">
        <v>1547</v>
      </c>
      <c r="J366" s="89">
        <v>0</v>
      </c>
      <c r="K366" s="26" t="s">
        <v>38</v>
      </c>
      <c r="L366" s="89" t="s">
        <v>1588</v>
      </c>
      <c r="M366" s="91"/>
      <c r="N366" s="89" t="s">
        <v>1549</v>
      </c>
      <c r="O366" s="89" t="s">
        <v>615</v>
      </c>
      <c r="P366" s="89" t="s">
        <v>1550</v>
      </c>
      <c r="Q366" s="89" t="s">
        <v>620</v>
      </c>
      <c r="R366" s="89">
        <v>24</v>
      </c>
      <c r="S366" s="89" t="s">
        <v>1551</v>
      </c>
      <c r="T366" s="89" t="s">
        <v>1555</v>
      </c>
      <c r="U366" s="89" t="s">
        <v>1552</v>
      </c>
      <c r="V366" s="89" t="s">
        <v>1561</v>
      </c>
      <c r="W366" s="89" t="s">
        <v>618</v>
      </c>
      <c r="X366" s="89" t="s">
        <v>237</v>
      </c>
      <c r="Y366" s="89" t="s">
        <v>619</v>
      </c>
      <c r="Z366" s="89" t="s">
        <v>68</v>
      </c>
      <c r="AA366" s="89" t="s">
        <v>73</v>
      </c>
      <c r="AB366" s="89">
        <v>1</v>
      </c>
      <c r="AC366" s="89">
        <v>6</v>
      </c>
      <c r="AD366" s="89">
        <v>1</v>
      </c>
      <c r="AE366" s="89" t="s">
        <v>287</v>
      </c>
      <c r="AF366" s="90">
        <v>367</v>
      </c>
      <c r="AG366" s="90">
        <v>45069</v>
      </c>
      <c r="AH366" s="90">
        <v>46143</v>
      </c>
      <c r="AJ366" t="e">
        <f>VLOOKUP(A366,'1'!B:Q,16,0)</f>
        <v>#N/A</v>
      </c>
      <c r="AK366" s="96" t="e">
        <f t="shared" ref="AK366:AK369" si="21">AJ366/250</f>
        <v>#N/A</v>
      </c>
    </row>
    <row r="367" spans="1:37" x14ac:dyDescent="0.35">
      <c r="A367" s="89" t="str">
        <f t="shared" si="19"/>
        <v>ZRJ5</v>
      </c>
      <c r="B367" s="89" t="s">
        <v>813</v>
      </c>
      <c r="C367" s="89" t="s">
        <v>814</v>
      </c>
      <c r="D367" s="89" t="s">
        <v>525</v>
      </c>
      <c r="E367" s="89" t="s">
        <v>815</v>
      </c>
      <c r="F367" s="89" t="s">
        <v>1895</v>
      </c>
      <c r="G367" s="89" t="s">
        <v>75</v>
      </c>
      <c r="H367" s="89" t="s">
        <v>1896</v>
      </c>
      <c r="I367" s="89" t="s">
        <v>1547</v>
      </c>
      <c r="J367" s="89">
        <v>0</v>
      </c>
      <c r="K367" s="26" t="s">
        <v>38</v>
      </c>
      <c r="L367" s="89" t="s">
        <v>1588</v>
      </c>
      <c r="M367" s="91"/>
      <c r="N367" s="89" t="s">
        <v>1549</v>
      </c>
      <c r="O367" s="89" t="s">
        <v>615</v>
      </c>
      <c r="P367" s="89" t="s">
        <v>1550</v>
      </c>
      <c r="Q367" s="89" t="s">
        <v>620</v>
      </c>
      <c r="R367" s="89">
        <v>24</v>
      </c>
      <c r="S367" s="89" t="s">
        <v>1551</v>
      </c>
      <c r="T367" s="89" t="s">
        <v>1555</v>
      </c>
      <c r="U367" s="89" t="s">
        <v>1552</v>
      </c>
      <c r="V367" s="89" t="s">
        <v>1561</v>
      </c>
      <c r="W367" s="89" t="s">
        <v>618</v>
      </c>
      <c r="X367" s="89" t="s">
        <v>237</v>
      </c>
      <c r="Y367" s="89" t="s">
        <v>619</v>
      </c>
      <c r="Z367" s="89" t="s">
        <v>68</v>
      </c>
      <c r="AA367" s="89" t="s">
        <v>73</v>
      </c>
      <c r="AB367" s="89">
        <v>1</v>
      </c>
      <c r="AC367" s="89">
        <v>12</v>
      </c>
      <c r="AD367" s="89">
        <v>1</v>
      </c>
      <c r="AE367" s="89" t="s">
        <v>287</v>
      </c>
      <c r="AF367" s="90">
        <v>367</v>
      </c>
      <c r="AG367" s="90">
        <v>45091</v>
      </c>
      <c r="AH367" s="90">
        <v>46187</v>
      </c>
      <c r="AJ367" t="e">
        <f>VLOOKUP(A367,'1'!B:Q,16,0)</f>
        <v>#N/A</v>
      </c>
      <c r="AK367" s="96" t="e">
        <f t="shared" si="21"/>
        <v>#N/A</v>
      </c>
    </row>
    <row r="368" spans="1:37" x14ac:dyDescent="0.35">
      <c r="A368" s="89" t="str">
        <f t="shared" si="19"/>
        <v>ZRK5</v>
      </c>
      <c r="B368" s="89" t="s">
        <v>715</v>
      </c>
      <c r="C368" s="89" t="s">
        <v>716</v>
      </c>
      <c r="D368" s="89" t="s">
        <v>527</v>
      </c>
      <c r="E368" s="89" t="s">
        <v>717</v>
      </c>
      <c r="F368" s="89" t="s">
        <v>1895</v>
      </c>
      <c r="G368" s="89" t="s">
        <v>75</v>
      </c>
      <c r="H368" s="89" t="s">
        <v>1896</v>
      </c>
      <c r="I368" s="89" t="s">
        <v>1547</v>
      </c>
      <c r="J368" s="89">
        <v>0</v>
      </c>
      <c r="K368" s="26" t="s">
        <v>38</v>
      </c>
      <c r="L368" s="89" t="s">
        <v>1588</v>
      </c>
      <c r="M368" s="91"/>
      <c r="N368" s="89" t="s">
        <v>1549</v>
      </c>
      <c r="O368" s="89" t="s">
        <v>615</v>
      </c>
      <c r="P368" s="89" t="s">
        <v>1550</v>
      </c>
      <c r="Q368" s="89" t="s">
        <v>620</v>
      </c>
      <c r="R368" s="89">
        <v>24</v>
      </c>
      <c r="S368" s="89" t="s">
        <v>1551</v>
      </c>
      <c r="T368" s="89" t="s">
        <v>1555</v>
      </c>
      <c r="U368" s="89" t="s">
        <v>1552</v>
      </c>
      <c r="V368" s="89" t="s">
        <v>1561</v>
      </c>
      <c r="W368" s="89" t="s">
        <v>688</v>
      </c>
      <c r="X368" s="89" t="s">
        <v>86</v>
      </c>
      <c r="Y368" s="89" t="s">
        <v>619</v>
      </c>
      <c r="Z368" s="89" t="s">
        <v>68</v>
      </c>
      <c r="AA368" s="89" t="s">
        <v>73</v>
      </c>
      <c r="AB368" s="89">
        <v>1</v>
      </c>
      <c r="AC368" s="89">
        <v>6</v>
      </c>
      <c r="AD368" s="89">
        <v>1</v>
      </c>
      <c r="AE368" s="89" t="s">
        <v>287</v>
      </c>
      <c r="AF368" s="90">
        <v>367</v>
      </c>
      <c r="AG368" s="90">
        <v>45091</v>
      </c>
      <c r="AH368" s="90">
        <v>46174</v>
      </c>
      <c r="AJ368" t="e">
        <f>VLOOKUP(A368,'1'!B:Q,16,0)</f>
        <v>#N/A</v>
      </c>
      <c r="AK368" s="96" t="e">
        <f t="shared" si="21"/>
        <v>#N/A</v>
      </c>
    </row>
    <row r="369" spans="1:37" x14ac:dyDescent="0.35">
      <c r="A369" s="89" t="str">
        <f t="shared" si="19"/>
        <v>ZRL5</v>
      </c>
      <c r="B369" s="89" t="s">
        <v>1466</v>
      </c>
      <c r="C369" s="89" t="s">
        <v>1467</v>
      </c>
      <c r="D369" s="89" t="s">
        <v>529</v>
      </c>
      <c r="E369" s="89" t="s">
        <v>1468</v>
      </c>
      <c r="F369" s="89" t="s">
        <v>1895</v>
      </c>
      <c r="G369" s="89" t="s">
        <v>75</v>
      </c>
      <c r="H369" s="89" t="s">
        <v>1896</v>
      </c>
      <c r="I369" s="89" t="s">
        <v>1547</v>
      </c>
      <c r="J369" s="89">
        <v>0</v>
      </c>
      <c r="K369" s="26" t="s">
        <v>38</v>
      </c>
      <c r="L369" s="89" t="s">
        <v>1588</v>
      </c>
      <c r="M369" s="91"/>
      <c r="N369" s="89" t="s">
        <v>1549</v>
      </c>
      <c r="O369" s="89" t="s">
        <v>615</v>
      </c>
      <c r="P369" s="89" t="s">
        <v>1550</v>
      </c>
      <c r="Q369" s="89" t="s">
        <v>620</v>
      </c>
      <c r="R369" s="89">
        <v>15</v>
      </c>
      <c r="S369" s="89" t="s">
        <v>1555</v>
      </c>
      <c r="T369" s="89" t="s">
        <v>1555</v>
      </c>
      <c r="U369" s="89" t="s">
        <v>1552</v>
      </c>
      <c r="V369" s="89" t="s">
        <v>1561</v>
      </c>
      <c r="W369" s="89" t="s">
        <v>688</v>
      </c>
      <c r="X369" s="89" t="s">
        <v>86</v>
      </c>
      <c r="Y369" s="89" t="s">
        <v>619</v>
      </c>
      <c r="Z369" s="89" t="s">
        <v>68</v>
      </c>
      <c r="AA369" s="89" t="s">
        <v>73</v>
      </c>
      <c r="AB369" s="89">
        <v>1</v>
      </c>
      <c r="AC369" s="89">
        <v>6</v>
      </c>
      <c r="AD369" s="89">
        <v>1</v>
      </c>
      <c r="AE369" s="89" t="s">
        <v>287</v>
      </c>
      <c r="AF369" s="90">
        <v>367</v>
      </c>
      <c r="AG369" s="90">
        <v>45091</v>
      </c>
      <c r="AH369" s="90">
        <v>46174</v>
      </c>
      <c r="AJ369" t="e">
        <f>VLOOKUP(A369,'1'!B:Q,16,0)</f>
        <v>#N/A</v>
      </c>
      <c r="AK369" s="96" t="e">
        <f t="shared" si="21"/>
        <v>#N/A</v>
      </c>
    </row>
    <row r="370" spans="1:37" x14ac:dyDescent="0.35">
      <c r="A370" s="89" t="str">
        <f t="shared" si="19"/>
        <v>00FU</v>
      </c>
      <c r="B370" s="89" t="s">
        <v>731</v>
      </c>
      <c r="C370" s="89" t="s">
        <v>732</v>
      </c>
      <c r="D370" s="89" t="s">
        <v>107</v>
      </c>
      <c r="E370" s="89" t="s">
        <v>1909</v>
      </c>
      <c r="F370" s="89" t="s">
        <v>1895</v>
      </c>
      <c r="G370" s="89" t="s">
        <v>75</v>
      </c>
      <c r="H370" s="89" t="s">
        <v>1896</v>
      </c>
      <c r="I370" s="89" t="s">
        <v>1574</v>
      </c>
      <c r="J370" s="89">
        <v>0</v>
      </c>
      <c r="K370" s="89" t="s">
        <v>53</v>
      </c>
      <c r="L370" s="89" t="s">
        <v>1548</v>
      </c>
      <c r="M370" s="91"/>
      <c r="N370" s="89" t="s">
        <v>1549</v>
      </c>
      <c r="O370" s="89" t="s">
        <v>615</v>
      </c>
      <c r="P370" s="89" t="s">
        <v>1550</v>
      </c>
      <c r="Q370" s="89" t="s">
        <v>620</v>
      </c>
      <c r="R370" s="89">
        <v>24</v>
      </c>
      <c r="S370" s="89" t="s">
        <v>1555</v>
      </c>
      <c r="T370" s="89" t="s">
        <v>1551</v>
      </c>
      <c r="U370" s="89" t="s">
        <v>1552</v>
      </c>
      <c r="V370" s="89" t="s">
        <v>1561</v>
      </c>
      <c r="W370" s="89" t="s">
        <v>688</v>
      </c>
      <c r="X370" s="89" t="s">
        <v>86</v>
      </c>
      <c r="Y370" s="89" t="s">
        <v>619</v>
      </c>
      <c r="Z370" s="89" t="s">
        <v>68</v>
      </c>
      <c r="AA370" s="89" t="s">
        <v>73</v>
      </c>
      <c r="AB370" s="89">
        <v>1</v>
      </c>
      <c r="AC370" s="89">
        <v>6</v>
      </c>
      <c r="AD370" s="89">
        <v>1</v>
      </c>
      <c r="AE370" s="89" t="s">
        <v>287</v>
      </c>
      <c r="AF370" s="90">
        <v>367</v>
      </c>
      <c r="AG370" s="90">
        <v>45104</v>
      </c>
      <c r="AH370" s="90">
        <v>46200</v>
      </c>
    </row>
    <row r="371" spans="1:37" x14ac:dyDescent="0.35">
      <c r="A371" s="89" t="str">
        <f t="shared" si="19"/>
        <v>ZLY2</v>
      </c>
      <c r="B371" s="89" t="s">
        <v>797</v>
      </c>
      <c r="C371" s="89" t="s">
        <v>798</v>
      </c>
      <c r="D371" s="89" t="s">
        <v>497</v>
      </c>
      <c r="E371" s="89" t="s">
        <v>1910</v>
      </c>
      <c r="F371" s="89" t="s">
        <v>1895</v>
      </c>
      <c r="G371" s="89" t="s">
        <v>75</v>
      </c>
      <c r="H371" s="89" t="s">
        <v>1896</v>
      </c>
      <c r="I371" s="89" t="s">
        <v>1547</v>
      </c>
      <c r="J371" s="89">
        <v>0</v>
      </c>
      <c r="K371" s="26" t="s">
        <v>38</v>
      </c>
      <c r="L371" s="89" t="s">
        <v>1588</v>
      </c>
      <c r="M371" s="91"/>
      <c r="N371" s="89" t="s">
        <v>1549</v>
      </c>
      <c r="O371" s="89" t="s">
        <v>615</v>
      </c>
      <c r="P371" s="89" t="s">
        <v>1550</v>
      </c>
      <c r="Q371" s="89" t="s">
        <v>620</v>
      </c>
      <c r="R371" s="89">
        <v>24</v>
      </c>
      <c r="S371" s="89" t="s">
        <v>1551</v>
      </c>
      <c r="T371" s="89" t="s">
        <v>1555</v>
      </c>
      <c r="U371" s="89" t="s">
        <v>1552</v>
      </c>
      <c r="V371" s="89" t="s">
        <v>1561</v>
      </c>
      <c r="W371" s="89" t="s">
        <v>618</v>
      </c>
      <c r="X371" s="89" t="s">
        <v>237</v>
      </c>
      <c r="Y371" s="89" t="s">
        <v>619</v>
      </c>
      <c r="Z371" s="89" t="s">
        <v>68</v>
      </c>
      <c r="AA371" s="89" t="s">
        <v>73</v>
      </c>
      <c r="AB371" s="89">
        <v>1</v>
      </c>
      <c r="AC371" s="89">
        <v>6</v>
      </c>
      <c r="AD371" s="89">
        <v>1</v>
      </c>
      <c r="AE371" s="89" t="s">
        <v>287</v>
      </c>
      <c r="AF371" s="90">
        <v>367</v>
      </c>
      <c r="AG371" s="90">
        <v>45136</v>
      </c>
      <c r="AH371" s="90">
        <v>46232</v>
      </c>
      <c r="AJ371" t="e">
        <f>VLOOKUP(A371,'1'!B:Q,16,0)</f>
        <v>#N/A</v>
      </c>
      <c r="AK371" s="96" t="e">
        <f t="shared" ref="AK371:AK382" si="22">AJ371/250</f>
        <v>#N/A</v>
      </c>
    </row>
    <row r="372" spans="1:37" x14ac:dyDescent="0.35">
      <c r="A372" s="89" t="str">
        <f t="shared" si="19"/>
        <v>Z7RJ</v>
      </c>
      <c r="B372" s="89" t="s">
        <v>1911</v>
      </c>
      <c r="C372" s="89" t="s">
        <v>1912</v>
      </c>
      <c r="D372" s="89" t="s">
        <v>472</v>
      </c>
      <c r="E372" s="89" t="s">
        <v>1897</v>
      </c>
      <c r="F372" s="89" t="s">
        <v>1895</v>
      </c>
      <c r="G372" s="89" t="s">
        <v>75</v>
      </c>
      <c r="H372" s="89" t="s">
        <v>1896</v>
      </c>
      <c r="I372" s="91"/>
      <c r="J372" s="89">
        <v>0</v>
      </c>
      <c r="K372" s="26" t="s">
        <v>38</v>
      </c>
      <c r="L372" s="89" t="s">
        <v>1620</v>
      </c>
      <c r="M372" s="91"/>
      <c r="N372" s="89" t="s">
        <v>1549</v>
      </c>
      <c r="O372" s="89" t="s">
        <v>615</v>
      </c>
      <c r="P372" s="89" t="s">
        <v>1550</v>
      </c>
      <c r="Q372" s="89" t="s">
        <v>620</v>
      </c>
      <c r="R372" s="89">
        <v>24</v>
      </c>
      <c r="S372" s="89" t="s">
        <v>1551</v>
      </c>
      <c r="T372" s="89" t="s">
        <v>1558</v>
      </c>
      <c r="U372" s="89" t="s">
        <v>1552</v>
      </c>
      <c r="V372" s="89" t="s">
        <v>1561</v>
      </c>
      <c r="W372" s="89" t="s">
        <v>618</v>
      </c>
      <c r="X372" s="89" t="s">
        <v>237</v>
      </c>
      <c r="Y372" s="89" t="s">
        <v>619</v>
      </c>
      <c r="Z372" s="89" t="s">
        <v>68</v>
      </c>
      <c r="AA372" s="89" t="s">
        <v>73</v>
      </c>
      <c r="AB372" s="89">
        <v>1</v>
      </c>
      <c r="AC372" s="89">
        <v>6</v>
      </c>
      <c r="AD372" s="89">
        <v>1</v>
      </c>
      <c r="AE372" s="89" t="s">
        <v>288</v>
      </c>
      <c r="AF372" s="90">
        <v>367</v>
      </c>
      <c r="AG372" s="90">
        <v>45439</v>
      </c>
      <c r="AH372" s="90">
        <v>46537</v>
      </c>
      <c r="AJ372" t="e">
        <f>VLOOKUP(A372,'1'!B:Q,16,0)</f>
        <v>#N/A</v>
      </c>
      <c r="AK372" s="96" t="e">
        <f t="shared" si="22"/>
        <v>#N/A</v>
      </c>
    </row>
    <row r="373" spans="1:37" x14ac:dyDescent="0.35">
      <c r="A373" s="89" t="str">
        <f t="shared" si="19"/>
        <v>Z7RH</v>
      </c>
      <c r="B373" s="89" t="s">
        <v>1913</v>
      </c>
      <c r="C373" s="89" t="s">
        <v>1914</v>
      </c>
      <c r="D373" s="89" t="s">
        <v>471</v>
      </c>
      <c r="E373" s="89" t="s">
        <v>1915</v>
      </c>
      <c r="F373" s="89" t="s">
        <v>1895</v>
      </c>
      <c r="G373" s="89" t="s">
        <v>75</v>
      </c>
      <c r="H373" s="89" t="s">
        <v>1896</v>
      </c>
      <c r="I373" s="91"/>
      <c r="J373" s="89">
        <v>0</v>
      </c>
      <c r="K373" s="26" t="s">
        <v>38</v>
      </c>
      <c r="L373" s="89" t="s">
        <v>1620</v>
      </c>
      <c r="M373" s="91"/>
      <c r="N373" s="89" t="s">
        <v>1549</v>
      </c>
      <c r="O373" s="89" t="s">
        <v>615</v>
      </c>
      <c r="P373" s="89" t="s">
        <v>1550</v>
      </c>
      <c r="Q373" s="89" t="s">
        <v>620</v>
      </c>
      <c r="R373" s="89">
        <v>24</v>
      </c>
      <c r="S373" s="89" t="s">
        <v>1551</v>
      </c>
      <c r="T373" s="89" t="s">
        <v>1558</v>
      </c>
      <c r="U373" s="89" t="s">
        <v>1552</v>
      </c>
      <c r="V373" s="89" t="s">
        <v>1561</v>
      </c>
      <c r="W373" s="89" t="s">
        <v>618</v>
      </c>
      <c r="X373" s="89" t="s">
        <v>237</v>
      </c>
      <c r="Y373" s="89" t="s">
        <v>619</v>
      </c>
      <c r="Z373" s="89" t="s">
        <v>68</v>
      </c>
      <c r="AA373" s="89" t="s">
        <v>73</v>
      </c>
      <c r="AB373" s="89">
        <v>1</v>
      </c>
      <c r="AC373" s="89">
        <v>6</v>
      </c>
      <c r="AD373" s="89">
        <v>1</v>
      </c>
      <c r="AE373" s="89" t="s">
        <v>288</v>
      </c>
      <c r="AF373" s="90">
        <v>367</v>
      </c>
      <c r="AG373" s="90">
        <v>45439</v>
      </c>
      <c r="AH373" s="90">
        <v>46537</v>
      </c>
      <c r="AJ373" t="e">
        <f>VLOOKUP(A373,'1'!B:Q,16,0)</f>
        <v>#N/A</v>
      </c>
      <c r="AK373" s="96" t="e">
        <f t="shared" si="22"/>
        <v>#N/A</v>
      </c>
    </row>
    <row r="374" spans="1:37" x14ac:dyDescent="0.35">
      <c r="A374" s="89" t="str">
        <f t="shared" si="19"/>
        <v>Z2FC</v>
      </c>
      <c r="B374" s="89" t="s">
        <v>785</v>
      </c>
      <c r="C374" s="89" t="s">
        <v>786</v>
      </c>
      <c r="D374" s="89" t="s">
        <v>450</v>
      </c>
      <c r="E374" s="89" t="s">
        <v>787</v>
      </c>
      <c r="F374" s="89" t="s">
        <v>1895</v>
      </c>
      <c r="G374" s="89" t="s">
        <v>75</v>
      </c>
      <c r="H374" s="89" t="s">
        <v>1896</v>
      </c>
      <c r="I374" s="91"/>
      <c r="J374" s="89">
        <v>0</v>
      </c>
      <c r="K374" s="26" t="s">
        <v>38</v>
      </c>
      <c r="L374" s="89" t="s">
        <v>1620</v>
      </c>
      <c r="M374" s="91"/>
      <c r="N374" s="89" t="s">
        <v>1549</v>
      </c>
      <c r="O374" s="89" t="s">
        <v>615</v>
      </c>
      <c r="P374" s="89" t="s">
        <v>1550</v>
      </c>
      <c r="Q374" s="89" t="s">
        <v>620</v>
      </c>
      <c r="R374" s="89">
        <v>24</v>
      </c>
      <c r="S374" s="89" t="s">
        <v>1551</v>
      </c>
      <c r="T374" s="89" t="s">
        <v>1558</v>
      </c>
      <c r="U374" s="89" t="s">
        <v>1552</v>
      </c>
      <c r="V374" s="89" t="s">
        <v>1561</v>
      </c>
      <c r="W374" s="89" t="s">
        <v>639</v>
      </c>
      <c r="X374" s="89" t="s">
        <v>71</v>
      </c>
      <c r="Y374" s="89" t="s">
        <v>619</v>
      </c>
      <c r="Z374" s="89" t="s">
        <v>68</v>
      </c>
      <c r="AA374" s="89" t="s">
        <v>73</v>
      </c>
      <c r="AB374" s="89">
        <v>1</v>
      </c>
      <c r="AC374" s="89">
        <v>6</v>
      </c>
      <c r="AD374" s="89">
        <v>1</v>
      </c>
      <c r="AE374" s="89" t="s">
        <v>288</v>
      </c>
      <c r="AF374" s="90">
        <v>367</v>
      </c>
      <c r="AG374" s="90">
        <v>45439</v>
      </c>
      <c r="AH374" s="90">
        <v>46537</v>
      </c>
      <c r="AJ374" t="e">
        <f>VLOOKUP(A374,'1'!B:Q,16,0)</f>
        <v>#N/A</v>
      </c>
      <c r="AK374" s="96" t="e">
        <f t="shared" si="22"/>
        <v>#N/A</v>
      </c>
    </row>
    <row r="375" spans="1:37" x14ac:dyDescent="0.35">
      <c r="A375" s="89" t="str">
        <f t="shared" si="19"/>
        <v>Z07V</v>
      </c>
      <c r="B375" s="89" t="s">
        <v>713</v>
      </c>
      <c r="C375" s="89" t="s">
        <v>714</v>
      </c>
      <c r="D375" s="89" t="s">
        <v>397</v>
      </c>
      <c r="E375" s="89" t="s">
        <v>1897</v>
      </c>
      <c r="F375" s="89" t="s">
        <v>1895</v>
      </c>
      <c r="G375" s="89" t="s">
        <v>75</v>
      </c>
      <c r="H375" s="89" t="s">
        <v>1896</v>
      </c>
      <c r="I375" s="91"/>
      <c r="J375" s="89">
        <v>0</v>
      </c>
      <c r="K375" s="26" t="s">
        <v>38</v>
      </c>
      <c r="L375" s="89" t="s">
        <v>1620</v>
      </c>
      <c r="M375" s="91"/>
      <c r="N375" s="89" t="s">
        <v>1549</v>
      </c>
      <c r="O375" s="89" t="s">
        <v>615</v>
      </c>
      <c r="P375" s="89" t="s">
        <v>1550</v>
      </c>
      <c r="Q375" s="89" t="s">
        <v>620</v>
      </c>
      <c r="R375" s="89">
        <v>24</v>
      </c>
      <c r="S375" s="89" t="s">
        <v>1551</v>
      </c>
      <c r="T375" s="89" t="s">
        <v>1558</v>
      </c>
      <c r="U375" s="89" t="s">
        <v>1552</v>
      </c>
      <c r="V375" s="89" t="s">
        <v>1561</v>
      </c>
      <c r="W375" s="89" t="s">
        <v>618</v>
      </c>
      <c r="X375" s="89" t="s">
        <v>237</v>
      </c>
      <c r="Y375" s="89" t="s">
        <v>619</v>
      </c>
      <c r="Z375" s="89" t="s">
        <v>68</v>
      </c>
      <c r="AA375" s="89" t="s">
        <v>73</v>
      </c>
      <c r="AB375" s="89">
        <v>1</v>
      </c>
      <c r="AC375" s="89">
        <v>6</v>
      </c>
      <c r="AD375" s="89">
        <v>1</v>
      </c>
      <c r="AE375" s="89" t="s">
        <v>288</v>
      </c>
      <c r="AF375" s="90">
        <v>367</v>
      </c>
      <c r="AG375" s="90">
        <v>45439</v>
      </c>
      <c r="AH375" s="90">
        <v>46537</v>
      </c>
      <c r="AJ375" t="e">
        <f>VLOOKUP(A375,'1'!B:Q,16,0)</f>
        <v>#N/A</v>
      </c>
      <c r="AK375" s="96" t="e">
        <f t="shared" si="22"/>
        <v>#N/A</v>
      </c>
    </row>
    <row r="376" spans="1:37" x14ac:dyDescent="0.35">
      <c r="A376" s="89" t="str">
        <f t="shared" si="19"/>
        <v>Z07U</v>
      </c>
      <c r="B376" s="89" t="s">
        <v>779</v>
      </c>
      <c r="C376" s="89" t="s">
        <v>780</v>
      </c>
      <c r="D376" s="89" t="s">
        <v>396</v>
      </c>
      <c r="E376" s="89" t="s">
        <v>1916</v>
      </c>
      <c r="F376" s="89" t="s">
        <v>1895</v>
      </c>
      <c r="G376" s="89" t="s">
        <v>75</v>
      </c>
      <c r="H376" s="89" t="s">
        <v>1896</v>
      </c>
      <c r="I376" s="91"/>
      <c r="J376" s="89">
        <v>0</v>
      </c>
      <c r="K376" s="26" t="s">
        <v>38</v>
      </c>
      <c r="L376" s="89" t="s">
        <v>1620</v>
      </c>
      <c r="M376" s="91"/>
      <c r="N376" s="89" t="s">
        <v>1549</v>
      </c>
      <c r="O376" s="89" t="s">
        <v>615</v>
      </c>
      <c r="P376" s="89" t="s">
        <v>1550</v>
      </c>
      <c r="Q376" s="89" t="s">
        <v>620</v>
      </c>
      <c r="R376" s="89">
        <v>24</v>
      </c>
      <c r="S376" s="89" t="s">
        <v>1551</v>
      </c>
      <c r="T376" s="89" t="s">
        <v>1558</v>
      </c>
      <c r="U376" s="89" t="s">
        <v>1552</v>
      </c>
      <c r="V376" s="89" t="s">
        <v>1561</v>
      </c>
      <c r="W376" s="89" t="s">
        <v>618</v>
      </c>
      <c r="X376" s="89" t="s">
        <v>237</v>
      </c>
      <c r="Y376" s="89" t="s">
        <v>619</v>
      </c>
      <c r="Z376" s="89" t="s">
        <v>68</v>
      </c>
      <c r="AA376" s="89" t="s">
        <v>73</v>
      </c>
      <c r="AB376" s="89">
        <v>1</v>
      </c>
      <c r="AC376" s="89">
        <v>6</v>
      </c>
      <c r="AD376" s="89">
        <v>1</v>
      </c>
      <c r="AE376" s="89" t="s">
        <v>288</v>
      </c>
      <c r="AF376" s="90">
        <v>367</v>
      </c>
      <c r="AG376" s="90">
        <v>45439</v>
      </c>
      <c r="AH376" s="90">
        <v>46537</v>
      </c>
      <c r="AJ376" t="e">
        <f>VLOOKUP(A376,'1'!B:Q,16,0)</f>
        <v>#N/A</v>
      </c>
      <c r="AK376" s="96" t="e">
        <f t="shared" si="22"/>
        <v>#N/A</v>
      </c>
    </row>
    <row r="377" spans="1:37" x14ac:dyDescent="0.35">
      <c r="A377" s="89" t="str">
        <f t="shared" si="19"/>
        <v>Z07T</v>
      </c>
      <c r="B377" s="89" t="s">
        <v>777</v>
      </c>
      <c r="C377" s="89" t="s">
        <v>778</v>
      </c>
      <c r="D377" s="89" t="s">
        <v>395</v>
      </c>
      <c r="E377" s="89" t="s">
        <v>1917</v>
      </c>
      <c r="F377" s="89" t="s">
        <v>1895</v>
      </c>
      <c r="G377" s="89" t="s">
        <v>75</v>
      </c>
      <c r="H377" s="89" t="s">
        <v>1896</v>
      </c>
      <c r="I377" s="91"/>
      <c r="J377" s="89">
        <v>0</v>
      </c>
      <c r="K377" s="26" t="s">
        <v>38</v>
      </c>
      <c r="L377" s="89" t="s">
        <v>1620</v>
      </c>
      <c r="M377" s="91"/>
      <c r="N377" s="89" t="s">
        <v>1549</v>
      </c>
      <c r="O377" s="89" t="s">
        <v>615</v>
      </c>
      <c r="P377" s="89" t="s">
        <v>1550</v>
      </c>
      <c r="Q377" s="89" t="s">
        <v>620</v>
      </c>
      <c r="R377" s="89">
        <v>24</v>
      </c>
      <c r="S377" s="89" t="s">
        <v>1551</v>
      </c>
      <c r="T377" s="89" t="s">
        <v>1558</v>
      </c>
      <c r="U377" s="89" t="s">
        <v>1552</v>
      </c>
      <c r="V377" s="89" t="s">
        <v>1561</v>
      </c>
      <c r="W377" s="89" t="s">
        <v>618</v>
      </c>
      <c r="X377" s="89" t="s">
        <v>237</v>
      </c>
      <c r="Y377" s="89" t="s">
        <v>619</v>
      </c>
      <c r="Z377" s="89" t="s">
        <v>68</v>
      </c>
      <c r="AA377" s="89" t="s">
        <v>73</v>
      </c>
      <c r="AB377" s="89">
        <v>1</v>
      </c>
      <c r="AC377" s="89">
        <v>6</v>
      </c>
      <c r="AD377" s="89">
        <v>1</v>
      </c>
      <c r="AE377" s="89" t="s">
        <v>288</v>
      </c>
      <c r="AF377" s="90">
        <v>367</v>
      </c>
      <c r="AG377" s="90">
        <v>45439</v>
      </c>
      <c r="AH377" s="90">
        <v>46537</v>
      </c>
      <c r="AJ377" t="e">
        <f>VLOOKUP(A377,'1'!B:Q,16,0)</f>
        <v>#N/A</v>
      </c>
      <c r="AK377" s="96" t="e">
        <f t="shared" si="22"/>
        <v>#N/A</v>
      </c>
    </row>
    <row r="378" spans="1:37" x14ac:dyDescent="0.35">
      <c r="A378" s="89" t="str">
        <f t="shared" si="19"/>
        <v>Z07R</v>
      </c>
      <c r="B378" s="89" t="s">
        <v>1491</v>
      </c>
      <c r="C378" s="89" t="s">
        <v>1492</v>
      </c>
      <c r="D378" s="89" t="s">
        <v>394</v>
      </c>
      <c r="E378" s="89" t="s">
        <v>1918</v>
      </c>
      <c r="F378" s="89" t="s">
        <v>1895</v>
      </c>
      <c r="G378" s="89" t="s">
        <v>75</v>
      </c>
      <c r="H378" s="89" t="s">
        <v>1896</v>
      </c>
      <c r="I378" s="91"/>
      <c r="J378" s="89">
        <v>0</v>
      </c>
      <c r="K378" s="26" t="s">
        <v>38</v>
      </c>
      <c r="L378" s="89" t="s">
        <v>1620</v>
      </c>
      <c r="M378" s="91"/>
      <c r="N378" s="89" t="s">
        <v>1549</v>
      </c>
      <c r="O378" s="89" t="s">
        <v>615</v>
      </c>
      <c r="P378" s="89" t="s">
        <v>1550</v>
      </c>
      <c r="Q378" s="89" t="s">
        <v>620</v>
      </c>
      <c r="R378" s="89">
        <v>24</v>
      </c>
      <c r="S378" s="89" t="s">
        <v>1551</v>
      </c>
      <c r="T378" s="89" t="s">
        <v>1558</v>
      </c>
      <c r="U378" s="89" t="s">
        <v>1552</v>
      </c>
      <c r="V378" s="89" t="s">
        <v>1561</v>
      </c>
      <c r="W378" s="89" t="s">
        <v>618</v>
      </c>
      <c r="X378" s="89" t="s">
        <v>237</v>
      </c>
      <c r="Y378" s="89" t="s">
        <v>619</v>
      </c>
      <c r="Z378" s="89" t="s">
        <v>68</v>
      </c>
      <c r="AA378" s="89" t="s">
        <v>73</v>
      </c>
      <c r="AB378" s="89">
        <v>1</v>
      </c>
      <c r="AC378" s="89">
        <v>6</v>
      </c>
      <c r="AD378" s="89">
        <v>1</v>
      </c>
      <c r="AE378" s="89" t="s">
        <v>288</v>
      </c>
      <c r="AF378" s="90">
        <v>367</v>
      </c>
      <c r="AG378" s="90">
        <v>45439</v>
      </c>
      <c r="AH378" s="90">
        <v>46537</v>
      </c>
      <c r="AJ378" t="e">
        <f>VLOOKUP(A378,'1'!B:Q,16,0)</f>
        <v>#N/A</v>
      </c>
      <c r="AK378" s="96" t="e">
        <f t="shared" si="22"/>
        <v>#N/A</v>
      </c>
    </row>
    <row r="379" spans="1:37" x14ac:dyDescent="0.35">
      <c r="A379" s="89" t="str">
        <f t="shared" si="19"/>
        <v>Z4WB</v>
      </c>
      <c r="B379" s="89" t="s">
        <v>1410</v>
      </c>
      <c r="C379" s="89" t="s">
        <v>1453</v>
      </c>
      <c r="D379" s="89" t="s">
        <v>465</v>
      </c>
      <c r="E379" s="89" t="s">
        <v>776</v>
      </c>
      <c r="F379" s="89" t="s">
        <v>1895</v>
      </c>
      <c r="G379" s="89" t="s">
        <v>75</v>
      </c>
      <c r="H379" s="89" t="s">
        <v>1896</v>
      </c>
      <c r="I379" s="91"/>
      <c r="J379" s="89">
        <v>0</v>
      </c>
      <c r="K379" s="26" t="s">
        <v>38</v>
      </c>
      <c r="L379" s="89" t="s">
        <v>1620</v>
      </c>
      <c r="M379" s="91"/>
      <c r="N379" s="89" t="s">
        <v>1549</v>
      </c>
      <c r="O379" s="89" t="s">
        <v>615</v>
      </c>
      <c r="P379" s="89" t="s">
        <v>1550</v>
      </c>
      <c r="Q379" s="89" t="s">
        <v>620</v>
      </c>
      <c r="R379" s="89">
        <v>24</v>
      </c>
      <c r="S379" s="89" t="s">
        <v>1551</v>
      </c>
      <c r="T379" s="89" t="s">
        <v>1558</v>
      </c>
      <c r="U379" s="89" t="s">
        <v>1552</v>
      </c>
      <c r="V379" s="89" t="s">
        <v>1561</v>
      </c>
      <c r="W379" s="89" t="s">
        <v>688</v>
      </c>
      <c r="X379" s="89" t="s">
        <v>86</v>
      </c>
      <c r="Y379" s="89" t="s">
        <v>619</v>
      </c>
      <c r="Z379" s="89" t="s">
        <v>68</v>
      </c>
      <c r="AA379" s="89" t="s">
        <v>73</v>
      </c>
      <c r="AB379" s="89">
        <v>1</v>
      </c>
      <c r="AC379" s="89">
        <v>6</v>
      </c>
      <c r="AD379" s="89">
        <v>1</v>
      </c>
      <c r="AE379" s="89" t="s">
        <v>288</v>
      </c>
      <c r="AF379" s="90">
        <v>367</v>
      </c>
      <c r="AG379" s="90">
        <v>45442</v>
      </c>
      <c r="AH379" s="90">
        <v>46537</v>
      </c>
      <c r="AJ379" t="e">
        <f>VLOOKUP(A379,'1'!B:Q,16,0)</f>
        <v>#N/A</v>
      </c>
      <c r="AK379" s="96" t="e">
        <f t="shared" si="22"/>
        <v>#N/A</v>
      </c>
    </row>
    <row r="380" spans="1:37" x14ac:dyDescent="0.35">
      <c r="A380" s="89" t="str">
        <f t="shared" si="19"/>
        <v>Z07Q</v>
      </c>
      <c r="B380" s="89" t="s">
        <v>774</v>
      </c>
      <c r="C380" s="89" t="s">
        <v>775</v>
      </c>
      <c r="D380" s="89" t="s">
        <v>393</v>
      </c>
      <c r="E380" s="89" t="s">
        <v>776</v>
      </c>
      <c r="F380" s="89" t="s">
        <v>1895</v>
      </c>
      <c r="G380" s="89" t="s">
        <v>75</v>
      </c>
      <c r="H380" s="89" t="s">
        <v>1896</v>
      </c>
      <c r="I380" s="91"/>
      <c r="J380" s="89">
        <v>0</v>
      </c>
      <c r="K380" s="26" t="s">
        <v>38</v>
      </c>
      <c r="L380" s="89" t="s">
        <v>1620</v>
      </c>
      <c r="M380" s="91"/>
      <c r="N380" s="89" t="s">
        <v>1549</v>
      </c>
      <c r="O380" s="89" t="s">
        <v>615</v>
      </c>
      <c r="P380" s="89" t="s">
        <v>1550</v>
      </c>
      <c r="Q380" s="89" t="s">
        <v>620</v>
      </c>
      <c r="R380" s="89">
        <v>24</v>
      </c>
      <c r="S380" s="89" t="s">
        <v>1551</v>
      </c>
      <c r="T380" s="89" t="s">
        <v>1558</v>
      </c>
      <c r="U380" s="89" t="s">
        <v>1552</v>
      </c>
      <c r="V380" s="89" t="s">
        <v>1561</v>
      </c>
      <c r="W380" s="89" t="s">
        <v>688</v>
      </c>
      <c r="X380" s="89" t="s">
        <v>86</v>
      </c>
      <c r="Y380" s="89" t="s">
        <v>619</v>
      </c>
      <c r="Z380" s="89" t="s">
        <v>68</v>
      </c>
      <c r="AA380" s="89" t="s">
        <v>73</v>
      </c>
      <c r="AB380" s="89">
        <v>1</v>
      </c>
      <c r="AC380" s="89">
        <v>6</v>
      </c>
      <c r="AD380" s="89">
        <v>1</v>
      </c>
      <c r="AE380" s="89" t="s">
        <v>288</v>
      </c>
      <c r="AF380" s="90">
        <v>367</v>
      </c>
      <c r="AG380" s="90">
        <v>45442</v>
      </c>
      <c r="AH380" s="90">
        <v>46537</v>
      </c>
      <c r="AJ380" t="e">
        <f>VLOOKUP(A380,'1'!B:Q,16,0)</f>
        <v>#N/A</v>
      </c>
      <c r="AK380" s="96" t="e">
        <f t="shared" si="22"/>
        <v>#N/A</v>
      </c>
    </row>
    <row r="381" spans="1:37" x14ac:dyDescent="0.35">
      <c r="A381" s="89" t="str">
        <f t="shared" si="19"/>
        <v>Z07P</v>
      </c>
      <c r="B381" s="89" t="s">
        <v>1441</v>
      </c>
      <c r="C381" s="89" t="s">
        <v>1442</v>
      </c>
      <c r="D381" s="89" t="s">
        <v>392</v>
      </c>
      <c r="E381" s="89" t="s">
        <v>776</v>
      </c>
      <c r="F381" s="89" t="s">
        <v>1895</v>
      </c>
      <c r="G381" s="89" t="s">
        <v>75</v>
      </c>
      <c r="H381" s="89" t="s">
        <v>1896</v>
      </c>
      <c r="I381" s="91"/>
      <c r="J381" s="89">
        <v>0</v>
      </c>
      <c r="K381" s="26" t="s">
        <v>38</v>
      </c>
      <c r="L381" s="89" t="s">
        <v>1620</v>
      </c>
      <c r="M381" s="91"/>
      <c r="N381" s="89" t="s">
        <v>1549</v>
      </c>
      <c r="O381" s="89" t="s">
        <v>615</v>
      </c>
      <c r="P381" s="89" t="s">
        <v>1550</v>
      </c>
      <c r="Q381" s="89" t="s">
        <v>620</v>
      </c>
      <c r="R381" s="89">
        <v>24</v>
      </c>
      <c r="S381" s="89" t="s">
        <v>1551</v>
      </c>
      <c r="T381" s="89" t="s">
        <v>1558</v>
      </c>
      <c r="U381" s="89" t="s">
        <v>1552</v>
      </c>
      <c r="V381" s="89" t="s">
        <v>1561</v>
      </c>
      <c r="W381" s="89" t="s">
        <v>688</v>
      </c>
      <c r="X381" s="89" t="s">
        <v>86</v>
      </c>
      <c r="Y381" s="89" t="s">
        <v>619</v>
      </c>
      <c r="Z381" s="89" t="s">
        <v>68</v>
      </c>
      <c r="AA381" s="89" t="s">
        <v>73</v>
      </c>
      <c r="AB381" s="89">
        <v>1</v>
      </c>
      <c r="AC381" s="89">
        <v>6</v>
      </c>
      <c r="AD381" s="89">
        <v>1</v>
      </c>
      <c r="AE381" s="89" t="s">
        <v>288</v>
      </c>
      <c r="AF381" s="90">
        <v>367</v>
      </c>
      <c r="AG381" s="90">
        <v>45442</v>
      </c>
      <c r="AH381" s="90">
        <v>46537</v>
      </c>
      <c r="AJ381" t="e">
        <f>VLOOKUP(A381,'1'!B:Q,16,0)</f>
        <v>#N/A</v>
      </c>
      <c r="AK381" s="96" t="e">
        <f t="shared" si="22"/>
        <v>#N/A</v>
      </c>
    </row>
    <row r="382" spans="1:37" x14ac:dyDescent="0.35">
      <c r="A382" s="89" t="str">
        <f t="shared" si="19"/>
        <v>Z1ZA</v>
      </c>
      <c r="B382" s="89" t="s">
        <v>1919</v>
      </c>
      <c r="C382" s="89" t="s">
        <v>1920</v>
      </c>
      <c r="D382" s="89" t="s">
        <v>441</v>
      </c>
      <c r="E382" s="89" t="s">
        <v>1921</v>
      </c>
      <c r="F382" s="89" t="s">
        <v>1895</v>
      </c>
      <c r="G382" s="89" t="s">
        <v>75</v>
      </c>
      <c r="H382" s="89" t="s">
        <v>1896</v>
      </c>
      <c r="I382" s="91"/>
      <c r="J382" s="89">
        <v>0</v>
      </c>
      <c r="K382" s="26" t="s">
        <v>38</v>
      </c>
      <c r="L382" s="89" t="s">
        <v>1620</v>
      </c>
      <c r="M382" s="91"/>
      <c r="N382" s="89" t="s">
        <v>1549</v>
      </c>
      <c r="O382" s="89" t="s">
        <v>615</v>
      </c>
      <c r="P382" s="89" t="s">
        <v>1550</v>
      </c>
      <c r="Q382" s="89" t="s">
        <v>620</v>
      </c>
      <c r="R382" s="89">
        <v>24</v>
      </c>
      <c r="S382" s="89" t="s">
        <v>1551</v>
      </c>
      <c r="T382" s="89" t="s">
        <v>1558</v>
      </c>
      <c r="U382" s="89" t="s">
        <v>1552</v>
      </c>
      <c r="V382" s="89" t="s">
        <v>1561</v>
      </c>
      <c r="W382" s="89" t="s">
        <v>639</v>
      </c>
      <c r="X382" s="89" t="s">
        <v>71</v>
      </c>
      <c r="Y382" s="89" t="s">
        <v>619</v>
      </c>
      <c r="Z382" s="89" t="s">
        <v>68</v>
      </c>
      <c r="AA382" s="89" t="s">
        <v>73</v>
      </c>
      <c r="AB382" s="89">
        <v>1</v>
      </c>
      <c r="AC382" s="89">
        <v>6</v>
      </c>
      <c r="AD382" s="89">
        <v>1</v>
      </c>
      <c r="AE382" s="89" t="s">
        <v>288</v>
      </c>
      <c r="AF382" s="90">
        <v>367</v>
      </c>
      <c r="AG382" s="90">
        <v>45442</v>
      </c>
      <c r="AH382" s="90">
        <v>46537</v>
      </c>
      <c r="AJ382" t="e">
        <f>VLOOKUP(A382,'1'!B:Q,16,0)</f>
        <v>#N/A</v>
      </c>
      <c r="AK382" s="96" t="e">
        <f t="shared" si="22"/>
        <v>#N/A</v>
      </c>
    </row>
    <row r="383" spans="1:37" x14ac:dyDescent="0.35">
      <c r="A383" s="89" t="str">
        <f t="shared" si="19"/>
        <v>00DP</v>
      </c>
      <c r="B383" s="89" t="s">
        <v>728</v>
      </c>
      <c r="C383" s="89" t="s">
        <v>729</v>
      </c>
      <c r="D383" s="89" t="s">
        <v>98</v>
      </c>
      <c r="E383" s="89" t="s">
        <v>730</v>
      </c>
      <c r="F383" s="89" t="s">
        <v>1895</v>
      </c>
      <c r="G383" s="89" t="s">
        <v>75</v>
      </c>
      <c r="H383" s="89" t="s">
        <v>1896</v>
      </c>
      <c r="I383" s="89" t="s">
        <v>1591</v>
      </c>
      <c r="J383" s="89">
        <v>0</v>
      </c>
      <c r="K383" s="89" t="s">
        <v>53</v>
      </c>
      <c r="L383" s="89" t="s">
        <v>1548</v>
      </c>
      <c r="M383" s="91"/>
      <c r="N383" s="89" t="s">
        <v>1549</v>
      </c>
      <c r="O383" s="89" t="s">
        <v>615</v>
      </c>
      <c r="P383" s="89" t="s">
        <v>1550</v>
      </c>
      <c r="Q383" s="89" t="s">
        <v>620</v>
      </c>
      <c r="R383" s="89">
        <v>24</v>
      </c>
      <c r="S383" s="89" t="s">
        <v>1551</v>
      </c>
      <c r="T383" s="89" t="s">
        <v>1558</v>
      </c>
      <c r="U383" s="89" t="s">
        <v>1552</v>
      </c>
      <c r="V383" s="89" t="s">
        <v>1561</v>
      </c>
      <c r="W383" s="89" t="s">
        <v>639</v>
      </c>
      <c r="X383" s="89" t="s">
        <v>71</v>
      </c>
      <c r="Y383" s="89" t="s">
        <v>619</v>
      </c>
      <c r="Z383" s="89" t="s">
        <v>68</v>
      </c>
      <c r="AA383" s="89" t="s">
        <v>73</v>
      </c>
      <c r="AB383" s="89">
        <v>1</v>
      </c>
      <c r="AC383" s="89">
        <v>6</v>
      </c>
      <c r="AD383" s="89">
        <v>1</v>
      </c>
      <c r="AE383" s="89" t="s">
        <v>287</v>
      </c>
      <c r="AF383" s="90">
        <v>367</v>
      </c>
      <c r="AG383" s="90">
        <v>45496</v>
      </c>
      <c r="AH383" s="90">
        <v>46598</v>
      </c>
    </row>
    <row r="384" spans="1:37" x14ac:dyDescent="0.35">
      <c r="A384" s="89" t="str">
        <f t="shared" si="19"/>
        <v>513N</v>
      </c>
      <c r="B384" s="89" t="s">
        <v>753</v>
      </c>
      <c r="C384" s="89" t="s">
        <v>754</v>
      </c>
      <c r="D384" s="89" t="s">
        <v>284</v>
      </c>
      <c r="E384" s="89" t="s">
        <v>755</v>
      </c>
      <c r="F384" s="89" t="s">
        <v>1922</v>
      </c>
      <c r="G384" s="89" t="s">
        <v>75</v>
      </c>
      <c r="H384" s="89" t="s">
        <v>1896</v>
      </c>
      <c r="I384" s="89" t="s">
        <v>1547</v>
      </c>
      <c r="J384" s="89">
        <v>0</v>
      </c>
      <c r="K384" s="89" t="s">
        <v>53</v>
      </c>
      <c r="L384" s="89" t="s">
        <v>1548</v>
      </c>
      <c r="M384" s="91"/>
      <c r="N384" s="89" t="s">
        <v>1549</v>
      </c>
      <c r="O384" s="89" t="s">
        <v>615</v>
      </c>
      <c r="P384" s="89" t="s">
        <v>1550</v>
      </c>
      <c r="Q384" s="89" t="s">
        <v>620</v>
      </c>
      <c r="R384" s="89">
        <v>24</v>
      </c>
      <c r="S384" s="89" t="s">
        <v>1551</v>
      </c>
      <c r="T384" s="89" t="s">
        <v>1558</v>
      </c>
      <c r="U384" s="89" t="s">
        <v>1552</v>
      </c>
      <c r="V384" s="89" t="s">
        <v>1553</v>
      </c>
      <c r="W384" s="89" t="s">
        <v>639</v>
      </c>
      <c r="X384" s="89" t="s">
        <v>71</v>
      </c>
      <c r="Y384" s="89" t="s">
        <v>619</v>
      </c>
      <c r="Z384" s="89" t="s">
        <v>68</v>
      </c>
      <c r="AA384" s="89" t="s">
        <v>73</v>
      </c>
      <c r="AB384" s="89">
        <v>1</v>
      </c>
      <c r="AC384" s="89">
        <v>6</v>
      </c>
      <c r="AD384" s="89">
        <v>1</v>
      </c>
      <c r="AE384" s="89" t="s">
        <v>286</v>
      </c>
      <c r="AF384" s="90">
        <v>367</v>
      </c>
      <c r="AG384" s="90">
        <v>44462</v>
      </c>
      <c r="AH384" s="90">
        <v>45565</v>
      </c>
    </row>
    <row r="385" spans="1:37" x14ac:dyDescent="0.35">
      <c r="A385" s="89" t="str">
        <f t="shared" si="19"/>
        <v>262R</v>
      </c>
      <c r="B385" s="89" t="s">
        <v>746</v>
      </c>
      <c r="C385" s="89" t="s">
        <v>747</v>
      </c>
      <c r="D385" s="89" t="s">
        <v>219</v>
      </c>
      <c r="E385" s="89" t="s">
        <v>1923</v>
      </c>
      <c r="F385" s="89" t="s">
        <v>1922</v>
      </c>
      <c r="G385" s="89" t="s">
        <v>75</v>
      </c>
      <c r="H385" s="89" t="s">
        <v>1896</v>
      </c>
      <c r="I385" s="89" t="s">
        <v>1591</v>
      </c>
      <c r="J385" s="89">
        <v>0</v>
      </c>
      <c r="K385" s="89" t="s">
        <v>53</v>
      </c>
      <c r="L385" s="89" t="s">
        <v>1548</v>
      </c>
      <c r="M385" s="91"/>
      <c r="N385" s="89" t="s">
        <v>1549</v>
      </c>
      <c r="O385" s="89" t="s">
        <v>615</v>
      </c>
      <c r="P385" s="89" t="s">
        <v>1550</v>
      </c>
      <c r="Q385" s="89" t="s">
        <v>620</v>
      </c>
      <c r="R385" s="89">
        <v>24</v>
      </c>
      <c r="S385" s="89" t="s">
        <v>1551</v>
      </c>
      <c r="T385" s="89" t="s">
        <v>1551</v>
      </c>
      <c r="U385" s="89" t="s">
        <v>1552</v>
      </c>
      <c r="V385" s="89" t="s">
        <v>1553</v>
      </c>
      <c r="W385" s="89" t="s">
        <v>639</v>
      </c>
      <c r="X385" s="89" t="s">
        <v>71</v>
      </c>
      <c r="Y385" s="89" t="s">
        <v>619</v>
      </c>
      <c r="Z385" s="89" t="s">
        <v>68</v>
      </c>
      <c r="AA385" s="89" t="s">
        <v>73</v>
      </c>
      <c r="AB385" s="89">
        <v>1</v>
      </c>
      <c r="AC385" s="89">
        <v>6</v>
      </c>
      <c r="AD385" s="89">
        <v>1</v>
      </c>
      <c r="AE385" s="89" t="s">
        <v>286</v>
      </c>
      <c r="AF385" s="90">
        <v>367</v>
      </c>
      <c r="AG385" s="90">
        <v>44462</v>
      </c>
      <c r="AH385" s="90">
        <v>45565</v>
      </c>
    </row>
    <row r="386" spans="1:37" x14ac:dyDescent="0.35">
      <c r="A386" s="89" t="str">
        <f t="shared" si="19"/>
        <v>00CZ</v>
      </c>
      <c r="B386" s="89" t="s">
        <v>1924</v>
      </c>
      <c r="C386" s="89" t="s">
        <v>1925</v>
      </c>
      <c r="D386" s="89" t="s">
        <v>90</v>
      </c>
      <c r="E386" s="89" t="s">
        <v>1926</v>
      </c>
      <c r="F386" s="89" t="s">
        <v>1922</v>
      </c>
      <c r="G386" s="89" t="s">
        <v>75</v>
      </c>
      <c r="H386" s="89" t="s">
        <v>1896</v>
      </c>
      <c r="I386" s="89" t="s">
        <v>1547</v>
      </c>
      <c r="J386" s="89">
        <v>0</v>
      </c>
      <c r="K386" s="89" t="s">
        <v>53</v>
      </c>
      <c r="L386" s="89" t="s">
        <v>1548</v>
      </c>
      <c r="M386" s="91"/>
      <c r="N386" s="89" t="s">
        <v>1549</v>
      </c>
      <c r="O386" s="89" t="s">
        <v>615</v>
      </c>
      <c r="P386" s="89" t="s">
        <v>1550</v>
      </c>
      <c r="Q386" s="89" t="s">
        <v>620</v>
      </c>
      <c r="R386" s="89">
        <v>0</v>
      </c>
      <c r="S386" s="89" t="s">
        <v>1551</v>
      </c>
      <c r="T386" s="89" t="s">
        <v>1555</v>
      </c>
      <c r="U386" s="89" t="s">
        <v>1552</v>
      </c>
      <c r="V386" s="89" t="s">
        <v>1553</v>
      </c>
      <c r="W386" s="89" t="s">
        <v>639</v>
      </c>
      <c r="X386" s="89" t="s">
        <v>71</v>
      </c>
      <c r="Y386" s="89" t="s">
        <v>619</v>
      </c>
      <c r="Z386" s="89" t="s">
        <v>68</v>
      </c>
      <c r="AA386" s="89" t="s">
        <v>73</v>
      </c>
      <c r="AB386" s="89">
        <v>1</v>
      </c>
      <c r="AC386" s="89">
        <v>6</v>
      </c>
      <c r="AD386" s="89">
        <v>1</v>
      </c>
      <c r="AE386" s="89" t="s">
        <v>286</v>
      </c>
      <c r="AF386" s="90">
        <v>367</v>
      </c>
      <c r="AG386" s="90">
        <v>44673</v>
      </c>
      <c r="AH386" s="90">
        <v>45766</v>
      </c>
    </row>
    <row r="387" spans="1:37" x14ac:dyDescent="0.35">
      <c r="A387" s="89" t="str">
        <f t="shared" si="19"/>
        <v>609W</v>
      </c>
      <c r="B387" s="89" t="s">
        <v>759</v>
      </c>
      <c r="C387" s="89" t="s">
        <v>760</v>
      </c>
      <c r="D387" s="89" t="s">
        <v>309</v>
      </c>
      <c r="E387" s="89" t="s">
        <v>1927</v>
      </c>
      <c r="F387" s="89" t="s">
        <v>1922</v>
      </c>
      <c r="G387" s="89" t="s">
        <v>75</v>
      </c>
      <c r="H387" s="89" t="s">
        <v>1896</v>
      </c>
      <c r="I387" s="89" t="s">
        <v>1547</v>
      </c>
      <c r="J387" s="89">
        <v>0</v>
      </c>
      <c r="K387" s="89" t="s">
        <v>53</v>
      </c>
      <c r="L387" s="89" t="s">
        <v>1548</v>
      </c>
      <c r="M387" s="91"/>
      <c r="N387" s="89" t="s">
        <v>1549</v>
      </c>
      <c r="O387" s="89" t="s">
        <v>615</v>
      </c>
      <c r="P387" s="89" t="s">
        <v>1550</v>
      </c>
      <c r="Q387" s="89" t="s">
        <v>620</v>
      </c>
      <c r="R387" s="89">
        <v>15</v>
      </c>
      <c r="S387" s="89" t="s">
        <v>1551</v>
      </c>
      <c r="T387" s="89" t="s">
        <v>1555</v>
      </c>
      <c r="U387" s="89" t="s">
        <v>1552</v>
      </c>
      <c r="V387" s="89" t="s">
        <v>1553</v>
      </c>
      <c r="W387" s="89" t="s">
        <v>688</v>
      </c>
      <c r="X387" s="89" t="s">
        <v>86</v>
      </c>
      <c r="Y387" s="89" t="s">
        <v>619</v>
      </c>
      <c r="Z387" s="89" t="s">
        <v>68</v>
      </c>
      <c r="AA387" s="89" t="s">
        <v>73</v>
      </c>
      <c r="AB387" s="89">
        <v>1</v>
      </c>
      <c r="AC387" s="89">
        <v>6</v>
      </c>
      <c r="AD387" s="89">
        <v>1</v>
      </c>
      <c r="AE387" s="89" t="s">
        <v>0</v>
      </c>
      <c r="AF387" s="90">
        <v>367</v>
      </c>
      <c r="AG387" s="90">
        <v>44730</v>
      </c>
      <c r="AH387" s="90">
        <v>45818</v>
      </c>
    </row>
    <row r="388" spans="1:37" x14ac:dyDescent="0.35">
      <c r="A388" s="89" t="str">
        <f t="shared" si="19"/>
        <v>695K</v>
      </c>
      <c r="B388" s="89" t="s">
        <v>1505</v>
      </c>
      <c r="C388" s="89" t="s">
        <v>1506</v>
      </c>
      <c r="D388" s="89" t="s">
        <v>386</v>
      </c>
      <c r="E388" s="89" t="s">
        <v>1507</v>
      </c>
      <c r="F388" s="89" t="s">
        <v>1922</v>
      </c>
      <c r="G388" s="89" t="s">
        <v>75</v>
      </c>
      <c r="H388" s="89" t="s">
        <v>1896</v>
      </c>
      <c r="I388" s="89" t="s">
        <v>1547</v>
      </c>
      <c r="J388" s="89">
        <v>0</v>
      </c>
      <c r="K388" s="89" t="s">
        <v>53</v>
      </c>
      <c r="L388" s="89" t="s">
        <v>1548</v>
      </c>
      <c r="M388" s="91"/>
      <c r="N388" s="89" t="s">
        <v>1549</v>
      </c>
      <c r="O388" s="89" t="s">
        <v>615</v>
      </c>
      <c r="P388" s="89" t="s">
        <v>1550</v>
      </c>
      <c r="Q388" s="89" t="s">
        <v>620</v>
      </c>
      <c r="R388" s="89">
        <v>15</v>
      </c>
      <c r="S388" s="89" t="s">
        <v>1551</v>
      </c>
      <c r="T388" s="89" t="s">
        <v>1555</v>
      </c>
      <c r="U388" s="89" t="s">
        <v>1552</v>
      </c>
      <c r="V388" s="89" t="s">
        <v>1561</v>
      </c>
      <c r="W388" s="89" t="s">
        <v>639</v>
      </c>
      <c r="X388" s="89" t="s">
        <v>71</v>
      </c>
      <c r="Y388" s="89" t="s">
        <v>619</v>
      </c>
      <c r="Z388" s="89" t="s">
        <v>68</v>
      </c>
      <c r="AA388" s="89" t="s">
        <v>73</v>
      </c>
      <c r="AB388" s="89">
        <v>1</v>
      </c>
      <c r="AC388" s="89">
        <v>6</v>
      </c>
      <c r="AD388" s="89">
        <v>1</v>
      </c>
      <c r="AE388" s="89" t="s">
        <v>0</v>
      </c>
      <c r="AF388" s="90">
        <v>367</v>
      </c>
      <c r="AG388" s="90">
        <v>44724</v>
      </c>
      <c r="AH388" s="90">
        <v>45818</v>
      </c>
    </row>
    <row r="389" spans="1:37" x14ac:dyDescent="0.35">
      <c r="A389" s="89" t="str">
        <f t="shared" si="19"/>
        <v>695J</v>
      </c>
      <c r="B389" s="89" t="s">
        <v>771</v>
      </c>
      <c r="C389" s="89" t="s">
        <v>772</v>
      </c>
      <c r="D389" s="89" t="s">
        <v>385</v>
      </c>
      <c r="E389" s="89" t="s">
        <v>773</v>
      </c>
      <c r="F389" s="89" t="s">
        <v>1922</v>
      </c>
      <c r="G389" s="89" t="s">
        <v>75</v>
      </c>
      <c r="H389" s="89" t="s">
        <v>1896</v>
      </c>
      <c r="I389" s="89" t="s">
        <v>1547</v>
      </c>
      <c r="J389" s="89">
        <v>0</v>
      </c>
      <c r="K389" s="89" t="s">
        <v>53</v>
      </c>
      <c r="L389" s="89" t="s">
        <v>1548</v>
      </c>
      <c r="M389" s="91"/>
      <c r="N389" s="89" t="s">
        <v>1549</v>
      </c>
      <c r="O389" s="89" t="s">
        <v>615</v>
      </c>
      <c r="P389" s="89" t="s">
        <v>1550</v>
      </c>
      <c r="Q389" s="89" t="s">
        <v>620</v>
      </c>
      <c r="R389" s="89">
        <v>24</v>
      </c>
      <c r="S389" s="89" t="s">
        <v>1551</v>
      </c>
      <c r="T389" s="89" t="s">
        <v>1555</v>
      </c>
      <c r="U389" s="89" t="s">
        <v>1552</v>
      </c>
      <c r="V389" s="89" t="s">
        <v>1561</v>
      </c>
      <c r="W389" s="89" t="s">
        <v>688</v>
      </c>
      <c r="X389" s="89" t="s">
        <v>86</v>
      </c>
      <c r="Y389" s="89" t="s">
        <v>619</v>
      </c>
      <c r="Z389" s="89" t="s">
        <v>68</v>
      </c>
      <c r="AA389" s="89" t="s">
        <v>73</v>
      </c>
      <c r="AB389" s="89">
        <v>1</v>
      </c>
      <c r="AC389" s="89">
        <v>6</v>
      </c>
      <c r="AD389" s="89">
        <v>1</v>
      </c>
      <c r="AE389" s="89" t="s">
        <v>287</v>
      </c>
      <c r="AF389" s="90">
        <v>367</v>
      </c>
      <c r="AG389" s="90">
        <v>45057</v>
      </c>
      <c r="AH389" s="90">
        <v>46153</v>
      </c>
    </row>
    <row r="390" spans="1:37" x14ac:dyDescent="0.35">
      <c r="A390" s="89" t="str">
        <f t="shared" si="19"/>
        <v>ZRM5</v>
      </c>
      <c r="B390" s="89" t="s">
        <v>1928</v>
      </c>
      <c r="C390" s="89" t="s">
        <v>1929</v>
      </c>
      <c r="D390" s="89" t="s">
        <v>531</v>
      </c>
      <c r="E390" s="89" t="s">
        <v>1930</v>
      </c>
      <c r="F390" s="89" t="s">
        <v>1922</v>
      </c>
      <c r="G390" s="89" t="s">
        <v>75</v>
      </c>
      <c r="H390" s="89" t="s">
        <v>1896</v>
      </c>
      <c r="I390" s="89" t="s">
        <v>1547</v>
      </c>
      <c r="J390" s="89">
        <v>0</v>
      </c>
      <c r="K390" s="26" t="s">
        <v>38</v>
      </c>
      <c r="L390" s="89" t="s">
        <v>1588</v>
      </c>
      <c r="M390" s="91"/>
      <c r="N390" s="89" t="s">
        <v>1549</v>
      </c>
      <c r="O390" s="89" t="s">
        <v>615</v>
      </c>
      <c r="P390" s="89" t="s">
        <v>1550</v>
      </c>
      <c r="Q390" s="89" t="s">
        <v>620</v>
      </c>
      <c r="R390" s="89">
        <v>24</v>
      </c>
      <c r="S390" s="89" t="s">
        <v>1551</v>
      </c>
      <c r="T390" s="89" t="s">
        <v>1558</v>
      </c>
      <c r="U390" s="89" t="s">
        <v>1552</v>
      </c>
      <c r="V390" s="89" t="s">
        <v>1561</v>
      </c>
      <c r="W390" s="89" t="s">
        <v>639</v>
      </c>
      <c r="X390" s="89" t="s">
        <v>71</v>
      </c>
      <c r="Y390" s="89" t="s">
        <v>619</v>
      </c>
      <c r="Z390" s="89" t="s">
        <v>68</v>
      </c>
      <c r="AA390" s="89" t="s">
        <v>73</v>
      </c>
      <c r="AB390" s="89">
        <v>1</v>
      </c>
      <c r="AC390" s="89">
        <v>6</v>
      </c>
      <c r="AD390" s="89">
        <v>1</v>
      </c>
      <c r="AE390" s="89" t="s">
        <v>287</v>
      </c>
      <c r="AF390" s="90">
        <v>367</v>
      </c>
      <c r="AG390" s="90">
        <v>45102</v>
      </c>
      <c r="AH390" s="90">
        <v>46193</v>
      </c>
      <c r="AJ390" t="e">
        <f>VLOOKUP(A390,'1'!B:Q,16,0)</f>
        <v>#N/A</v>
      </c>
      <c r="AK390" s="96" t="e">
        <f t="shared" ref="AK390:AK392" si="23">AJ390/250</f>
        <v>#N/A</v>
      </c>
    </row>
    <row r="391" spans="1:37" x14ac:dyDescent="0.35">
      <c r="A391" s="89" t="str">
        <f t="shared" si="19"/>
        <v>ZQU2</v>
      </c>
      <c r="B391" s="89" t="s">
        <v>804</v>
      </c>
      <c r="C391" s="89" t="s">
        <v>805</v>
      </c>
      <c r="D391" s="89" t="s">
        <v>508</v>
      </c>
      <c r="E391" s="89" t="s">
        <v>806</v>
      </c>
      <c r="F391" s="89" t="s">
        <v>1922</v>
      </c>
      <c r="G391" s="89" t="s">
        <v>75</v>
      </c>
      <c r="H391" s="89" t="s">
        <v>1896</v>
      </c>
      <c r="I391" s="89" t="s">
        <v>1547</v>
      </c>
      <c r="J391" s="89">
        <v>0</v>
      </c>
      <c r="K391" s="26" t="s">
        <v>38</v>
      </c>
      <c r="L391" s="89" t="s">
        <v>1588</v>
      </c>
      <c r="M391" s="91"/>
      <c r="N391" s="89" t="s">
        <v>1549</v>
      </c>
      <c r="O391" s="89" t="s">
        <v>615</v>
      </c>
      <c r="P391" s="89" t="s">
        <v>1550</v>
      </c>
      <c r="Q391" s="89" t="s">
        <v>620</v>
      </c>
      <c r="R391" s="89">
        <v>24</v>
      </c>
      <c r="S391" s="89" t="s">
        <v>1551</v>
      </c>
      <c r="T391" s="89" t="s">
        <v>1551</v>
      </c>
      <c r="U391" s="89" t="s">
        <v>1552</v>
      </c>
      <c r="V391" s="89" t="s">
        <v>1561</v>
      </c>
      <c r="W391" s="89" t="s">
        <v>639</v>
      </c>
      <c r="X391" s="89" t="s">
        <v>71</v>
      </c>
      <c r="Y391" s="89" t="s">
        <v>619</v>
      </c>
      <c r="Z391" s="89" t="s">
        <v>68</v>
      </c>
      <c r="AA391" s="89" t="s">
        <v>73</v>
      </c>
      <c r="AB391" s="89">
        <v>1</v>
      </c>
      <c r="AC391" s="89">
        <v>12</v>
      </c>
      <c r="AD391" s="89">
        <v>1</v>
      </c>
      <c r="AE391" s="89" t="s">
        <v>287</v>
      </c>
      <c r="AF391" s="90">
        <v>367</v>
      </c>
      <c r="AG391" s="90">
        <v>45110</v>
      </c>
      <c r="AH391" s="90">
        <v>46206</v>
      </c>
      <c r="AJ391" t="e">
        <f>VLOOKUP(A391,'1'!B:Q,16,0)</f>
        <v>#N/A</v>
      </c>
      <c r="AK391" s="96" t="e">
        <f t="shared" si="23"/>
        <v>#N/A</v>
      </c>
    </row>
    <row r="392" spans="1:37" x14ac:dyDescent="0.35">
      <c r="A392" s="89" t="str">
        <f t="shared" si="19"/>
        <v>ZQV2</v>
      </c>
      <c r="B392" s="89" t="s">
        <v>807</v>
      </c>
      <c r="C392" s="89" t="s">
        <v>808</v>
      </c>
      <c r="D392" s="89" t="s">
        <v>509</v>
      </c>
      <c r="E392" s="89" t="s">
        <v>809</v>
      </c>
      <c r="F392" s="89" t="s">
        <v>1922</v>
      </c>
      <c r="G392" s="89" t="s">
        <v>75</v>
      </c>
      <c r="H392" s="89" t="s">
        <v>1896</v>
      </c>
      <c r="I392" s="89" t="s">
        <v>1547</v>
      </c>
      <c r="J392" s="89">
        <v>0</v>
      </c>
      <c r="K392" s="26" t="s">
        <v>38</v>
      </c>
      <c r="L392" s="89" t="s">
        <v>1588</v>
      </c>
      <c r="M392" s="91"/>
      <c r="N392" s="89" t="s">
        <v>1549</v>
      </c>
      <c r="O392" s="89" t="s">
        <v>615</v>
      </c>
      <c r="P392" s="89" t="s">
        <v>1550</v>
      </c>
      <c r="Q392" s="89" t="s">
        <v>620</v>
      </c>
      <c r="R392" s="89">
        <v>24</v>
      </c>
      <c r="S392" s="89" t="s">
        <v>1551</v>
      </c>
      <c r="T392" s="89" t="s">
        <v>1555</v>
      </c>
      <c r="U392" s="89" t="s">
        <v>1552</v>
      </c>
      <c r="V392" s="89" t="s">
        <v>1561</v>
      </c>
      <c r="W392" s="89" t="s">
        <v>688</v>
      </c>
      <c r="X392" s="89" t="s">
        <v>86</v>
      </c>
      <c r="Y392" s="89" t="s">
        <v>619</v>
      </c>
      <c r="Z392" s="89" t="s">
        <v>68</v>
      </c>
      <c r="AA392" s="89" t="s">
        <v>73</v>
      </c>
      <c r="AB392" s="89">
        <v>1</v>
      </c>
      <c r="AC392" s="89">
        <v>6</v>
      </c>
      <c r="AD392" s="89">
        <v>1</v>
      </c>
      <c r="AE392" s="89" t="s">
        <v>287</v>
      </c>
      <c r="AF392" s="90">
        <v>367</v>
      </c>
      <c r="AG392" s="90">
        <v>45110</v>
      </c>
      <c r="AH392" s="90">
        <v>46206</v>
      </c>
      <c r="AJ392" t="e">
        <f>VLOOKUP(A392,'1'!B:Q,16,0)</f>
        <v>#N/A</v>
      </c>
      <c r="AK392" s="96" t="e">
        <f t="shared" si="23"/>
        <v>#N/A</v>
      </c>
    </row>
    <row r="393" spans="1:37" x14ac:dyDescent="0.35">
      <c r="A393" s="89" t="str">
        <f t="shared" si="19"/>
        <v>634J</v>
      </c>
      <c r="B393" s="89" t="s">
        <v>1932</v>
      </c>
      <c r="C393" s="89" t="s">
        <v>1933</v>
      </c>
      <c r="D393" s="89" t="s">
        <v>324</v>
      </c>
      <c r="E393" s="89" t="s">
        <v>1934</v>
      </c>
      <c r="F393" s="89" t="s">
        <v>1931</v>
      </c>
      <c r="G393" s="89" t="s">
        <v>75</v>
      </c>
      <c r="H393" s="89" t="s">
        <v>1896</v>
      </c>
      <c r="I393" s="89" t="s">
        <v>1547</v>
      </c>
      <c r="J393" s="89">
        <v>0</v>
      </c>
      <c r="K393" s="89" t="s">
        <v>53</v>
      </c>
      <c r="L393" s="89" t="s">
        <v>1548</v>
      </c>
      <c r="M393" s="91"/>
      <c r="N393" s="89" t="s">
        <v>1549</v>
      </c>
      <c r="O393" s="89" t="s">
        <v>615</v>
      </c>
      <c r="P393" s="89" t="s">
        <v>1550</v>
      </c>
      <c r="Q393" s="89" t="s">
        <v>620</v>
      </c>
      <c r="R393" s="89">
        <v>24</v>
      </c>
      <c r="S393" s="89" t="s">
        <v>1551</v>
      </c>
      <c r="T393" s="89" t="s">
        <v>1555</v>
      </c>
      <c r="U393" s="89" t="s">
        <v>1552</v>
      </c>
      <c r="V393" s="89" t="s">
        <v>1553</v>
      </c>
      <c r="W393" s="89" t="s">
        <v>639</v>
      </c>
      <c r="X393" s="89" t="s">
        <v>71</v>
      </c>
      <c r="Y393" s="89" t="s">
        <v>619</v>
      </c>
      <c r="Z393" s="89" t="s">
        <v>68</v>
      </c>
      <c r="AA393" s="89" t="s">
        <v>73</v>
      </c>
      <c r="AB393" s="89">
        <v>2</v>
      </c>
      <c r="AC393" s="89">
        <v>6</v>
      </c>
      <c r="AD393" s="89">
        <v>1</v>
      </c>
      <c r="AE393" s="89" t="s">
        <v>286</v>
      </c>
      <c r="AF393" s="90">
        <v>367</v>
      </c>
      <c r="AG393" s="90">
        <v>44463</v>
      </c>
      <c r="AH393" s="90">
        <v>45565</v>
      </c>
    </row>
    <row r="394" spans="1:37" x14ac:dyDescent="0.35">
      <c r="A394" s="89" t="str">
        <f t="shared" si="19"/>
        <v>0072</v>
      </c>
      <c r="B394" s="89" t="s">
        <v>725</v>
      </c>
      <c r="C394" s="89" t="s">
        <v>726</v>
      </c>
      <c r="D394" s="89" t="s">
        <v>74</v>
      </c>
      <c r="E394" s="89" t="s">
        <v>727</v>
      </c>
      <c r="F394" s="89" t="s">
        <v>1931</v>
      </c>
      <c r="G394" s="89" t="s">
        <v>75</v>
      </c>
      <c r="H394" s="89" t="s">
        <v>1896</v>
      </c>
      <c r="I394" s="89" t="s">
        <v>1559</v>
      </c>
      <c r="J394" s="89">
        <v>1</v>
      </c>
      <c r="K394" s="89" t="s">
        <v>53</v>
      </c>
      <c r="L394" s="89" t="s">
        <v>1548</v>
      </c>
      <c r="M394" s="91"/>
      <c r="N394" s="89" t="s">
        <v>1549</v>
      </c>
      <c r="O394" s="89" t="s">
        <v>615</v>
      </c>
      <c r="P394" s="89" t="s">
        <v>1550</v>
      </c>
      <c r="Q394" s="89" t="s">
        <v>620</v>
      </c>
      <c r="R394" s="89">
        <v>14</v>
      </c>
      <c r="S394" s="89" t="s">
        <v>1868</v>
      </c>
      <c r="T394" s="89" t="s">
        <v>1555</v>
      </c>
      <c r="U394" s="89" t="s">
        <v>1552</v>
      </c>
      <c r="V394" s="89" t="s">
        <v>1561</v>
      </c>
      <c r="W394" s="89" t="s">
        <v>639</v>
      </c>
      <c r="X394" s="89" t="s">
        <v>71</v>
      </c>
      <c r="Y394" s="89" t="s">
        <v>619</v>
      </c>
      <c r="Z394" s="89" t="s">
        <v>68</v>
      </c>
      <c r="AA394" s="89" t="s">
        <v>73</v>
      </c>
      <c r="AB394" s="89">
        <v>2</v>
      </c>
      <c r="AC394" s="89">
        <v>6</v>
      </c>
      <c r="AD394" s="89">
        <v>1</v>
      </c>
      <c r="AE394" s="89" t="s">
        <v>0</v>
      </c>
      <c r="AF394" s="90">
        <v>367</v>
      </c>
      <c r="AG394" s="90">
        <v>44730</v>
      </c>
      <c r="AH394" s="90">
        <v>45818</v>
      </c>
    </row>
    <row r="395" spans="1:37" x14ac:dyDescent="0.35">
      <c r="A395" s="89" t="str">
        <f t="shared" si="19"/>
        <v>617B</v>
      </c>
      <c r="B395" s="89" t="s">
        <v>761</v>
      </c>
      <c r="C395" s="89" t="s">
        <v>762</v>
      </c>
      <c r="D395" s="89" t="s">
        <v>312</v>
      </c>
      <c r="E395" s="89" t="s">
        <v>763</v>
      </c>
      <c r="F395" s="89" t="s">
        <v>1931</v>
      </c>
      <c r="G395" s="89" t="s">
        <v>75</v>
      </c>
      <c r="H395" s="89" t="s">
        <v>1896</v>
      </c>
      <c r="I395" s="89" t="s">
        <v>1591</v>
      </c>
      <c r="J395" s="89">
        <v>0</v>
      </c>
      <c r="K395" s="89" t="s">
        <v>53</v>
      </c>
      <c r="L395" s="89" t="s">
        <v>1548</v>
      </c>
      <c r="M395" s="91"/>
      <c r="N395" s="89" t="s">
        <v>1549</v>
      </c>
      <c r="O395" s="89" t="s">
        <v>615</v>
      </c>
      <c r="P395" s="89" t="s">
        <v>1550</v>
      </c>
      <c r="Q395" s="89" t="s">
        <v>620</v>
      </c>
      <c r="R395" s="89">
        <v>24</v>
      </c>
      <c r="S395" s="89" t="s">
        <v>1551</v>
      </c>
      <c r="T395" s="89" t="s">
        <v>1555</v>
      </c>
      <c r="U395" s="89" t="s">
        <v>1552</v>
      </c>
      <c r="V395" s="89" t="s">
        <v>1561</v>
      </c>
      <c r="W395" s="89" t="s">
        <v>639</v>
      </c>
      <c r="X395" s="89" t="s">
        <v>71</v>
      </c>
      <c r="Y395" s="89" t="s">
        <v>619</v>
      </c>
      <c r="Z395" s="89" t="s">
        <v>68</v>
      </c>
      <c r="AA395" s="89" t="s">
        <v>73</v>
      </c>
      <c r="AB395" s="89">
        <v>2</v>
      </c>
      <c r="AC395" s="89">
        <v>6</v>
      </c>
      <c r="AD395" s="89">
        <v>1</v>
      </c>
      <c r="AE395" s="89" t="s">
        <v>0</v>
      </c>
      <c r="AF395" s="90">
        <v>367</v>
      </c>
      <c r="AG395" s="90">
        <v>44730</v>
      </c>
      <c r="AH395" s="90">
        <v>45818</v>
      </c>
    </row>
    <row r="396" spans="1:37" x14ac:dyDescent="0.35">
      <c r="A396" s="89" t="str">
        <f t="shared" si="19"/>
        <v>692A</v>
      </c>
      <c r="B396" s="89" t="s">
        <v>1935</v>
      </c>
      <c r="C396" s="89" t="s">
        <v>1936</v>
      </c>
      <c r="D396" s="89" t="s">
        <v>377</v>
      </c>
      <c r="E396" s="89" t="s">
        <v>1937</v>
      </c>
      <c r="F396" s="89" t="s">
        <v>1931</v>
      </c>
      <c r="G396" s="89" t="s">
        <v>75</v>
      </c>
      <c r="H396" s="89" t="s">
        <v>1896</v>
      </c>
      <c r="I396" s="89" t="s">
        <v>1547</v>
      </c>
      <c r="J396" s="89">
        <v>0</v>
      </c>
      <c r="K396" s="89" t="s">
        <v>53</v>
      </c>
      <c r="L396" s="89" t="s">
        <v>1548</v>
      </c>
      <c r="M396" s="91"/>
      <c r="N396" s="89" t="s">
        <v>1549</v>
      </c>
      <c r="O396" s="89" t="s">
        <v>615</v>
      </c>
      <c r="P396" s="89" t="s">
        <v>1550</v>
      </c>
      <c r="Q396" s="89" t="s">
        <v>620</v>
      </c>
      <c r="R396" s="89">
        <v>24</v>
      </c>
      <c r="S396" s="89" t="s">
        <v>1551</v>
      </c>
      <c r="T396" s="89" t="s">
        <v>1555</v>
      </c>
      <c r="U396" s="89" t="s">
        <v>1552</v>
      </c>
      <c r="V396" s="89" t="s">
        <v>1561</v>
      </c>
      <c r="W396" s="89" t="s">
        <v>688</v>
      </c>
      <c r="X396" s="89" t="s">
        <v>86</v>
      </c>
      <c r="Y396" s="89" t="s">
        <v>619</v>
      </c>
      <c r="Z396" s="89" t="s">
        <v>68</v>
      </c>
      <c r="AA396" s="89" t="s">
        <v>73</v>
      </c>
      <c r="AB396" s="89">
        <v>1</v>
      </c>
      <c r="AC396" s="89">
        <v>6</v>
      </c>
      <c r="AD396" s="89">
        <v>1</v>
      </c>
      <c r="AE396" s="89" t="s">
        <v>0</v>
      </c>
      <c r="AF396" s="90">
        <v>367</v>
      </c>
      <c r="AG396" s="90">
        <v>44730</v>
      </c>
      <c r="AH396" s="90">
        <v>45818</v>
      </c>
    </row>
    <row r="397" spans="1:37" x14ac:dyDescent="0.35">
      <c r="A397" s="89" t="str">
        <f t="shared" si="19"/>
        <v>551K</v>
      </c>
      <c r="B397" s="89" t="s">
        <v>756</v>
      </c>
      <c r="C397" s="89" t="s">
        <v>757</v>
      </c>
      <c r="D397" s="89" t="s">
        <v>295</v>
      </c>
      <c r="E397" s="89" t="s">
        <v>758</v>
      </c>
      <c r="F397" s="89" t="s">
        <v>1931</v>
      </c>
      <c r="G397" s="89" t="s">
        <v>75</v>
      </c>
      <c r="H397" s="89" t="s">
        <v>1896</v>
      </c>
      <c r="I397" s="89" t="s">
        <v>1547</v>
      </c>
      <c r="J397" s="89">
        <v>0</v>
      </c>
      <c r="K397" s="89" t="s">
        <v>53</v>
      </c>
      <c r="L397" s="89" t="s">
        <v>1548</v>
      </c>
      <c r="M397" s="91"/>
      <c r="N397" s="89" t="s">
        <v>1549</v>
      </c>
      <c r="O397" s="89" t="s">
        <v>615</v>
      </c>
      <c r="P397" s="89" t="s">
        <v>1550</v>
      </c>
      <c r="Q397" s="89" t="s">
        <v>620</v>
      </c>
      <c r="R397" s="89">
        <v>14</v>
      </c>
      <c r="S397" s="89" t="s">
        <v>1844</v>
      </c>
      <c r="T397" s="89" t="s">
        <v>1555</v>
      </c>
      <c r="U397" s="89" t="s">
        <v>1552</v>
      </c>
      <c r="V397" s="89" t="s">
        <v>1561</v>
      </c>
      <c r="W397" s="89" t="s">
        <v>639</v>
      </c>
      <c r="X397" s="89" t="s">
        <v>71</v>
      </c>
      <c r="Y397" s="89" t="s">
        <v>619</v>
      </c>
      <c r="Z397" s="89" t="s">
        <v>68</v>
      </c>
      <c r="AA397" s="89" t="s">
        <v>73</v>
      </c>
      <c r="AB397" s="89">
        <v>1</v>
      </c>
      <c r="AC397" s="89">
        <v>6</v>
      </c>
      <c r="AD397" s="89">
        <v>1</v>
      </c>
      <c r="AE397" s="89" t="s">
        <v>287</v>
      </c>
      <c r="AF397" s="90">
        <v>367</v>
      </c>
      <c r="AG397" s="90">
        <v>45058</v>
      </c>
      <c r="AH397" s="90">
        <v>46143</v>
      </c>
    </row>
    <row r="398" spans="1:37" x14ac:dyDescent="0.35">
      <c r="A398" s="89" t="str">
        <f t="shared" si="19"/>
        <v>633J</v>
      </c>
      <c r="B398" s="89" t="s">
        <v>1938</v>
      </c>
      <c r="C398" s="89" t="s">
        <v>1939</v>
      </c>
      <c r="D398" s="89" t="s">
        <v>322</v>
      </c>
      <c r="E398" s="89" t="s">
        <v>1940</v>
      </c>
      <c r="F398" s="89" t="s">
        <v>1931</v>
      </c>
      <c r="G398" s="89" t="s">
        <v>75</v>
      </c>
      <c r="H398" s="89" t="s">
        <v>1896</v>
      </c>
      <c r="I398" s="89" t="s">
        <v>1547</v>
      </c>
      <c r="J398" s="89">
        <v>0</v>
      </c>
      <c r="K398" s="89" t="s">
        <v>53</v>
      </c>
      <c r="L398" s="89" t="s">
        <v>1548</v>
      </c>
      <c r="M398" s="91"/>
      <c r="N398" s="89" t="s">
        <v>1549</v>
      </c>
      <c r="O398" s="89" t="s">
        <v>615</v>
      </c>
      <c r="P398" s="89" t="s">
        <v>1550</v>
      </c>
      <c r="Q398" s="89" t="s">
        <v>620</v>
      </c>
      <c r="R398" s="89">
        <v>15</v>
      </c>
      <c r="S398" s="89" t="s">
        <v>1551</v>
      </c>
      <c r="T398" s="89" t="s">
        <v>1555</v>
      </c>
      <c r="U398" s="89" t="s">
        <v>1552</v>
      </c>
      <c r="V398" s="89" t="s">
        <v>1561</v>
      </c>
      <c r="W398" s="89" t="s">
        <v>639</v>
      </c>
      <c r="X398" s="89" t="s">
        <v>71</v>
      </c>
      <c r="Y398" s="89" t="s">
        <v>619</v>
      </c>
      <c r="Z398" s="89" t="s">
        <v>68</v>
      </c>
      <c r="AA398" s="89" t="s">
        <v>73</v>
      </c>
      <c r="AB398" s="89">
        <v>1</v>
      </c>
      <c r="AC398" s="89">
        <v>6</v>
      </c>
      <c r="AD398" s="89">
        <v>1</v>
      </c>
      <c r="AE398" s="89" t="s">
        <v>287</v>
      </c>
      <c r="AF398" s="90">
        <v>367</v>
      </c>
      <c r="AG398" s="90">
        <v>45058</v>
      </c>
      <c r="AH398" s="90">
        <v>46143</v>
      </c>
    </row>
    <row r="399" spans="1:37" x14ac:dyDescent="0.35">
      <c r="A399" s="89" t="str">
        <f t="shared" si="19"/>
        <v>ZLN2</v>
      </c>
      <c r="B399" s="89" t="s">
        <v>1941</v>
      </c>
      <c r="C399" s="89" t="s">
        <v>1942</v>
      </c>
      <c r="D399" s="89" t="s">
        <v>493</v>
      </c>
      <c r="E399" s="89" t="s">
        <v>1943</v>
      </c>
      <c r="F399" s="89" t="s">
        <v>1931</v>
      </c>
      <c r="G399" s="89" t="s">
        <v>75</v>
      </c>
      <c r="H399" s="89" t="s">
        <v>1896</v>
      </c>
      <c r="I399" s="89" t="s">
        <v>1547</v>
      </c>
      <c r="J399" s="89">
        <v>0</v>
      </c>
      <c r="K399" s="26" t="s">
        <v>38</v>
      </c>
      <c r="L399" s="89" t="s">
        <v>1588</v>
      </c>
      <c r="M399" s="91"/>
      <c r="N399" s="89" t="s">
        <v>1549</v>
      </c>
      <c r="O399" s="89" t="s">
        <v>615</v>
      </c>
      <c r="P399" s="89" t="s">
        <v>1550</v>
      </c>
      <c r="Q399" s="89" t="s">
        <v>620</v>
      </c>
      <c r="R399" s="89">
        <v>24</v>
      </c>
      <c r="S399" s="89" t="s">
        <v>1551</v>
      </c>
      <c r="T399" s="89" t="s">
        <v>1555</v>
      </c>
      <c r="U399" s="89" t="s">
        <v>1552</v>
      </c>
      <c r="V399" s="89" t="s">
        <v>1561</v>
      </c>
      <c r="W399" s="89" t="s">
        <v>688</v>
      </c>
      <c r="X399" s="89" t="s">
        <v>86</v>
      </c>
      <c r="Y399" s="89" t="s">
        <v>619</v>
      </c>
      <c r="Z399" s="89" t="s">
        <v>68</v>
      </c>
      <c r="AA399" s="89" t="s">
        <v>73</v>
      </c>
      <c r="AB399" s="89">
        <v>1</v>
      </c>
      <c r="AC399" s="89">
        <v>6</v>
      </c>
      <c r="AD399" s="89">
        <v>1</v>
      </c>
      <c r="AE399" s="89" t="s">
        <v>287</v>
      </c>
      <c r="AF399" s="90">
        <v>367</v>
      </c>
      <c r="AG399" s="90">
        <v>45069</v>
      </c>
      <c r="AH399" s="90">
        <v>46143</v>
      </c>
      <c r="AJ399" t="e">
        <f>VLOOKUP(A399,'1'!B:Q,16,0)</f>
        <v>#N/A</v>
      </c>
      <c r="AK399" s="96" t="e">
        <f t="shared" ref="AK399:AK403" si="24">AJ399/250</f>
        <v>#N/A</v>
      </c>
    </row>
    <row r="400" spans="1:37" x14ac:dyDescent="0.35">
      <c r="A400" s="89" t="str">
        <f t="shared" si="19"/>
        <v>ZRE5</v>
      </c>
      <c r="B400" s="89" t="s">
        <v>1944</v>
      </c>
      <c r="C400" s="89" t="s">
        <v>1945</v>
      </c>
      <c r="D400" s="89" t="s">
        <v>517</v>
      </c>
      <c r="E400" s="89" t="s">
        <v>1946</v>
      </c>
      <c r="F400" s="89" t="s">
        <v>1931</v>
      </c>
      <c r="G400" s="89" t="s">
        <v>75</v>
      </c>
      <c r="H400" s="89" t="s">
        <v>1896</v>
      </c>
      <c r="I400" s="89" t="s">
        <v>1547</v>
      </c>
      <c r="J400" s="89">
        <v>0</v>
      </c>
      <c r="K400" s="26" t="s">
        <v>38</v>
      </c>
      <c r="L400" s="89" t="s">
        <v>1588</v>
      </c>
      <c r="M400" s="91"/>
      <c r="N400" s="89" t="s">
        <v>1549</v>
      </c>
      <c r="O400" s="89" t="s">
        <v>615</v>
      </c>
      <c r="P400" s="89" t="s">
        <v>1550</v>
      </c>
      <c r="Q400" s="89" t="s">
        <v>620</v>
      </c>
      <c r="R400" s="89">
        <v>24</v>
      </c>
      <c r="S400" s="89" t="s">
        <v>1551</v>
      </c>
      <c r="T400" s="89" t="s">
        <v>1555</v>
      </c>
      <c r="U400" s="89" t="s">
        <v>1552</v>
      </c>
      <c r="V400" s="89" t="s">
        <v>1553</v>
      </c>
      <c r="W400" s="89" t="s">
        <v>639</v>
      </c>
      <c r="X400" s="89" t="s">
        <v>71</v>
      </c>
      <c r="Y400" s="89" t="s">
        <v>619</v>
      </c>
      <c r="Z400" s="89" t="s">
        <v>68</v>
      </c>
      <c r="AA400" s="89" t="s">
        <v>73</v>
      </c>
      <c r="AB400" s="89">
        <v>2</v>
      </c>
      <c r="AC400" s="89">
        <v>6</v>
      </c>
      <c r="AD400" s="89">
        <v>1</v>
      </c>
      <c r="AE400" s="89" t="s">
        <v>287</v>
      </c>
      <c r="AF400" s="90">
        <v>367</v>
      </c>
      <c r="AG400" s="90">
        <v>45090</v>
      </c>
      <c r="AH400" s="90">
        <v>46174</v>
      </c>
      <c r="AJ400" t="e">
        <f>VLOOKUP(A400,'1'!B:Q,16,0)</f>
        <v>#N/A</v>
      </c>
      <c r="AK400" s="96" t="e">
        <f t="shared" si="24"/>
        <v>#N/A</v>
      </c>
    </row>
    <row r="401" spans="1:37" x14ac:dyDescent="0.35">
      <c r="A401" s="89" t="str">
        <f t="shared" si="19"/>
        <v>ZRF5</v>
      </c>
      <c r="B401" s="89" t="s">
        <v>810</v>
      </c>
      <c r="C401" s="89" t="s">
        <v>811</v>
      </c>
      <c r="D401" s="89" t="s">
        <v>520</v>
      </c>
      <c r="E401" s="89" t="s">
        <v>812</v>
      </c>
      <c r="F401" s="89" t="s">
        <v>1931</v>
      </c>
      <c r="G401" s="89" t="s">
        <v>75</v>
      </c>
      <c r="H401" s="89" t="s">
        <v>1896</v>
      </c>
      <c r="I401" s="89" t="s">
        <v>1547</v>
      </c>
      <c r="J401" s="89">
        <v>0</v>
      </c>
      <c r="K401" s="26" t="s">
        <v>38</v>
      </c>
      <c r="L401" s="89" t="s">
        <v>1588</v>
      </c>
      <c r="M401" s="91"/>
      <c r="N401" s="89" t="s">
        <v>1549</v>
      </c>
      <c r="O401" s="89" t="s">
        <v>615</v>
      </c>
      <c r="P401" s="89" t="s">
        <v>1550</v>
      </c>
      <c r="Q401" s="89" t="s">
        <v>620</v>
      </c>
      <c r="R401" s="89">
        <v>24</v>
      </c>
      <c r="S401" s="89" t="s">
        <v>1551</v>
      </c>
      <c r="T401" s="89" t="s">
        <v>1551</v>
      </c>
      <c r="U401" s="89" t="s">
        <v>1552</v>
      </c>
      <c r="V401" s="89" t="s">
        <v>1561</v>
      </c>
      <c r="W401" s="89" t="s">
        <v>618</v>
      </c>
      <c r="X401" s="89" t="s">
        <v>237</v>
      </c>
      <c r="Y401" s="89" t="s">
        <v>619</v>
      </c>
      <c r="Z401" s="89" t="s">
        <v>68</v>
      </c>
      <c r="AA401" s="89" t="s">
        <v>73</v>
      </c>
      <c r="AB401" s="89">
        <v>2</v>
      </c>
      <c r="AC401" s="89">
        <v>12</v>
      </c>
      <c r="AD401" s="89">
        <v>1</v>
      </c>
      <c r="AE401" s="89" t="s">
        <v>287</v>
      </c>
      <c r="AF401" s="90">
        <v>367</v>
      </c>
      <c r="AG401" s="90">
        <v>45090</v>
      </c>
      <c r="AH401" s="90">
        <v>46186</v>
      </c>
      <c r="AJ401" t="e">
        <f>VLOOKUP(A401,'1'!B:Q,16,0)</f>
        <v>#N/A</v>
      </c>
      <c r="AK401" s="96" t="e">
        <f t="shared" si="24"/>
        <v>#N/A</v>
      </c>
    </row>
    <row r="402" spans="1:37" x14ac:dyDescent="0.35">
      <c r="A402" s="89" t="str">
        <f t="shared" si="19"/>
        <v>ZRN5</v>
      </c>
      <c r="B402" s="89" t="s">
        <v>1947</v>
      </c>
      <c r="C402" s="89" t="s">
        <v>1948</v>
      </c>
      <c r="D402" s="89" t="s">
        <v>533</v>
      </c>
      <c r="E402" s="89" t="s">
        <v>1949</v>
      </c>
      <c r="F402" s="89" t="s">
        <v>1931</v>
      </c>
      <c r="G402" s="89" t="s">
        <v>75</v>
      </c>
      <c r="H402" s="89" t="s">
        <v>1896</v>
      </c>
      <c r="I402" s="89" t="s">
        <v>1547</v>
      </c>
      <c r="J402" s="89">
        <v>0</v>
      </c>
      <c r="K402" s="26" t="s">
        <v>38</v>
      </c>
      <c r="L402" s="89" t="s">
        <v>1588</v>
      </c>
      <c r="M402" s="91"/>
      <c r="N402" s="89" t="s">
        <v>1549</v>
      </c>
      <c r="O402" s="89" t="s">
        <v>615</v>
      </c>
      <c r="P402" s="89" t="s">
        <v>1550</v>
      </c>
      <c r="Q402" s="89" t="s">
        <v>620</v>
      </c>
      <c r="R402" s="89">
        <v>24</v>
      </c>
      <c r="S402" s="89" t="s">
        <v>1551</v>
      </c>
      <c r="T402" s="89" t="s">
        <v>1558</v>
      </c>
      <c r="U402" s="89" t="s">
        <v>1552</v>
      </c>
      <c r="V402" s="89" t="s">
        <v>1553</v>
      </c>
      <c r="W402" s="89" t="s">
        <v>639</v>
      </c>
      <c r="X402" s="89" t="s">
        <v>71</v>
      </c>
      <c r="Y402" s="89" t="s">
        <v>619</v>
      </c>
      <c r="Z402" s="89" t="s">
        <v>68</v>
      </c>
      <c r="AA402" s="89" t="s">
        <v>73</v>
      </c>
      <c r="AB402" s="89">
        <v>2</v>
      </c>
      <c r="AC402" s="89">
        <v>6</v>
      </c>
      <c r="AD402" s="89">
        <v>1</v>
      </c>
      <c r="AE402" s="89" t="s">
        <v>287</v>
      </c>
      <c r="AF402" s="90">
        <v>367</v>
      </c>
      <c r="AG402" s="90">
        <v>45102</v>
      </c>
      <c r="AH402" s="90">
        <v>46193</v>
      </c>
      <c r="AJ402" t="e">
        <f>VLOOKUP(A402,'1'!B:Q,16,0)</f>
        <v>#N/A</v>
      </c>
      <c r="AK402" s="96" t="e">
        <f t="shared" si="24"/>
        <v>#N/A</v>
      </c>
    </row>
    <row r="403" spans="1:37" x14ac:dyDescent="0.35">
      <c r="A403" s="89" t="str">
        <f t="shared" si="19"/>
        <v>Z23C</v>
      </c>
      <c r="B403" s="89" t="s">
        <v>1951</v>
      </c>
      <c r="C403" s="89" t="s">
        <v>1952</v>
      </c>
      <c r="D403" s="89" t="s">
        <v>443</v>
      </c>
      <c r="E403" s="89" t="s">
        <v>1953</v>
      </c>
      <c r="F403" s="89" t="s">
        <v>1950</v>
      </c>
      <c r="G403" s="89" t="s">
        <v>75</v>
      </c>
      <c r="H403" s="89" t="s">
        <v>1896</v>
      </c>
      <c r="I403" s="89" t="s">
        <v>1547</v>
      </c>
      <c r="J403" s="89">
        <v>0</v>
      </c>
      <c r="K403" s="26" t="s">
        <v>38</v>
      </c>
      <c r="L403" s="89" t="s">
        <v>1620</v>
      </c>
      <c r="M403" s="91"/>
      <c r="N403" s="89" t="s">
        <v>1549</v>
      </c>
      <c r="O403" s="89" t="s">
        <v>615</v>
      </c>
      <c r="P403" s="89" t="s">
        <v>1550</v>
      </c>
      <c r="Q403" s="89" t="s">
        <v>442</v>
      </c>
      <c r="R403" s="89">
        <v>24</v>
      </c>
      <c r="S403" s="89" t="s">
        <v>1551</v>
      </c>
      <c r="T403" s="89" t="s">
        <v>1558</v>
      </c>
      <c r="U403" s="89" t="s">
        <v>1552</v>
      </c>
      <c r="V403" s="89" t="s">
        <v>1561</v>
      </c>
      <c r="W403" s="89" t="s">
        <v>640</v>
      </c>
      <c r="X403" s="89" t="s">
        <v>94</v>
      </c>
      <c r="Y403" s="89" t="s">
        <v>619</v>
      </c>
      <c r="Z403" s="89" t="s">
        <v>68</v>
      </c>
      <c r="AA403" s="89" t="s">
        <v>96</v>
      </c>
      <c r="AB403" s="89">
        <v>1</v>
      </c>
      <c r="AC403" s="89">
        <v>6</v>
      </c>
      <c r="AD403" s="89">
        <v>1</v>
      </c>
      <c r="AE403" s="89" t="s">
        <v>288</v>
      </c>
      <c r="AF403" s="90">
        <v>367</v>
      </c>
      <c r="AG403" s="90">
        <v>45456</v>
      </c>
      <c r="AH403" s="90">
        <v>46551</v>
      </c>
      <c r="AJ403" t="e">
        <f>VLOOKUP(A403,'1'!B:Q,16,0)</f>
        <v>#N/A</v>
      </c>
      <c r="AK403" s="96" t="e">
        <f t="shared" si="24"/>
        <v>#N/A</v>
      </c>
    </row>
    <row r="404" spans="1:37" x14ac:dyDescent="0.35">
      <c r="A404" s="89" t="str">
        <f t="shared" si="19"/>
        <v>454Q</v>
      </c>
      <c r="B404" s="89" t="s">
        <v>750</v>
      </c>
      <c r="C404" s="89" t="s">
        <v>751</v>
      </c>
      <c r="D404" s="89" t="s">
        <v>269</v>
      </c>
      <c r="E404" s="89" t="s">
        <v>752</v>
      </c>
      <c r="F404" s="89" t="s">
        <v>1954</v>
      </c>
      <c r="G404" s="89" t="s">
        <v>75</v>
      </c>
      <c r="H404" s="89" t="s">
        <v>1896</v>
      </c>
      <c r="I404" s="89" t="s">
        <v>1547</v>
      </c>
      <c r="J404" s="89">
        <v>0</v>
      </c>
      <c r="K404" s="89" t="s">
        <v>53</v>
      </c>
      <c r="L404" s="89" t="s">
        <v>1548</v>
      </c>
      <c r="M404" s="89" t="s">
        <v>51</v>
      </c>
      <c r="N404" s="89" t="s">
        <v>1549</v>
      </c>
      <c r="O404" s="89" t="s">
        <v>615</v>
      </c>
      <c r="P404" s="89" t="s">
        <v>1550</v>
      </c>
      <c r="Q404" s="89" t="s">
        <v>620</v>
      </c>
      <c r="R404" s="89">
        <v>24</v>
      </c>
      <c r="S404" s="89" t="s">
        <v>1551</v>
      </c>
      <c r="T404" s="89" t="s">
        <v>1551</v>
      </c>
      <c r="U404" s="89" t="s">
        <v>1552</v>
      </c>
      <c r="V404" s="89" t="s">
        <v>1553</v>
      </c>
      <c r="W404" s="89" t="s">
        <v>819</v>
      </c>
      <c r="X404" s="89" t="s">
        <v>820</v>
      </c>
      <c r="Y404" s="89" t="s">
        <v>619</v>
      </c>
      <c r="Z404" s="89" t="s">
        <v>68</v>
      </c>
      <c r="AA404" s="89" t="s">
        <v>424</v>
      </c>
      <c r="AB404" s="89">
        <v>1</v>
      </c>
      <c r="AC404" s="89">
        <v>6</v>
      </c>
      <c r="AD404" s="89">
        <v>1</v>
      </c>
      <c r="AE404" s="89" t="s">
        <v>282</v>
      </c>
      <c r="AF404" s="90">
        <v>44463</v>
      </c>
      <c r="AG404" s="90">
        <v>44463</v>
      </c>
      <c r="AH404" s="90">
        <v>45653</v>
      </c>
    </row>
    <row r="405" spans="1:37" x14ac:dyDescent="0.35">
      <c r="A405" s="89" t="str">
        <f t="shared" si="19"/>
        <v>Z11Q</v>
      </c>
      <c r="B405" s="89" t="s">
        <v>621</v>
      </c>
      <c r="C405" s="89" t="s">
        <v>622</v>
      </c>
      <c r="D405" s="89" t="s">
        <v>425</v>
      </c>
      <c r="E405" s="89" t="s">
        <v>1955</v>
      </c>
      <c r="F405" s="89" t="s">
        <v>1954</v>
      </c>
      <c r="G405" s="89" t="s">
        <v>75</v>
      </c>
      <c r="H405" s="89" t="s">
        <v>1896</v>
      </c>
      <c r="I405" s="89" t="s">
        <v>1556</v>
      </c>
      <c r="J405" s="89">
        <v>0</v>
      </c>
      <c r="K405" s="26" t="s">
        <v>38</v>
      </c>
      <c r="L405" s="89" t="s">
        <v>1588</v>
      </c>
      <c r="M405" s="91"/>
      <c r="N405" s="89" t="s">
        <v>1549</v>
      </c>
      <c r="O405" s="89" t="s">
        <v>615</v>
      </c>
      <c r="P405" s="89" t="s">
        <v>1550</v>
      </c>
      <c r="Q405" s="89" t="s">
        <v>620</v>
      </c>
      <c r="R405" s="89">
        <v>24</v>
      </c>
      <c r="S405" s="89" t="s">
        <v>1551</v>
      </c>
      <c r="T405" s="89" t="s">
        <v>1551</v>
      </c>
      <c r="U405" s="89" t="s">
        <v>1552</v>
      </c>
      <c r="V405" s="89" t="s">
        <v>1561</v>
      </c>
      <c r="W405" s="89" t="s">
        <v>819</v>
      </c>
      <c r="X405" s="89" t="s">
        <v>820</v>
      </c>
      <c r="Y405" s="89" t="s">
        <v>619</v>
      </c>
      <c r="Z405" s="89" t="s">
        <v>68</v>
      </c>
      <c r="AA405" s="89" t="s">
        <v>424</v>
      </c>
      <c r="AB405" s="89">
        <v>1</v>
      </c>
      <c r="AC405" s="89">
        <v>12</v>
      </c>
      <c r="AD405" s="89">
        <v>1</v>
      </c>
      <c r="AE405" s="89" t="s">
        <v>285</v>
      </c>
      <c r="AF405" s="90">
        <v>367</v>
      </c>
      <c r="AG405" s="90">
        <v>44176</v>
      </c>
      <c r="AH405" s="90">
        <v>45291</v>
      </c>
      <c r="AJ405" t="e">
        <f>VLOOKUP(A405,'1'!B:Q,16,0)</f>
        <v>#N/A</v>
      </c>
      <c r="AK405" s="96" t="e">
        <f t="shared" ref="AK405:AK407" si="25">AJ405/250</f>
        <v>#N/A</v>
      </c>
    </row>
    <row r="406" spans="1:37" x14ac:dyDescent="0.35">
      <c r="A406" s="89" t="str">
        <f t="shared" si="19"/>
        <v>Z11R</v>
      </c>
      <c r="B406" s="89" t="s">
        <v>616</v>
      </c>
      <c r="C406" s="89" t="s">
        <v>617</v>
      </c>
      <c r="D406" s="89" t="s">
        <v>426</v>
      </c>
      <c r="E406" s="89" t="s">
        <v>1955</v>
      </c>
      <c r="F406" s="89" t="s">
        <v>1954</v>
      </c>
      <c r="G406" s="89" t="s">
        <v>75</v>
      </c>
      <c r="H406" s="89" t="s">
        <v>1896</v>
      </c>
      <c r="I406" s="89" t="s">
        <v>1556</v>
      </c>
      <c r="J406" s="89">
        <v>0</v>
      </c>
      <c r="K406" s="26" t="s">
        <v>38</v>
      </c>
      <c r="L406" s="89" t="s">
        <v>1588</v>
      </c>
      <c r="M406" s="91"/>
      <c r="N406" s="89" t="s">
        <v>1549</v>
      </c>
      <c r="O406" s="89" t="s">
        <v>615</v>
      </c>
      <c r="P406" s="89" t="s">
        <v>1550</v>
      </c>
      <c r="Q406" s="89" t="s">
        <v>620</v>
      </c>
      <c r="R406" s="89">
        <v>24</v>
      </c>
      <c r="S406" s="89" t="s">
        <v>1551</v>
      </c>
      <c r="T406" s="89" t="s">
        <v>1551</v>
      </c>
      <c r="U406" s="89" t="s">
        <v>1552</v>
      </c>
      <c r="V406" s="89" t="s">
        <v>1561</v>
      </c>
      <c r="W406" s="89" t="s">
        <v>819</v>
      </c>
      <c r="X406" s="89" t="s">
        <v>820</v>
      </c>
      <c r="Y406" s="89" t="s">
        <v>619</v>
      </c>
      <c r="Z406" s="89" t="s">
        <v>68</v>
      </c>
      <c r="AA406" s="89" t="s">
        <v>424</v>
      </c>
      <c r="AB406" s="89">
        <v>1</v>
      </c>
      <c r="AC406" s="89">
        <v>12</v>
      </c>
      <c r="AD406" s="89">
        <v>1</v>
      </c>
      <c r="AE406" s="89" t="s">
        <v>285</v>
      </c>
      <c r="AF406" s="90">
        <v>367</v>
      </c>
      <c r="AG406" s="90">
        <v>44176</v>
      </c>
      <c r="AH406" s="90">
        <v>45291</v>
      </c>
      <c r="AJ406" t="e">
        <f>VLOOKUP(A406,'1'!B:Q,16,0)</f>
        <v>#N/A</v>
      </c>
      <c r="AK406" s="96" t="e">
        <f t="shared" si="25"/>
        <v>#N/A</v>
      </c>
    </row>
    <row r="407" spans="1:37" x14ac:dyDescent="0.35">
      <c r="A407" s="89" t="str">
        <f t="shared" si="19"/>
        <v>Z4XT</v>
      </c>
      <c r="B407" s="89" t="s">
        <v>794</v>
      </c>
      <c r="C407" s="89" t="s">
        <v>795</v>
      </c>
      <c r="D407" s="89" t="s">
        <v>470</v>
      </c>
      <c r="E407" s="89" t="s">
        <v>1955</v>
      </c>
      <c r="F407" s="89" t="s">
        <v>1954</v>
      </c>
      <c r="G407" s="89" t="s">
        <v>75</v>
      </c>
      <c r="H407" s="89" t="s">
        <v>1896</v>
      </c>
      <c r="I407" s="89" t="s">
        <v>1556</v>
      </c>
      <c r="J407" s="89">
        <v>0</v>
      </c>
      <c r="K407" s="26" t="s">
        <v>38</v>
      </c>
      <c r="L407" s="89" t="s">
        <v>1588</v>
      </c>
      <c r="M407" s="91"/>
      <c r="N407" s="89" t="s">
        <v>1549</v>
      </c>
      <c r="O407" s="89" t="s">
        <v>615</v>
      </c>
      <c r="P407" s="89" t="s">
        <v>1550</v>
      </c>
      <c r="Q407" s="89" t="s">
        <v>620</v>
      </c>
      <c r="R407" s="89">
        <v>24</v>
      </c>
      <c r="S407" s="89" t="s">
        <v>1551</v>
      </c>
      <c r="T407" s="89" t="s">
        <v>1551</v>
      </c>
      <c r="U407" s="89" t="s">
        <v>1552</v>
      </c>
      <c r="V407" s="89" t="s">
        <v>1561</v>
      </c>
      <c r="W407" s="89" t="s">
        <v>819</v>
      </c>
      <c r="X407" s="89" t="s">
        <v>820</v>
      </c>
      <c r="Y407" s="89" t="s">
        <v>619</v>
      </c>
      <c r="Z407" s="89" t="s">
        <v>68</v>
      </c>
      <c r="AA407" s="89" t="s">
        <v>424</v>
      </c>
      <c r="AB407" s="89">
        <v>1</v>
      </c>
      <c r="AC407" s="89">
        <v>12</v>
      </c>
      <c r="AD407" s="89">
        <v>1</v>
      </c>
      <c r="AE407" s="89" t="s">
        <v>285</v>
      </c>
      <c r="AF407" s="90">
        <v>367</v>
      </c>
      <c r="AG407" s="90">
        <v>44176</v>
      </c>
      <c r="AH407" s="90">
        <v>45291</v>
      </c>
      <c r="AJ407" t="e">
        <f>VLOOKUP(A407,'1'!B:Q,16,0)</f>
        <v>#N/A</v>
      </c>
      <c r="AK407" s="96" t="e">
        <f t="shared" si="25"/>
        <v>#N/A</v>
      </c>
    </row>
    <row r="408" spans="1:37" x14ac:dyDescent="0.35">
      <c r="A408" s="89" t="str">
        <f t="shared" si="19"/>
        <v>653M</v>
      </c>
      <c r="B408" s="89" t="s">
        <v>1956</v>
      </c>
      <c r="C408" s="89" t="s">
        <v>1957</v>
      </c>
      <c r="D408" s="89" t="s">
        <v>341</v>
      </c>
      <c r="E408" s="89" t="s">
        <v>1958</v>
      </c>
      <c r="F408" s="89" t="s">
        <v>1954</v>
      </c>
      <c r="G408" s="89" t="s">
        <v>75</v>
      </c>
      <c r="H408" s="89" t="s">
        <v>1896</v>
      </c>
      <c r="I408" s="91"/>
      <c r="J408" s="89">
        <v>0</v>
      </c>
      <c r="K408" s="89" t="s">
        <v>53</v>
      </c>
      <c r="L408" s="89" t="s">
        <v>1548</v>
      </c>
      <c r="M408" s="91"/>
      <c r="N408" s="89" t="s">
        <v>1549</v>
      </c>
      <c r="O408" s="89" t="s">
        <v>615</v>
      </c>
      <c r="P408" s="89" t="s">
        <v>1550</v>
      </c>
      <c r="Q408" s="89" t="s">
        <v>620</v>
      </c>
      <c r="R408" s="89">
        <v>24</v>
      </c>
      <c r="S408" s="89" t="s">
        <v>1551</v>
      </c>
      <c r="T408" s="89" t="s">
        <v>1555</v>
      </c>
      <c r="U408" s="89" t="s">
        <v>1552</v>
      </c>
      <c r="V408" s="89" t="s">
        <v>1561</v>
      </c>
      <c r="W408" s="89" t="s">
        <v>819</v>
      </c>
      <c r="X408" s="89" t="s">
        <v>820</v>
      </c>
      <c r="Y408" s="89" t="s">
        <v>619</v>
      </c>
      <c r="Z408" s="89" t="s">
        <v>68</v>
      </c>
      <c r="AA408" s="89" t="s">
        <v>424</v>
      </c>
      <c r="AB408" s="89">
        <v>1</v>
      </c>
      <c r="AC408" s="89">
        <v>6</v>
      </c>
      <c r="AD408" s="89">
        <v>1</v>
      </c>
      <c r="AE408" s="89" t="s">
        <v>287</v>
      </c>
      <c r="AF408" s="90">
        <v>367</v>
      </c>
      <c r="AG408" s="90">
        <v>45058</v>
      </c>
      <c r="AH408" s="90">
        <v>46143</v>
      </c>
    </row>
    <row r="409" spans="1:37" x14ac:dyDescent="0.35">
      <c r="A409" s="89" t="str">
        <f t="shared" si="19"/>
        <v>494N</v>
      </c>
      <c r="B409" s="89" t="s">
        <v>1959</v>
      </c>
      <c r="C409" s="89" t="s">
        <v>1960</v>
      </c>
      <c r="D409" s="89" t="s">
        <v>275</v>
      </c>
      <c r="E409" s="89" t="s">
        <v>1961</v>
      </c>
      <c r="F409" s="89" t="s">
        <v>1954</v>
      </c>
      <c r="G409" s="89" t="s">
        <v>75</v>
      </c>
      <c r="H409" s="89" t="s">
        <v>1896</v>
      </c>
      <c r="I409" s="89" t="s">
        <v>1547</v>
      </c>
      <c r="J409" s="89">
        <v>0</v>
      </c>
      <c r="K409" s="89" t="s">
        <v>53</v>
      </c>
      <c r="L409" s="89" t="s">
        <v>1548</v>
      </c>
      <c r="M409" s="91"/>
      <c r="N409" s="89" t="s">
        <v>1549</v>
      </c>
      <c r="O409" s="89" t="s">
        <v>615</v>
      </c>
      <c r="P409" s="89" t="s">
        <v>1550</v>
      </c>
      <c r="Q409" s="89" t="s">
        <v>620</v>
      </c>
      <c r="R409" s="89">
        <v>15</v>
      </c>
      <c r="S409" s="89" t="s">
        <v>1555</v>
      </c>
      <c r="T409" s="89" t="s">
        <v>1555</v>
      </c>
      <c r="U409" s="89" t="s">
        <v>1552</v>
      </c>
      <c r="V409" s="89" t="s">
        <v>1561</v>
      </c>
      <c r="W409" s="89" t="s">
        <v>819</v>
      </c>
      <c r="X409" s="89" t="s">
        <v>820</v>
      </c>
      <c r="Y409" s="89" t="s">
        <v>619</v>
      </c>
      <c r="Z409" s="89" t="s">
        <v>68</v>
      </c>
      <c r="AA409" s="89" t="s">
        <v>424</v>
      </c>
      <c r="AB409" s="89">
        <v>1</v>
      </c>
      <c r="AC409" s="89">
        <v>6</v>
      </c>
      <c r="AD409" s="89">
        <v>1</v>
      </c>
      <c r="AE409" s="89" t="s">
        <v>287</v>
      </c>
      <c r="AF409" s="90">
        <v>367</v>
      </c>
      <c r="AG409" s="90">
        <v>45086</v>
      </c>
      <c r="AH409" s="90">
        <v>46174</v>
      </c>
    </row>
    <row r="410" spans="1:37" x14ac:dyDescent="0.35">
      <c r="A410" s="89" t="str">
        <f t="shared" si="19"/>
        <v>345R</v>
      </c>
      <c r="B410" s="89" t="s">
        <v>1485</v>
      </c>
      <c r="C410" s="89" t="s">
        <v>1486</v>
      </c>
      <c r="D410" s="89" t="s">
        <v>238</v>
      </c>
      <c r="E410" s="89" t="s">
        <v>1487</v>
      </c>
      <c r="F410" s="89" t="s">
        <v>1954</v>
      </c>
      <c r="G410" s="89" t="s">
        <v>75</v>
      </c>
      <c r="H410" s="89" t="s">
        <v>1896</v>
      </c>
      <c r="I410" s="89" t="s">
        <v>1547</v>
      </c>
      <c r="J410" s="89">
        <v>0</v>
      </c>
      <c r="K410" s="89" t="s">
        <v>53</v>
      </c>
      <c r="L410" s="89" t="s">
        <v>1548</v>
      </c>
      <c r="M410" s="91"/>
      <c r="N410" s="89" t="s">
        <v>1549</v>
      </c>
      <c r="O410" s="89" t="s">
        <v>615</v>
      </c>
      <c r="P410" s="89" t="s">
        <v>1550</v>
      </c>
      <c r="Q410" s="89" t="s">
        <v>620</v>
      </c>
      <c r="R410" s="89">
        <v>15</v>
      </c>
      <c r="S410" s="89" t="s">
        <v>1555</v>
      </c>
      <c r="T410" s="89" t="s">
        <v>1555</v>
      </c>
      <c r="U410" s="89" t="s">
        <v>1552</v>
      </c>
      <c r="V410" s="89" t="s">
        <v>1561</v>
      </c>
      <c r="W410" s="89" t="s">
        <v>819</v>
      </c>
      <c r="X410" s="89" t="s">
        <v>820</v>
      </c>
      <c r="Y410" s="89" t="s">
        <v>619</v>
      </c>
      <c r="Z410" s="89" t="s">
        <v>68</v>
      </c>
      <c r="AA410" s="89" t="s">
        <v>424</v>
      </c>
      <c r="AB410" s="89">
        <v>1</v>
      </c>
      <c r="AC410" s="89">
        <v>6</v>
      </c>
      <c r="AD410" s="89">
        <v>1</v>
      </c>
      <c r="AE410" s="89" t="s">
        <v>287</v>
      </c>
      <c r="AF410" s="90">
        <v>367</v>
      </c>
      <c r="AG410" s="90">
        <v>45086</v>
      </c>
      <c r="AH410" s="90">
        <v>46174</v>
      </c>
    </row>
    <row r="411" spans="1:37" x14ac:dyDescent="0.35">
      <c r="A411" s="89" t="str">
        <f t="shared" si="19"/>
        <v>ZRH5</v>
      </c>
      <c r="B411" s="89" t="s">
        <v>623</v>
      </c>
      <c r="C411" s="89" t="s">
        <v>624</v>
      </c>
      <c r="D411" s="89" t="s">
        <v>523</v>
      </c>
      <c r="E411" s="89" t="s">
        <v>625</v>
      </c>
      <c r="F411" s="89" t="s">
        <v>1954</v>
      </c>
      <c r="G411" s="89" t="s">
        <v>75</v>
      </c>
      <c r="H411" s="89" t="s">
        <v>1896</v>
      </c>
      <c r="I411" s="89" t="s">
        <v>1547</v>
      </c>
      <c r="J411" s="89">
        <v>0</v>
      </c>
      <c r="K411" s="26" t="s">
        <v>38</v>
      </c>
      <c r="L411" s="89" t="s">
        <v>1588</v>
      </c>
      <c r="M411" s="91"/>
      <c r="N411" s="89" t="s">
        <v>1549</v>
      </c>
      <c r="O411" s="89" t="s">
        <v>615</v>
      </c>
      <c r="P411" s="89" t="s">
        <v>1550</v>
      </c>
      <c r="Q411" s="89" t="s">
        <v>620</v>
      </c>
      <c r="R411" s="89">
        <v>24</v>
      </c>
      <c r="S411" s="89" t="s">
        <v>1551</v>
      </c>
      <c r="T411" s="89" t="s">
        <v>1555</v>
      </c>
      <c r="U411" s="89" t="s">
        <v>1552</v>
      </c>
      <c r="V411" s="89" t="s">
        <v>1561</v>
      </c>
      <c r="W411" s="89" t="s">
        <v>819</v>
      </c>
      <c r="X411" s="89" t="s">
        <v>820</v>
      </c>
      <c r="Y411" s="89" t="s">
        <v>619</v>
      </c>
      <c r="Z411" s="89" t="s">
        <v>68</v>
      </c>
      <c r="AA411" s="89" t="s">
        <v>424</v>
      </c>
      <c r="AB411" s="89">
        <v>1</v>
      </c>
      <c r="AC411" s="89">
        <v>12</v>
      </c>
      <c r="AD411" s="89">
        <v>1</v>
      </c>
      <c r="AE411" s="89" t="s">
        <v>287</v>
      </c>
      <c r="AF411" s="90">
        <v>367</v>
      </c>
      <c r="AG411" s="90">
        <v>45090</v>
      </c>
      <c r="AH411" s="90">
        <v>46174</v>
      </c>
      <c r="AJ411" t="e">
        <f>VLOOKUP(A411,'1'!B:Q,16,0)</f>
        <v>#N/A</v>
      </c>
      <c r="AK411" s="96" t="e">
        <f>AJ411/250</f>
        <v>#N/A</v>
      </c>
    </row>
    <row r="412" spans="1:37" x14ac:dyDescent="0.35">
      <c r="A412" s="89" t="str">
        <f t="shared" si="19"/>
        <v>00C9</v>
      </c>
      <c r="B412" s="89" t="s">
        <v>1962</v>
      </c>
      <c r="C412" s="89" t="s">
        <v>1963</v>
      </c>
      <c r="D412" s="89" t="s">
        <v>87</v>
      </c>
      <c r="E412" s="89" t="s">
        <v>1964</v>
      </c>
      <c r="F412" s="89" t="s">
        <v>1954</v>
      </c>
      <c r="G412" s="89" t="s">
        <v>75</v>
      </c>
      <c r="H412" s="89" t="s">
        <v>1896</v>
      </c>
      <c r="I412" s="89" t="s">
        <v>1547</v>
      </c>
      <c r="J412" s="89">
        <v>0</v>
      </c>
      <c r="K412" s="89" t="s">
        <v>53</v>
      </c>
      <c r="L412" s="89" t="s">
        <v>1548</v>
      </c>
      <c r="M412" s="91"/>
      <c r="N412" s="89" t="s">
        <v>1549</v>
      </c>
      <c r="O412" s="89" t="s">
        <v>615</v>
      </c>
      <c r="P412" s="89" t="s">
        <v>1550</v>
      </c>
      <c r="Q412" s="89" t="s">
        <v>620</v>
      </c>
      <c r="R412" s="89">
        <v>24</v>
      </c>
      <c r="S412" s="89" t="s">
        <v>1551</v>
      </c>
      <c r="T412" s="89" t="s">
        <v>1558</v>
      </c>
      <c r="U412" s="89" t="s">
        <v>1552</v>
      </c>
      <c r="V412" s="89" t="s">
        <v>1561</v>
      </c>
      <c r="W412" s="89" t="s">
        <v>819</v>
      </c>
      <c r="X412" s="89" t="s">
        <v>820</v>
      </c>
      <c r="Y412" s="89" t="s">
        <v>619</v>
      </c>
      <c r="Z412" s="89" t="s">
        <v>68</v>
      </c>
      <c r="AA412" s="89" t="s">
        <v>424</v>
      </c>
      <c r="AB412" s="89">
        <v>2</v>
      </c>
      <c r="AC412" s="89">
        <v>6</v>
      </c>
      <c r="AD412" s="89">
        <v>1</v>
      </c>
      <c r="AE412" s="89" t="s">
        <v>287</v>
      </c>
      <c r="AF412" s="90">
        <v>367</v>
      </c>
      <c r="AG412" s="90">
        <v>45467</v>
      </c>
      <c r="AH412" s="90">
        <v>46568</v>
      </c>
    </row>
    <row r="413" spans="1:37" x14ac:dyDescent="0.35">
      <c r="A413" s="89" t="str">
        <f t="shared" si="19"/>
        <v>00R9</v>
      </c>
      <c r="B413" s="89" t="s">
        <v>739</v>
      </c>
      <c r="C413" s="89" t="s">
        <v>1965</v>
      </c>
      <c r="D413" s="89" t="s">
        <v>133</v>
      </c>
      <c r="E413" s="89" t="s">
        <v>1966</v>
      </c>
      <c r="F413" s="89" t="s">
        <v>1954</v>
      </c>
      <c r="G413" s="89" t="s">
        <v>75</v>
      </c>
      <c r="H413" s="89" t="s">
        <v>1896</v>
      </c>
      <c r="I413" s="89" t="s">
        <v>1591</v>
      </c>
      <c r="J413" s="89">
        <v>0</v>
      </c>
      <c r="K413" s="89" t="s">
        <v>53</v>
      </c>
      <c r="L413" s="89" t="s">
        <v>1548</v>
      </c>
      <c r="M413" s="91"/>
      <c r="N413" s="89" t="s">
        <v>1549</v>
      </c>
      <c r="O413" s="89" t="s">
        <v>615</v>
      </c>
      <c r="P413" s="89" t="s">
        <v>1550</v>
      </c>
      <c r="Q413" s="89" t="s">
        <v>620</v>
      </c>
      <c r="R413" s="89">
        <v>24</v>
      </c>
      <c r="S413" s="89" t="s">
        <v>1551</v>
      </c>
      <c r="T413" s="89" t="s">
        <v>1558</v>
      </c>
      <c r="U413" s="89" t="s">
        <v>1552</v>
      </c>
      <c r="V413" s="89" t="s">
        <v>1561</v>
      </c>
      <c r="W413" s="89" t="s">
        <v>819</v>
      </c>
      <c r="X413" s="89" t="s">
        <v>820</v>
      </c>
      <c r="Y413" s="89" t="s">
        <v>619</v>
      </c>
      <c r="Z413" s="89" t="s">
        <v>68</v>
      </c>
      <c r="AA413" s="89" t="s">
        <v>424</v>
      </c>
      <c r="AB413" s="89">
        <v>1</v>
      </c>
      <c r="AC413" s="89">
        <v>6</v>
      </c>
      <c r="AD413" s="89">
        <v>1</v>
      </c>
      <c r="AE413" s="89" t="s">
        <v>288</v>
      </c>
      <c r="AF413" s="90">
        <v>367</v>
      </c>
      <c r="AG413" s="90">
        <v>45593</v>
      </c>
      <c r="AH413" s="90">
        <v>46690</v>
      </c>
    </row>
    <row r="414" spans="1:37" x14ac:dyDescent="0.35">
      <c r="A414" s="89" t="str">
        <f t="shared" ref="A414:A446" si="26">LEFT(B414,LEN(B414)-3)</f>
        <v>00DN</v>
      </c>
      <c r="B414" s="89" t="s">
        <v>1969</v>
      </c>
      <c r="C414" s="89" t="s">
        <v>1970</v>
      </c>
      <c r="D414" s="89" t="s">
        <v>97</v>
      </c>
      <c r="E414" s="89" t="s">
        <v>1971</v>
      </c>
      <c r="F414" s="89" t="s">
        <v>1967</v>
      </c>
      <c r="G414" s="89" t="s">
        <v>75</v>
      </c>
      <c r="H414" s="89" t="s">
        <v>1896</v>
      </c>
      <c r="I414" s="89" t="s">
        <v>1574</v>
      </c>
      <c r="J414" s="89">
        <v>0</v>
      </c>
      <c r="K414" s="89" t="s">
        <v>53</v>
      </c>
      <c r="L414" s="89" t="s">
        <v>1548</v>
      </c>
      <c r="M414" s="91"/>
      <c r="N414" s="89" t="s">
        <v>1549</v>
      </c>
      <c r="O414" s="89" t="s">
        <v>615</v>
      </c>
      <c r="P414" s="89" t="s">
        <v>1550</v>
      </c>
      <c r="Q414" s="89" t="s">
        <v>95</v>
      </c>
      <c r="R414" s="89">
        <v>24</v>
      </c>
      <c r="S414" s="89" t="s">
        <v>1551</v>
      </c>
      <c r="T414" s="89" t="s">
        <v>1558</v>
      </c>
      <c r="U414" s="89" t="s">
        <v>1552</v>
      </c>
      <c r="V414" s="89" t="s">
        <v>1561</v>
      </c>
      <c r="W414" s="89" t="s">
        <v>1968</v>
      </c>
      <c r="X414" s="89" t="s">
        <v>1515</v>
      </c>
      <c r="Y414" s="89" t="s">
        <v>619</v>
      </c>
      <c r="Z414" s="89" t="s">
        <v>68</v>
      </c>
      <c r="AA414" s="89" t="s">
        <v>1516</v>
      </c>
      <c r="AB414" s="89">
        <v>1</v>
      </c>
      <c r="AC414" s="89">
        <v>6</v>
      </c>
      <c r="AD414" s="89">
        <v>1</v>
      </c>
      <c r="AE414" s="89" t="s">
        <v>287</v>
      </c>
      <c r="AF414" s="90">
        <v>367</v>
      </c>
      <c r="AG414" s="90">
        <v>45496</v>
      </c>
      <c r="AH414" s="90">
        <v>46598</v>
      </c>
    </row>
    <row r="415" spans="1:37" x14ac:dyDescent="0.35">
      <c r="A415" s="89" t="str">
        <f t="shared" si="26"/>
        <v>Z23F</v>
      </c>
      <c r="B415" s="89" t="s">
        <v>1478</v>
      </c>
      <c r="C415" s="89" t="s">
        <v>696</v>
      </c>
      <c r="D415" s="89" t="s">
        <v>445</v>
      </c>
      <c r="E415" s="89" t="s">
        <v>1479</v>
      </c>
      <c r="F415" s="89" t="s">
        <v>1967</v>
      </c>
      <c r="G415" s="89" t="s">
        <v>75</v>
      </c>
      <c r="H415" s="89" t="s">
        <v>1896</v>
      </c>
      <c r="I415" s="91"/>
      <c r="J415" s="89">
        <v>0</v>
      </c>
      <c r="K415" s="26" t="s">
        <v>38</v>
      </c>
      <c r="L415" s="89" t="s">
        <v>1620</v>
      </c>
      <c r="M415" s="91"/>
      <c r="N415" s="89" t="s">
        <v>1549</v>
      </c>
      <c r="O415" s="89" t="s">
        <v>615</v>
      </c>
      <c r="P415" s="89" t="s">
        <v>1550</v>
      </c>
      <c r="Q415" s="89" t="s">
        <v>95</v>
      </c>
      <c r="R415" s="89">
        <v>24</v>
      </c>
      <c r="S415" s="89" t="s">
        <v>1551</v>
      </c>
      <c r="T415" s="89" t="s">
        <v>1558</v>
      </c>
      <c r="U415" s="89" t="s">
        <v>1552</v>
      </c>
      <c r="V415" s="89" t="s">
        <v>1561</v>
      </c>
      <c r="W415" s="89" t="s">
        <v>1968</v>
      </c>
      <c r="X415" s="89" t="s">
        <v>1515</v>
      </c>
      <c r="Y415" s="89" t="s">
        <v>619</v>
      </c>
      <c r="Z415" s="89" t="s">
        <v>68</v>
      </c>
      <c r="AA415" s="89" t="s">
        <v>1516</v>
      </c>
      <c r="AB415" s="89">
        <v>1</v>
      </c>
      <c r="AC415" s="89">
        <v>12</v>
      </c>
      <c r="AD415" s="89">
        <v>1</v>
      </c>
      <c r="AE415" s="89" t="s">
        <v>287</v>
      </c>
      <c r="AF415" s="90">
        <v>367</v>
      </c>
      <c r="AG415" s="90">
        <v>45504</v>
      </c>
      <c r="AH415" s="90">
        <v>46599</v>
      </c>
      <c r="AJ415" t="e">
        <f>VLOOKUP(A415,'1'!B:Q,16,0)</f>
        <v>#N/A</v>
      </c>
      <c r="AK415" s="96" t="e">
        <f t="shared" ref="AK415:AK416" si="27">AJ415/250</f>
        <v>#N/A</v>
      </c>
    </row>
    <row r="416" spans="1:37" x14ac:dyDescent="0.35">
      <c r="A416" s="89" t="str">
        <f t="shared" si="26"/>
        <v>Z23E</v>
      </c>
      <c r="B416" s="89" t="s">
        <v>695</v>
      </c>
      <c r="C416" s="89" t="s">
        <v>696</v>
      </c>
      <c r="D416" s="89" t="s">
        <v>444</v>
      </c>
      <c r="E416" s="89" t="s">
        <v>697</v>
      </c>
      <c r="F416" s="89" t="s">
        <v>1967</v>
      </c>
      <c r="G416" s="89" t="s">
        <v>75</v>
      </c>
      <c r="H416" s="89" t="s">
        <v>1896</v>
      </c>
      <c r="I416" s="91"/>
      <c r="J416" s="89">
        <v>0</v>
      </c>
      <c r="K416" s="26" t="s">
        <v>38</v>
      </c>
      <c r="L416" s="89" t="s">
        <v>1620</v>
      </c>
      <c r="M416" s="91"/>
      <c r="N416" s="89" t="s">
        <v>1549</v>
      </c>
      <c r="O416" s="89" t="s">
        <v>615</v>
      </c>
      <c r="P416" s="89" t="s">
        <v>1550</v>
      </c>
      <c r="Q416" s="89" t="s">
        <v>95</v>
      </c>
      <c r="R416" s="89">
        <v>24</v>
      </c>
      <c r="S416" s="89" t="s">
        <v>1551</v>
      </c>
      <c r="T416" s="89" t="s">
        <v>1558</v>
      </c>
      <c r="U416" s="89" t="s">
        <v>1552</v>
      </c>
      <c r="V416" s="89" t="s">
        <v>1561</v>
      </c>
      <c r="W416" s="89" t="s">
        <v>1968</v>
      </c>
      <c r="X416" s="89" t="s">
        <v>1515</v>
      </c>
      <c r="Y416" s="89" t="s">
        <v>619</v>
      </c>
      <c r="Z416" s="89" t="s">
        <v>68</v>
      </c>
      <c r="AA416" s="89" t="s">
        <v>1516</v>
      </c>
      <c r="AB416" s="89">
        <v>1</v>
      </c>
      <c r="AC416" s="89">
        <v>12</v>
      </c>
      <c r="AD416" s="89">
        <v>1</v>
      </c>
      <c r="AE416" s="89" t="s">
        <v>287</v>
      </c>
      <c r="AF416" s="90">
        <v>367</v>
      </c>
      <c r="AG416" s="90">
        <v>45504</v>
      </c>
      <c r="AH416" s="90">
        <v>46599</v>
      </c>
      <c r="AJ416" t="e">
        <f>VLOOKUP(A416,'1'!B:Q,16,0)</f>
        <v>#N/A</v>
      </c>
      <c r="AK416" s="96" t="e">
        <f t="shared" si="27"/>
        <v>#N/A</v>
      </c>
    </row>
    <row r="417" spans="1:37" x14ac:dyDescent="0.35">
      <c r="A417" s="89" t="str">
        <f t="shared" si="26"/>
        <v>492W</v>
      </c>
      <c r="B417" s="89" t="s">
        <v>1972</v>
      </c>
      <c r="C417" s="89" t="s">
        <v>1973</v>
      </c>
      <c r="D417" s="89" t="s">
        <v>273</v>
      </c>
      <c r="E417" s="89" t="s">
        <v>1974</v>
      </c>
      <c r="F417" s="89" t="s">
        <v>1975</v>
      </c>
      <c r="G417" s="89" t="s">
        <v>115</v>
      </c>
      <c r="H417" s="89" t="s">
        <v>1976</v>
      </c>
      <c r="I417" s="89" t="s">
        <v>1560</v>
      </c>
      <c r="J417" s="89">
        <v>0</v>
      </c>
      <c r="K417" s="89" t="s">
        <v>53</v>
      </c>
      <c r="L417" s="89" t="s">
        <v>1548</v>
      </c>
      <c r="M417" s="91"/>
      <c r="N417" s="89" t="s">
        <v>1549</v>
      </c>
      <c r="O417" s="89" t="s">
        <v>615</v>
      </c>
      <c r="P417" s="89" t="s">
        <v>1550</v>
      </c>
      <c r="Q417" s="89" t="s">
        <v>674</v>
      </c>
      <c r="R417" s="89">
        <v>15</v>
      </c>
      <c r="S417" s="89" t="s">
        <v>1551</v>
      </c>
      <c r="T417" s="89" t="s">
        <v>1555</v>
      </c>
      <c r="U417" s="89" t="s">
        <v>1552</v>
      </c>
      <c r="V417" s="89" t="s">
        <v>1561</v>
      </c>
      <c r="W417" s="89" t="s">
        <v>653</v>
      </c>
      <c r="X417" s="89" t="s">
        <v>111</v>
      </c>
      <c r="Y417" s="89" t="s">
        <v>619</v>
      </c>
      <c r="Z417" s="89" t="s">
        <v>68</v>
      </c>
      <c r="AA417" s="89" t="s">
        <v>113</v>
      </c>
      <c r="AB417" s="89">
        <v>1</v>
      </c>
      <c r="AC417" s="89">
        <v>6</v>
      </c>
      <c r="AD417" s="89">
        <v>1</v>
      </c>
      <c r="AE417" s="89" t="s">
        <v>0</v>
      </c>
      <c r="AF417" s="90">
        <v>367</v>
      </c>
      <c r="AG417" s="90">
        <v>44730</v>
      </c>
      <c r="AH417" s="90">
        <v>45818</v>
      </c>
    </row>
    <row r="418" spans="1:37" x14ac:dyDescent="0.35">
      <c r="A418" s="89" t="str">
        <f t="shared" si="26"/>
        <v>Z2FB</v>
      </c>
      <c r="B418" s="89" t="s">
        <v>1977</v>
      </c>
      <c r="C418" s="89" t="s">
        <v>1978</v>
      </c>
      <c r="D418" s="89" t="s">
        <v>449</v>
      </c>
      <c r="E418" s="89" t="s">
        <v>1979</v>
      </c>
      <c r="F418" s="89" t="s">
        <v>1975</v>
      </c>
      <c r="G418" s="89" t="s">
        <v>115</v>
      </c>
      <c r="H418" s="89" t="s">
        <v>1976</v>
      </c>
      <c r="I418" s="89" t="s">
        <v>1547</v>
      </c>
      <c r="J418" s="89">
        <v>0</v>
      </c>
      <c r="K418" s="26" t="s">
        <v>38</v>
      </c>
      <c r="L418" s="89" t="s">
        <v>1588</v>
      </c>
      <c r="M418" s="91"/>
      <c r="N418" s="89" t="s">
        <v>1549</v>
      </c>
      <c r="O418" s="89" t="s">
        <v>615</v>
      </c>
      <c r="P418" s="89" t="s">
        <v>1550</v>
      </c>
      <c r="Q418" s="89" t="s">
        <v>674</v>
      </c>
      <c r="R418" s="89">
        <v>18</v>
      </c>
      <c r="S418" s="89" t="s">
        <v>1564</v>
      </c>
      <c r="T418" s="89" t="s">
        <v>1555</v>
      </c>
      <c r="U418" s="89" t="s">
        <v>1552</v>
      </c>
      <c r="V418" s="89" t="s">
        <v>1561</v>
      </c>
      <c r="W418" s="89" t="s">
        <v>638</v>
      </c>
      <c r="X418" s="89" t="s">
        <v>128</v>
      </c>
      <c r="Y418" s="89" t="s">
        <v>619</v>
      </c>
      <c r="Z418" s="89" t="s">
        <v>68</v>
      </c>
      <c r="AA418" s="89" t="s">
        <v>113</v>
      </c>
      <c r="AB418" s="89">
        <v>1</v>
      </c>
      <c r="AC418" s="89">
        <v>6</v>
      </c>
      <c r="AD418" s="89">
        <v>1</v>
      </c>
      <c r="AE418" s="89" t="s">
        <v>287</v>
      </c>
      <c r="AF418" s="90">
        <v>367</v>
      </c>
      <c r="AG418" s="90">
        <v>45082</v>
      </c>
      <c r="AH418" s="90">
        <v>46174</v>
      </c>
      <c r="AJ418" t="e">
        <f>VLOOKUP(A418,'1'!B:Q,16,0)</f>
        <v>#N/A</v>
      </c>
      <c r="AK418" s="96" t="e">
        <f t="shared" ref="AK418:AK423" si="28">AJ418/250</f>
        <v>#N/A</v>
      </c>
    </row>
    <row r="419" spans="1:37" x14ac:dyDescent="0.35">
      <c r="A419" s="89" t="str">
        <f t="shared" si="26"/>
        <v>Z0M6</v>
      </c>
      <c r="B419" s="89" t="s">
        <v>1980</v>
      </c>
      <c r="C419" s="89" t="s">
        <v>1981</v>
      </c>
      <c r="D419" s="89" t="s">
        <v>417</v>
      </c>
      <c r="E419" s="89" t="s">
        <v>1982</v>
      </c>
      <c r="F419" s="89" t="s">
        <v>1975</v>
      </c>
      <c r="G419" s="89" t="s">
        <v>115</v>
      </c>
      <c r="H419" s="89" t="s">
        <v>1976</v>
      </c>
      <c r="I419" s="89" t="s">
        <v>1591</v>
      </c>
      <c r="J419" s="89">
        <v>0</v>
      </c>
      <c r="K419" s="26" t="s">
        <v>38</v>
      </c>
      <c r="L419" s="89" t="s">
        <v>1588</v>
      </c>
      <c r="M419" s="91"/>
      <c r="N419" s="89" t="s">
        <v>1549</v>
      </c>
      <c r="O419" s="89" t="s">
        <v>615</v>
      </c>
      <c r="P419" s="89" t="s">
        <v>1550</v>
      </c>
      <c r="Q419" s="89" t="s">
        <v>674</v>
      </c>
      <c r="R419" s="89">
        <v>24</v>
      </c>
      <c r="S419" s="89" t="s">
        <v>1551</v>
      </c>
      <c r="T419" s="89" t="s">
        <v>1555</v>
      </c>
      <c r="U419" s="89" t="s">
        <v>1552</v>
      </c>
      <c r="V419" s="89" t="s">
        <v>1561</v>
      </c>
      <c r="W419" s="89" t="s">
        <v>638</v>
      </c>
      <c r="X419" s="89" t="s">
        <v>128</v>
      </c>
      <c r="Y419" s="89" t="s">
        <v>619</v>
      </c>
      <c r="Z419" s="89" t="s">
        <v>68</v>
      </c>
      <c r="AA419" s="89" t="s">
        <v>113</v>
      </c>
      <c r="AB419" s="89">
        <v>2</v>
      </c>
      <c r="AC419" s="89">
        <v>6</v>
      </c>
      <c r="AD419" s="89">
        <v>1</v>
      </c>
      <c r="AE419" s="89" t="s">
        <v>287</v>
      </c>
      <c r="AF419" s="90">
        <v>367</v>
      </c>
      <c r="AG419" s="90">
        <v>45130</v>
      </c>
      <c r="AH419" s="90">
        <v>46226</v>
      </c>
      <c r="AJ419" t="e">
        <f>VLOOKUP(A419,'1'!B:Q,16,0)</f>
        <v>#N/A</v>
      </c>
      <c r="AK419" s="96" t="e">
        <f t="shared" si="28"/>
        <v>#N/A</v>
      </c>
    </row>
    <row r="420" spans="1:37" x14ac:dyDescent="0.35">
      <c r="A420" s="89" t="str">
        <f t="shared" si="26"/>
        <v>ZQH4</v>
      </c>
      <c r="B420" s="89" t="s">
        <v>802</v>
      </c>
      <c r="C420" s="89" t="s">
        <v>803</v>
      </c>
      <c r="D420" s="89" t="s">
        <v>505</v>
      </c>
      <c r="E420" s="89" t="s">
        <v>1983</v>
      </c>
      <c r="F420" s="89" t="s">
        <v>1975</v>
      </c>
      <c r="G420" s="89" t="s">
        <v>115</v>
      </c>
      <c r="H420" s="89" t="s">
        <v>1976</v>
      </c>
      <c r="I420" s="91"/>
      <c r="J420" s="89">
        <v>0</v>
      </c>
      <c r="K420" s="26" t="s">
        <v>38</v>
      </c>
      <c r="L420" s="89" t="s">
        <v>1588</v>
      </c>
      <c r="M420" s="91"/>
      <c r="N420" s="89" t="s">
        <v>1549</v>
      </c>
      <c r="O420" s="89" t="s">
        <v>615</v>
      </c>
      <c r="P420" s="89" t="s">
        <v>1550</v>
      </c>
      <c r="Q420" s="89" t="s">
        <v>674</v>
      </c>
      <c r="R420" s="89">
        <v>24</v>
      </c>
      <c r="S420" s="89" t="s">
        <v>1551</v>
      </c>
      <c r="T420" s="89" t="s">
        <v>1555</v>
      </c>
      <c r="U420" s="89" t="s">
        <v>1552</v>
      </c>
      <c r="V420" s="89" t="s">
        <v>1561</v>
      </c>
      <c r="W420" s="89" t="s">
        <v>638</v>
      </c>
      <c r="X420" s="89" t="s">
        <v>128</v>
      </c>
      <c r="Y420" s="89" t="s">
        <v>619</v>
      </c>
      <c r="Z420" s="89" t="s">
        <v>68</v>
      </c>
      <c r="AA420" s="89" t="s">
        <v>113</v>
      </c>
      <c r="AB420" s="89">
        <v>1</v>
      </c>
      <c r="AC420" s="89">
        <v>6</v>
      </c>
      <c r="AD420" s="89">
        <v>1</v>
      </c>
      <c r="AE420" s="89" t="s">
        <v>287</v>
      </c>
      <c r="AF420" s="90">
        <v>367</v>
      </c>
      <c r="AG420" s="90">
        <v>45130</v>
      </c>
      <c r="AH420" s="90">
        <v>46226</v>
      </c>
      <c r="AJ420" t="e">
        <f>VLOOKUP(A420,'1'!B:Q,16,0)</f>
        <v>#N/A</v>
      </c>
      <c r="AK420" s="96" t="e">
        <f t="shared" si="28"/>
        <v>#N/A</v>
      </c>
    </row>
    <row r="421" spans="1:37" x14ac:dyDescent="0.35">
      <c r="A421" s="89" t="str">
        <f t="shared" si="26"/>
        <v>Z10Y</v>
      </c>
      <c r="B421" s="89" t="s">
        <v>1984</v>
      </c>
      <c r="C421" s="89" t="s">
        <v>1985</v>
      </c>
      <c r="D421" s="89" t="s">
        <v>421</v>
      </c>
      <c r="E421" s="89" t="s">
        <v>673</v>
      </c>
      <c r="F421" s="89" t="s">
        <v>1975</v>
      </c>
      <c r="G421" s="89" t="s">
        <v>115</v>
      </c>
      <c r="H421" s="89" t="s">
        <v>1976</v>
      </c>
      <c r="I421" s="89" t="s">
        <v>1556</v>
      </c>
      <c r="J421" s="89">
        <v>0</v>
      </c>
      <c r="K421" s="26" t="s">
        <v>38</v>
      </c>
      <c r="L421" s="89" t="s">
        <v>1620</v>
      </c>
      <c r="M421" s="91"/>
      <c r="N421" s="89" t="s">
        <v>1549</v>
      </c>
      <c r="O421" s="89" t="s">
        <v>615</v>
      </c>
      <c r="P421" s="89" t="s">
        <v>1550</v>
      </c>
      <c r="Q421" s="89" t="s">
        <v>637</v>
      </c>
      <c r="R421" s="89">
        <v>24</v>
      </c>
      <c r="S421" s="89" t="s">
        <v>1551</v>
      </c>
      <c r="T421" s="89" t="s">
        <v>1551</v>
      </c>
      <c r="U421" s="89" t="s">
        <v>1552</v>
      </c>
      <c r="V421" s="89" t="s">
        <v>1561</v>
      </c>
      <c r="W421" s="89" t="s">
        <v>653</v>
      </c>
      <c r="X421" s="89" t="s">
        <v>111</v>
      </c>
      <c r="Y421" s="89" t="s">
        <v>619</v>
      </c>
      <c r="Z421" s="89" t="s">
        <v>68</v>
      </c>
      <c r="AA421" s="89" t="s">
        <v>113</v>
      </c>
      <c r="AB421" s="89">
        <v>1</v>
      </c>
      <c r="AC421" s="89">
        <v>6</v>
      </c>
      <c r="AD421" s="89">
        <v>1</v>
      </c>
      <c r="AE421" s="89" t="s">
        <v>288</v>
      </c>
      <c r="AF421" s="90">
        <v>367</v>
      </c>
      <c r="AG421" s="90">
        <v>45444</v>
      </c>
      <c r="AH421" s="90">
        <v>46539</v>
      </c>
      <c r="AJ421" t="e">
        <f>VLOOKUP(A421,'1'!B:Q,16,0)</f>
        <v>#N/A</v>
      </c>
      <c r="AK421" s="96" t="e">
        <f t="shared" si="28"/>
        <v>#N/A</v>
      </c>
    </row>
    <row r="422" spans="1:37" x14ac:dyDescent="0.35">
      <c r="A422" s="89" t="str">
        <f t="shared" si="26"/>
        <v>Z10Z</v>
      </c>
      <c r="B422" s="89" t="s">
        <v>671</v>
      </c>
      <c r="C422" s="89" t="s">
        <v>672</v>
      </c>
      <c r="D422" s="89" t="s">
        <v>422</v>
      </c>
      <c r="E422" s="89" t="s">
        <v>673</v>
      </c>
      <c r="F422" s="89" t="s">
        <v>1975</v>
      </c>
      <c r="G422" s="89" t="s">
        <v>115</v>
      </c>
      <c r="H422" s="89" t="s">
        <v>1976</v>
      </c>
      <c r="I422" s="89" t="s">
        <v>1556</v>
      </c>
      <c r="J422" s="89">
        <v>0</v>
      </c>
      <c r="K422" s="26" t="s">
        <v>38</v>
      </c>
      <c r="L422" s="89" t="s">
        <v>1620</v>
      </c>
      <c r="M422" s="91"/>
      <c r="N422" s="89" t="s">
        <v>1549</v>
      </c>
      <c r="O422" s="89" t="s">
        <v>615</v>
      </c>
      <c r="P422" s="89" t="s">
        <v>1550</v>
      </c>
      <c r="Q422" s="89" t="s">
        <v>674</v>
      </c>
      <c r="R422" s="89">
        <v>24</v>
      </c>
      <c r="S422" s="89" t="s">
        <v>1551</v>
      </c>
      <c r="T422" s="89" t="s">
        <v>1551</v>
      </c>
      <c r="U422" s="89" t="s">
        <v>1552</v>
      </c>
      <c r="V422" s="89" t="s">
        <v>1561</v>
      </c>
      <c r="W422" s="89" t="s">
        <v>653</v>
      </c>
      <c r="X422" s="89" t="s">
        <v>111</v>
      </c>
      <c r="Y422" s="89" t="s">
        <v>619</v>
      </c>
      <c r="Z422" s="89" t="s">
        <v>68</v>
      </c>
      <c r="AA422" s="89" t="s">
        <v>113</v>
      </c>
      <c r="AB422" s="89">
        <v>1</v>
      </c>
      <c r="AC422" s="89">
        <v>6</v>
      </c>
      <c r="AD422" s="89">
        <v>1</v>
      </c>
      <c r="AE422" s="89" t="s">
        <v>288</v>
      </c>
      <c r="AF422" s="90">
        <v>367</v>
      </c>
      <c r="AG422" s="90">
        <v>45444</v>
      </c>
      <c r="AH422" s="90">
        <v>46539</v>
      </c>
      <c r="AJ422" t="e">
        <f>VLOOKUP(A422,'1'!B:Q,16,0)</f>
        <v>#N/A</v>
      </c>
      <c r="AK422" s="96" t="e">
        <f t="shared" si="28"/>
        <v>#N/A</v>
      </c>
    </row>
    <row r="423" spans="1:37" x14ac:dyDescent="0.35">
      <c r="A423" s="89" t="str">
        <f t="shared" si="26"/>
        <v>Z3NU</v>
      </c>
      <c r="B423" s="89" t="s">
        <v>788</v>
      </c>
      <c r="C423" s="89" t="s">
        <v>789</v>
      </c>
      <c r="D423" s="89" t="s">
        <v>459</v>
      </c>
      <c r="E423" s="89" t="s">
        <v>1986</v>
      </c>
      <c r="F423" s="89" t="s">
        <v>1975</v>
      </c>
      <c r="G423" s="89" t="s">
        <v>115</v>
      </c>
      <c r="H423" s="89" t="s">
        <v>1976</v>
      </c>
      <c r="I423" s="89" t="s">
        <v>1556</v>
      </c>
      <c r="J423" s="89">
        <v>0</v>
      </c>
      <c r="K423" s="26" t="s">
        <v>38</v>
      </c>
      <c r="L423" s="89" t="s">
        <v>1620</v>
      </c>
      <c r="M423" s="91"/>
      <c r="N423" s="89" t="s">
        <v>1549</v>
      </c>
      <c r="O423" s="89" t="s">
        <v>615</v>
      </c>
      <c r="P423" s="89" t="s">
        <v>1550</v>
      </c>
      <c r="Q423" s="89" t="s">
        <v>674</v>
      </c>
      <c r="R423" s="89">
        <v>24</v>
      </c>
      <c r="S423" s="89" t="s">
        <v>1551</v>
      </c>
      <c r="T423" s="89" t="s">
        <v>1551</v>
      </c>
      <c r="U423" s="89" t="s">
        <v>1552</v>
      </c>
      <c r="V423" s="89" t="s">
        <v>1561</v>
      </c>
      <c r="W423" s="89" t="s">
        <v>653</v>
      </c>
      <c r="X423" s="89" t="s">
        <v>111</v>
      </c>
      <c r="Y423" s="89" t="s">
        <v>619</v>
      </c>
      <c r="Z423" s="89" t="s">
        <v>68</v>
      </c>
      <c r="AA423" s="89" t="s">
        <v>113</v>
      </c>
      <c r="AB423" s="89">
        <v>1</v>
      </c>
      <c r="AC423" s="89">
        <v>6</v>
      </c>
      <c r="AD423" s="89">
        <v>1</v>
      </c>
      <c r="AE423" s="89" t="s">
        <v>288</v>
      </c>
      <c r="AF423" s="90">
        <v>367</v>
      </c>
      <c r="AG423" s="90">
        <v>45444</v>
      </c>
      <c r="AH423" s="90">
        <v>46539</v>
      </c>
      <c r="AJ423" t="e">
        <f>VLOOKUP(A423,'1'!B:Q,16,0)</f>
        <v>#N/A</v>
      </c>
      <c r="AK423" s="96" t="e">
        <f t="shared" si="28"/>
        <v>#N/A</v>
      </c>
    </row>
    <row r="424" spans="1:37" x14ac:dyDescent="0.35">
      <c r="A424" s="89" t="str">
        <f t="shared" si="26"/>
        <v>164R</v>
      </c>
      <c r="B424" s="89" t="s">
        <v>742</v>
      </c>
      <c r="C424" s="89" t="s">
        <v>743</v>
      </c>
      <c r="D424" s="89" t="s">
        <v>206</v>
      </c>
      <c r="E424" s="89" t="s">
        <v>1987</v>
      </c>
      <c r="F424" s="89" t="s">
        <v>1988</v>
      </c>
      <c r="G424" s="89" t="s">
        <v>115</v>
      </c>
      <c r="H424" s="89" t="s">
        <v>1976</v>
      </c>
      <c r="I424" s="89" t="s">
        <v>1591</v>
      </c>
      <c r="J424" s="89">
        <v>0</v>
      </c>
      <c r="K424" s="89" t="s">
        <v>53</v>
      </c>
      <c r="L424" s="89" t="s">
        <v>1548</v>
      </c>
      <c r="M424" s="89" t="s">
        <v>51</v>
      </c>
      <c r="N424" s="89" t="s">
        <v>1549</v>
      </c>
      <c r="O424" s="89" t="s">
        <v>615</v>
      </c>
      <c r="P424" s="89" t="s">
        <v>1550</v>
      </c>
      <c r="Q424" s="89" t="s">
        <v>674</v>
      </c>
      <c r="R424" s="89">
        <v>24</v>
      </c>
      <c r="S424" s="89" t="s">
        <v>1551</v>
      </c>
      <c r="T424" s="89" t="s">
        <v>1551</v>
      </c>
      <c r="U424" s="89" t="s">
        <v>1552</v>
      </c>
      <c r="V424" s="89" t="s">
        <v>1553</v>
      </c>
      <c r="W424" s="89" t="s">
        <v>653</v>
      </c>
      <c r="X424" s="89" t="s">
        <v>111</v>
      </c>
      <c r="Y424" s="89" t="s">
        <v>619</v>
      </c>
      <c r="Z424" s="89" t="s">
        <v>68</v>
      </c>
      <c r="AA424" s="89" t="s">
        <v>113</v>
      </c>
      <c r="AB424" s="89">
        <v>1</v>
      </c>
      <c r="AC424" s="89">
        <v>6</v>
      </c>
      <c r="AD424" s="89">
        <v>1</v>
      </c>
      <c r="AE424" s="89" t="s">
        <v>285</v>
      </c>
      <c r="AF424" s="90">
        <v>367</v>
      </c>
      <c r="AG424" s="90">
        <v>44237</v>
      </c>
      <c r="AH424" s="90">
        <v>45351</v>
      </c>
    </row>
    <row r="425" spans="1:37" x14ac:dyDescent="0.35">
      <c r="A425" s="89" t="str">
        <f t="shared" si="26"/>
        <v>037W</v>
      </c>
      <c r="B425" s="89" t="s">
        <v>740</v>
      </c>
      <c r="C425" s="89" t="s">
        <v>741</v>
      </c>
      <c r="D425" s="89" t="s">
        <v>184</v>
      </c>
      <c r="E425" s="89" t="s">
        <v>1989</v>
      </c>
      <c r="F425" s="89" t="s">
        <v>1988</v>
      </c>
      <c r="G425" s="89" t="s">
        <v>115</v>
      </c>
      <c r="H425" s="89" t="s">
        <v>1976</v>
      </c>
      <c r="I425" s="89" t="s">
        <v>1698</v>
      </c>
      <c r="J425" s="89">
        <v>0</v>
      </c>
      <c r="K425" s="89" t="s">
        <v>53</v>
      </c>
      <c r="L425" s="89" t="s">
        <v>1548</v>
      </c>
      <c r="M425" s="89" t="s">
        <v>51</v>
      </c>
      <c r="N425" s="89" t="s">
        <v>1549</v>
      </c>
      <c r="O425" s="89" t="s">
        <v>615</v>
      </c>
      <c r="P425" s="89" t="s">
        <v>1550</v>
      </c>
      <c r="Q425" s="89" t="s">
        <v>674</v>
      </c>
      <c r="R425" s="89">
        <v>24</v>
      </c>
      <c r="S425" s="89" t="s">
        <v>1551</v>
      </c>
      <c r="T425" s="89" t="s">
        <v>1551</v>
      </c>
      <c r="U425" s="89" t="s">
        <v>1552</v>
      </c>
      <c r="V425" s="89" t="s">
        <v>1553</v>
      </c>
      <c r="W425" s="89" t="s">
        <v>653</v>
      </c>
      <c r="X425" s="89" t="s">
        <v>111</v>
      </c>
      <c r="Y425" s="89" t="s">
        <v>619</v>
      </c>
      <c r="Z425" s="89" t="s">
        <v>68</v>
      </c>
      <c r="AA425" s="89" t="s">
        <v>113</v>
      </c>
      <c r="AB425" s="89">
        <v>1</v>
      </c>
      <c r="AC425" s="89">
        <v>6</v>
      </c>
      <c r="AD425" s="89">
        <v>1</v>
      </c>
      <c r="AE425" s="89" t="s">
        <v>285</v>
      </c>
      <c r="AF425" s="90">
        <v>367</v>
      </c>
      <c r="AG425" s="90">
        <v>44237</v>
      </c>
      <c r="AH425" s="90">
        <v>45351</v>
      </c>
    </row>
    <row r="426" spans="1:37" x14ac:dyDescent="0.35">
      <c r="A426" s="89" t="str">
        <f t="shared" si="26"/>
        <v>238X</v>
      </c>
      <c r="B426" s="89" t="s">
        <v>744</v>
      </c>
      <c r="C426" s="89" t="s">
        <v>745</v>
      </c>
      <c r="D426" s="89" t="s">
        <v>215</v>
      </c>
      <c r="E426" s="89" t="s">
        <v>1990</v>
      </c>
      <c r="F426" s="89" t="s">
        <v>1988</v>
      </c>
      <c r="G426" s="89" t="s">
        <v>115</v>
      </c>
      <c r="H426" s="89" t="s">
        <v>1976</v>
      </c>
      <c r="I426" s="89" t="s">
        <v>1560</v>
      </c>
      <c r="J426" s="89">
        <v>0</v>
      </c>
      <c r="K426" s="89" t="s">
        <v>53</v>
      </c>
      <c r="L426" s="89" t="s">
        <v>1548</v>
      </c>
      <c r="M426" s="91"/>
      <c r="N426" s="89" t="s">
        <v>1549</v>
      </c>
      <c r="O426" s="89" t="s">
        <v>615</v>
      </c>
      <c r="P426" s="89" t="s">
        <v>1550</v>
      </c>
      <c r="Q426" s="89" t="s">
        <v>674</v>
      </c>
      <c r="R426" s="89">
        <v>15</v>
      </c>
      <c r="S426" s="89" t="s">
        <v>1551</v>
      </c>
      <c r="T426" s="89" t="s">
        <v>1551</v>
      </c>
      <c r="U426" s="89" t="s">
        <v>1552</v>
      </c>
      <c r="V426" s="89" t="s">
        <v>1553</v>
      </c>
      <c r="W426" s="89" t="s">
        <v>638</v>
      </c>
      <c r="X426" s="89" t="s">
        <v>128</v>
      </c>
      <c r="Y426" s="89" t="s">
        <v>619</v>
      </c>
      <c r="Z426" s="89" t="s">
        <v>68</v>
      </c>
      <c r="AA426" s="89" t="s">
        <v>113</v>
      </c>
      <c r="AB426" s="89">
        <v>1</v>
      </c>
      <c r="AC426" s="89">
        <v>6</v>
      </c>
      <c r="AD426" s="89">
        <v>1</v>
      </c>
      <c r="AE426" s="89" t="s">
        <v>286</v>
      </c>
      <c r="AF426" s="90">
        <v>367</v>
      </c>
      <c r="AG426" s="90">
        <v>44494</v>
      </c>
      <c r="AH426" s="90">
        <v>45587</v>
      </c>
    </row>
    <row r="427" spans="1:37" x14ac:dyDescent="0.35">
      <c r="A427" s="89" t="str">
        <f t="shared" si="26"/>
        <v>624T</v>
      </c>
      <c r="B427" s="89" t="s">
        <v>1991</v>
      </c>
      <c r="C427" s="89" t="s">
        <v>1992</v>
      </c>
      <c r="D427" s="89" t="s">
        <v>319</v>
      </c>
      <c r="E427" s="89" t="s">
        <v>1993</v>
      </c>
      <c r="F427" s="89" t="s">
        <v>1988</v>
      </c>
      <c r="G427" s="89" t="s">
        <v>115</v>
      </c>
      <c r="H427" s="89" t="s">
        <v>1976</v>
      </c>
      <c r="I427" s="89" t="s">
        <v>1591</v>
      </c>
      <c r="J427" s="89">
        <v>0</v>
      </c>
      <c r="K427" s="89" t="s">
        <v>53</v>
      </c>
      <c r="L427" s="89" t="s">
        <v>1548</v>
      </c>
      <c r="M427" s="91"/>
      <c r="N427" s="89" t="s">
        <v>1549</v>
      </c>
      <c r="O427" s="89" t="s">
        <v>615</v>
      </c>
      <c r="P427" s="89" t="s">
        <v>1550</v>
      </c>
      <c r="Q427" s="89" t="s">
        <v>674</v>
      </c>
      <c r="R427" s="89">
        <v>15</v>
      </c>
      <c r="S427" s="89" t="s">
        <v>1551</v>
      </c>
      <c r="T427" s="89" t="s">
        <v>1555</v>
      </c>
      <c r="U427" s="89" t="s">
        <v>1552</v>
      </c>
      <c r="V427" s="89" t="s">
        <v>1561</v>
      </c>
      <c r="W427" s="89" t="s">
        <v>653</v>
      </c>
      <c r="X427" s="89" t="s">
        <v>111</v>
      </c>
      <c r="Y427" s="89" t="s">
        <v>619</v>
      </c>
      <c r="Z427" s="89" t="s">
        <v>68</v>
      </c>
      <c r="AA427" s="89" t="s">
        <v>113</v>
      </c>
      <c r="AB427" s="89">
        <v>1</v>
      </c>
      <c r="AC427" s="89">
        <v>6</v>
      </c>
      <c r="AD427" s="89">
        <v>1</v>
      </c>
      <c r="AE427" s="89" t="s">
        <v>0</v>
      </c>
      <c r="AF427" s="90">
        <v>367</v>
      </c>
      <c r="AG427" s="90">
        <v>44727</v>
      </c>
      <c r="AH427" s="90">
        <v>45818</v>
      </c>
    </row>
    <row r="428" spans="1:37" x14ac:dyDescent="0.35">
      <c r="A428" s="89" t="str">
        <f t="shared" si="26"/>
        <v>285L</v>
      </c>
      <c r="B428" s="89" t="s">
        <v>748</v>
      </c>
      <c r="C428" s="89" t="s">
        <v>749</v>
      </c>
      <c r="D428" s="89" t="s">
        <v>225</v>
      </c>
      <c r="E428" s="89" t="s">
        <v>1994</v>
      </c>
      <c r="F428" s="89" t="s">
        <v>1988</v>
      </c>
      <c r="G428" s="89" t="s">
        <v>115</v>
      </c>
      <c r="H428" s="89" t="s">
        <v>1976</v>
      </c>
      <c r="I428" s="89" t="s">
        <v>1559</v>
      </c>
      <c r="J428" s="89">
        <v>1</v>
      </c>
      <c r="K428" s="89" t="s">
        <v>53</v>
      </c>
      <c r="L428" s="89" t="s">
        <v>1548</v>
      </c>
      <c r="M428" s="91"/>
      <c r="N428" s="89" t="s">
        <v>1549</v>
      </c>
      <c r="O428" s="89" t="s">
        <v>615</v>
      </c>
      <c r="P428" s="89" t="s">
        <v>1550</v>
      </c>
      <c r="Q428" s="89" t="s">
        <v>674</v>
      </c>
      <c r="R428" s="89">
        <v>15</v>
      </c>
      <c r="S428" s="89" t="s">
        <v>1551</v>
      </c>
      <c r="T428" s="89" t="s">
        <v>1555</v>
      </c>
      <c r="U428" s="89" t="s">
        <v>1552</v>
      </c>
      <c r="V428" s="89" t="s">
        <v>1561</v>
      </c>
      <c r="W428" s="89" t="s">
        <v>638</v>
      </c>
      <c r="X428" s="89" t="s">
        <v>128</v>
      </c>
      <c r="Y428" s="89" t="s">
        <v>619</v>
      </c>
      <c r="Z428" s="89" t="s">
        <v>68</v>
      </c>
      <c r="AA428" s="89" t="s">
        <v>113</v>
      </c>
      <c r="AB428" s="89">
        <v>1</v>
      </c>
      <c r="AC428" s="89">
        <v>6</v>
      </c>
      <c r="AD428" s="89">
        <v>1</v>
      </c>
      <c r="AE428" s="89" t="s">
        <v>0</v>
      </c>
      <c r="AF428" s="90">
        <v>367</v>
      </c>
      <c r="AG428" s="90">
        <v>44723</v>
      </c>
      <c r="AH428" s="90">
        <v>45818</v>
      </c>
    </row>
    <row r="429" spans="1:37" x14ac:dyDescent="0.35">
      <c r="A429" s="89" t="str">
        <f t="shared" si="26"/>
        <v>683F</v>
      </c>
      <c r="B429" s="89" t="s">
        <v>1995</v>
      </c>
      <c r="C429" s="89" t="s">
        <v>1996</v>
      </c>
      <c r="D429" s="89" t="s">
        <v>355</v>
      </c>
      <c r="E429" s="89" t="s">
        <v>1997</v>
      </c>
      <c r="F429" s="89" t="s">
        <v>1988</v>
      </c>
      <c r="G429" s="89" t="s">
        <v>115</v>
      </c>
      <c r="H429" s="89" t="s">
        <v>1976</v>
      </c>
      <c r="I429" s="89" t="s">
        <v>1547</v>
      </c>
      <c r="J429" s="89">
        <v>0</v>
      </c>
      <c r="K429" s="89" t="s">
        <v>53</v>
      </c>
      <c r="L429" s="89" t="s">
        <v>1548</v>
      </c>
      <c r="M429" s="91"/>
      <c r="N429" s="89" t="s">
        <v>1549</v>
      </c>
      <c r="O429" s="89" t="s">
        <v>615</v>
      </c>
      <c r="P429" s="89" t="s">
        <v>1550</v>
      </c>
      <c r="Q429" s="89" t="s">
        <v>674</v>
      </c>
      <c r="R429" s="89">
        <v>15</v>
      </c>
      <c r="S429" s="89" t="s">
        <v>1551</v>
      </c>
      <c r="T429" s="89" t="s">
        <v>1555</v>
      </c>
      <c r="U429" s="89" t="s">
        <v>1552</v>
      </c>
      <c r="V429" s="89" t="s">
        <v>1561</v>
      </c>
      <c r="W429" s="89" t="s">
        <v>653</v>
      </c>
      <c r="X429" s="89" t="s">
        <v>111</v>
      </c>
      <c r="Y429" s="89" t="s">
        <v>619</v>
      </c>
      <c r="Z429" s="89" t="s">
        <v>68</v>
      </c>
      <c r="AA429" s="89" t="s">
        <v>113</v>
      </c>
      <c r="AB429" s="89">
        <v>1</v>
      </c>
      <c r="AC429" s="89">
        <v>6</v>
      </c>
      <c r="AD429" s="89">
        <v>1</v>
      </c>
      <c r="AE429" s="89" t="s">
        <v>0</v>
      </c>
      <c r="AF429" s="90">
        <v>367</v>
      </c>
      <c r="AG429" s="90">
        <v>44764</v>
      </c>
      <c r="AH429" s="90">
        <v>46223</v>
      </c>
    </row>
    <row r="430" spans="1:37" x14ac:dyDescent="0.35">
      <c r="A430" s="89" t="str">
        <f t="shared" si="26"/>
        <v>00HC</v>
      </c>
      <c r="B430" s="89" t="s">
        <v>733</v>
      </c>
      <c r="C430" s="89" t="s">
        <v>734</v>
      </c>
      <c r="D430" s="89" t="s">
        <v>114</v>
      </c>
      <c r="E430" s="89" t="s">
        <v>735</v>
      </c>
      <c r="F430" s="89" t="s">
        <v>1988</v>
      </c>
      <c r="G430" s="89" t="s">
        <v>115</v>
      </c>
      <c r="H430" s="89" t="s">
        <v>1976</v>
      </c>
      <c r="I430" s="89" t="s">
        <v>1547</v>
      </c>
      <c r="J430" s="89">
        <v>0</v>
      </c>
      <c r="K430" s="89" t="s">
        <v>53</v>
      </c>
      <c r="L430" s="89" t="s">
        <v>1548</v>
      </c>
      <c r="M430" s="91"/>
      <c r="N430" s="89" t="s">
        <v>1549</v>
      </c>
      <c r="O430" s="89" t="s">
        <v>615</v>
      </c>
      <c r="P430" s="89" t="s">
        <v>1550</v>
      </c>
      <c r="Q430" s="89" t="s">
        <v>674</v>
      </c>
      <c r="R430" s="89">
        <v>16</v>
      </c>
      <c r="S430" s="89" t="s">
        <v>1551</v>
      </c>
      <c r="T430" s="89" t="s">
        <v>1555</v>
      </c>
      <c r="U430" s="89" t="s">
        <v>1552</v>
      </c>
      <c r="V430" s="89" t="s">
        <v>1561</v>
      </c>
      <c r="W430" s="89" t="s">
        <v>653</v>
      </c>
      <c r="X430" s="89" t="s">
        <v>111</v>
      </c>
      <c r="Y430" s="89" t="s">
        <v>619</v>
      </c>
      <c r="Z430" s="89" t="s">
        <v>68</v>
      </c>
      <c r="AA430" s="89" t="s">
        <v>113</v>
      </c>
      <c r="AB430" s="89">
        <v>1</v>
      </c>
      <c r="AC430" s="89">
        <v>6</v>
      </c>
      <c r="AD430" s="89">
        <v>1</v>
      </c>
      <c r="AE430" s="89" t="s">
        <v>0</v>
      </c>
      <c r="AF430" s="90">
        <v>367</v>
      </c>
      <c r="AG430" s="90">
        <v>44764</v>
      </c>
      <c r="AH430" s="90">
        <v>46223</v>
      </c>
    </row>
    <row r="431" spans="1:37" x14ac:dyDescent="0.35">
      <c r="A431" s="89" t="str">
        <f t="shared" si="26"/>
        <v>6878</v>
      </c>
      <c r="B431" s="89" t="s">
        <v>767</v>
      </c>
      <c r="C431" s="89" t="s">
        <v>768</v>
      </c>
      <c r="D431" s="89" t="s">
        <v>365</v>
      </c>
      <c r="E431" s="89" t="s">
        <v>1998</v>
      </c>
      <c r="F431" s="89" t="s">
        <v>1988</v>
      </c>
      <c r="G431" s="89" t="s">
        <v>115</v>
      </c>
      <c r="H431" s="89" t="s">
        <v>1976</v>
      </c>
      <c r="I431" s="91"/>
      <c r="J431" s="89">
        <v>0</v>
      </c>
      <c r="K431" s="89" t="s">
        <v>53</v>
      </c>
      <c r="L431" s="89" t="s">
        <v>1548</v>
      </c>
      <c r="M431" s="91"/>
      <c r="N431" s="89" t="s">
        <v>1549</v>
      </c>
      <c r="O431" s="89" t="s">
        <v>615</v>
      </c>
      <c r="P431" s="89" t="s">
        <v>1550</v>
      </c>
      <c r="Q431" s="89" t="s">
        <v>674</v>
      </c>
      <c r="R431" s="89">
        <v>24</v>
      </c>
      <c r="S431" s="89" t="s">
        <v>1551</v>
      </c>
      <c r="T431" s="89" t="s">
        <v>1551</v>
      </c>
      <c r="U431" s="89" t="s">
        <v>1552</v>
      </c>
      <c r="V431" s="89" t="s">
        <v>1561</v>
      </c>
      <c r="W431" s="89" t="s">
        <v>638</v>
      </c>
      <c r="X431" s="89" t="s">
        <v>128</v>
      </c>
      <c r="Y431" s="89" t="s">
        <v>619</v>
      </c>
      <c r="Z431" s="89" t="s">
        <v>68</v>
      </c>
      <c r="AA431" s="89" t="s">
        <v>113</v>
      </c>
      <c r="AB431" s="89">
        <v>1</v>
      </c>
      <c r="AC431" s="89">
        <v>6</v>
      </c>
      <c r="AD431" s="89">
        <v>1</v>
      </c>
      <c r="AE431" s="89" t="s">
        <v>287</v>
      </c>
      <c r="AF431" s="90">
        <v>367</v>
      </c>
      <c r="AG431" s="90">
        <v>45065</v>
      </c>
      <c r="AH431" s="90">
        <v>46161</v>
      </c>
    </row>
    <row r="432" spans="1:37" x14ac:dyDescent="0.35">
      <c r="A432" s="89" t="str">
        <f t="shared" si="26"/>
        <v>587C</v>
      </c>
      <c r="B432" s="89" t="s">
        <v>1999</v>
      </c>
      <c r="C432" s="89" t="s">
        <v>2000</v>
      </c>
      <c r="D432" s="89" t="s">
        <v>303</v>
      </c>
      <c r="E432" s="89" t="s">
        <v>2001</v>
      </c>
      <c r="F432" s="89" t="s">
        <v>1988</v>
      </c>
      <c r="G432" s="89" t="s">
        <v>115</v>
      </c>
      <c r="H432" s="89" t="s">
        <v>1976</v>
      </c>
      <c r="I432" s="89" t="s">
        <v>1591</v>
      </c>
      <c r="J432" s="89">
        <v>0</v>
      </c>
      <c r="K432" s="89" t="s">
        <v>53</v>
      </c>
      <c r="L432" s="89" t="s">
        <v>1548</v>
      </c>
      <c r="M432" s="91"/>
      <c r="N432" s="89" t="s">
        <v>1549</v>
      </c>
      <c r="O432" s="89" t="s">
        <v>615</v>
      </c>
      <c r="P432" s="89" t="s">
        <v>1550</v>
      </c>
      <c r="Q432" s="89" t="s">
        <v>674</v>
      </c>
      <c r="R432" s="89">
        <v>24</v>
      </c>
      <c r="S432" s="89" t="s">
        <v>1551</v>
      </c>
      <c r="T432" s="89" t="s">
        <v>1558</v>
      </c>
      <c r="U432" s="89" t="s">
        <v>1552</v>
      </c>
      <c r="V432" s="89" t="s">
        <v>1561</v>
      </c>
      <c r="W432" s="89" t="s">
        <v>638</v>
      </c>
      <c r="X432" s="89" t="s">
        <v>128</v>
      </c>
      <c r="Y432" s="89" t="s">
        <v>619</v>
      </c>
      <c r="Z432" s="89" t="s">
        <v>68</v>
      </c>
      <c r="AA432" s="89" t="s">
        <v>113</v>
      </c>
      <c r="AB432" s="89">
        <v>1</v>
      </c>
      <c r="AC432" s="89">
        <v>6</v>
      </c>
      <c r="AD432" s="89">
        <v>1</v>
      </c>
      <c r="AE432" s="89" t="s">
        <v>287</v>
      </c>
      <c r="AF432" s="90">
        <v>367</v>
      </c>
      <c r="AG432" s="90">
        <v>45161</v>
      </c>
      <c r="AH432" s="90">
        <v>46264</v>
      </c>
    </row>
    <row r="433" spans="1:37" x14ac:dyDescent="0.35">
      <c r="A433" s="89" t="str">
        <f t="shared" si="26"/>
        <v>ZTZ9</v>
      </c>
      <c r="B433" s="89" t="s">
        <v>2002</v>
      </c>
      <c r="C433" s="89" t="s">
        <v>2003</v>
      </c>
      <c r="D433" s="89" t="s">
        <v>549</v>
      </c>
      <c r="E433" s="89" t="s">
        <v>2004</v>
      </c>
      <c r="F433" s="89" t="s">
        <v>1988</v>
      </c>
      <c r="G433" s="89" t="s">
        <v>115</v>
      </c>
      <c r="H433" s="89" t="s">
        <v>1976</v>
      </c>
      <c r="I433" s="89" t="s">
        <v>1547</v>
      </c>
      <c r="J433" s="89">
        <v>0</v>
      </c>
      <c r="K433" s="26" t="s">
        <v>38</v>
      </c>
      <c r="L433" s="89" t="s">
        <v>1588</v>
      </c>
      <c r="M433" s="91"/>
      <c r="N433" s="89" t="s">
        <v>1549</v>
      </c>
      <c r="O433" s="89" t="s">
        <v>615</v>
      </c>
      <c r="P433" s="89" t="s">
        <v>1550</v>
      </c>
      <c r="Q433" s="89" t="s">
        <v>674</v>
      </c>
      <c r="R433" s="89">
        <v>16</v>
      </c>
      <c r="S433" s="89" t="s">
        <v>1902</v>
      </c>
      <c r="T433" s="89" t="s">
        <v>1558</v>
      </c>
      <c r="U433" s="89" t="s">
        <v>1552</v>
      </c>
      <c r="V433" s="89" t="s">
        <v>1561</v>
      </c>
      <c r="W433" s="89" t="s">
        <v>653</v>
      </c>
      <c r="X433" s="89" t="s">
        <v>111</v>
      </c>
      <c r="Y433" s="89" t="s">
        <v>619</v>
      </c>
      <c r="Z433" s="89" t="s">
        <v>68</v>
      </c>
      <c r="AA433" s="89" t="s">
        <v>113</v>
      </c>
      <c r="AB433" s="89">
        <v>1</v>
      </c>
      <c r="AC433" s="89">
        <v>6</v>
      </c>
      <c r="AD433" s="89">
        <v>1</v>
      </c>
      <c r="AE433" s="89" t="s">
        <v>287</v>
      </c>
      <c r="AF433" s="90">
        <v>367</v>
      </c>
      <c r="AG433" s="90">
        <v>45202</v>
      </c>
      <c r="AH433" s="90">
        <v>46325</v>
      </c>
      <c r="AJ433" t="e">
        <f>VLOOKUP(A433,'1'!B:Q,16,0)</f>
        <v>#N/A</v>
      </c>
      <c r="AK433" s="96" t="e">
        <f t="shared" ref="AK433:AK435" si="29">AJ433/250</f>
        <v>#N/A</v>
      </c>
    </row>
    <row r="434" spans="1:37" x14ac:dyDescent="0.35">
      <c r="A434" s="89" t="str">
        <f t="shared" si="26"/>
        <v>ZKP9</v>
      </c>
      <c r="B434" s="89" t="s">
        <v>796</v>
      </c>
      <c r="C434" s="89" t="s">
        <v>2005</v>
      </c>
      <c r="D434" s="89" t="s">
        <v>492</v>
      </c>
      <c r="E434" s="89" t="s">
        <v>2006</v>
      </c>
      <c r="F434" s="89" t="s">
        <v>1988</v>
      </c>
      <c r="G434" s="89" t="s">
        <v>115</v>
      </c>
      <c r="H434" s="89" t="s">
        <v>1976</v>
      </c>
      <c r="I434" s="89" t="s">
        <v>1547</v>
      </c>
      <c r="J434" s="89">
        <v>0</v>
      </c>
      <c r="K434" s="26" t="s">
        <v>38</v>
      </c>
      <c r="L434" s="89" t="s">
        <v>1588</v>
      </c>
      <c r="M434" s="91"/>
      <c r="N434" s="89" t="s">
        <v>1549</v>
      </c>
      <c r="O434" s="89" t="s">
        <v>615</v>
      </c>
      <c r="P434" s="89" t="s">
        <v>1550</v>
      </c>
      <c r="Q434" s="89" t="s">
        <v>674</v>
      </c>
      <c r="R434" s="89">
        <v>24</v>
      </c>
      <c r="S434" s="89" t="s">
        <v>1551</v>
      </c>
      <c r="T434" s="89" t="s">
        <v>1558</v>
      </c>
      <c r="U434" s="89" t="s">
        <v>1552</v>
      </c>
      <c r="V434" s="89" t="s">
        <v>1561</v>
      </c>
      <c r="W434" s="89" t="s">
        <v>653</v>
      </c>
      <c r="X434" s="89" t="s">
        <v>111</v>
      </c>
      <c r="Y434" s="89" t="s">
        <v>619</v>
      </c>
      <c r="Z434" s="89" t="s">
        <v>68</v>
      </c>
      <c r="AA434" s="89" t="s">
        <v>113</v>
      </c>
      <c r="AB434" s="89">
        <v>1</v>
      </c>
      <c r="AC434" s="89">
        <v>12</v>
      </c>
      <c r="AD434" s="89">
        <v>1</v>
      </c>
      <c r="AE434" s="89" t="s">
        <v>287</v>
      </c>
      <c r="AF434" s="90">
        <v>367</v>
      </c>
      <c r="AG434" s="90">
        <v>45428</v>
      </c>
      <c r="AH434" s="90">
        <v>46537</v>
      </c>
      <c r="AJ434" t="e">
        <f>VLOOKUP(A434,'1'!B:Q,16,0)</f>
        <v>#N/A</v>
      </c>
      <c r="AK434" s="96" t="e">
        <f t="shared" si="29"/>
        <v>#N/A</v>
      </c>
    </row>
    <row r="435" spans="1:37" x14ac:dyDescent="0.35">
      <c r="A435" s="89" t="str">
        <f t="shared" si="26"/>
        <v>Z3NV</v>
      </c>
      <c r="B435" s="89" t="s">
        <v>790</v>
      </c>
      <c r="C435" s="89" t="s">
        <v>791</v>
      </c>
      <c r="D435" s="89" t="s">
        <v>460</v>
      </c>
      <c r="E435" s="89" t="s">
        <v>1986</v>
      </c>
      <c r="F435" s="89" t="s">
        <v>1988</v>
      </c>
      <c r="G435" s="89" t="s">
        <v>115</v>
      </c>
      <c r="H435" s="89" t="s">
        <v>1976</v>
      </c>
      <c r="I435" s="91"/>
      <c r="J435" s="89">
        <v>0</v>
      </c>
      <c r="K435" s="26" t="s">
        <v>38</v>
      </c>
      <c r="L435" s="89" t="s">
        <v>1620</v>
      </c>
      <c r="M435" s="91"/>
      <c r="N435" s="89" t="s">
        <v>1549</v>
      </c>
      <c r="O435" s="89" t="s">
        <v>615</v>
      </c>
      <c r="P435" s="89" t="s">
        <v>1550</v>
      </c>
      <c r="Q435" s="89" t="s">
        <v>674</v>
      </c>
      <c r="R435" s="89">
        <v>24</v>
      </c>
      <c r="S435" s="89" t="s">
        <v>1551</v>
      </c>
      <c r="T435" s="89" t="s">
        <v>1558</v>
      </c>
      <c r="U435" s="89" t="s">
        <v>1552</v>
      </c>
      <c r="V435" s="89" t="s">
        <v>1561</v>
      </c>
      <c r="W435" s="89" t="s">
        <v>638</v>
      </c>
      <c r="X435" s="89" t="s">
        <v>128</v>
      </c>
      <c r="Y435" s="89" t="s">
        <v>619</v>
      </c>
      <c r="Z435" s="89" t="s">
        <v>68</v>
      </c>
      <c r="AA435" s="89" t="s">
        <v>113</v>
      </c>
      <c r="AB435" s="89">
        <v>1</v>
      </c>
      <c r="AC435" s="89">
        <v>6</v>
      </c>
      <c r="AD435" s="89">
        <v>1</v>
      </c>
      <c r="AE435" s="89" t="s">
        <v>288</v>
      </c>
      <c r="AF435" s="90">
        <v>367</v>
      </c>
      <c r="AG435" s="90">
        <v>45444</v>
      </c>
      <c r="AH435" s="90">
        <v>46568</v>
      </c>
      <c r="AJ435" t="e">
        <f>VLOOKUP(A435,'1'!B:Q,16,0)</f>
        <v>#N/A</v>
      </c>
      <c r="AK435" s="96" t="e">
        <f t="shared" si="29"/>
        <v>#N/A</v>
      </c>
    </row>
    <row r="436" spans="1:37" x14ac:dyDescent="0.35">
      <c r="A436" s="89" t="str">
        <f t="shared" si="26"/>
        <v>00M6</v>
      </c>
      <c r="B436" s="89" t="s">
        <v>2007</v>
      </c>
      <c r="C436" s="89" t="s">
        <v>2008</v>
      </c>
      <c r="D436" s="89" t="s">
        <v>129</v>
      </c>
      <c r="E436" s="89" t="s">
        <v>2009</v>
      </c>
      <c r="F436" s="89" t="s">
        <v>1988</v>
      </c>
      <c r="G436" s="89" t="s">
        <v>115</v>
      </c>
      <c r="H436" s="89" t="s">
        <v>1976</v>
      </c>
      <c r="I436" s="89" t="s">
        <v>1547</v>
      </c>
      <c r="J436" s="89">
        <v>0</v>
      </c>
      <c r="K436" s="89" t="s">
        <v>53</v>
      </c>
      <c r="L436" s="89" t="s">
        <v>1548</v>
      </c>
      <c r="M436" s="91"/>
      <c r="N436" s="89" t="s">
        <v>1549</v>
      </c>
      <c r="O436" s="89" t="s">
        <v>615</v>
      </c>
      <c r="P436" s="89" t="s">
        <v>1550</v>
      </c>
      <c r="Q436" s="89" t="s">
        <v>674</v>
      </c>
      <c r="R436" s="89">
        <v>24</v>
      </c>
      <c r="S436" s="89" t="s">
        <v>1551</v>
      </c>
      <c r="T436" s="89" t="s">
        <v>1558</v>
      </c>
      <c r="U436" s="89" t="s">
        <v>1552</v>
      </c>
      <c r="V436" s="89" t="s">
        <v>1561</v>
      </c>
      <c r="W436" s="89" t="s">
        <v>638</v>
      </c>
      <c r="X436" s="89" t="s">
        <v>128</v>
      </c>
      <c r="Y436" s="89" t="s">
        <v>619</v>
      </c>
      <c r="Z436" s="89" t="s">
        <v>68</v>
      </c>
      <c r="AA436" s="89" t="s">
        <v>113</v>
      </c>
      <c r="AB436" s="89">
        <v>1</v>
      </c>
      <c r="AC436" s="89">
        <v>6</v>
      </c>
      <c r="AD436" s="89">
        <v>1</v>
      </c>
      <c r="AE436" s="89" t="s">
        <v>287</v>
      </c>
      <c r="AF436" s="90">
        <v>367</v>
      </c>
      <c r="AG436" s="90">
        <v>45525</v>
      </c>
      <c r="AH436" s="90">
        <v>46629</v>
      </c>
    </row>
    <row r="437" spans="1:37" x14ac:dyDescent="0.35">
      <c r="A437" s="89" t="str">
        <f t="shared" si="26"/>
        <v>4108</v>
      </c>
      <c r="B437" s="89" t="s">
        <v>2010</v>
      </c>
      <c r="C437" s="89" t="s">
        <v>2011</v>
      </c>
      <c r="D437" s="89" t="s">
        <v>262</v>
      </c>
      <c r="E437" s="89" t="s">
        <v>2012</v>
      </c>
      <c r="F437" s="89" t="s">
        <v>1988</v>
      </c>
      <c r="G437" s="89" t="s">
        <v>115</v>
      </c>
      <c r="H437" s="89" t="s">
        <v>1976</v>
      </c>
      <c r="I437" s="89" t="s">
        <v>1547</v>
      </c>
      <c r="J437" s="89">
        <v>0</v>
      </c>
      <c r="K437" s="89" t="s">
        <v>53</v>
      </c>
      <c r="L437" s="89" t="s">
        <v>1548</v>
      </c>
      <c r="M437" s="91"/>
      <c r="N437" s="89" t="s">
        <v>1549</v>
      </c>
      <c r="O437" s="89" t="s">
        <v>615</v>
      </c>
      <c r="P437" s="89" t="s">
        <v>1550</v>
      </c>
      <c r="Q437" s="89" t="s">
        <v>674</v>
      </c>
      <c r="R437" s="89">
        <v>24</v>
      </c>
      <c r="S437" s="89" t="s">
        <v>1551</v>
      </c>
      <c r="T437" s="89" t="s">
        <v>1558</v>
      </c>
      <c r="U437" s="89" t="s">
        <v>1552</v>
      </c>
      <c r="V437" s="89" t="s">
        <v>1561</v>
      </c>
      <c r="W437" s="89" t="s">
        <v>653</v>
      </c>
      <c r="X437" s="89" t="s">
        <v>111</v>
      </c>
      <c r="Y437" s="89" t="s">
        <v>619</v>
      </c>
      <c r="Z437" s="89" t="s">
        <v>68</v>
      </c>
      <c r="AA437" s="89" t="s">
        <v>113</v>
      </c>
      <c r="AB437" s="89">
        <v>1</v>
      </c>
      <c r="AC437" s="89">
        <v>6</v>
      </c>
      <c r="AD437" s="89">
        <v>1</v>
      </c>
      <c r="AE437" s="89" t="s">
        <v>288</v>
      </c>
      <c r="AF437" s="90">
        <v>367</v>
      </c>
      <c r="AG437" s="90">
        <v>45706</v>
      </c>
      <c r="AH437" s="90">
        <v>46811</v>
      </c>
    </row>
    <row r="438" spans="1:37" x14ac:dyDescent="0.35">
      <c r="A438" s="89" t="str">
        <f t="shared" si="26"/>
        <v>Z1T1</v>
      </c>
      <c r="B438" s="89" t="s">
        <v>1503</v>
      </c>
      <c r="C438" s="89" t="s">
        <v>1504</v>
      </c>
      <c r="D438" s="89" t="s">
        <v>439</v>
      </c>
      <c r="E438" s="89" t="s">
        <v>2013</v>
      </c>
      <c r="F438" s="89" t="s">
        <v>2014</v>
      </c>
      <c r="G438" s="89" t="s">
        <v>115</v>
      </c>
      <c r="H438" s="89" t="s">
        <v>1976</v>
      </c>
      <c r="I438" s="89" t="s">
        <v>1547</v>
      </c>
      <c r="J438" s="89">
        <v>0</v>
      </c>
      <c r="K438" s="26" t="s">
        <v>38</v>
      </c>
      <c r="L438" s="89" t="s">
        <v>1620</v>
      </c>
      <c r="M438" s="91"/>
      <c r="N438" s="89" t="s">
        <v>1549</v>
      </c>
      <c r="O438" s="89" t="s">
        <v>615</v>
      </c>
      <c r="P438" s="89" t="s">
        <v>1550</v>
      </c>
      <c r="Q438" s="89" t="s">
        <v>637</v>
      </c>
      <c r="R438" s="89">
        <v>24</v>
      </c>
      <c r="S438" s="89" t="s">
        <v>1551</v>
      </c>
      <c r="T438" s="89" t="s">
        <v>1558</v>
      </c>
      <c r="U438" s="89" t="s">
        <v>1552</v>
      </c>
      <c r="V438" s="89" t="s">
        <v>1561</v>
      </c>
      <c r="W438" s="89" t="s">
        <v>636</v>
      </c>
      <c r="X438" s="89" t="s">
        <v>135</v>
      </c>
      <c r="Y438" s="89" t="s">
        <v>619</v>
      </c>
      <c r="Z438" s="89" t="s">
        <v>68</v>
      </c>
      <c r="AA438" s="89" t="s">
        <v>137</v>
      </c>
      <c r="AB438" s="89">
        <v>1</v>
      </c>
      <c r="AC438" s="89">
        <v>6</v>
      </c>
      <c r="AD438" s="89">
        <v>1</v>
      </c>
      <c r="AE438" s="89" t="s">
        <v>287</v>
      </c>
      <c r="AF438" s="90">
        <v>367</v>
      </c>
      <c r="AG438" s="90">
        <v>45538</v>
      </c>
      <c r="AH438" s="90">
        <v>46630</v>
      </c>
      <c r="AJ438" t="e">
        <f>VLOOKUP(A438,'1'!B:Q,16,0)</f>
        <v>#N/A</v>
      </c>
      <c r="AK438" s="96" t="e">
        <f>AJ438/250</f>
        <v>#N/A</v>
      </c>
    </row>
    <row r="439" spans="1:37" x14ac:dyDescent="0.35">
      <c r="A439" s="89" t="str">
        <f t="shared" si="26"/>
        <v>653L</v>
      </c>
      <c r="B439" s="89" t="s">
        <v>821</v>
      </c>
      <c r="C439" s="89" t="s">
        <v>822</v>
      </c>
      <c r="D439" s="89" t="s">
        <v>340</v>
      </c>
      <c r="E439" s="89" t="s">
        <v>2015</v>
      </c>
      <c r="F439" s="89" t="s">
        <v>2016</v>
      </c>
      <c r="G439" s="89" t="s">
        <v>115</v>
      </c>
      <c r="H439" s="89" t="s">
        <v>1976</v>
      </c>
      <c r="I439" s="89" t="s">
        <v>1547</v>
      </c>
      <c r="J439" s="89">
        <v>1</v>
      </c>
      <c r="K439" s="89" t="s">
        <v>53</v>
      </c>
      <c r="L439" s="89" t="s">
        <v>1548</v>
      </c>
      <c r="M439" s="91"/>
      <c r="N439" s="89" t="s">
        <v>1549</v>
      </c>
      <c r="O439" s="89" t="s">
        <v>615</v>
      </c>
      <c r="P439" s="89" t="s">
        <v>1550</v>
      </c>
      <c r="Q439" s="89" t="s">
        <v>637</v>
      </c>
      <c r="R439" s="89">
        <v>24</v>
      </c>
      <c r="S439" s="89" t="s">
        <v>1551</v>
      </c>
      <c r="T439" s="89" t="s">
        <v>1551</v>
      </c>
      <c r="U439" s="89" t="s">
        <v>1552</v>
      </c>
      <c r="V439" s="89" t="s">
        <v>1553</v>
      </c>
      <c r="W439" s="89" t="s">
        <v>636</v>
      </c>
      <c r="X439" s="89" t="s">
        <v>135</v>
      </c>
      <c r="Y439" s="89" t="s">
        <v>619</v>
      </c>
      <c r="Z439" s="89" t="s">
        <v>68</v>
      </c>
      <c r="AA439" s="89" t="s">
        <v>137</v>
      </c>
      <c r="AB439" s="89">
        <v>4</v>
      </c>
      <c r="AC439" s="89">
        <v>6</v>
      </c>
      <c r="AD439" s="89">
        <v>1</v>
      </c>
      <c r="AE439" s="89" t="s">
        <v>285</v>
      </c>
      <c r="AF439" s="90">
        <v>367</v>
      </c>
      <c r="AG439" s="90">
        <v>44057</v>
      </c>
      <c r="AH439" s="90">
        <v>45169</v>
      </c>
    </row>
    <row r="440" spans="1:37" x14ac:dyDescent="0.35">
      <c r="A440" s="89" t="str">
        <f t="shared" si="26"/>
        <v>ZLR2</v>
      </c>
      <c r="B440" s="89" t="s">
        <v>633</v>
      </c>
      <c r="C440" s="89" t="s">
        <v>634</v>
      </c>
      <c r="D440" s="89" t="s">
        <v>495</v>
      </c>
      <c r="E440" s="89" t="s">
        <v>635</v>
      </c>
      <c r="F440" s="89" t="s">
        <v>2016</v>
      </c>
      <c r="G440" s="89" t="s">
        <v>115</v>
      </c>
      <c r="H440" s="89" t="s">
        <v>1976</v>
      </c>
      <c r="I440" s="89" t="s">
        <v>1547</v>
      </c>
      <c r="J440" s="89">
        <v>0</v>
      </c>
      <c r="K440" s="26" t="s">
        <v>38</v>
      </c>
      <c r="L440" s="89" t="s">
        <v>1588</v>
      </c>
      <c r="M440" s="91"/>
      <c r="N440" s="89" t="s">
        <v>1549</v>
      </c>
      <c r="O440" s="89" t="s">
        <v>615</v>
      </c>
      <c r="P440" s="89" t="s">
        <v>1550</v>
      </c>
      <c r="Q440" s="89" t="s">
        <v>637</v>
      </c>
      <c r="R440" s="89">
        <v>24</v>
      </c>
      <c r="S440" s="89" t="s">
        <v>1551</v>
      </c>
      <c r="T440" s="89" t="s">
        <v>1555</v>
      </c>
      <c r="U440" s="89" t="s">
        <v>1552</v>
      </c>
      <c r="V440" s="89" t="s">
        <v>1561</v>
      </c>
      <c r="W440" s="89" t="s">
        <v>636</v>
      </c>
      <c r="X440" s="89" t="s">
        <v>135</v>
      </c>
      <c r="Y440" s="89" t="s">
        <v>619</v>
      </c>
      <c r="Z440" s="89" t="s">
        <v>68</v>
      </c>
      <c r="AA440" s="89" t="s">
        <v>137</v>
      </c>
      <c r="AB440" s="89">
        <v>4</v>
      </c>
      <c r="AC440" s="89">
        <v>12</v>
      </c>
      <c r="AD440" s="89">
        <v>1</v>
      </c>
      <c r="AE440" s="89" t="s">
        <v>287</v>
      </c>
      <c r="AF440" s="90">
        <v>367</v>
      </c>
      <c r="AG440" s="90">
        <v>45082</v>
      </c>
      <c r="AH440" s="90">
        <v>46174</v>
      </c>
      <c r="AJ440" t="e">
        <f>VLOOKUP(A440,'1'!B:Q,16,0)</f>
        <v>#N/A</v>
      </c>
      <c r="AK440" s="96" t="e">
        <f>AJ440/250</f>
        <v>#N/A</v>
      </c>
    </row>
    <row r="441" spans="1:37" x14ac:dyDescent="0.35">
      <c r="A441" s="89" t="str">
        <f t="shared" si="26"/>
        <v>00RN</v>
      </c>
      <c r="B441" s="89" t="s">
        <v>816</v>
      </c>
      <c r="C441" s="89" t="s">
        <v>817</v>
      </c>
      <c r="D441" s="89" t="s">
        <v>138</v>
      </c>
      <c r="E441" s="89" t="s">
        <v>818</v>
      </c>
      <c r="F441" s="89" t="s">
        <v>2016</v>
      </c>
      <c r="G441" s="89" t="s">
        <v>115</v>
      </c>
      <c r="H441" s="89" t="s">
        <v>1976</v>
      </c>
      <c r="I441" s="91"/>
      <c r="J441" s="89">
        <v>0</v>
      </c>
      <c r="K441" s="89" t="s">
        <v>53</v>
      </c>
      <c r="L441" s="89" t="s">
        <v>1548</v>
      </c>
      <c r="M441" s="91"/>
      <c r="N441" s="89" t="s">
        <v>1549</v>
      </c>
      <c r="O441" s="89" t="s">
        <v>615</v>
      </c>
      <c r="P441" s="89" t="s">
        <v>1550</v>
      </c>
      <c r="Q441" s="89" t="s">
        <v>637</v>
      </c>
      <c r="R441" s="89">
        <v>24</v>
      </c>
      <c r="S441" s="89" t="s">
        <v>1551</v>
      </c>
      <c r="T441" s="89" t="s">
        <v>1558</v>
      </c>
      <c r="U441" s="89" t="s">
        <v>1552</v>
      </c>
      <c r="V441" s="89" t="s">
        <v>1561</v>
      </c>
      <c r="W441" s="89" t="s">
        <v>636</v>
      </c>
      <c r="X441" s="89" t="s">
        <v>135</v>
      </c>
      <c r="Y441" s="89" t="s">
        <v>619</v>
      </c>
      <c r="Z441" s="89" t="s">
        <v>68</v>
      </c>
      <c r="AA441" s="89" t="s">
        <v>137</v>
      </c>
      <c r="AB441" s="89">
        <v>1</v>
      </c>
      <c r="AC441" s="89">
        <v>6</v>
      </c>
      <c r="AD441" s="89">
        <v>1</v>
      </c>
      <c r="AE441" s="89" t="s">
        <v>288</v>
      </c>
      <c r="AF441" s="90">
        <v>367</v>
      </c>
      <c r="AG441" s="90">
        <v>45615</v>
      </c>
      <c r="AH441" s="90">
        <v>46721</v>
      </c>
    </row>
    <row r="442" spans="1:37" x14ac:dyDescent="0.35">
      <c r="A442" s="89" t="str">
        <f t="shared" si="26"/>
        <v>Z0P8</v>
      </c>
      <c r="B442" s="89" t="s">
        <v>2017</v>
      </c>
      <c r="C442" s="89" t="s">
        <v>2018</v>
      </c>
      <c r="D442" s="89" t="s">
        <v>418</v>
      </c>
      <c r="E442" s="89" t="s">
        <v>2019</v>
      </c>
      <c r="F442" s="89" t="s">
        <v>2020</v>
      </c>
      <c r="G442" s="89" t="s">
        <v>115</v>
      </c>
      <c r="H442" s="89" t="s">
        <v>1976</v>
      </c>
      <c r="I442" s="89" t="s">
        <v>1574</v>
      </c>
      <c r="J442" s="89">
        <v>0</v>
      </c>
      <c r="K442" s="26" t="s">
        <v>38</v>
      </c>
      <c r="L442" s="89" t="s">
        <v>1588</v>
      </c>
      <c r="M442" s="91"/>
      <c r="N442" s="89" t="s">
        <v>1549</v>
      </c>
      <c r="O442" s="89" t="s">
        <v>615</v>
      </c>
      <c r="P442" s="89" t="s">
        <v>1550</v>
      </c>
      <c r="Q442" s="89" t="s">
        <v>637</v>
      </c>
      <c r="R442" s="89">
        <v>24</v>
      </c>
      <c r="S442" s="89" t="s">
        <v>1551</v>
      </c>
      <c r="T442" s="89" t="s">
        <v>1558</v>
      </c>
      <c r="U442" s="89" t="s">
        <v>1552</v>
      </c>
      <c r="V442" s="89" t="s">
        <v>1561</v>
      </c>
      <c r="W442" s="89" t="s">
        <v>653</v>
      </c>
      <c r="X442" s="89" t="s">
        <v>111</v>
      </c>
      <c r="Y442" s="89" t="s">
        <v>619</v>
      </c>
      <c r="Z442" s="89" t="s">
        <v>68</v>
      </c>
      <c r="AA442" s="89" t="s">
        <v>113</v>
      </c>
      <c r="AB442" s="89">
        <v>4</v>
      </c>
      <c r="AC442" s="89">
        <v>6</v>
      </c>
      <c r="AD442" s="89">
        <v>1</v>
      </c>
      <c r="AE442" s="89" t="s">
        <v>287</v>
      </c>
      <c r="AF442" s="90">
        <v>367</v>
      </c>
      <c r="AG442" s="90">
        <v>45146</v>
      </c>
      <c r="AH442" s="90">
        <v>46264</v>
      </c>
      <c r="AJ442" t="e">
        <f>VLOOKUP(A442,'1'!B:Q,16,0)</f>
        <v>#N/A</v>
      </c>
      <c r="AK442" s="96" t="e">
        <f t="shared" ref="AK442:AK446" si="30">AJ442/250</f>
        <v>#N/A</v>
      </c>
    </row>
    <row r="443" spans="1:37" x14ac:dyDescent="0.35">
      <c r="A443" s="89" t="str">
        <f t="shared" si="26"/>
        <v>ZTR4</v>
      </c>
      <c r="B443" s="89" t="s">
        <v>681</v>
      </c>
      <c r="C443" s="89" t="s">
        <v>682</v>
      </c>
      <c r="D443" s="89" t="s">
        <v>548</v>
      </c>
      <c r="E443" s="89" t="s">
        <v>670</v>
      </c>
      <c r="F443" s="89" t="s">
        <v>2020</v>
      </c>
      <c r="G443" s="89" t="s">
        <v>115</v>
      </c>
      <c r="H443" s="89" t="s">
        <v>1976</v>
      </c>
      <c r="I443" s="91"/>
      <c r="J443" s="89">
        <v>0</v>
      </c>
      <c r="K443" s="26" t="s">
        <v>38</v>
      </c>
      <c r="L443" s="89" t="s">
        <v>1588</v>
      </c>
      <c r="M443" s="91"/>
      <c r="N443" s="89" t="s">
        <v>1549</v>
      </c>
      <c r="O443" s="89" t="s">
        <v>615</v>
      </c>
      <c r="P443" s="89" t="s">
        <v>1550</v>
      </c>
      <c r="Q443" s="89" t="s">
        <v>637</v>
      </c>
      <c r="R443" s="89">
        <v>24</v>
      </c>
      <c r="S443" s="89" t="s">
        <v>1551</v>
      </c>
      <c r="T443" s="89" t="s">
        <v>1558</v>
      </c>
      <c r="U443" s="89" t="s">
        <v>1552</v>
      </c>
      <c r="V443" s="89" t="s">
        <v>1561</v>
      </c>
      <c r="W443" s="89" t="s">
        <v>638</v>
      </c>
      <c r="X443" s="89" t="s">
        <v>128</v>
      </c>
      <c r="Y443" s="89" t="s">
        <v>619</v>
      </c>
      <c r="Z443" s="89" t="s">
        <v>68</v>
      </c>
      <c r="AA443" s="89" t="s">
        <v>113</v>
      </c>
      <c r="AB443" s="89">
        <v>4</v>
      </c>
      <c r="AC443" s="89">
        <v>6</v>
      </c>
      <c r="AD443" s="89">
        <v>1</v>
      </c>
      <c r="AE443" s="89" t="s">
        <v>287</v>
      </c>
      <c r="AF443" s="90">
        <v>367</v>
      </c>
      <c r="AG443" s="90">
        <v>45139</v>
      </c>
      <c r="AH443" s="90">
        <v>46264</v>
      </c>
      <c r="AJ443" t="e">
        <f>VLOOKUP(A443,'1'!B:Q,16,0)</f>
        <v>#N/A</v>
      </c>
      <c r="AK443" s="96" t="e">
        <f t="shared" si="30"/>
        <v>#N/A</v>
      </c>
    </row>
    <row r="444" spans="1:37" x14ac:dyDescent="0.35">
      <c r="A444" s="89" t="str">
        <f t="shared" si="26"/>
        <v>ZTQ4</v>
      </c>
      <c r="B444" s="89" t="s">
        <v>668</v>
      </c>
      <c r="C444" s="89" t="s">
        <v>669</v>
      </c>
      <c r="D444" s="89" t="s">
        <v>547</v>
      </c>
      <c r="E444" s="89" t="s">
        <v>670</v>
      </c>
      <c r="F444" s="89" t="s">
        <v>2020</v>
      </c>
      <c r="G444" s="89" t="s">
        <v>115</v>
      </c>
      <c r="H444" s="89" t="s">
        <v>1976</v>
      </c>
      <c r="I444" s="89" t="s">
        <v>1556</v>
      </c>
      <c r="J444" s="89">
        <v>0</v>
      </c>
      <c r="K444" s="26" t="s">
        <v>38</v>
      </c>
      <c r="L444" s="89" t="s">
        <v>1588</v>
      </c>
      <c r="M444" s="91"/>
      <c r="N444" s="89" t="s">
        <v>1549</v>
      </c>
      <c r="O444" s="89" t="s">
        <v>615</v>
      </c>
      <c r="P444" s="89" t="s">
        <v>1550</v>
      </c>
      <c r="Q444" s="89" t="s">
        <v>637</v>
      </c>
      <c r="R444" s="89">
        <v>24</v>
      </c>
      <c r="S444" s="89" t="s">
        <v>1551</v>
      </c>
      <c r="T444" s="89" t="s">
        <v>1558</v>
      </c>
      <c r="U444" s="89" t="s">
        <v>1552</v>
      </c>
      <c r="V444" s="89" t="s">
        <v>1561</v>
      </c>
      <c r="W444" s="89" t="s">
        <v>638</v>
      </c>
      <c r="X444" s="89" t="s">
        <v>128</v>
      </c>
      <c r="Y444" s="89" t="s">
        <v>619</v>
      </c>
      <c r="Z444" s="89" t="s">
        <v>68</v>
      </c>
      <c r="AA444" s="89" t="s">
        <v>113</v>
      </c>
      <c r="AB444" s="89">
        <v>4</v>
      </c>
      <c r="AC444" s="89">
        <v>12</v>
      </c>
      <c r="AD444" s="89">
        <v>1</v>
      </c>
      <c r="AE444" s="89" t="s">
        <v>288</v>
      </c>
      <c r="AF444" s="90">
        <v>367</v>
      </c>
      <c r="AG444" s="90">
        <v>45408</v>
      </c>
      <c r="AH444" s="90">
        <v>46503</v>
      </c>
      <c r="AJ444" t="e">
        <f>VLOOKUP(A444,'1'!B:Q,16,0)</f>
        <v>#N/A</v>
      </c>
      <c r="AK444" s="96" t="e">
        <f t="shared" si="30"/>
        <v>#N/A</v>
      </c>
    </row>
    <row r="445" spans="1:37" x14ac:dyDescent="0.35">
      <c r="A445" s="89" t="str">
        <f t="shared" si="26"/>
        <v>ZLQ2</v>
      </c>
      <c r="B445" s="89" t="s">
        <v>650</v>
      </c>
      <c r="C445" s="89" t="s">
        <v>651</v>
      </c>
      <c r="D445" s="89" t="s">
        <v>494</v>
      </c>
      <c r="E445" s="89" t="s">
        <v>652</v>
      </c>
      <c r="F445" s="89" t="s">
        <v>2021</v>
      </c>
      <c r="G445" s="89" t="s">
        <v>115</v>
      </c>
      <c r="H445" s="89" t="s">
        <v>1976</v>
      </c>
      <c r="I445" s="89" t="s">
        <v>1547</v>
      </c>
      <c r="J445" s="89">
        <v>0</v>
      </c>
      <c r="K445" s="26" t="s">
        <v>38</v>
      </c>
      <c r="L445" s="89" t="s">
        <v>1588</v>
      </c>
      <c r="M445" s="91"/>
      <c r="N445" s="89" t="s">
        <v>1549</v>
      </c>
      <c r="O445" s="89" t="s">
        <v>615</v>
      </c>
      <c r="P445" s="89" t="s">
        <v>1550</v>
      </c>
      <c r="Q445" s="89" t="s">
        <v>637</v>
      </c>
      <c r="R445" s="89">
        <v>24</v>
      </c>
      <c r="S445" s="89" t="s">
        <v>1551</v>
      </c>
      <c r="T445" s="89" t="s">
        <v>1555</v>
      </c>
      <c r="U445" s="89" t="s">
        <v>1552</v>
      </c>
      <c r="V445" s="89" t="s">
        <v>1561</v>
      </c>
      <c r="W445" s="89" t="s">
        <v>653</v>
      </c>
      <c r="X445" s="89" t="s">
        <v>111</v>
      </c>
      <c r="Y445" s="89" t="s">
        <v>619</v>
      </c>
      <c r="Z445" s="89" t="s">
        <v>68</v>
      </c>
      <c r="AA445" s="89" t="s">
        <v>113</v>
      </c>
      <c r="AB445" s="89">
        <v>4</v>
      </c>
      <c r="AC445" s="89">
        <v>6</v>
      </c>
      <c r="AD445" s="89">
        <v>1</v>
      </c>
      <c r="AE445" s="89" t="s">
        <v>287</v>
      </c>
      <c r="AF445" s="90">
        <v>367</v>
      </c>
      <c r="AG445" s="90">
        <v>45077</v>
      </c>
      <c r="AH445" s="90">
        <v>46143</v>
      </c>
      <c r="AJ445" t="e">
        <f>VLOOKUP(A445,'1'!B:Q,16,0)</f>
        <v>#N/A</v>
      </c>
      <c r="AK445" s="96" t="e">
        <f t="shared" si="30"/>
        <v>#N/A</v>
      </c>
    </row>
    <row r="446" spans="1:37" x14ac:dyDescent="0.35">
      <c r="A446" s="89" t="str">
        <f t="shared" si="26"/>
        <v>Z0J9</v>
      </c>
      <c r="B446" s="89" t="s">
        <v>2022</v>
      </c>
      <c r="C446" s="89" t="s">
        <v>2023</v>
      </c>
      <c r="D446" s="89" t="s">
        <v>416</v>
      </c>
      <c r="E446" s="89" t="s">
        <v>2024</v>
      </c>
      <c r="F446" s="89" t="s">
        <v>2021</v>
      </c>
      <c r="G446" s="89" t="s">
        <v>115</v>
      </c>
      <c r="H446" s="89" t="s">
        <v>1976</v>
      </c>
      <c r="I446" s="89" t="s">
        <v>1547</v>
      </c>
      <c r="J446" s="89">
        <v>0</v>
      </c>
      <c r="K446" s="26" t="s">
        <v>38</v>
      </c>
      <c r="L446" s="89" t="s">
        <v>1588</v>
      </c>
      <c r="M446" s="91"/>
      <c r="N446" s="89" t="s">
        <v>1549</v>
      </c>
      <c r="O446" s="89" t="s">
        <v>615</v>
      </c>
      <c r="P446" s="89" t="s">
        <v>1550</v>
      </c>
      <c r="Q446" s="89" t="s">
        <v>637</v>
      </c>
      <c r="R446" s="89">
        <v>24</v>
      </c>
      <c r="S446" s="89" t="s">
        <v>1551</v>
      </c>
      <c r="T446" s="89" t="s">
        <v>1558</v>
      </c>
      <c r="U446" s="89" t="s">
        <v>1552</v>
      </c>
      <c r="V446" s="89" t="s">
        <v>1561</v>
      </c>
      <c r="W446" s="89" t="s">
        <v>653</v>
      </c>
      <c r="X446" s="89" t="s">
        <v>111</v>
      </c>
      <c r="Y446" s="89" t="s">
        <v>619</v>
      </c>
      <c r="Z446" s="89" t="s">
        <v>68</v>
      </c>
      <c r="AA446" s="89" t="s">
        <v>113</v>
      </c>
      <c r="AB446" s="89">
        <v>4</v>
      </c>
      <c r="AC446" s="89">
        <v>6</v>
      </c>
      <c r="AD446" s="89">
        <v>1</v>
      </c>
      <c r="AE446" s="89" t="s">
        <v>288</v>
      </c>
      <c r="AF446" s="90">
        <v>367</v>
      </c>
      <c r="AG446" s="90">
        <v>45385</v>
      </c>
      <c r="AH446" s="90">
        <v>46480</v>
      </c>
      <c r="AJ446" t="e">
        <f>VLOOKUP(A446,'1'!B:Q,16,0)</f>
        <v>#N/A</v>
      </c>
      <c r="AK446" s="96" t="e">
        <f t="shared" si="30"/>
        <v>#N/A</v>
      </c>
    </row>
  </sheetData>
  <autoFilter ref="A1:AH446" xr:uid="{742ADA5F-87E5-4EF6-900E-372144EAA407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3232D-0261-4D1D-A474-95FAB5E4FA0F}">
  <dimension ref="A1:AM527"/>
  <sheetViews>
    <sheetView workbookViewId="0">
      <selection activeCell="Q2" sqref="Q2:AM527"/>
    </sheetView>
  </sheetViews>
  <sheetFormatPr defaultRowHeight="14.5" x14ac:dyDescent="0.35"/>
  <cols>
    <col min="4" max="5" width="12.453125" customWidth="1"/>
    <col min="14" max="14" width="14.26953125" customWidth="1"/>
    <col min="15" max="16" width="18.6328125" customWidth="1"/>
    <col min="17" max="17" width="15.453125" customWidth="1"/>
  </cols>
  <sheetData>
    <row r="1" spans="1:39" ht="15" customHeight="1" x14ac:dyDescent="0.35">
      <c r="A1" t="s">
        <v>581</v>
      </c>
      <c r="B1" t="s">
        <v>582</v>
      </c>
      <c r="C1" t="s">
        <v>583</v>
      </c>
      <c r="D1" t="s">
        <v>25</v>
      </c>
      <c r="E1" s="84" t="s">
        <v>1512</v>
      </c>
      <c r="F1" t="s">
        <v>584</v>
      </c>
      <c r="G1" t="s">
        <v>585</v>
      </c>
      <c r="H1" t="s">
        <v>6</v>
      </c>
      <c r="I1" t="s">
        <v>586</v>
      </c>
      <c r="J1" t="s">
        <v>587</v>
      </c>
      <c r="K1" t="s">
        <v>588</v>
      </c>
      <c r="L1" t="s">
        <v>589</v>
      </c>
      <c r="M1" t="s">
        <v>590</v>
      </c>
      <c r="N1" t="s">
        <v>591</v>
      </c>
      <c r="O1" t="s">
        <v>592</v>
      </c>
      <c r="P1" s="84" t="s">
        <v>2042</v>
      </c>
      <c r="Q1" t="s">
        <v>593</v>
      </c>
      <c r="R1" t="s">
        <v>594</v>
      </c>
      <c r="S1" t="s">
        <v>595</v>
      </c>
      <c r="T1" t="s">
        <v>596</v>
      </c>
      <c r="U1" t="s">
        <v>597</v>
      </c>
      <c r="V1" t="s">
        <v>598</v>
      </c>
      <c r="W1" t="s">
        <v>599</v>
      </c>
      <c r="X1" t="s">
        <v>600</v>
      </c>
      <c r="Y1" t="s">
        <v>601</v>
      </c>
      <c r="Z1" t="s">
        <v>602</v>
      </c>
      <c r="AA1" t="s">
        <v>603</v>
      </c>
      <c r="AB1" t="s">
        <v>604</v>
      </c>
      <c r="AC1" t="s">
        <v>605</v>
      </c>
      <c r="AD1" t="s">
        <v>606</v>
      </c>
      <c r="AE1" t="s">
        <v>607</v>
      </c>
      <c r="AF1" t="s">
        <v>608</v>
      </c>
      <c r="AG1" t="s">
        <v>609</v>
      </c>
      <c r="AH1" t="s">
        <v>574</v>
      </c>
      <c r="AI1" t="s">
        <v>610</v>
      </c>
      <c r="AJ1" t="s">
        <v>611</v>
      </c>
      <c r="AK1" t="s">
        <v>612</v>
      </c>
      <c r="AL1" t="s">
        <v>613</v>
      </c>
      <c r="AM1" t="s">
        <v>614</v>
      </c>
    </row>
    <row r="2" spans="1:39" ht="15" customHeight="1" x14ac:dyDescent="0.35">
      <c r="E2" s="84" t="str">
        <f t="shared" ref="E2:E54" si="0">LEFT(D2,4)</f>
        <v/>
      </c>
      <c r="J2" s="77"/>
      <c r="K2" s="77"/>
      <c r="L2" s="77"/>
      <c r="M2" s="77"/>
      <c r="N2" s="77"/>
      <c r="O2" s="77"/>
      <c r="P2" s="140">
        <f>INT(O2)</f>
        <v>0</v>
      </c>
    </row>
    <row r="3" spans="1:39" ht="15" customHeight="1" x14ac:dyDescent="0.35">
      <c r="E3" s="84" t="str">
        <f t="shared" si="0"/>
        <v/>
      </c>
      <c r="J3" s="77"/>
      <c r="K3" s="77"/>
      <c r="L3" s="77"/>
      <c r="M3" s="77"/>
      <c r="N3" s="77"/>
      <c r="O3" s="77"/>
      <c r="P3" s="140">
        <f t="shared" ref="P3:P55" si="1">INT(O3)</f>
        <v>0</v>
      </c>
    </row>
    <row r="4" spans="1:39" ht="15" customHeight="1" x14ac:dyDescent="0.35">
      <c r="E4" s="84" t="str">
        <f t="shared" si="0"/>
        <v/>
      </c>
      <c r="J4" s="77"/>
      <c r="K4" s="77"/>
      <c r="L4" s="77"/>
      <c r="M4" s="77"/>
      <c r="N4" s="77"/>
      <c r="O4" s="77"/>
      <c r="P4" s="140">
        <f t="shared" si="1"/>
        <v>0</v>
      </c>
    </row>
    <row r="5" spans="1:39" ht="15" customHeight="1" x14ac:dyDescent="0.35">
      <c r="E5" s="84" t="str">
        <f t="shared" si="0"/>
        <v/>
      </c>
      <c r="J5" s="77"/>
      <c r="K5" s="77"/>
      <c r="L5" s="77"/>
      <c r="M5" s="77"/>
      <c r="N5" s="77"/>
      <c r="O5" s="77"/>
      <c r="P5" s="140">
        <f t="shared" si="1"/>
        <v>0</v>
      </c>
    </row>
    <row r="6" spans="1:39" ht="15" customHeight="1" x14ac:dyDescent="0.35">
      <c r="E6" s="84" t="str">
        <f t="shared" si="0"/>
        <v/>
      </c>
      <c r="J6" s="77"/>
      <c r="K6" s="77"/>
      <c r="L6" s="77"/>
      <c r="M6" s="77"/>
      <c r="N6" s="77"/>
      <c r="O6" s="77"/>
      <c r="P6" s="140">
        <f t="shared" si="1"/>
        <v>0</v>
      </c>
    </row>
    <row r="7" spans="1:39" ht="15" customHeight="1" x14ac:dyDescent="0.35">
      <c r="E7" s="84" t="str">
        <f t="shared" si="0"/>
        <v/>
      </c>
      <c r="J7" s="77"/>
      <c r="K7" s="77"/>
      <c r="L7" s="77"/>
      <c r="M7" s="77"/>
      <c r="N7" s="77"/>
      <c r="O7" s="77"/>
      <c r="P7" s="140">
        <f t="shared" si="1"/>
        <v>0</v>
      </c>
      <c r="X7" s="78"/>
    </row>
    <row r="8" spans="1:39" ht="15" customHeight="1" x14ac:dyDescent="0.35">
      <c r="E8" s="84" t="str">
        <f t="shared" si="0"/>
        <v/>
      </c>
      <c r="J8" s="77"/>
      <c r="K8" s="77"/>
      <c r="L8" s="77"/>
      <c r="M8" s="77"/>
      <c r="N8" s="77"/>
      <c r="O8" s="77"/>
      <c r="P8" s="140">
        <f t="shared" si="1"/>
        <v>0</v>
      </c>
    </row>
    <row r="9" spans="1:39" ht="15" customHeight="1" x14ac:dyDescent="0.35">
      <c r="E9" s="84" t="str">
        <f t="shared" si="0"/>
        <v/>
      </c>
      <c r="J9" s="77"/>
      <c r="K9" s="77"/>
      <c r="L9" s="77"/>
      <c r="M9" s="77"/>
      <c r="N9" s="77"/>
      <c r="O9" s="77"/>
      <c r="P9" s="140">
        <f t="shared" si="1"/>
        <v>0</v>
      </c>
    </row>
    <row r="10" spans="1:39" ht="15" customHeight="1" x14ac:dyDescent="0.35">
      <c r="E10" s="84" t="str">
        <f t="shared" si="0"/>
        <v/>
      </c>
      <c r="J10" s="77"/>
      <c r="K10" s="77"/>
      <c r="L10" s="77"/>
      <c r="M10" s="77"/>
      <c r="N10" s="77"/>
      <c r="O10" s="77"/>
      <c r="P10" s="140">
        <f t="shared" si="1"/>
        <v>0</v>
      </c>
      <c r="X10" s="78"/>
      <c r="Y10" s="78"/>
    </row>
    <row r="11" spans="1:39" ht="15" customHeight="1" x14ac:dyDescent="0.35">
      <c r="E11" s="84" t="str">
        <f t="shared" si="0"/>
        <v/>
      </c>
      <c r="J11" s="77"/>
      <c r="K11" s="77"/>
      <c r="L11" s="77"/>
      <c r="M11" s="77"/>
      <c r="N11" s="77"/>
      <c r="O11" s="77"/>
      <c r="P11" s="140">
        <f t="shared" si="1"/>
        <v>0</v>
      </c>
    </row>
    <row r="12" spans="1:39" ht="15" customHeight="1" x14ac:dyDescent="0.35">
      <c r="E12" s="84" t="str">
        <f t="shared" si="0"/>
        <v/>
      </c>
      <c r="J12" s="77"/>
      <c r="K12" s="77"/>
      <c r="L12" s="77"/>
      <c r="M12" s="77"/>
      <c r="N12" s="77"/>
      <c r="O12" s="77"/>
      <c r="P12" s="140">
        <f t="shared" si="1"/>
        <v>0</v>
      </c>
      <c r="Y12" s="78"/>
    </row>
    <row r="13" spans="1:39" ht="15" customHeight="1" x14ac:dyDescent="0.35">
      <c r="E13" s="84" t="str">
        <f t="shared" si="0"/>
        <v/>
      </c>
      <c r="J13" s="77"/>
      <c r="K13" s="77"/>
      <c r="L13" s="77"/>
      <c r="M13" s="77"/>
      <c r="N13" s="77"/>
      <c r="O13" s="77"/>
      <c r="P13" s="140">
        <f t="shared" si="1"/>
        <v>0</v>
      </c>
      <c r="Y13" s="78"/>
    </row>
    <row r="14" spans="1:39" ht="15" customHeight="1" x14ac:dyDescent="0.35">
      <c r="E14" s="84" t="str">
        <f t="shared" si="0"/>
        <v/>
      </c>
      <c r="J14" s="77"/>
      <c r="K14" s="77"/>
      <c r="L14" s="77"/>
      <c r="M14" s="77"/>
      <c r="N14" s="77"/>
      <c r="O14" s="77"/>
      <c r="P14" s="140">
        <f t="shared" si="1"/>
        <v>0</v>
      </c>
      <c r="X14" s="78"/>
    </row>
    <row r="15" spans="1:39" ht="15" customHeight="1" x14ac:dyDescent="0.35">
      <c r="E15" s="84" t="str">
        <f t="shared" si="0"/>
        <v/>
      </c>
      <c r="J15" s="77"/>
      <c r="K15" s="77"/>
      <c r="L15" s="77"/>
      <c r="M15" s="77"/>
      <c r="N15" s="77"/>
      <c r="O15" s="77"/>
      <c r="P15" s="140">
        <f t="shared" si="1"/>
        <v>0</v>
      </c>
      <c r="X15" s="78"/>
    </row>
    <row r="16" spans="1:39" ht="15" customHeight="1" x14ac:dyDescent="0.35">
      <c r="E16" s="84" t="str">
        <f t="shared" si="0"/>
        <v/>
      </c>
      <c r="J16" s="77"/>
      <c r="K16" s="77"/>
      <c r="L16" s="77"/>
      <c r="M16" s="77"/>
      <c r="N16" s="77"/>
      <c r="O16" s="77"/>
      <c r="P16" s="140">
        <f t="shared" si="1"/>
        <v>0</v>
      </c>
      <c r="X16" s="78"/>
    </row>
    <row r="17" spans="5:25" ht="15" customHeight="1" x14ac:dyDescent="0.35">
      <c r="E17" s="84" t="str">
        <f t="shared" si="0"/>
        <v/>
      </c>
      <c r="J17" s="77"/>
      <c r="K17" s="77"/>
      <c r="L17" s="77"/>
      <c r="M17" s="77"/>
      <c r="N17" s="77"/>
      <c r="O17" s="77"/>
      <c r="P17" s="140">
        <f t="shared" si="1"/>
        <v>0</v>
      </c>
    </row>
    <row r="18" spans="5:25" ht="15" customHeight="1" x14ac:dyDescent="0.35">
      <c r="E18" s="84" t="str">
        <f t="shared" si="0"/>
        <v/>
      </c>
      <c r="J18" s="77"/>
      <c r="K18" s="77"/>
      <c r="L18" s="77"/>
      <c r="M18" s="77"/>
      <c r="N18" s="77"/>
      <c r="O18" s="77"/>
      <c r="P18" s="140">
        <f t="shared" si="1"/>
        <v>0</v>
      </c>
    </row>
    <row r="19" spans="5:25" ht="15" customHeight="1" x14ac:dyDescent="0.35">
      <c r="E19" s="84" t="str">
        <f t="shared" si="0"/>
        <v/>
      </c>
      <c r="J19" s="77"/>
      <c r="K19" s="77"/>
      <c r="L19" s="77"/>
      <c r="M19" s="77"/>
      <c r="N19" s="77"/>
      <c r="O19" s="77"/>
      <c r="P19" s="140">
        <f t="shared" si="1"/>
        <v>0</v>
      </c>
    </row>
    <row r="20" spans="5:25" ht="15" customHeight="1" x14ac:dyDescent="0.35">
      <c r="E20" s="84" t="str">
        <f t="shared" si="0"/>
        <v/>
      </c>
      <c r="J20" s="77"/>
      <c r="K20" s="77"/>
      <c r="L20" s="77"/>
      <c r="M20" s="77"/>
      <c r="N20" s="77"/>
      <c r="O20" s="77"/>
      <c r="P20" s="140">
        <f t="shared" si="1"/>
        <v>0</v>
      </c>
    </row>
    <row r="21" spans="5:25" ht="15" customHeight="1" x14ac:dyDescent="0.35">
      <c r="E21" s="84" t="str">
        <f t="shared" si="0"/>
        <v/>
      </c>
      <c r="J21" s="77"/>
      <c r="K21" s="77"/>
      <c r="L21" s="77"/>
      <c r="M21" s="77"/>
      <c r="N21" s="77"/>
      <c r="O21" s="77"/>
      <c r="P21" s="140">
        <f t="shared" si="1"/>
        <v>0</v>
      </c>
      <c r="Y21" s="78"/>
    </row>
    <row r="22" spans="5:25" ht="15" customHeight="1" x14ac:dyDescent="0.35">
      <c r="E22" s="84" t="str">
        <f t="shared" si="0"/>
        <v/>
      </c>
      <c r="J22" s="77"/>
      <c r="K22" s="77"/>
      <c r="L22" s="77"/>
      <c r="M22" s="77"/>
      <c r="N22" s="77"/>
      <c r="O22" s="77"/>
      <c r="P22" s="140">
        <f t="shared" si="1"/>
        <v>0</v>
      </c>
    </row>
    <row r="23" spans="5:25" ht="15" customHeight="1" x14ac:dyDescent="0.35">
      <c r="E23" s="84" t="str">
        <f t="shared" si="0"/>
        <v/>
      </c>
      <c r="J23" s="77"/>
      <c r="K23" s="77"/>
      <c r="L23" s="77"/>
      <c r="M23" s="77"/>
      <c r="N23" s="77"/>
      <c r="O23" s="77"/>
      <c r="P23" s="140">
        <f t="shared" si="1"/>
        <v>0</v>
      </c>
    </row>
    <row r="24" spans="5:25" ht="15" customHeight="1" x14ac:dyDescent="0.35">
      <c r="E24" s="84" t="str">
        <f t="shared" si="0"/>
        <v/>
      </c>
      <c r="J24" s="77"/>
      <c r="K24" s="77"/>
      <c r="L24" s="77"/>
      <c r="M24" s="77"/>
      <c r="N24" s="77"/>
      <c r="O24" s="77"/>
      <c r="P24" s="140">
        <f t="shared" si="1"/>
        <v>0</v>
      </c>
    </row>
    <row r="25" spans="5:25" ht="15" customHeight="1" x14ac:dyDescent="0.35">
      <c r="E25" s="84" t="str">
        <f t="shared" si="0"/>
        <v/>
      </c>
      <c r="J25" s="77"/>
      <c r="K25" s="77"/>
      <c r="L25" s="77"/>
      <c r="M25" s="77"/>
      <c r="N25" s="77"/>
      <c r="O25" s="77"/>
      <c r="P25" s="140">
        <f t="shared" si="1"/>
        <v>0</v>
      </c>
    </row>
    <row r="26" spans="5:25" ht="15" customHeight="1" x14ac:dyDescent="0.35">
      <c r="E26" s="84" t="str">
        <f t="shared" si="0"/>
        <v/>
      </c>
      <c r="J26" s="77"/>
      <c r="K26" s="77"/>
      <c r="L26" s="77"/>
      <c r="M26" s="77"/>
      <c r="N26" s="77"/>
      <c r="O26" s="77"/>
      <c r="P26" s="140">
        <f t="shared" si="1"/>
        <v>0</v>
      </c>
      <c r="Y26" s="78"/>
    </row>
    <row r="27" spans="5:25" ht="15" customHeight="1" x14ac:dyDescent="0.35">
      <c r="E27" s="84" t="str">
        <f t="shared" si="0"/>
        <v/>
      </c>
      <c r="J27" s="77"/>
      <c r="K27" s="77"/>
      <c r="L27" s="77"/>
      <c r="M27" s="77"/>
      <c r="N27" s="77"/>
      <c r="O27" s="77"/>
      <c r="P27" s="140">
        <f t="shared" si="1"/>
        <v>0</v>
      </c>
      <c r="Y27" s="78"/>
    </row>
    <row r="28" spans="5:25" ht="15" customHeight="1" x14ac:dyDescent="0.35">
      <c r="E28" s="84" t="str">
        <f t="shared" si="0"/>
        <v/>
      </c>
      <c r="J28" s="77"/>
      <c r="K28" s="77"/>
      <c r="L28" s="77"/>
      <c r="M28" s="77"/>
      <c r="N28" s="77"/>
      <c r="O28" s="77"/>
      <c r="P28" s="140">
        <f t="shared" si="1"/>
        <v>0</v>
      </c>
      <c r="Y28" s="78"/>
    </row>
    <row r="29" spans="5:25" ht="15" customHeight="1" x14ac:dyDescent="0.35">
      <c r="E29" s="84" t="str">
        <f t="shared" si="0"/>
        <v/>
      </c>
      <c r="J29" s="77"/>
      <c r="K29" s="77"/>
      <c r="L29" s="77"/>
      <c r="M29" s="77"/>
      <c r="N29" s="77"/>
      <c r="O29" s="77"/>
      <c r="P29" s="140">
        <f t="shared" si="1"/>
        <v>0</v>
      </c>
    </row>
    <row r="30" spans="5:25" ht="15" customHeight="1" x14ac:dyDescent="0.35">
      <c r="E30" s="84" t="str">
        <f t="shared" si="0"/>
        <v/>
      </c>
      <c r="J30" s="77"/>
      <c r="K30" s="77"/>
      <c r="L30" s="77"/>
      <c r="M30" s="77"/>
      <c r="N30" s="77"/>
      <c r="O30" s="77"/>
      <c r="P30" s="140">
        <f t="shared" si="1"/>
        <v>0</v>
      </c>
      <c r="X30" s="78"/>
    </row>
    <row r="31" spans="5:25" ht="15" customHeight="1" x14ac:dyDescent="0.35">
      <c r="E31" s="84" t="str">
        <f t="shared" si="0"/>
        <v/>
      </c>
      <c r="J31" s="77"/>
      <c r="K31" s="77"/>
      <c r="L31" s="77"/>
      <c r="M31" s="77"/>
      <c r="N31" s="77"/>
      <c r="O31" s="77"/>
      <c r="P31" s="140">
        <f t="shared" si="1"/>
        <v>0</v>
      </c>
    </row>
    <row r="32" spans="5:25" ht="15" customHeight="1" x14ac:dyDescent="0.35">
      <c r="E32" s="84" t="str">
        <f t="shared" si="0"/>
        <v/>
      </c>
      <c r="J32" s="77"/>
      <c r="K32" s="77"/>
      <c r="L32" s="77"/>
      <c r="M32" s="77"/>
      <c r="N32" s="77"/>
      <c r="O32" s="77"/>
      <c r="P32" s="140">
        <f t="shared" si="1"/>
        <v>0</v>
      </c>
    </row>
    <row r="33" spans="5:25" ht="15" customHeight="1" x14ac:dyDescent="0.35">
      <c r="E33" s="84" t="str">
        <f t="shared" si="0"/>
        <v/>
      </c>
      <c r="J33" s="77"/>
      <c r="K33" s="77"/>
      <c r="L33" s="77"/>
      <c r="M33" s="77"/>
      <c r="N33" s="77"/>
      <c r="O33" s="77"/>
      <c r="P33" s="140">
        <f t="shared" si="1"/>
        <v>0</v>
      </c>
      <c r="X33" s="78"/>
    </row>
    <row r="34" spans="5:25" ht="15" customHeight="1" x14ac:dyDescent="0.35">
      <c r="E34" s="84" t="str">
        <f t="shared" si="0"/>
        <v/>
      </c>
      <c r="J34" s="77"/>
      <c r="K34" s="77"/>
      <c r="L34" s="77"/>
      <c r="M34" s="77"/>
      <c r="N34" s="77"/>
      <c r="O34" s="77"/>
      <c r="P34" s="140">
        <f t="shared" si="1"/>
        <v>0</v>
      </c>
    </row>
    <row r="35" spans="5:25" ht="15" customHeight="1" x14ac:dyDescent="0.35">
      <c r="E35" s="84" t="str">
        <f t="shared" si="0"/>
        <v/>
      </c>
      <c r="J35" s="77"/>
      <c r="K35" s="77"/>
      <c r="L35" s="77"/>
      <c r="M35" s="77"/>
      <c r="N35" s="77"/>
      <c r="O35" s="77"/>
      <c r="P35" s="140">
        <f t="shared" si="1"/>
        <v>0</v>
      </c>
    </row>
    <row r="36" spans="5:25" ht="15" customHeight="1" x14ac:dyDescent="0.35">
      <c r="E36" s="84" t="str">
        <f t="shared" si="0"/>
        <v/>
      </c>
      <c r="J36" s="77"/>
      <c r="K36" s="77"/>
      <c r="L36" s="77"/>
      <c r="M36" s="77"/>
      <c r="N36" s="77"/>
      <c r="O36" s="77"/>
      <c r="P36" s="140">
        <f t="shared" si="1"/>
        <v>0</v>
      </c>
    </row>
    <row r="37" spans="5:25" ht="15" customHeight="1" x14ac:dyDescent="0.35">
      <c r="E37" s="84" t="str">
        <f t="shared" si="0"/>
        <v/>
      </c>
      <c r="J37" s="77"/>
      <c r="K37" s="77"/>
      <c r="L37" s="77"/>
      <c r="M37" s="77"/>
      <c r="N37" s="77"/>
      <c r="O37" s="77"/>
      <c r="P37" s="140">
        <f t="shared" si="1"/>
        <v>0</v>
      </c>
      <c r="X37" s="78"/>
      <c r="Y37" s="78"/>
    </row>
    <row r="38" spans="5:25" ht="15" customHeight="1" x14ac:dyDescent="0.35">
      <c r="E38" s="84" t="str">
        <f t="shared" si="0"/>
        <v/>
      </c>
      <c r="J38" s="77"/>
      <c r="K38" s="77"/>
      <c r="L38" s="77"/>
      <c r="M38" s="77"/>
      <c r="N38" s="77"/>
      <c r="O38" s="77"/>
      <c r="P38" s="140">
        <f t="shared" si="1"/>
        <v>0</v>
      </c>
      <c r="X38" s="78"/>
      <c r="Y38" s="78"/>
    </row>
    <row r="39" spans="5:25" ht="15" customHeight="1" x14ac:dyDescent="0.35">
      <c r="E39" s="84" t="str">
        <f t="shared" si="0"/>
        <v/>
      </c>
      <c r="J39" s="77"/>
      <c r="K39" s="77"/>
      <c r="L39" s="77"/>
      <c r="M39" s="77"/>
      <c r="N39" s="77"/>
      <c r="O39" s="77"/>
      <c r="P39" s="140">
        <f t="shared" si="1"/>
        <v>0</v>
      </c>
      <c r="X39" s="78"/>
    </row>
    <row r="40" spans="5:25" ht="15" customHeight="1" x14ac:dyDescent="0.35">
      <c r="E40" s="84" t="str">
        <f t="shared" si="0"/>
        <v/>
      </c>
      <c r="J40" s="77"/>
      <c r="K40" s="77"/>
      <c r="L40" s="77"/>
      <c r="M40" s="77"/>
      <c r="N40" s="77"/>
      <c r="O40" s="77"/>
      <c r="P40" s="140">
        <f t="shared" si="1"/>
        <v>0</v>
      </c>
      <c r="X40" s="78"/>
      <c r="Y40" s="78"/>
    </row>
    <row r="41" spans="5:25" ht="15" customHeight="1" x14ac:dyDescent="0.35">
      <c r="E41" s="84" t="str">
        <f t="shared" si="0"/>
        <v/>
      </c>
      <c r="J41" s="77"/>
      <c r="K41" s="77"/>
      <c r="L41" s="77"/>
      <c r="M41" s="77"/>
      <c r="N41" s="77"/>
      <c r="O41" s="77"/>
      <c r="P41" s="140">
        <f t="shared" si="1"/>
        <v>0</v>
      </c>
    </row>
    <row r="42" spans="5:25" ht="15" customHeight="1" x14ac:dyDescent="0.35">
      <c r="E42" s="84" t="str">
        <f t="shared" si="0"/>
        <v/>
      </c>
      <c r="J42" s="77"/>
      <c r="K42" s="77"/>
      <c r="L42" s="77"/>
      <c r="M42" s="77"/>
      <c r="N42" s="77"/>
      <c r="O42" s="77"/>
      <c r="P42" s="140">
        <f t="shared" si="1"/>
        <v>0</v>
      </c>
    </row>
    <row r="43" spans="5:25" ht="15" customHeight="1" x14ac:dyDescent="0.35">
      <c r="E43" s="84" t="str">
        <f t="shared" si="0"/>
        <v/>
      </c>
      <c r="J43" s="77"/>
      <c r="K43" s="77"/>
      <c r="L43" s="77"/>
      <c r="M43" s="77"/>
      <c r="N43" s="77"/>
      <c r="O43" s="77"/>
      <c r="P43" s="140">
        <f t="shared" si="1"/>
        <v>0</v>
      </c>
      <c r="X43" s="78"/>
      <c r="Y43" s="78"/>
    </row>
    <row r="44" spans="5:25" ht="15" customHeight="1" x14ac:dyDescent="0.35">
      <c r="E44" s="84" t="str">
        <f t="shared" si="0"/>
        <v/>
      </c>
      <c r="J44" s="77"/>
      <c r="K44" s="77"/>
      <c r="L44" s="77"/>
      <c r="M44" s="77"/>
      <c r="N44" s="77"/>
      <c r="O44" s="77"/>
      <c r="P44" s="140">
        <f t="shared" si="1"/>
        <v>0</v>
      </c>
    </row>
    <row r="45" spans="5:25" ht="15" customHeight="1" x14ac:dyDescent="0.35">
      <c r="E45" s="84" t="str">
        <f t="shared" si="0"/>
        <v/>
      </c>
      <c r="J45" s="77"/>
      <c r="K45" s="77"/>
      <c r="L45" s="77"/>
      <c r="M45" s="77"/>
      <c r="N45" s="77"/>
      <c r="O45" s="77"/>
      <c r="P45" s="140">
        <f t="shared" si="1"/>
        <v>0</v>
      </c>
      <c r="X45" s="78"/>
      <c r="Y45" s="78"/>
    </row>
    <row r="46" spans="5:25" ht="15" customHeight="1" x14ac:dyDescent="0.35">
      <c r="E46" s="84" t="str">
        <f t="shared" si="0"/>
        <v/>
      </c>
      <c r="J46" s="77"/>
      <c r="K46" s="77"/>
      <c r="L46" s="77"/>
      <c r="M46" s="77"/>
      <c r="N46" s="77"/>
      <c r="O46" s="77"/>
      <c r="P46" s="140">
        <f t="shared" si="1"/>
        <v>0</v>
      </c>
      <c r="X46" s="78"/>
      <c r="Y46" s="78"/>
    </row>
    <row r="47" spans="5:25" ht="15" customHeight="1" x14ac:dyDescent="0.35">
      <c r="E47" s="84" t="str">
        <f t="shared" si="0"/>
        <v/>
      </c>
      <c r="J47" s="77"/>
      <c r="K47" s="77"/>
      <c r="L47" s="77"/>
      <c r="M47" s="77"/>
      <c r="N47" s="77"/>
      <c r="O47" s="77"/>
      <c r="P47" s="140">
        <f t="shared" si="1"/>
        <v>0</v>
      </c>
      <c r="X47" s="78"/>
      <c r="Y47" s="78"/>
    </row>
    <row r="48" spans="5:25" ht="15" customHeight="1" x14ac:dyDescent="0.35">
      <c r="E48" s="84" t="str">
        <f t="shared" si="0"/>
        <v/>
      </c>
      <c r="J48" s="77"/>
      <c r="K48" s="77"/>
      <c r="L48" s="77"/>
      <c r="M48" s="77"/>
      <c r="N48" s="77"/>
      <c r="O48" s="77"/>
      <c r="P48" s="140">
        <f t="shared" si="1"/>
        <v>0</v>
      </c>
      <c r="X48" s="78"/>
    </row>
    <row r="49" spans="5:25" ht="15" customHeight="1" x14ac:dyDescent="0.35">
      <c r="E49" s="84" t="str">
        <f t="shared" si="0"/>
        <v/>
      </c>
      <c r="J49" s="77"/>
      <c r="K49" s="77"/>
      <c r="L49" s="77"/>
      <c r="M49" s="77"/>
      <c r="N49" s="77"/>
      <c r="O49" s="77"/>
      <c r="P49" s="140">
        <f t="shared" si="1"/>
        <v>0</v>
      </c>
      <c r="Y49" s="78"/>
    </row>
    <row r="50" spans="5:25" ht="15" customHeight="1" x14ac:dyDescent="0.35">
      <c r="E50" s="84" t="str">
        <f t="shared" si="0"/>
        <v/>
      </c>
      <c r="J50" s="77"/>
      <c r="K50" s="77"/>
      <c r="L50" s="77"/>
      <c r="M50" s="77"/>
      <c r="N50" s="77"/>
      <c r="O50" s="77"/>
      <c r="P50" s="140">
        <f t="shared" si="1"/>
        <v>0</v>
      </c>
      <c r="X50" s="78"/>
    </row>
    <row r="51" spans="5:25" ht="15" customHeight="1" x14ac:dyDescent="0.35">
      <c r="E51" s="84" t="str">
        <f t="shared" si="0"/>
        <v/>
      </c>
      <c r="J51" s="77"/>
      <c r="K51" s="77"/>
      <c r="L51" s="77"/>
      <c r="M51" s="77"/>
      <c r="N51" s="77"/>
      <c r="O51" s="77"/>
      <c r="P51" s="140">
        <f t="shared" si="1"/>
        <v>0</v>
      </c>
      <c r="X51" s="78"/>
      <c r="Y51" s="78"/>
    </row>
    <row r="52" spans="5:25" ht="15" customHeight="1" x14ac:dyDescent="0.35">
      <c r="E52" s="84" t="str">
        <f t="shared" si="0"/>
        <v/>
      </c>
      <c r="J52" s="77"/>
      <c r="K52" s="77"/>
      <c r="L52" s="77"/>
      <c r="M52" s="77"/>
      <c r="N52" s="77"/>
      <c r="O52" s="77"/>
      <c r="P52" s="140">
        <f t="shared" si="1"/>
        <v>0</v>
      </c>
      <c r="X52" s="78"/>
      <c r="Y52" s="78"/>
    </row>
    <row r="53" spans="5:25" ht="15" customHeight="1" x14ac:dyDescent="0.35">
      <c r="E53" s="84" t="str">
        <f t="shared" si="0"/>
        <v/>
      </c>
      <c r="J53" s="77"/>
      <c r="K53" s="77"/>
      <c r="L53" s="77"/>
      <c r="M53" s="77"/>
      <c r="N53" s="77"/>
      <c r="O53" s="77"/>
      <c r="P53" s="140">
        <f t="shared" si="1"/>
        <v>0</v>
      </c>
    </row>
    <row r="54" spans="5:25" ht="15" customHeight="1" x14ac:dyDescent="0.35">
      <c r="E54" s="84" t="str">
        <f t="shared" si="0"/>
        <v/>
      </c>
      <c r="J54" s="77"/>
      <c r="K54" s="77"/>
      <c r="L54" s="77"/>
      <c r="M54" s="77"/>
      <c r="N54" s="77"/>
      <c r="O54" s="77"/>
      <c r="P54" s="140">
        <f t="shared" si="1"/>
        <v>0</v>
      </c>
      <c r="X54" s="78"/>
      <c r="Y54" s="78"/>
    </row>
    <row r="55" spans="5:25" ht="15" customHeight="1" x14ac:dyDescent="0.35">
      <c r="E55" s="84" t="str">
        <f t="shared" ref="E55:E111" si="2">LEFT(D55,4)</f>
        <v/>
      </c>
      <c r="J55" s="77"/>
      <c r="K55" s="77"/>
      <c r="L55" s="77"/>
      <c r="M55" s="77"/>
      <c r="N55" s="77"/>
      <c r="O55" s="77"/>
      <c r="P55" s="140">
        <f t="shared" si="1"/>
        <v>0</v>
      </c>
    </row>
    <row r="56" spans="5:25" ht="15" customHeight="1" x14ac:dyDescent="0.35">
      <c r="E56" s="84" t="str">
        <f t="shared" si="2"/>
        <v/>
      </c>
      <c r="J56" s="77"/>
      <c r="K56" s="77"/>
      <c r="L56" s="77"/>
      <c r="M56" s="77"/>
      <c r="N56" s="77"/>
      <c r="O56" s="77"/>
      <c r="P56" s="140">
        <f t="shared" ref="P56:P112" si="3">INT(O56)</f>
        <v>0</v>
      </c>
    </row>
    <row r="57" spans="5:25" ht="15" customHeight="1" x14ac:dyDescent="0.35">
      <c r="E57" s="84" t="str">
        <f t="shared" si="2"/>
        <v/>
      </c>
      <c r="J57" s="77"/>
      <c r="K57" s="77"/>
      <c r="L57" s="77"/>
      <c r="M57" s="77"/>
      <c r="N57" s="77"/>
      <c r="O57" s="77"/>
      <c r="P57" s="140">
        <f t="shared" si="3"/>
        <v>0</v>
      </c>
    </row>
    <row r="58" spans="5:25" ht="15" customHeight="1" x14ac:dyDescent="0.35">
      <c r="E58" s="84" t="str">
        <f t="shared" si="2"/>
        <v/>
      </c>
      <c r="J58" s="77"/>
      <c r="K58" s="77"/>
      <c r="L58" s="77"/>
      <c r="M58" s="77"/>
      <c r="N58" s="77"/>
      <c r="O58" s="77"/>
      <c r="P58" s="140">
        <f t="shared" si="3"/>
        <v>0</v>
      </c>
    </row>
    <row r="59" spans="5:25" ht="15" customHeight="1" x14ac:dyDescent="0.35">
      <c r="E59" s="84" t="str">
        <f t="shared" si="2"/>
        <v/>
      </c>
      <c r="J59" s="77"/>
      <c r="K59" s="77"/>
      <c r="L59" s="77"/>
      <c r="M59" s="77"/>
      <c r="N59" s="77"/>
      <c r="O59" s="77"/>
      <c r="P59" s="140">
        <f t="shared" si="3"/>
        <v>0</v>
      </c>
    </row>
    <row r="60" spans="5:25" ht="15" customHeight="1" x14ac:dyDescent="0.35">
      <c r="E60" s="84" t="str">
        <f t="shared" si="2"/>
        <v/>
      </c>
      <c r="J60" s="77"/>
      <c r="K60" s="77"/>
      <c r="L60" s="77"/>
      <c r="M60" s="77"/>
      <c r="N60" s="77"/>
      <c r="O60" s="77"/>
      <c r="P60" s="140">
        <f t="shared" si="3"/>
        <v>0</v>
      </c>
    </row>
    <row r="61" spans="5:25" ht="15" customHeight="1" x14ac:dyDescent="0.35">
      <c r="E61" s="84" t="str">
        <f t="shared" si="2"/>
        <v/>
      </c>
      <c r="J61" s="77"/>
      <c r="K61" s="77"/>
      <c r="L61" s="77"/>
      <c r="M61" s="77"/>
      <c r="N61" s="77"/>
      <c r="O61" s="77"/>
      <c r="P61" s="140">
        <f t="shared" si="3"/>
        <v>0</v>
      </c>
    </row>
    <row r="62" spans="5:25" ht="15" customHeight="1" x14ac:dyDescent="0.35">
      <c r="E62" s="84" t="str">
        <f t="shared" si="2"/>
        <v/>
      </c>
      <c r="J62" s="77"/>
      <c r="K62" s="77"/>
      <c r="L62" s="77"/>
      <c r="M62" s="77"/>
      <c r="N62" s="77"/>
      <c r="O62" s="77"/>
      <c r="P62" s="140">
        <f t="shared" si="3"/>
        <v>0</v>
      </c>
      <c r="X62" s="78"/>
      <c r="Y62" s="78"/>
    </row>
    <row r="63" spans="5:25" ht="15" customHeight="1" x14ac:dyDescent="0.35">
      <c r="E63" s="84" t="str">
        <f t="shared" si="2"/>
        <v/>
      </c>
      <c r="J63" s="77"/>
      <c r="K63" s="77"/>
      <c r="L63" s="77"/>
      <c r="M63" s="77"/>
      <c r="N63" s="77"/>
      <c r="O63" s="77"/>
      <c r="P63" s="140">
        <f t="shared" si="3"/>
        <v>0</v>
      </c>
      <c r="X63" s="78"/>
    </row>
    <row r="64" spans="5:25" ht="15" customHeight="1" x14ac:dyDescent="0.35">
      <c r="E64" s="84" t="str">
        <f t="shared" si="2"/>
        <v/>
      </c>
      <c r="J64" s="77"/>
      <c r="K64" s="77"/>
      <c r="L64" s="77"/>
      <c r="M64" s="77"/>
      <c r="N64" s="77"/>
      <c r="O64" s="77"/>
      <c r="P64" s="140">
        <f t="shared" si="3"/>
        <v>0</v>
      </c>
      <c r="Y64" s="78"/>
    </row>
    <row r="65" spans="5:25" ht="15" customHeight="1" x14ac:dyDescent="0.35">
      <c r="E65" s="84" t="str">
        <f t="shared" si="2"/>
        <v/>
      </c>
      <c r="J65" s="77"/>
      <c r="K65" s="77"/>
      <c r="L65" s="77"/>
      <c r="M65" s="77"/>
      <c r="N65" s="77"/>
      <c r="O65" s="77"/>
      <c r="P65" s="140">
        <f t="shared" si="3"/>
        <v>0</v>
      </c>
      <c r="X65" s="78"/>
      <c r="Y65" s="78"/>
    </row>
    <row r="66" spans="5:25" ht="15" customHeight="1" x14ac:dyDescent="0.35">
      <c r="E66" s="84" t="str">
        <f t="shared" si="2"/>
        <v/>
      </c>
      <c r="J66" s="77"/>
      <c r="K66" s="77"/>
      <c r="L66" s="77"/>
      <c r="M66" s="77"/>
      <c r="N66" s="77"/>
      <c r="O66" s="77"/>
      <c r="P66" s="140">
        <f t="shared" si="3"/>
        <v>0</v>
      </c>
      <c r="X66" s="78"/>
      <c r="Y66" s="78"/>
    </row>
    <row r="67" spans="5:25" ht="15" customHeight="1" x14ac:dyDescent="0.35">
      <c r="E67" s="84" t="str">
        <f t="shared" si="2"/>
        <v/>
      </c>
      <c r="J67" s="77"/>
      <c r="K67" s="77"/>
      <c r="L67" s="77"/>
      <c r="M67" s="77"/>
      <c r="N67" s="77"/>
      <c r="O67" s="77"/>
      <c r="P67" s="140">
        <f t="shared" si="3"/>
        <v>0</v>
      </c>
    </row>
    <row r="68" spans="5:25" ht="15" customHeight="1" x14ac:dyDescent="0.35">
      <c r="E68" s="84" t="str">
        <f t="shared" si="2"/>
        <v/>
      </c>
      <c r="J68" s="77"/>
      <c r="K68" s="77"/>
      <c r="L68" s="77"/>
      <c r="M68" s="77"/>
      <c r="N68" s="77"/>
      <c r="O68" s="77"/>
      <c r="P68" s="140">
        <f t="shared" si="3"/>
        <v>0</v>
      </c>
      <c r="X68" s="78"/>
      <c r="Y68" s="78"/>
    </row>
    <row r="69" spans="5:25" ht="15" customHeight="1" x14ac:dyDescent="0.35">
      <c r="E69" s="84" t="str">
        <f t="shared" si="2"/>
        <v/>
      </c>
      <c r="J69" s="77"/>
      <c r="K69" s="77"/>
      <c r="L69" s="77"/>
      <c r="M69" s="77"/>
      <c r="N69" s="77"/>
      <c r="O69" s="77"/>
      <c r="P69" s="140">
        <f t="shared" si="3"/>
        <v>0</v>
      </c>
      <c r="X69" s="78"/>
      <c r="Y69" s="78"/>
    </row>
    <row r="70" spans="5:25" ht="15" customHeight="1" x14ac:dyDescent="0.35">
      <c r="E70" s="84" t="str">
        <f t="shared" si="2"/>
        <v/>
      </c>
      <c r="J70" s="77"/>
      <c r="K70" s="77"/>
      <c r="L70" s="77"/>
      <c r="M70" s="77"/>
      <c r="N70" s="77"/>
      <c r="O70" s="77"/>
      <c r="P70" s="140">
        <f t="shared" si="3"/>
        <v>0</v>
      </c>
      <c r="Y70" s="78"/>
    </row>
    <row r="71" spans="5:25" ht="15" customHeight="1" x14ac:dyDescent="0.35">
      <c r="E71" s="84" t="str">
        <f t="shared" si="2"/>
        <v/>
      </c>
      <c r="J71" s="77"/>
      <c r="K71" s="77"/>
      <c r="L71" s="77"/>
      <c r="M71" s="77"/>
      <c r="N71" s="77"/>
      <c r="O71" s="77"/>
      <c r="P71" s="140">
        <f t="shared" si="3"/>
        <v>0</v>
      </c>
      <c r="X71" s="78"/>
    </row>
    <row r="72" spans="5:25" ht="15" customHeight="1" x14ac:dyDescent="0.35">
      <c r="E72" s="84" t="str">
        <f t="shared" si="2"/>
        <v/>
      </c>
      <c r="J72" s="77"/>
      <c r="K72" s="77"/>
      <c r="L72" s="77"/>
      <c r="M72" s="77"/>
      <c r="N72" s="77"/>
      <c r="O72" s="77"/>
      <c r="P72" s="140">
        <f t="shared" si="3"/>
        <v>0</v>
      </c>
      <c r="Y72" s="78"/>
    </row>
    <row r="73" spans="5:25" ht="15" customHeight="1" x14ac:dyDescent="0.35">
      <c r="E73" s="84" t="str">
        <f t="shared" si="2"/>
        <v/>
      </c>
      <c r="J73" s="77"/>
      <c r="K73" s="77"/>
      <c r="L73" s="77"/>
      <c r="M73" s="77"/>
      <c r="N73" s="77"/>
      <c r="O73" s="77"/>
      <c r="P73" s="140">
        <f t="shared" si="3"/>
        <v>0</v>
      </c>
      <c r="Y73" s="78"/>
    </row>
    <row r="74" spans="5:25" ht="15" customHeight="1" x14ac:dyDescent="0.35">
      <c r="E74" s="84" t="str">
        <f t="shared" si="2"/>
        <v/>
      </c>
      <c r="J74" s="77"/>
      <c r="K74" s="77"/>
      <c r="L74" s="77"/>
      <c r="M74" s="77"/>
      <c r="N74" s="77"/>
      <c r="O74" s="77"/>
      <c r="P74" s="140">
        <f t="shared" si="3"/>
        <v>0</v>
      </c>
    </row>
    <row r="75" spans="5:25" ht="15" customHeight="1" x14ac:dyDescent="0.35">
      <c r="E75" s="84" t="str">
        <f t="shared" si="2"/>
        <v/>
      </c>
      <c r="J75" s="77"/>
      <c r="K75" s="77"/>
      <c r="L75" s="77"/>
      <c r="M75" s="77"/>
      <c r="N75" s="77"/>
      <c r="O75" s="77"/>
      <c r="P75" s="140">
        <f t="shared" si="3"/>
        <v>0</v>
      </c>
    </row>
    <row r="76" spans="5:25" ht="15" customHeight="1" x14ac:dyDescent="0.35">
      <c r="E76" s="84" t="str">
        <f t="shared" si="2"/>
        <v/>
      </c>
      <c r="J76" s="77"/>
      <c r="K76" s="77"/>
      <c r="L76" s="77"/>
      <c r="M76" s="77"/>
      <c r="N76" s="77"/>
      <c r="O76" s="77"/>
      <c r="P76" s="140">
        <f t="shared" si="3"/>
        <v>0</v>
      </c>
      <c r="X76" s="78"/>
      <c r="Y76" s="78"/>
    </row>
    <row r="77" spans="5:25" ht="15" customHeight="1" x14ac:dyDescent="0.35">
      <c r="E77" s="84" t="str">
        <f t="shared" si="2"/>
        <v/>
      </c>
      <c r="J77" s="77"/>
      <c r="K77" s="77"/>
      <c r="L77" s="77"/>
      <c r="M77" s="77"/>
      <c r="N77" s="77"/>
      <c r="O77" s="77"/>
      <c r="P77" s="140">
        <f t="shared" si="3"/>
        <v>0</v>
      </c>
      <c r="Y77" s="78"/>
    </row>
    <row r="78" spans="5:25" ht="15" customHeight="1" x14ac:dyDescent="0.35">
      <c r="E78" s="84" t="str">
        <f t="shared" si="2"/>
        <v/>
      </c>
      <c r="J78" s="77"/>
      <c r="K78" s="77"/>
      <c r="L78" s="77"/>
      <c r="M78" s="77"/>
      <c r="N78" s="77"/>
      <c r="O78" s="77"/>
      <c r="P78" s="140">
        <f t="shared" si="3"/>
        <v>0</v>
      </c>
    </row>
    <row r="79" spans="5:25" ht="15" customHeight="1" x14ac:dyDescent="0.35">
      <c r="E79" s="84" t="str">
        <f t="shared" si="2"/>
        <v/>
      </c>
      <c r="J79" s="77"/>
      <c r="K79" s="77"/>
      <c r="L79" s="77"/>
      <c r="M79" s="77"/>
      <c r="N79" s="77"/>
      <c r="O79" s="77"/>
      <c r="P79" s="140">
        <f t="shared" si="3"/>
        <v>0</v>
      </c>
      <c r="X79" s="78"/>
      <c r="Y79" s="78"/>
    </row>
    <row r="80" spans="5:25" ht="15" customHeight="1" x14ac:dyDescent="0.35">
      <c r="E80" s="84" t="str">
        <f t="shared" si="2"/>
        <v/>
      </c>
      <c r="J80" s="77"/>
      <c r="K80" s="77"/>
      <c r="L80" s="77"/>
      <c r="M80" s="77"/>
      <c r="N80" s="77"/>
      <c r="O80" s="77"/>
      <c r="P80" s="140">
        <f t="shared" si="3"/>
        <v>0</v>
      </c>
      <c r="Y80" s="78"/>
    </row>
    <row r="81" spans="5:25" ht="15" customHeight="1" x14ac:dyDescent="0.35">
      <c r="E81" s="84" t="str">
        <f t="shared" si="2"/>
        <v/>
      </c>
      <c r="J81" s="77"/>
      <c r="K81" s="77"/>
      <c r="L81" s="77"/>
      <c r="M81" s="77"/>
      <c r="N81" s="77"/>
      <c r="O81" s="77"/>
      <c r="P81" s="140">
        <f t="shared" si="3"/>
        <v>0</v>
      </c>
      <c r="Y81" s="78"/>
    </row>
    <row r="82" spans="5:25" ht="15" customHeight="1" x14ac:dyDescent="0.35">
      <c r="E82" s="84" t="str">
        <f t="shared" si="2"/>
        <v/>
      </c>
      <c r="J82" s="77"/>
      <c r="K82" s="77"/>
      <c r="L82" s="77"/>
      <c r="M82" s="77"/>
      <c r="N82" s="77"/>
      <c r="O82" s="77"/>
      <c r="P82" s="140">
        <f t="shared" si="3"/>
        <v>0</v>
      </c>
    </row>
    <row r="83" spans="5:25" ht="15" customHeight="1" x14ac:dyDescent="0.35">
      <c r="E83" s="84" t="str">
        <f t="shared" si="2"/>
        <v/>
      </c>
      <c r="J83" s="77"/>
      <c r="K83" s="77"/>
      <c r="L83" s="77"/>
      <c r="M83" s="77"/>
      <c r="N83" s="77"/>
      <c r="O83" s="77"/>
      <c r="P83" s="140">
        <f t="shared" si="3"/>
        <v>0</v>
      </c>
      <c r="Y83" s="78"/>
    </row>
    <row r="84" spans="5:25" ht="15" customHeight="1" x14ac:dyDescent="0.35">
      <c r="E84" s="84" t="str">
        <f t="shared" si="2"/>
        <v/>
      </c>
      <c r="J84" s="77"/>
      <c r="K84" s="77"/>
      <c r="L84" s="77"/>
      <c r="M84" s="77"/>
      <c r="N84" s="77"/>
      <c r="O84" s="77"/>
      <c r="P84" s="140">
        <f t="shared" si="3"/>
        <v>0</v>
      </c>
    </row>
    <row r="85" spans="5:25" ht="15" customHeight="1" x14ac:dyDescent="0.35">
      <c r="E85" s="84" t="str">
        <f t="shared" si="2"/>
        <v/>
      </c>
      <c r="J85" s="77"/>
      <c r="K85" s="77"/>
      <c r="L85" s="77"/>
      <c r="M85" s="77"/>
      <c r="N85" s="77"/>
      <c r="O85" s="77"/>
      <c r="P85" s="140">
        <f t="shared" si="3"/>
        <v>0</v>
      </c>
    </row>
    <row r="86" spans="5:25" ht="15" customHeight="1" x14ac:dyDescent="0.35">
      <c r="E86" s="84" t="str">
        <f t="shared" si="2"/>
        <v/>
      </c>
      <c r="J86" s="77"/>
      <c r="K86" s="77"/>
      <c r="L86" s="77"/>
      <c r="M86" s="77"/>
      <c r="N86" s="77"/>
      <c r="O86" s="77"/>
      <c r="P86" s="140">
        <f t="shared" si="3"/>
        <v>0</v>
      </c>
    </row>
    <row r="87" spans="5:25" ht="15" customHeight="1" x14ac:dyDescent="0.35">
      <c r="E87" s="84" t="str">
        <f t="shared" si="2"/>
        <v/>
      </c>
      <c r="J87" s="77"/>
      <c r="K87" s="77"/>
      <c r="L87" s="77"/>
      <c r="M87" s="77"/>
      <c r="N87" s="77"/>
      <c r="O87" s="77"/>
      <c r="P87" s="140">
        <f t="shared" si="3"/>
        <v>0</v>
      </c>
      <c r="Y87" s="78"/>
    </row>
    <row r="88" spans="5:25" ht="15" customHeight="1" x14ac:dyDescent="0.35">
      <c r="E88" s="84" t="str">
        <f t="shared" si="2"/>
        <v/>
      </c>
      <c r="J88" s="77"/>
      <c r="K88" s="77"/>
      <c r="L88" s="77"/>
      <c r="M88" s="77"/>
      <c r="N88" s="77"/>
      <c r="O88" s="77"/>
      <c r="P88" s="140">
        <f t="shared" si="3"/>
        <v>0</v>
      </c>
      <c r="X88" s="78"/>
      <c r="Y88" s="78"/>
    </row>
    <row r="89" spans="5:25" ht="15" customHeight="1" x14ac:dyDescent="0.35">
      <c r="E89" s="84" t="str">
        <f t="shared" si="2"/>
        <v/>
      </c>
      <c r="J89" s="77"/>
      <c r="K89" s="77"/>
      <c r="L89" s="77"/>
      <c r="M89" s="77"/>
      <c r="N89" s="77"/>
      <c r="O89" s="77"/>
      <c r="P89" s="140">
        <f t="shared" si="3"/>
        <v>0</v>
      </c>
      <c r="X89" s="78"/>
      <c r="Y89" s="78"/>
    </row>
    <row r="90" spans="5:25" ht="15" customHeight="1" x14ac:dyDescent="0.35">
      <c r="E90" s="84" t="str">
        <f t="shared" si="2"/>
        <v/>
      </c>
      <c r="J90" s="77"/>
      <c r="K90" s="77"/>
      <c r="L90" s="77"/>
      <c r="M90" s="77"/>
      <c r="N90" s="77"/>
      <c r="O90" s="77"/>
      <c r="P90" s="140">
        <f t="shared" si="3"/>
        <v>0</v>
      </c>
      <c r="Y90" s="78"/>
    </row>
    <row r="91" spans="5:25" ht="15" customHeight="1" x14ac:dyDescent="0.35">
      <c r="E91" s="84" t="str">
        <f t="shared" si="2"/>
        <v/>
      </c>
      <c r="J91" s="77"/>
      <c r="K91" s="77"/>
      <c r="L91" s="77"/>
      <c r="M91" s="77"/>
      <c r="N91" s="77"/>
      <c r="O91" s="77"/>
      <c r="P91" s="140">
        <f t="shared" si="3"/>
        <v>0</v>
      </c>
      <c r="X91" s="78"/>
      <c r="Y91" s="78"/>
    </row>
    <row r="92" spans="5:25" ht="15" customHeight="1" x14ac:dyDescent="0.35">
      <c r="E92" s="84" t="str">
        <f t="shared" si="2"/>
        <v/>
      </c>
      <c r="J92" s="77"/>
      <c r="K92" s="77"/>
      <c r="L92" s="77"/>
      <c r="M92" s="77"/>
      <c r="N92" s="77"/>
      <c r="O92" s="77"/>
      <c r="P92" s="140">
        <f t="shared" si="3"/>
        <v>0</v>
      </c>
      <c r="Y92" s="78"/>
    </row>
    <row r="93" spans="5:25" ht="15" customHeight="1" x14ac:dyDescent="0.35">
      <c r="E93" s="84" t="str">
        <f t="shared" si="2"/>
        <v/>
      </c>
      <c r="J93" s="77"/>
      <c r="K93" s="77"/>
      <c r="L93" s="77"/>
      <c r="M93" s="77"/>
      <c r="N93" s="77"/>
      <c r="O93" s="77"/>
      <c r="P93" s="140">
        <f t="shared" si="3"/>
        <v>0</v>
      </c>
      <c r="Y93" s="78"/>
    </row>
    <row r="94" spans="5:25" ht="15" customHeight="1" x14ac:dyDescent="0.35">
      <c r="E94" s="84" t="str">
        <f t="shared" si="2"/>
        <v/>
      </c>
      <c r="J94" s="77"/>
      <c r="K94" s="77"/>
      <c r="L94" s="77"/>
      <c r="M94" s="77"/>
      <c r="N94" s="77"/>
      <c r="O94" s="77"/>
      <c r="P94" s="140">
        <f t="shared" si="3"/>
        <v>0</v>
      </c>
      <c r="X94" s="78"/>
    </row>
    <row r="95" spans="5:25" ht="15" customHeight="1" x14ac:dyDescent="0.35">
      <c r="E95" s="84" t="str">
        <f t="shared" si="2"/>
        <v/>
      </c>
      <c r="J95" s="77"/>
      <c r="K95" s="77"/>
      <c r="L95" s="77"/>
      <c r="M95" s="77"/>
      <c r="N95" s="77"/>
      <c r="O95" s="77"/>
      <c r="P95" s="140">
        <f t="shared" si="3"/>
        <v>0</v>
      </c>
      <c r="Y95" s="78"/>
    </row>
    <row r="96" spans="5:25" ht="15" customHeight="1" x14ac:dyDescent="0.35">
      <c r="E96" s="84" t="str">
        <f t="shared" si="2"/>
        <v/>
      </c>
      <c r="J96" s="77"/>
      <c r="K96" s="77"/>
      <c r="L96" s="77"/>
      <c r="M96" s="77"/>
      <c r="N96" s="77"/>
      <c r="O96" s="77"/>
      <c r="P96" s="140">
        <f t="shared" si="3"/>
        <v>0</v>
      </c>
      <c r="X96" s="78"/>
      <c r="Y96" s="78"/>
    </row>
    <row r="97" spans="5:25" ht="15" customHeight="1" x14ac:dyDescent="0.35">
      <c r="E97" s="84" t="str">
        <f t="shared" si="2"/>
        <v/>
      </c>
      <c r="J97" s="77"/>
      <c r="K97" s="77"/>
      <c r="L97" s="77"/>
      <c r="M97" s="77"/>
      <c r="N97" s="77"/>
      <c r="O97" s="77"/>
      <c r="P97" s="140">
        <f t="shared" si="3"/>
        <v>0</v>
      </c>
      <c r="Y97" s="78"/>
    </row>
    <row r="98" spans="5:25" ht="15" customHeight="1" x14ac:dyDescent="0.35">
      <c r="E98" s="84" t="str">
        <f t="shared" si="2"/>
        <v/>
      </c>
      <c r="J98" s="77"/>
      <c r="K98" s="77"/>
      <c r="L98" s="77"/>
      <c r="M98" s="77"/>
      <c r="N98" s="77"/>
      <c r="O98" s="77"/>
      <c r="P98" s="140">
        <f t="shared" si="3"/>
        <v>0</v>
      </c>
      <c r="Y98" s="78"/>
    </row>
    <row r="99" spans="5:25" ht="15" customHeight="1" x14ac:dyDescent="0.35">
      <c r="E99" s="84" t="str">
        <f t="shared" si="2"/>
        <v/>
      </c>
      <c r="J99" s="77"/>
      <c r="K99" s="77"/>
      <c r="L99" s="77"/>
      <c r="M99" s="77"/>
      <c r="N99" s="77"/>
      <c r="O99" s="77"/>
      <c r="P99" s="140">
        <f t="shared" si="3"/>
        <v>0</v>
      </c>
      <c r="X99" s="78"/>
      <c r="Y99" s="78"/>
    </row>
    <row r="100" spans="5:25" ht="15" customHeight="1" x14ac:dyDescent="0.35">
      <c r="E100" s="84" t="str">
        <f t="shared" si="2"/>
        <v/>
      </c>
      <c r="J100" s="77"/>
      <c r="K100" s="77"/>
      <c r="L100" s="77"/>
      <c r="M100" s="77"/>
      <c r="N100" s="77"/>
      <c r="O100" s="77"/>
      <c r="P100" s="140">
        <f t="shared" si="3"/>
        <v>0</v>
      </c>
      <c r="Y100" s="78"/>
    </row>
    <row r="101" spans="5:25" ht="15" customHeight="1" x14ac:dyDescent="0.35">
      <c r="E101" s="84" t="str">
        <f t="shared" si="2"/>
        <v/>
      </c>
      <c r="J101" s="77"/>
      <c r="K101" s="77"/>
      <c r="L101" s="77"/>
      <c r="M101" s="77"/>
      <c r="N101" s="77"/>
      <c r="O101" s="77"/>
      <c r="P101" s="140">
        <f t="shared" si="3"/>
        <v>0</v>
      </c>
    </row>
    <row r="102" spans="5:25" ht="15" customHeight="1" x14ac:dyDescent="0.35">
      <c r="E102" s="84" t="str">
        <f t="shared" si="2"/>
        <v/>
      </c>
      <c r="J102" s="77"/>
      <c r="K102" s="77"/>
      <c r="L102" s="77"/>
      <c r="M102" s="77"/>
      <c r="N102" s="77"/>
      <c r="O102" s="77"/>
      <c r="P102" s="140">
        <f t="shared" si="3"/>
        <v>0</v>
      </c>
    </row>
    <row r="103" spans="5:25" ht="15" customHeight="1" x14ac:dyDescent="0.35">
      <c r="E103" s="84" t="str">
        <f t="shared" si="2"/>
        <v/>
      </c>
      <c r="J103" s="77"/>
      <c r="K103" s="77"/>
      <c r="L103" s="77"/>
      <c r="M103" s="77"/>
      <c r="N103" s="77"/>
      <c r="O103" s="77"/>
      <c r="P103" s="140">
        <f t="shared" si="3"/>
        <v>0</v>
      </c>
      <c r="X103" s="78"/>
      <c r="Y103" s="78"/>
    </row>
    <row r="104" spans="5:25" ht="15" customHeight="1" x14ac:dyDescent="0.35">
      <c r="E104" s="84" t="str">
        <f t="shared" si="2"/>
        <v/>
      </c>
      <c r="J104" s="77"/>
      <c r="K104" s="77"/>
      <c r="L104" s="77"/>
      <c r="M104" s="77"/>
      <c r="N104" s="77"/>
      <c r="O104" s="77"/>
      <c r="P104" s="140">
        <f t="shared" si="3"/>
        <v>0</v>
      </c>
      <c r="X104" s="78"/>
    </row>
    <row r="105" spans="5:25" ht="15" customHeight="1" x14ac:dyDescent="0.35">
      <c r="E105" s="84" t="str">
        <f t="shared" si="2"/>
        <v/>
      </c>
      <c r="J105" s="77"/>
      <c r="K105" s="77"/>
      <c r="L105" s="77"/>
      <c r="M105" s="77"/>
      <c r="N105" s="77"/>
      <c r="O105" s="77"/>
      <c r="P105" s="140">
        <f t="shared" si="3"/>
        <v>0</v>
      </c>
    </row>
    <row r="106" spans="5:25" ht="15" customHeight="1" x14ac:dyDescent="0.35">
      <c r="E106" s="84" t="str">
        <f t="shared" si="2"/>
        <v/>
      </c>
      <c r="J106" s="77"/>
      <c r="K106" s="77"/>
      <c r="L106" s="77"/>
      <c r="M106" s="77"/>
      <c r="N106" s="77"/>
      <c r="O106" s="77"/>
      <c r="P106" s="140">
        <f t="shared" si="3"/>
        <v>0</v>
      </c>
      <c r="X106" s="78"/>
      <c r="Y106" s="78"/>
    </row>
    <row r="107" spans="5:25" ht="15" customHeight="1" x14ac:dyDescent="0.35">
      <c r="E107" s="84" t="str">
        <f t="shared" si="2"/>
        <v/>
      </c>
      <c r="J107" s="77"/>
      <c r="K107" s="77"/>
      <c r="L107" s="77"/>
      <c r="M107" s="77"/>
      <c r="N107" s="77"/>
      <c r="O107" s="77"/>
      <c r="P107" s="140">
        <f t="shared" si="3"/>
        <v>0</v>
      </c>
      <c r="X107" s="78"/>
    </row>
    <row r="108" spans="5:25" ht="15" customHeight="1" x14ac:dyDescent="0.35">
      <c r="E108" s="84" t="str">
        <f t="shared" si="2"/>
        <v/>
      </c>
      <c r="J108" s="77"/>
      <c r="K108" s="77"/>
      <c r="L108" s="77"/>
      <c r="M108" s="77"/>
      <c r="N108" s="77"/>
      <c r="O108" s="77"/>
      <c r="P108" s="140">
        <f t="shared" si="3"/>
        <v>0</v>
      </c>
    </row>
    <row r="109" spans="5:25" ht="15" customHeight="1" x14ac:dyDescent="0.35">
      <c r="E109" s="84" t="str">
        <f t="shared" si="2"/>
        <v/>
      </c>
      <c r="J109" s="77"/>
      <c r="K109" s="77"/>
      <c r="L109" s="77"/>
      <c r="M109" s="77"/>
      <c r="N109" s="77"/>
      <c r="O109" s="77"/>
      <c r="P109" s="140">
        <f t="shared" si="3"/>
        <v>0</v>
      </c>
    </row>
    <row r="110" spans="5:25" ht="15" customHeight="1" x14ac:dyDescent="0.35">
      <c r="E110" s="84" t="str">
        <f t="shared" si="2"/>
        <v/>
      </c>
      <c r="J110" s="77"/>
      <c r="K110" s="77"/>
      <c r="L110" s="77"/>
      <c r="M110" s="77"/>
      <c r="N110" s="77"/>
      <c r="O110" s="77"/>
      <c r="P110" s="140">
        <f t="shared" si="3"/>
        <v>0</v>
      </c>
      <c r="X110" s="78"/>
      <c r="Y110" s="78"/>
    </row>
    <row r="111" spans="5:25" ht="15" customHeight="1" x14ac:dyDescent="0.35">
      <c r="E111" s="84" t="str">
        <f t="shared" si="2"/>
        <v/>
      </c>
      <c r="J111" s="77"/>
      <c r="K111" s="77"/>
      <c r="L111" s="77"/>
      <c r="M111" s="77"/>
      <c r="N111" s="77"/>
      <c r="O111" s="77"/>
      <c r="P111" s="140">
        <f t="shared" si="3"/>
        <v>0</v>
      </c>
      <c r="X111" s="78"/>
      <c r="Y111" s="78"/>
    </row>
    <row r="112" spans="5:25" ht="15" customHeight="1" x14ac:dyDescent="0.35">
      <c r="E112" s="84" t="str">
        <f t="shared" ref="E112:E166" si="4">LEFT(D112,4)</f>
        <v/>
      </c>
      <c r="J112" s="77"/>
      <c r="K112" s="77"/>
      <c r="L112" s="77"/>
      <c r="M112" s="77"/>
      <c r="N112" s="77"/>
      <c r="O112" s="77"/>
      <c r="P112" s="140">
        <f t="shared" si="3"/>
        <v>0</v>
      </c>
    </row>
    <row r="113" spans="5:25" ht="15" customHeight="1" x14ac:dyDescent="0.35">
      <c r="E113" s="84" t="str">
        <f t="shared" si="4"/>
        <v/>
      </c>
      <c r="J113" s="77"/>
      <c r="K113" s="77"/>
      <c r="L113" s="77"/>
      <c r="M113" s="77"/>
      <c r="N113" s="77"/>
      <c r="O113" s="77"/>
      <c r="P113" s="140">
        <f t="shared" ref="P113:P167" si="5">INT(O113)</f>
        <v>0</v>
      </c>
      <c r="X113" s="78"/>
      <c r="Y113" s="78"/>
    </row>
    <row r="114" spans="5:25" ht="15" customHeight="1" x14ac:dyDescent="0.35">
      <c r="E114" s="84" t="str">
        <f t="shared" si="4"/>
        <v/>
      </c>
      <c r="J114" s="77"/>
      <c r="K114" s="77"/>
      <c r="L114" s="77"/>
      <c r="M114" s="77"/>
      <c r="N114" s="77"/>
      <c r="O114" s="77"/>
      <c r="P114" s="140">
        <f t="shared" si="5"/>
        <v>0</v>
      </c>
    </row>
    <row r="115" spans="5:25" ht="15" customHeight="1" x14ac:dyDescent="0.35">
      <c r="E115" s="84" t="str">
        <f t="shared" si="4"/>
        <v/>
      </c>
      <c r="J115" s="77"/>
      <c r="K115" s="77"/>
      <c r="L115" s="77"/>
      <c r="M115" s="77"/>
      <c r="N115" s="77"/>
      <c r="O115" s="77"/>
      <c r="P115" s="140">
        <f t="shared" si="5"/>
        <v>0</v>
      </c>
    </row>
    <row r="116" spans="5:25" ht="15" customHeight="1" x14ac:dyDescent="0.35">
      <c r="E116" s="84" t="str">
        <f t="shared" si="4"/>
        <v/>
      </c>
      <c r="J116" s="77"/>
      <c r="K116" s="77"/>
      <c r="L116" s="77"/>
      <c r="M116" s="77"/>
      <c r="N116" s="77"/>
      <c r="O116" s="77"/>
      <c r="P116" s="140">
        <f t="shared" si="5"/>
        <v>0</v>
      </c>
    </row>
    <row r="117" spans="5:25" ht="15" customHeight="1" x14ac:dyDescent="0.35">
      <c r="E117" s="84" t="str">
        <f t="shared" si="4"/>
        <v/>
      </c>
      <c r="J117" s="77"/>
      <c r="K117" s="77"/>
      <c r="L117" s="77"/>
      <c r="M117" s="77"/>
      <c r="N117" s="77"/>
      <c r="O117" s="77"/>
      <c r="P117" s="140">
        <f t="shared" si="5"/>
        <v>0</v>
      </c>
      <c r="X117" s="78"/>
    </row>
    <row r="118" spans="5:25" ht="15" customHeight="1" x14ac:dyDescent="0.35">
      <c r="E118" s="84" t="str">
        <f t="shared" si="4"/>
        <v/>
      </c>
      <c r="J118" s="77"/>
      <c r="K118" s="77"/>
      <c r="L118" s="77"/>
      <c r="M118" s="77"/>
      <c r="N118" s="77"/>
      <c r="O118" s="77"/>
      <c r="P118" s="140">
        <f t="shared" si="5"/>
        <v>0</v>
      </c>
      <c r="X118" s="78"/>
      <c r="Y118" s="78"/>
    </row>
    <row r="119" spans="5:25" ht="15" customHeight="1" x14ac:dyDescent="0.35">
      <c r="E119" s="84" t="str">
        <f t="shared" si="4"/>
        <v/>
      </c>
      <c r="J119" s="77"/>
      <c r="K119" s="77"/>
      <c r="L119" s="77"/>
      <c r="M119" s="77"/>
      <c r="N119" s="77"/>
      <c r="O119" s="77"/>
      <c r="P119" s="140">
        <f t="shared" si="5"/>
        <v>0</v>
      </c>
      <c r="X119" s="78"/>
    </row>
    <row r="120" spans="5:25" ht="15" customHeight="1" x14ac:dyDescent="0.35">
      <c r="E120" s="84" t="str">
        <f t="shared" si="4"/>
        <v/>
      </c>
      <c r="J120" s="77"/>
      <c r="K120" s="77"/>
      <c r="L120" s="77"/>
      <c r="M120" s="77"/>
      <c r="N120" s="77"/>
      <c r="O120" s="77"/>
      <c r="P120" s="140">
        <f t="shared" si="5"/>
        <v>0</v>
      </c>
    </row>
    <row r="121" spans="5:25" ht="15" customHeight="1" x14ac:dyDescent="0.35">
      <c r="E121" s="84" t="str">
        <f t="shared" si="4"/>
        <v/>
      </c>
      <c r="J121" s="77"/>
      <c r="K121" s="77"/>
      <c r="L121" s="77"/>
      <c r="M121" s="77"/>
      <c r="N121" s="77"/>
      <c r="O121" s="77"/>
      <c r="P121" s="140">
        <f t="shared" si="5"/>
        <v>0</v>
      </c>
    </row>
    <row r="122" spans="5:25" ht="15" customHeight="1" x14ac:dyDescent="0.35">
      <c r="E122" s="84" t="str">
        <f t="shared" si="4"/>
        <v/>
      </c>
      <c r="J122" s="77"/>
      <c r="K122" s="77"/>
      <c r="L122" s="77"/>
      <c r="M122" s="77"/>
      <c r="N122" s="77"/>
      <c r="O122" s="77"/>
      <c r="P122" s="140">
        <f t="shared" si="5"/>
        <v>0</v>
      </c>
      <c r="X122" s="78"/>
      <c r="Y122" s="78"/>
    </row>
    <row r="123" spans="5:25" ht="15" customHeight="1" x14ac:dyDescent="0.35">
      <c r="E123" s="84" t="str">
        <f t="shared" si="4"/>
        <v/>
      </c>
      <c r="J123" s="77"/>
      <c r="K123" s="77"/>
      <c r="L123" s="77"/>
      <c r="M123" s="77"/>
      <c r="N123" s="77"/>
      <c r="O123" s="77"/>
      <c r="P123" s="140">
        <f t="shared" si="5"/>
        <v>0</v>
      </c>
      <c r="X123" s="78"/>
    </row>
    <row r="124" spans="5:25" ht="15" customHeight="1" x14ac:dyDescent="0.35">
      <c r="E124" s="84" t="str">
        <f t="shared" si="4"/>
        <v/>
      </c>
      <c r="J124" s="77"/>
      <c r="K124" s="77"/>
      <c r="L124" s="77"/>
      <c r="M124" s="77"/>
      <c r="N124" s="77"/>
      <c r="O124" s="77"/>
      <c r="P124" s="140">
        <f t="shared" si="5"/>
        <v>0</v>
      </c>
    </row>
    <row r="125" spans="5:25" ht="15" customHeight="1" x14ac:dyDescent="0.35">
      <c r="E125" s="84" t="str">
        <f t="shared" si="4"/>
        <v/>
      </c>
      <c r="J125" s="77"/>
      <c r="K125" s="77"/>
      <c r="L125" s="77"/>
      <c r="M125" s="77"/>
      <c r="N125" s="77"/>
      <c r="O125" s="77"/>
      <c r="P125" s="140">
        <f t="shared" si="5"/>
        <v>0</v>
      </c>
    </row>
    <row r="126" spans="5:25" ht="15" customHeight="1" x14ac:dyDescent="0.35">
      <c r="E126" s="84" t="str">
        <f t="shared" si="4"/>
        <v/>
      </c>
      <c r="J126" s="77"/>
      <c r="K126" s="77"/>
      <c r="L126" s="77"/>
      <c r="M126" s="77"/>
      <c r="N126" s="77"/>
      <c r="O126" s="77"/>
      <c r="P126" s="140">
        <f t="shared" si="5"/>
        <v>0</v>
      </c>
      <c r="X126" s="78"/>
      <c r="Y126" s="78"/>
    </row>
    <row r="127" spans="5:25" ht="15" customHeight="1" x14ac:dyDescent="0.35">
      <c r="E127" s="84" t="str">
        <f t="shared" si="4"/>
        <v/>
      </c>
      <c r="J127" s="77"/>
      <c r="K127" s="77"/>
      <c r="L127" s="77"/>
      <c r="M127" s="77"/>
      <c r="N127" s="77"/>
      <c r="O127" s="77"/>
      <c r="P127" s="140">
        <f t="shared" si="5"/>
        <v>0</v>
      </c>
      <c r="X127" s="78"/>
    </row>
    <row r="128" spans="5:25" ht="15" customHeight="1" x14ac:dyDescent="0.35">
      <c r="E128" s="84" t="str">
        <f t="shared" si="4"/>
        <v/>
      </c>
      <c r="J128" s="77"/>
      <c r="K128" s="77"/>
      <c r="L128" s="77"/>
      <c r="M128" s="77"/>
      <c r="N128" s="77"/>
      <c r="O128" s="77"/>
      <c r="P128" s="140">
        <f t="shared" si="5"/>
        <v>0</v>
      </c>
      <c r="Y128" s="78"/>
    </row>
    <row r="129" spans="5:25" ht="15" customHeight="1" x14ac:dyDescent="0.35">
      <c r="E129" s="84" t="str">
        <f t="shared" si="4"/>
        <v/>
      </c>
      <c r="J129" s="77"/>
      <c r="K129" s="77"/>
      <c r="L129" s="77"/>
      <c r="M129" s="77"/>
      <c r="N129" s="77"/>
      <c r="O129" s="77"/>
      <c r="P129" s="140">
        <f t="shared" si="5"/>
        <v>0</v>
      </c>
    </row>
    <row r="130" spans="5:25" ht="15" customHeight="1" x14ac:dyDescent="0.35">
      <c r="E130" s="84" t="str">
        <f t="shared" si="4"/>
        <v/>
      </c>
      <c r="J130" s="77"/>
      <c r="K130" s="77"/>
      <c r="L130" s="77"/>
      <c r="M130" s="77"/>
      <c r="N130" s="77"/>
      <c r="O130" s="77"/>
      <c r="P130" s="140">
        <f t="shared" si="5"/>
        <v>0</v>
      </c>
    </row>
    <row r="131" spans="5:25" ht="15" customHeight="1" x14ac:dyDescent="0.35">
      <c r="E131" s="84" t="str">
        <f t="shared" si="4"/>
        <v/>
      </c>
      <c r="J131" s="77"/>
      <c r="K131" s="77"/>
      <c r="L131" s="77"/>
      <c r="M131" s="77"/>
      <c r="N131" s="77"/>
      <c r="O131" s="77"/>
      <c r="P131" s="140">
        <f t="shared" si="5"/>
        <v>0</v>
      </c>
      <c r="X131" s="78"/>
      <c r="Y131" s="78"/>
    </row>
    <row r="132" spans="5:25" ht="15" customHeight="1" x14ac:dyDescent="0.35">
      <c r="E132" s="84" t="str">
        <f t="shared" si="4"/>
        <v/>
      </c>
      <c r="J132" s="77"/>
      <c r="K132" s="77"/>
      <c r="L132" s="77"/>
      <c r="M132" s="77"/>
      <c r="N132" s="77"/>
      <c r="O132" s="77"/>
      <c r="P132" s="140">
        <f t="shared" si="5"/>
        <v>0</v>
      </c>
    </row>
    <row r="133" spans="5:25" ht="15" customHeight="1" x14ac:dyDescent="0.35">
      <c r="E133" s="84" t="str">
        <f t="shared" si="4"/>
        <v/>
      </c>
      <c r="J133" s="77"/>
      <c r="K133" s="77"/>
      <c r="L133" s="77"/>
      <c r="M133" s="77"/>
      <c r="N133" s="77"/>
      <c r="O133" s="77"/>
      <c r="P133" s="140">
        <f t="shared" si="5"/>
        <v>0</v>
      </c>
    </row>
    <row r="134" spans="5:25" ht="15" customHeight="1" x14ac:dyDescent="0.35">
      <c r="E134" s="84" t="str">
        <f t="shared" si="4"/>
        <v/>
      </c>
      <c r="J134" s="77"/>
      <c r="K134" s="77"/>
      <c r="L134" s="77"/>
      <c r="M134" s="77"/>
      <c r="N134" s="77"/>
      <c r="O134" s="77"/>
      <c r="P134" s="140">
        <f t="shared" si="5"/>
        <v>0</v>
      </c>
    </row>
    <row r="135" spans="5:25" ht="15" customHeight="1" x14ac:dyDescent="0.35">
      <c r="E135" s="84" t="str">
        <f t="shared" si="4"/>
        <v/>
      </c>
      <c r="J135" s="77"/>
      <c r="K135" s="77"/>
      <c r="L135" s="77"/>
      <c r="M135" s="77"/>
      <c r="N135" s="77"/>
      <c r="O135" s="77"/>
      <c r="P135" s="140">
        <f t="shared" si="5"/>
        <v>0</v>
      </c>
      <c r="X135" s="78"/>
      <c r="Y135" s="78"/>
    </row>
    <row r="136" spans="5:25" ht="15" customHeight="1" x14ac:dyDescent="0.35">
      <c r="E136" s="84" t="str">
        <f t="shared" si="4"/>
        <v/>
      </c>
      <c r="J136" s="77"/>
      <c r="K136" s="77"/>
      <c r="L136" s="77"/>
      <c r="M136" s="77"/>
      <c r="N136" s="77"/>
      <c r="O136" s="77"/>
      <c r="P136" s="140">
        <f t="shared" si="5"/>
        <v>0</v>
      </c>
      <c r="X136" s="78"/>
      <c r="Y136" s="78"/>
    </row>
    <row r="137" spans="5:25" ht="15" customHeight="1" x14ac:dyDescent="0.35">
      <c r="E137" s="84" t="str">
        <f t="shared" si="4"/>
        <v/>
      </c>
      <c r="J137" s="77"/>
      <c r="K137" s="77"/>
      <c r="L137" s="77"/>
      <c r="M137" s="77"/>
      <c r="N137" s="77"/>
      <c r="O137" s="77"/>
      <c r="P137" s="140">
        <f t="shared" si="5"/>
        <v>0</v>
      </c>
      <c r="X137" s="78"/>
      <c r="Y137" s="78"/>
    </row>
    <row r="138" spans="5:25" ht="15" customHeight="1" x14ac:dyDescent="0.35">
      <c r="E138" s="84" t="str">
        <f t="shared" si="4"/>
        <v/>
      </c>
      <c r="J138" s="77"/>
      <c r="K138" s="77"/>
      <c r="L138" s="77"/>
      <c r="M138" s="77"/>
      <c r="N138" s="77"/>
      <c r="O138" s="77"/>
      <c r="P138" s="140">
        <f t="shared" si="5"/>
        <v>0</v>
      </c>
    </row>
    <row r="139" spans="5:25" ht="15" customHeight="1" x14ac:dyDescent="0.35">
      <c r="E139" s="84" t="str">
        <f t="shared" si="4"/>
        <v/>
      </c>
      <c r="J139" s="77"/>
      <c r="K139" s="77"/>
      <c r="L139" s="77"/>
      <c r="M139" s="77"/>
      <c r="N139" s="77"/>
      <c r="O139" s="77"/>
      <c r="P139" s="140">
        <f t="shared" si="5"/>
        <v>0</v>
      </c>
    </row>
    <row r="140" spans="5:25" ht="15" customHeight="1" x14ac:dyDescent="0.35">
      <c r="E140" s="84" t="str">
        <f t="shared" si="4"/>
        <v/>
      </c>
      <c r="J140" s="77"/>
      <c r="K140" s="77"/>
      <c r="L140" s="77"/>
      <c r="M140" s="77"/>
      <c r="N140" s="77"/>
      <c r="O140" s="77"/>
      <c r="P140" s="140">
        <f t="shared" si="5"/>
        <v>0</v>
      </c>
    </row>
    <row r="141" spans="5:25" ht="15" customHeight="1" x14ac:dyDescent="0.35">
      <c r="E141" s="84" t="str">
        <f t="shared" si="4"/>
        <v/>
      </c>
      <c r="J141" s="77"/>
      <c r="K141" s="77"/>
      <c r="L141" s="77"/>
      <c r="M141" s="77"/>
      <c r="N141" s="77"/>
      <c r="O141" s="77"/>
      <c r="P141" s="140">
        <f t="shared" si="5"/>
        <v>0</v>
      </c>
    </row>
    <row r="142" spans="5:25" ht="15" customHeight="1" x14ac:dyDescent="0.35">
      <c r="E142" s="84" t="str">
        <f t="shared" si="4"/>
        <v/>
      </c>
      <c r="J142" s="77"/>
      <c r="K142" s="77"/>
      <c r="L142" s="77"/>
      <c r="M142" s="77"/>
      <c r="N142" s="77"/>
      <c r="O142" s="77"/>
      <c r="P142" s="140">
        <f t="shared" si="5"/>
        <v>0</v>
      </c>
    </row>
    <row r="143" spans="5:25" ht="15" customHeight="1" x14ac:dyDescent="0.35">
      <c r="E143" s="84" t="str">
        <f t="shared" si="4"/>
        <v/>
      </c>
      <c r="J143" s="77"/>
      <c r="K143" s="77"/>
      <c r="L143" s="77"/>
      <c r="M143" s="77"/>
      <c r="N143" s="77"/>
      <c r="O143" s="77"/>
      <c r="P143" s="140">
        <f t="shared" si="5"/>
        <v>0</v>
      </c>
    </row>
    <row r="144" spans="5:25" ht="15" customHeight="1" x14ac:dyDescent="0.35">
      <c r="E144" s="84" t="str">
        <f t="shared" si="4"/>
        <v/>
      </c>
      <c r="J144" s="77"/>
      <c r="K144" s="77"/>
      <c r="L144" s="77"/>
      <c r="M144" s="77"/>
      <c r="N144" s="77"/>
      <c r="O144" s="77"/>
      <c r="P144" s="140">
        <f t="shared" si="5"/>
        <v>0</v>
      </c>
      <c r="Y144" s="78"/>
    </row>
    <row r="145" spans="5:25" ht="15" customHeight="1" x14ac:dyDescent="0.35">
      <c r="E145" s="84" t="str">
        <f t="shared" si="4"/>
        <v/>
      </c>
      <c r="J145" s="77"/>
      <c r="K145" s="77"/>
      <c r="L145" s="77"/>
      <c r="M145" s="77"/>
      <c r="N145" s="77"/>
      <c r="O145" s="77"/>
      <c r="P145" s="140">
        <f t="shared" si="5"/>
        <v>0</v>
      </c>
      <c r="X145" s="78"/>
      <c r="Y145" s="78"/>
    </row>
    <row r="146" spans="5:25" ht="15" customHeight="1" x14ac:dyDescent="0.35">
      <c r="E146" s="84" t="str">
        <f t="shared" si="4"/>
        <v/>
      </c>
      <c r="J146" s="77"/>
      <c r="K146" s="77"/>
      <c r="L146" s="77"/>
      <c r="M146" s="77"/>
      <c r="N146" s="77"/>
      <c r="O146" s="77"/>
      <c r="P146" s="140">
        <f t="shared" si="5"/>
        <v>0</v>
      </c>
    </row>
    <row r="147" spans="5:25" ht="15" customHeight="1" x14ac:dyDescent="0.35">
      <c r="E147" s="84" t="str">
        <f t="shared" si="4"/>
        <v/>
      </c>
      <c r="J147" s="77"/>
      <c r="K147" s="77"/>
      <c r="L147" s="77"/>
      <c r="M147" s="77"/>
      <c r="N147" s="77"/>
      <c r="O147" s="77"/>
      <c r="P147" s="140">
        <f t="shared" si="5"/>
        <v>0</v>
      </c>
      <c r="X147" s="78"/>
    </row>
    <row r="148" spans="5:25" ht="15" customHeight="1" x14ac:dyDescent="0.35">
      <c r="E148" s="84" t="str">
        <f t="shared" si="4"/>
        <v/>
      </c>
      <c r="J148" s="77"/>
      <c r="K148" s="77"/>
      <c r="L148" s="77"/>
      <c r="M148" s="77"/>
      <c r="N148" s="77"/>
      <c r="O148" s="77"/>
      <c r="P148" s="140">
        <f t="shared" si="5"/>
        <v>0</v>
      </c>
      <c r="X148" s="78"/>
      <c r="Y148" s="78"/>
    </row>
    <row r="149" spans="5:25" ht="15" customHeight="1" x14ac:dyDescent="0.35">
      <c r="E149" s="84" t="str">
        <f t="shared" si="4"/>
        <v/>
      </c>
      <c r="I149" s="78"/>
      <c r="J149" s="77"/>
      <c r="K149" s="77"/>
      <c r="L149" s="77"/>
      <c r="M149" s="77"/>
      <c r="N149" s="77"/>
      <c r="O149" s="77"/>
      <c r="P149" s="140">
        <f t="shared" si="5"/>
        <v>0</v>
      </c>
      <c r="X149" s="78"/>
      <c r="Y149" s="78"/>
    </row>
    <row r="150" spans="5:25" ht="15" customHeight="1" x14ac:dyDescent="0.35">
      <c r="E150" s="84" t="str">
        <f t="shared" si="4"/>
        <v/>
      </c>
      <c r="J150" s="77"/>
      <c r="K150" s="77"/>
      <c r="L150" s="77"/>
      <c r="M150" s="77"/>
      <c r="N150" s="77"/>
      <c r="O150" s="77"/>
      <c r="P150" s="140">
        <f t="shared" si="5"/>
        <v>0</v>
      </c>
    </row>
    <row r="151" spans="5:25" ht="15" customHeight="1" x14ac:dyDescent="0.35">
      <c r="E151" s="84" t="str">
        <f t="shared" si="4"/>
        <v/>
      </c>
      <c r="J151" s="77"/>
      <c r="K151" s="77"/>
      <c r="L151" s="77"/>
      <c r="M151" s="77"/>
      <c r="N151" s="77"/>
      <c r="O151" s="77"/>
      <c r="P151" s="140">
        <f t="shared" si="5"/>
        <v>0</v>
      </c>
      <c r="X151" s="78"/>
    </row>
    <row r="152" spans="5:25" ht="15" customHeight="1" x14ac:dyDescent="0.35">
      <c r="E152" s="84" t="str">
        <f t="shared" si="4"/>
        <v/>
      </c>
      <c r="J152" s="77"/>
      <c r="K152" s="77"/>
      <c r="L152" s="77"/>
      <c r="M152" s="77"/>
      <c r="N152" s="77"/>
      <c r="O152" s="77"/>
      <c r="P152" s="140">
        <f t="shared" si="5"/>
        <v>0</v>
      </c>
    </row>
    <row r="153" spans="5:25" ht="15" customHeight="1" x14ac:dyDescent="0.35">
      <c r="E153" s="84" t="str">
        <f t="shared" si="4"/>
        <v/>
      </c>
      <c r="J153" s="77"/>
      <c r="K153" s="77"/>
      <c r="L153" s="77"/>
      <c r="M153" s="77"/>
      <c r="N153" s="77"/>
      <c r="O153" s="77"/>
      <c r="P153" s="140">
        <f t="shared" si="5"/>
        <v>0</v>
      </c>
    </row>
    <row r="154" spans="5:25" ht="15" customHeight="1" x14ac:dyDescent="0.35">
      <c r="E154" s="84" t="str">
        <f t="shared" si="4"/>
        <v/>
      </c>
      <c r="J154" s="77"/>
      <c r="K154" s="77"/>
      <c r="L154" s="77"/>
      <c r="M154" s="77"/>
      <c r="N154" s="77"/>
      <c r="O154" s="77"/>
      <c r="P154" s="140">
        <f t="shared" si="5"/>
        <v>0</v>
      </c>
      <c r="X154" s="78"/>
      <c r="Y154" s="78"/>
    </row>
    <row r="155" spans="5:25" ht="15" customHeight="1" x14ac:dyDescent="0.35">
      <c r="E155" s="84" t="str">
        <f t="shared" si="4"/>
        <v/>
      </c>
      <c r="J155" s="77"/>
      <c r="K155" s="77"/>
      <c r="L155" s="77"/>
      <c r="M155" s="77"/>
      <c r="N155" s="77"/>
      <c r="O155" s="77"/>
      <c r="P155" s="140">
        <f t="shared" si="5"/>
        <v>0</v>
      </c>
      <c r="X155" s="78"/>
      <c r="Y155" s="78"/>
    </row>
    <row r="156" spans="5:25" ht="15" customHeight="1" x14ac:dyDescent="0.35">
      <c r="E156" s="84" t="str">
        <f t="shared" si="4"/>
        <v/>
      </c>
      <c r="J156" s="77"/>
      <c r="K156" s="77"/>
      <c r="L156" s="77"/>
      <c r="M156" s="77"/>
      <c r="N156" s="77"/>
      <c r="O156" s="77"/>
      <c r="P156" s="140">
        <f t="shared" si="5"/>
        <v>0</v>
      </c>
      <c r="X156" s="78"/>
      <c r="Y156" s="78"/>
    </row>
    <row r="157" spans="5:25" ht="15" customHeight="1" x14ac:dyDescent="0.35">
      <c r="E157" s="84" t="str">
        <f t="shared" si="4"/>
        <v/>
      </c>
      <c r="J157" s="77"/>
      <c r="K157" s="77"/>
      <c r="L157" s="77"/>
      <c r="M157" s="77"/>
      <c r="N157" s="77"/>
      <c r="O157" s="77"/>
      <c r="P157" s="140">
        <f t="shared" si="5"/>
        <v>0</v>
      </c>
      <c r="X157" s="78"/>
      <c r="Y157" s="78"/>
    </row>
    <row r="158" spans="5:25" ht="15" customHeight="1" x14ac:dyDescent="0.35">
      <c r="E158" s="84" t="str">
        <f t="shared" si="4"/>
        <v/>
      </c>
      <c r="J158" s="77"/>
      <c r="K158" s="77"/>
      <c r="L158" s="77"/>
      <c r="M158" s="77"/>
      <c r="N158" s="77"/>
      <c r="O158" s="77"/>
      <c r="P158" s="140">
        <f t="shared" si="5"/>
        <v>0</v>
      </c>
      <c r="X158" s="78"/>
      <c r="Y158" s="78"/>
    </row>
    <row r="159" spans="5:25" ht="15" customHeight="1" x14ac:dyDescent="0.35">
      <c r="E159" s="84" t="str">
        <f t="shared" si="4"/>
        <v/>
      </c>
      <c r="J159" s="77"/>
      <c r="K159" s="77"/>
      <c r="L159" s="77"/>
      <c r="M159" s="77"/>
      <c r="N159" s="77"/>
      <c r="O159" s="77"/>
      <c r="P159" s="140">
        <f t="shared" si="5"/>
        <v>0</v>
      </c>
    </row>
    <row r="160" spans="5:25" ht="15" customHeight="1" x14ac:dyDescent="0.35">
      <c r="E160" s="84" t="str">
        <f t="shared" si="4"/>
        <v/>
      </c>
      <c r="J160" s="77"/>
      <c r="K160" s="77"/>
      <c r="L160" s="77"/>
      <c r="M160" s="77"/>
      <c r="N160" s="77"/>
      <c r="O160" s="77"/>
      <c r="P160" s="140">
        <f t="shared" si="5"/>
        <v>0</v>
      </c>
    </row>
    <row r="161" spans="5:25" ht="15" customHeight="1" x14ac:dyDescent="0.35">
      <c r="E161" s="84" t="str">
        <f t="shared" si="4"/>
        <v/>
      </c>
      <c r="J161" s="77"/>
      <c r="K161" s="77"/>
      <c r="L161" s="77"/>
      <c r="M161" s="77"/>
      <c r="N161" s="77"/>
      <c r="O161" s="77"/>
      <c r="P161" s="140">
        <f t="shared" si="5"/>
        <v>0</v>
      </c>
    </row>
    <row r="162" spans="5:25" ht="15" customHeight="1" x14ac:dyDescent="0.35">
      <c r="E162" s="84" t="str">
        <f t="shared" si="4"/>
        <v/>
      </c>
      <c r="J162" s="77"/>
      <c r="K162" s="77"/>
      <c r="L162" s="77"/>
      <c r="M162" s="77"/>
      <c r="N162" s="77"/>
      <c r="O162" s="77"/>
      <c r="P162" s="140">
        <f t="shared" si="5"/>
        <v>0</v>
      </c>
      <c r="X162" s="78"/>
      <c r="Y162" s="78"/>
    </row>
    <row r="163" spans="5:25" ht="15" customHeight="1" x14ac:dyDescent="0.35">
      <c r="E163" s="84" t="str">
        <f t="shared" si="4"/>
        <v/>
      </c>
      <c r="J163" s="77"/>
      <c r="K163" s="77"/>
      <c r="L163" s="77"/>
      <c r="M163" s="77"/>
      <c r="N163" s="77"/>
      <c r="O163" s="77"/>
      <c r="P163" s="140">
        <f t="shared" si="5"/>
        <v>0</v>
      </c>
      <c r="X163" s="78"/>
      <c r="Y163" s="78"/>
    </row>
    <row r="164" spans="5:25" ht="15" customHeight="1" x14ac:dyDescent="0.35">
      <c r="E164" s="84" t="str">
        <f t="shared" si="4"/>
        <v/>
      </c>
      <c r="J164" s="77"/>
      <c r="K164" s="77"/>
      <c r="L164" s="77"/>
      <c r="M164" s="77"/>
      <c r="N164" s="77"/>
      <c r="O164" s="77"/>
      <c r="P164" s="140">
        <f t="shared" si="5"/>
        <v>0</v>
      </c>
      <c r="Y164" s="78"/>
    </row>
    <row r="165" spans="5:25" ht="15" customHeight="1" x14ac:dyDescent="0.35">
      <c r="E165" s="84" t="str">
        <f t="shared" si="4"/>
        <v/>
      </c>
      <c r="J165" s="77"/>
      <c r="K165" s="77"/>
      <c r="L165" s="77"/>
      <c r="M165" s="77"/>
      <c r="N165" s="77"/>
      <c r="O165" s="77"/>
      <c r="P165" s="140">
        <f t="shared" si="5"/>
        <v>0</v>
      </c>
      <c r="X165" s="78"/>
      <c r="Y165" s="78"/>
    </row>
    <row r="166" spans="5:25" ht="15" customHeight="1" x14ac:dyDescent="0.35">
      <c r="E166" s="84" t="str">
        <f t="shared" si="4"/>
        <v/>
      </c>
      <c r="J166" s="77"/>
      <c r="K166" s="77"/>
      <c r="L166" s="77"/>
      <c r="M166" s="77"/>
      <c r="N166" s="77"/>
      <c r="O166" s="77"/>
      <c r="P166" s="140">
        <f t="shared" si="5"/>
        <v>0</v>
      </c>
      <c r="X166" s="78"/>
      <c r="Y166" s="78"/>
    </row>
    <row r="167" spans="5:25" ht="15" customHeight="1" x14ac:dyDescent="0.35">
      <c r="E167" s="84" t="str">
        <f t="shared" ref="E167:E222" si="6">LEFT(D167,4)</f>
        <v/>
      </c>
      <c r="J167" s="77"/>
      <c r="K167" s="77"/>
      <c r="L167" s="77"/>
      <c r="M167" s="77"/>
      <c r="N167" s="77"/>
      <c r="O167" s="77"/>
      <c r="P167" s="140">
        <f t="shared" si="5"/>
        <v>0</v>
      </c>
      <c r="Y167" s="78"/>
    </row>
    <row r="168" spans="5:25" ht="15" customHeight="1" x14ac:dyDescent="0.35">
      <c r="E168" s="84" t="str">
        <f t="shared" si="6"/>
        <v/>
      </c>
      <c r="J168" s="77"/>
      <c r="K168" s="77"/>
      <c r="L168" s="77"/>
      <c r="M168" s="77"/>
      <c r="N168" s="77"/>
      <c r="O168" s="77"/>
      <c r="P168" s="140">
        <f t="shared" ref="P168:P223" si="7">INT(O168)</f>
        <v>0</v>
      </c>
      <c r="Y168" s="78"/>
    </row>
    <row r="169" spans="5:25" ht="15" customHeight="1" x14ac:dyDescent="0.35">
      <c r="E169" s="84" t="str">
        <f t="shared" si="6"/>
        <v/>
      </c>
      <c r="J169" s="77"/>
      <c r="K169" s="77"/>
      <c r="L169" s="77"/>
      <c r="M169" s="77"/>
      <c r="N169" s="77"/>
      <c r="O169" s="77"/>
      <c r="P169" s="140">
        <f t="shared" si="7"/>
        <v>0</v>
      </c>
      <c r="Y169" s="78"/>
    </row>
    <row r="170" spans="5:25" ht="15" customHeight="1" x14ac:dyDescent="0.35">
      <c r="E170" s="84" t="str">
        <f t="shared" si="6"/>
        <v/>
      </c>
      <c r="J170" s="77"/>
      <c r="K170" s="77"/>
      <c r="L170" s="77"/>
      <c r="M170" s="77"/>
      <c r="N170" s="77"/>
      <c r="O170" s="77"/>
      <c r="P170" s="140">
        <f t="shared" si="7"/>
        <v>0</v>
      </c>
    </row>
    <row r="171" spans="5:25" ht="15" customHeight="1" x14ac:dyDescent="0.35">
      <c r="E171" s="84" t="str">
        <f t="shared" si="6"/>
        <v/>
      </c>
      <c r="J171" s="77"/>
      <c r="K171" s="77"/>
      <c r="L171" s="77"/>
      <c r="M171" s="77"/>
      <c r="N171" s="77"/>
      <c r="O171" s="77"/>
      <c r="P171" s="140">
        <f t="shared" si="7"/>
        <v>0</v>
      </c>
      <c r="X171" s="78"/>
      <c r="Y171" s="78"/>
    </row>
    <row r="172" spans="5:25" ht="15" customHeight="1" x14ac:dyDescent="0.35">
      <c r="E172" s="84" t="str">
        <f t="shared" si="6"/>
        <v/>
      </c>
      <c r="J172" s="77"/>
      <c r="K172" s="77"/>
      <c r="L172" s="77"/>
      <c r="M172" s="77"/>
      <c r="N172" s="77"/>
      <c r="O172" s="77"/>
      <c r="P172" s="140">
        <f t="shared" si="7"/>
        <v>0</v>
      </c>
    </row>
    <row r="173" spans="5:25" ht="15" customHeight="1" x14ac:dyDescent="0.35">
      <c r="E173" s="84" t="str">
        <f t="shared" si="6"/>
        <v/>
      </c>
      <c r="J173" s="77"/>
      <c r="K173" s="77"/>
      <c r="L173" s="77"/>
      <c r="M173" s="77"/>
      <c r="N173" s="77"/>
      <c r="O173" s="77"/>
      <c r="P173" s="140">
        <f t="shared" si="7"/>
        <v>0</v>
      </c>
    </row>
    <row r="174" spans="5:25" ht="15" customHeight="1" x14ac:dyDescent="0.35">
      <c r="E174" s="84" t="str">
        <f t="shared" si="6"/>
        <v/>
      </c>
      <c r="J174" s="77"/>
      <c r="K174" s="77"/>
      <c r="L174" s="77"/>
      <c r="M174" s="77"/>
      <c r="N174" s="77"/>
      <c r="O174" s="77"/>
      <c r="P174" s="140">
        <f t="shared" si="7"/>
        <v>0</v>
      </c>
      <c r="X174" s="78"/>
      <c r="Y174" s="78"/>
    </row>
    <row r="175" spans="5:25" ht="15" customHeight="1" x14ac:dyDescent="0.35">
      <c r="E175" s="84" t="str">
        <f t="shared" si="6"/>
        <v/>
      </c>
      <c r="J175" s="77"/>
      <c r="K175" s="77"/>
      <c r="L175" s="77"/>
      <c r="M175" s="77"/>
      <c r="N175" s="77"/>
      <c r="O175" s="77"/>
      <c r="P175" s="140">
        <f t="shared" si="7"/>
        <v>0</v>
      </c>
      <c r="Y175" s="78"/>
    </row>
    <row r="176" spans="5:25" ht="15" customHeight="1" x14ac:dyDescent="0.35">
      <c r="E176" s="84" t="str">
        <f t="shared" si="6"/>
        <v/>
      </c>
      <c r="J176" s="77"/>
      <c r="K176" s="77"/>
      <c r="L176" s="77"/>
      <c r="M176" s="77"/>
      <c r="N176" s="77"/>
      <c r="O176" s="77"/>
      <c r="P176" s="140">
        <f t="shared" si="7"/>
        <v>0</v>
      </c>
      <c r="X176" s="78"/>
      <c r="Y176" s="78"/>
    </row>
    <row r="177" spans="5:25" ht="15" customHeight="1" x14ac:dyDescent="0.35">
      <c r="E177" s="84" t="str">
        <f t="shared" si="6"/>
        <v/>
      </c>
      <c r="J177" s="77"/>
      <c r="K177" s="77"/>
      <c r="L177" s="77"/>
      <c r="M177" s="77"/>
      <c r="N177" s="77"/>
      <c r="O177" s="77"/>
      <c r="P177" s="140">
        <f t="shared" si="7"/>
        <v>0</v>
      </c>
      <c r="X177" s="78"/>
      <c r="Y177" s="78"/>
    </row>
    <row r="178" spans="5:25" ht="15" customHeight="1" x14ac:dyDescent="0.35">
      <c r="E178" s="84" t="str">
        <f t="shared" si="6"/>
        <v/>
      </c>
      <c r="J178" s="77"/>
      <c r="K178" s="77"/>
      <c r="L178" s="77"/>
      <c r="M178" s="77"/>
      <c r="N178" s="77"/>
      <c r="O178" s="77"/>
      <c r="P178" s="140">
        <f t="shared" si="7"/>
        <v>0</v>
      </c>
      <c r="Y178" s="78"/>
    </row>
    <row r="179" spans="5:25" ht="15" customHeight="1" x14ac:dyDescent="0.35">
      <c r="E179" s="84" t="str">
        <f t="shared" si="6"/>
        <v/>
      </c>
      <c r="J179" s="77"/>
      <c r="K179" s="77"/>
      <c r="L179" s="77"/>
      <c r="M179" s="77"/>
      <c r="N179" s="77"/>
      <c r="O179" s="77"/>
      <c r="P179" s="140">
        <f t="shared" si="7"/>
        <v>0</v>
      </c>
      <c r="X179" s="78"/>
      <c r="Y179" s="78"/>
    </row>
    <row r="180" spans="5:25" ht="15" customHeight="1" x14ac:dyDescent="0.35">
      <c r="E180" s="84" t="str">
        <f t="shared" si="6"/>
        <v/>
      </c>
      <c r="J180" s="77"/>
      <c r="K180" s="77"/>
      <c r="L180" s="77"/>
      <c r="M180" s="77"/>
      <c r="N180" s="77"/>
      <c r="O180" s="77"/>
      <c r="P180" s="140">
        <f t="shared" si="7"/>
        <v>0</v>
      </c>
      <c r="X180" s="78"/>
      <c r="Y180" s="78"/>
    </row>
    <row r="181" spans="5:25" ht="15" customHeight="1" x14ac:dyDescent="0.35">
      <c r="E181" s="84" t="str">
        <f t="shared" si="6"/>
        <v/>
      </c>
      <c r="J181" s="77"/>
      <c r="K181" s="77"/>
      <c r="L181" s="77"/>
      <c r="M181" s="77"/>
      <c r="N181" s="77"/>
      <c r="O181" s="77"/>
      <c r="P181" s="140">
        <f t="shared" si="7"/>
        <v>0</v>
      </c>
      <c r="X181" s="78"/>
      <c r="Y181" s="78"/>
    </row>
    <row r="182" spans="5:25" ht="15" customHeight="1" x14ac:dyDescent="0.35">
      <c r="E182" s="84" t="str">
        <f t="shared" si="6"/>
        <v/>
      </c>
      <c r="J182" s="77"/>
      <c r="K182" s="77"/>
      <c r="L182" s="77"/>
      <c r="M182" s="77"/>
      <c r="N182" s="77"/>
      <c r="O182" s="77"/>
      <c r="P182" s="140">
        <f t="shared" si="7"/>
        <v>0</v>
      </c>
    </row>
    <row r="183" spans="5:25" ht="15" customHeight="1" x14ac:dyDescent="0.35">
      <c r="E183" s="84" t="str">
        <f t="shared" si="6"/>
        <v/>
      </c>
      <c r="J183" s="77"/>
      <c r="K183" s="77"/>
      <c r="L183" s="77"/>
      <c r="M183" s="77"/>
      <c r="N183" s="77"/>
      <c r="O183" s="77"/>
      <c r="P183" s="140">
        <f t="shared" si="7"/>
        <v>0</v>
      </c>
      <c r="X183" s="78"/>
      <c r="Y183" s="78"/>
    </row>
    <row r="184" spans="5:25" ht="15" customHeight="1" x14ac:dyDescent="0.35">
      <c r="E184" s="84" t="str">
        <f t="shared" si="6"/>
        <v/>
      </c>
      <c r="J184" s="77"/>
      <c r="K184" s="77"/>
      <c r="L184" s="77"/>
      <c r="M184" s="77"/>
      <c r="N184" s="77"/>
      <c r="O184" s="77"/>
      <c r="P184" s="140">
        <f t="shared" si="7"/>
        <v>0</v>
      </c>
      <c r="X184" s="78"/>
      <c r="Y184" s="78"/>
    </row>
    <row r="185" spans="5:25" ht="15" customHeight="1" x14ac:dyDescent="0.35">
      <c r="E185" s="84" t="str">
        <f t="shared" si="6"/>
        <v/>
      </c>
      <c r="J185" s="77"/>
      <c r="K185" s="77"/>
      <c r="L185" s="77"/>
      <c r="M185" s="77"/>
      <c r="N185" s="77"/>
      <c r="O185" s="77"/>
      <c r="P185" s="140">
        <f t="shared" si="7"/>
        <v>0</v>
      </c>
      <c r="Y185" s="78"/>
    </row>
    <row r="186" spans="5:25" ht="15" customHeight="1" x14ac:dyDescent="0.35">
      <c r="E186" s="84" t="str">
        <f t="shared" si="6"/>
        <v/>
      </c>
      <c r="J186" s="77"/>
      <c r="K186" s="77"/>
      <c r="L186" s="77"/>
      <c r="M186" s="77"/>
      <c r="N186" s="77"/>
      <c r="O186" s="77"/>
      <c r="P186" s="140">
        <f t="shared" si="7"/>
        <v>0</v>
      </c>
    </row>
    <row r="187" spans="5:25" ht="15" customHeight="1" x14ac:dyDescent="0.35">
      <c r="E187" s="84" t="str">
        <f t="shared" si="6"/>
        <v/>
      </c>
      <c r="J187" s="77"/>
      <c r="K187" s="77"/>
      <c r="L187" s="77"/>
      <c r="M187" s="77"/>
      <c r="N187" s="77"/>
      <c r="O187" s="77"/>
      <c r="P187" s="140">
        <f t="shared" si="7"/>
        <v>0</v>
      </c>
      <c r="Y187" s="78"/>
    </row>
    <row r="188" spans="5:25" ht="15" customHeight="1" x14ac:dyDescent="0.35">
      <c r="E188" s="84" t="str">
        <f t="shared" si="6"/>
        <v/>
      </c>
      <c r="J188" s="77"/>
      <c r="K188" s="77"/>
      <c r="L188" s="77"/>
      <c r="M188" s="77"/>
      <c r="N188" s="77"/>
      <c r="O188" s="77"/>
      <c r="P188" s="140">
        <f t="shared" si="7"/>
        <v>0</v>
      </c>
      <c r="Y188" s="78"/>
    </row>
    <row r="189" spans="5:25" ht="15" customHeight="1" x14ac:dyDescent="0.35">
      <c r="E189" s="84" t="str">
        <f t="shared" si="6"/>
        <v/>
      </c>
      <c r="J189" s="77"/>
      <c r="K189" s="77"/>
      <c r="L189" s="77"/>
      <c r="M189" s="77"/>
      <c r="N189" s="77"/>
      <c r="O189" s="77"/>
      <c r="P189" s="140">
        <f t="shared" si="7"/>
        <v>0</v>
      </c>
      <c r="X189" s="78"/>
      <c r="Y189" s="78"/>
    </row>
    <row r="190" spans="5:25" ht="15" customHeight="1" x14ac:dyDescent="0.35">
      <c r="E190" s="84" t="str">
        <f t="shared" si="6"/>
        <v/>
      </c>
      <c r="J190" s="77"/>
      <c r="K190" s="77"/>
      <c r="L190" s="77"/>
      <c r="M190" s="77"/>
      <c r="N190" s="77"/>
      <c r="O190" s="77"/>
      <c r="P190" s="140">
        <f t="shared" si="7"/>
        <v>0</v>
      </c>
    </row>
    <row r="191" spans="5:25" ht="15" customHeight="1" x14ac:dyDescent="0.35">
      <c r="E191" s="84" t="str">
        <f t="shared" si="6"/>
        <v/>
      </c>
      <c r="J191" s="77"/>
      <c r="K191" s="77"/>
      <c r="L191" s="77"/>
      <c r="M191" s="77"/>
      <c r="N191" s="77"/>
      <c r="O191" s="77"/>
      <c r="P191" s="140">
        <f t="shared" si="7"/>
        <v>0</v>
      </c>
      <c r="Y191" s="78"/>
    </row>
    <row r="192" spans="5:25" ht="15" customHeight="1" x14ac:dyDescent="0.35">
      <c r="E192" s="84" t="str">
        <f t="shared" si="6"/>
        <v/>
      </c>
      <c r="J192" s="77"/>
      <c r="K192" s="77"/>
      <c r="L192" s="77"/>
      <c r="M192" s="77"/>
      <c r="N192" s="77"/>
      <c r="O192" s="77"/>
      <c r="P192" s="140">
        <f t="shared" si="7"/>
        <v>0</v>
      </c>
      <c r="X192" s="78"/>
      <c r="Y192" s="78"/>
    </row>
    <row r="193" spans="5:25" ht="15" customHeight="1" x14ac:dyDescent="0.35">
      <c r="E193" s="84" t="str">
        <f t="shared" si="6"/>
        <v/>
      </c>
      <c r="I193" s="78"/>
      <c r="J193" s="77"/>
      <c r="K193" s="77"/>
      <c r="L193" s="77"/>
      <c r="M193" s="77"/>
      <c r="N193" s="77"/>
      <c r="O193" s="77"/>
      <c r="P193" s="140">
        <f t="shared" si="7"/>
        <v>0</v>
      </c>
      <c r="X193" s="78"/>
      <c r="Y193" s="78"/>
    </row>
    <row r="194" spans="5:25" ht="15" customHeight="1" x14ac:dyDescent="0.35">
      <c r="E194" s="84" t="str">
        <f t="shared" si="6"/>
        <v/>
      </c>
      <c r="J194" s="77"/>
      <c r="K194" s="77"/>
      <c r="L194" s="77"/>
      <c r="M194" s="77"/>
      <c r="N194" s="77"/>
      <c r="O194" s="77"/>
      <c r="P194" s="140">
        <f t="shared" si="7"/>
        <v>0</v>
      </c>
      <c r="X194" s="78"/>
      <c r="Y194" s="78"/>
    </row>
    <row r="195" spans="5:25" ht="15" customHeight="1" x14ac:dyDescent="0.35">
      <c r="E195" s="84" t="str">
        <f t="shared" si="6"/>
        <v/>
      </c>
      <c r="J195" s="77"/>
      <c r="K195" s="77"/>
      <c r="L195" s="77"/>
      <c r="M195" s="77"/>
      <c r="N195" s="77"/>
      <c r="O195" s="77"/>
      <c r="P195" s="140">
        <f t="shared" si="7"/>
        <v>0</v>
      </c>
      <c r="X195" s="78"/>
      <c r="Y195" s="78"/>
    </row>
    <row r="196" spans="5:25" ht="15" customHeight="1" x14ac:dyDescent="0.35">
      <c r="E196" s="84" t="str">
        <f t="shared" si="6"/>
        <v/>
      </c>
      <c r="J196" s="77"/>
      <c r="K196" s="77"/>
      <c r="L196" s="77"/>
      <c r="M196" s="77"/>
      <c r="N196" s="77"/>
      <c r="O196" s="77"/>
      <c r="P196" s="140">
        <f t="shared" si="7"/>
        <v>0</v>
      </c>
      <c r="Y196" s="78"/>
    </row>
    <row r="197" spans="5:25" ht="15" customHeight="1" x14ac:dyDescent="0.35">
      <c r="E197" s="84" t="str">
        <f t="shared" si="6"/>
        <v/>
      </c>
      <c r="J197" s="77"/>
      <c r="K197" s="77"/>
      <c r="L197" s="77"/>
      <c r="M197" s="77"/>
      <c r="N197" s="77"/>
      <c r="O197" s="77"/>
      <c r="P197" s="140">
        <f t="shared" si="7"/>
        <v>0</v>
      </c>
      <c r="Y197" s="78"/>
    </row>
    <row r="198" spans="5:25" ht="15" customHeight="1" x14ac:dyDescent="0.35">
      <c r="E198" s="84" t="str">
        <f t="shared" si="6"/>
        <v/>
      </c>
      <c r="J198" s="77"/>
      <c r="K198" s="77"/>
      <c r="L198" s="77"/>
      <c r="M198" s="77"/>
      <c r="N198" s="77"/>
      <c r="O198" s="77"/>
      <c r="P198" s="140">
        <f t="shared" si="7"/>
        <v>0</v>
      </c>
      <c r="Y198" s="78"/>
    </row>
    <row r="199" spans="5:25" ht="15" customHeight="1" x14ac:dyDescent="0.35">
      <c r="E199" s="84" t="str">
        <f t="shared" si="6"/>
        <v/>
      </c>
      <c r="J199" s="77"/>
      <c r="K199" s="77"/>
      <c r="L199" s="77"/>
      <c r="M199" s="77"/>
      <c r="N199" s="77"/>
      <c r="O199" s="77"/>
      <c r="P199" s="140">
        <f t="shared" si="7"/>
        <v>0</v>
      </c>
      <c r="Y199" s="78"/>
    </row>
    <row r="200" spans="5:25" ht="15" customHeight="1" x14ac:dyDescent="0.35">
      <c r="E200" s="84" t="str">
        <f t="shared" si="6"/>
        <v/>
      </c>
      <c r="J200" s="77"/>
      <c r="K200" s="77"/>
      <c r="L200" s="77"/>
      <c r="M200" s="77"/>
      <c r="N200" s="77"/>
      <c r="O200" s="77"/>
      <c r="P200" s="140">
        <f t="shared" si="7"/>
        <v>0</v>
      </c>
      <c r="Y200" s="78"/>
    </row>
    <row r="201" spans="5:25" ht="15" customHeight="1" x14ac:dyDescent="0.35">
      <c r="E201" s="84" t="str">
        <f t="shared" si="6"/>
        <v/>
      </c>
      <c r="J201" s="77"/>
      <c r="K201" s="77"/>
      <c r="L201" s="77"/>
      <c r="M201" s="77"/>
      <c r="N201" s="77"/>
      <c r="O201" s="77"/>
      <c r="P201" s="140">
        <f t="shared" si="7"/>
        <v>0</v>
      </c>
      <c r="Y201" s="78"/>
    </row>
    <row r="202" spans="5:25" ht="15" customHeight="1" x14ac:dyDescent="0.35">
      <c r="E202" s="84" t="str">
        <f t="shared" si="6"/>
        <v/>
      </c>
      <c r="J202" s="77"/>
      <c r="K202" s="77"/>
      <c r="L202" s="77"/>
      <c r="M202" s="77"/>
      <c r="N202" s="77"/>
      <c r="O202" s="77"/>
      <c r="P202" s="140">
        <f t="shared" si="7"/>
        <v>0</v>
      </c>
      <c r="Y202" s="78"/>
    </row>
    <row r="203" spans="5:25" ht="15" customHeight="1" x14ac:dyDescent="0.35">
      <c r="E203" s="84" t="str">
        <f t="shared" si="6"/>
        <v/>
      </c>
      <c r="J203" s="77"/>
      <c r="K203" s="77"/>
      <c r="L203" s="77"/>
      <c r="M203" s="77"/>
      <c r="N203" s="77"/>
      <c r="O203" s="77"/>
      <c r="P203" s="140">
        <f t="shared" si="7"/>
        <v>0</v>
      </c>
      <c r="X203" s="78"/>
      <c r="Y203" s="78"/>
    </row>
    <row r="204" spans="5:25" ht="15" customHeight="1" x14ac:dyDescent="0.35">
      <c r="E204" s="84" t="str">
        <f t="shared" si="6"/>
        <v/>
      </c>
      <c r="J204" s="77"/>
      <c r="K204" s="77"/>
      <c r="L204" s="77"/>
      <c r="M204" s="77"/>
      <c r="N204" s="77"/>
      <c r="O204" s="77"/>
      <c r="P204" s="140">
        <f t="shared" si="7"/>
        <v>0</v>
      </c>
    </row>
    <row r="205" spans="5:25" ht="15" customHeight="1" x14ac:dyDescent="0.35">
      <c r="E205" s="84" t="str">
        <f t="shared" si="6"/>
        <v/>
      </c>
      <c r="J205" s="77"/>
      <c r="K205" s="77"/>
      <c r="L205" s="77"/>
      <c r="M205" s="77"/>
      <c r="N205" s="77"/>
      <c r="O205" s="77"/>
      <c r="P205" s="140">
        <f t="shared" si="7"/>
        <v>0</v>
      </c>
      <c r="X205" s="78"/>
      <c r="Y205" s="78"/>
    </row>
    <row r="206" spans="5:25" ht="15" customHeight="1" x14ac:dyDescent="0.35">
      <c r="E206" s="84" t="str">
        <f t="shared" si="6"/>
        <v/>
      </c>
      <c r="J206" s="77"/>
      <c r="K206" s="77"/>
      <c r="L206" s="77"/>
      <c r="M206" s="77"/>
      <c r="N206" s="77"/>
      <c r="O206" s="77"/>
      <c r="P206" s="140">
        <f t="shared" si="7"/>
        <v>0</v>
      </c>
    </row>
    <row r="207" spans="5:25" ht="15" customHeight="1" x14ac:dyDescent="0.35">
      <c r="E207" s="84" t="str">
        <f t="shared" si="6"/>
        <v/>
      </c>
      <c r="J207" s="77"/>
      <c r="K207" s="77"/>
      <c r="L207" s="77"/>
      <c r="M207" s="77"/>
      <c r="N207" s="77"/>
      <c r="O207" s="77"/>
      <c r="P207" s="140">
        <f t="shared" si="7"/>
        <v>0</v>
      </c>
      <c r="X207" s="78"/>
    </row>
    <row r="208" spans="5:25" ht="15" customHeight="1" x14ac:dyDescent="0.35">
      <c r="E208" s="84" t="str">
        <f t="shared" si="6"/>
        <v/>
      </c>
      <c r="J208" s="77"/>
      <c r="K208" s="77"/>
      <c r="L208" s="77"/>
      <c r="M208" s="77"/>
      <c r="N208" s="77"/>
      <c r="O208" s="77"/>
      <c r="P208" s="140">
        <f t="shared" si="7"/>
        <v>0</v>
      </c>
      <c r="Y208" s="78"/>
    </row>
    <row r="209" spans="5:25" ht="15" customHeight="1" x14ac:dyDescent="0.35">
      <c r="E209" s="84" t="str">
        <f t="shared" si="6"/>
        <v/>
      </c>
      <c r="J209" s="77"/>
      <c r="K209" s="77"/>
      <c r="L209" s="77"/>
      <c r="M209" s="77"/>
      <c r="N209" s="77"/>
      <c r="O209" s="77"/>
      <c r="P209" s="140">
        <f t="shared" si="7"/>
        <v>0</v>
      </c>
      <c r="X209" s="78"/>
      <c r="Y209" s="78"/>
    </row>
    <row r="210" spans="5:25" ht="15" customHeight="1" x14ac:dyDescent="0.35">
      <c r="E210" s="84" t="str">
        <f t="shared" si="6"/>
        <v/>
      </c>
      <c r="J210" s="77"/>
      <c r="K210" s="77"/>
      <c r="L210" s="77"/>
      <c r="M210" s="77"/>
      <c r="N210" s="77"/>
      <c r="O210" s="77"/>
      <c r="P210" s="140">
        <f t="shared" si="7"/>
        <v>0</v>
      </c>
    </row>
    <row r="211" spans="5:25" ht="15" customHeight="1" x14ac:dyDescent="0.35">
      <c r="E211" s="84" t="str">
        <f t="shared" si="6"/>
        <v/>
      </c>
      <c r="J211" s="77"/>
      <c r="K211" s="77"/>
      <c r="L211" s="77"/>
      <c r="M211" s="77"/>
      <c r="N211" s="77"/>
      <c r="O211" s="77"/>
      <c r="P211" s="140">
        <f t="shared" si="7"/>
        <v>0</v>
      </c>
    </row>
    <row r="212" spans="5:25" ht="15" customHeight="1" x14ac:dyDescent="0.35">
      <c r="E212" s="84" t="str">
        <f t="shared" si="6"/>
        <v/>
      </c>
      <c r="J212" s="77"/>
      <c r="K212" s="77"/>
      <c r="L212" s="77"/>
      <c r="M212" s="77"/>
      <c r="N212" s="77"/>
      <c r="O212" s="77"/>
      <c r="P212" s="140">
        <f t="shared" si="7"/>
        <v>0</v>
      </c>
      <c r="X212" s="78"/>
      <c r="Y212" s="78"/>
    </row>
    <row r="213" spans="5:25" ht="15" customHeight="1" x14ac:dyDescent="0.35">
      <c r="E213" s="84" t="str">
        <f t="shared" si="6"/>
        <v/>
      </c>
      <c r="J213" s="77"/>
      <c r="K213" s="77"/>
      <c r="L213" s="77"/>
      <c r="M213" s="77"/>
      <c r="N213" s="77"/>
      <c r="O213" s="77"/>
      <c r="P213" s="140">
        <f t="shared" si="7"/>
        <v>0</v>
      </c>
      <c r="X213" s="78"/>
      <c r="Y213" s="78"/>
    </row>
    <row r="214" spans="5:25" ht="15" customHeight="1" x14ac:dyDescent="0.35">
      <c r="E214" s="84" t="str">
        <f t="shared" si="6"/>
        <v/>
      </c>
      <c r="J214" s="77"/>
      <c r="K214" s="77"/>
      <c r="L214" s="77"/>
      <c r="M214" s="77"/>
      <c r="N214" s="77"/>
      <c r="O214" s="77"/>
      <c r="P214" s="140">
        <f t="shared" si="7"/>
        <v>0</v>
      </c>
    </row>
    <row r="215" spans="5:25" ht="15" customHeight="1" x14ac:dyDescent="0.35">
      <c r="E215" s="84" t="str">
        <f t="shared" si="6"/>
        <v/>
      </c>
      <c r="J215" s="77"/>
      <c r="K215" s="77"/>
      <c r="L215" s="77"/>
      <c r="M215" s="77"/>
      <c r="N215" s="77"/>
      <c r="O215" s="77"/>
      <c r="P215" s="140">
        <f t="shared" si="7"/>
        <v>0</v>
      </c>
    </row>
    <row r="216" spans="5:25" ht="15" customHeight="1" x14ac:dyDescent="0.35">
      <c r="E216" s="84" t="str">
        <f t="shared" si="6"/>
        <v/>
      </c>
      <c r="J216" s="77"/>
      <c r="K216" s="77"/>
      <c r="L216" s="77"/>
      <c r="M216" s="77"/>
      <c r="N216" s="77"/>
      <c r="O216" s="77"/>
      <c r="P216" s="140">
        <f t="shared" si="7"/>
        <v>0</v>
      </c>
      <c r="Y216" s="78"/>
    </row>
    <row r="217" spans="5:25" ht="15" customHeight="1" x14ac:dyDescent="0.35">
      <c r="E217" s="84" t="str">
        <f t="shared" si="6"/>
        <v/>
      </c>
      <c r="J217" s="77"/>
      <c r="K217" s="77"/>
      <c r="L217" s="77"/>
      <c r="M217" s="77"/>
      <c r="N217" s="77"/>
      <c r="O217" s="77"/>
      <c r="P217" s="140">
        <f t="shared" si="7"/>
        <v>0</v>
      </c>
      <c r="X217" s="78"/>
      <c r="Y217" s="78"/>
    </row>
    <row r="218" spans="5:25" ht="15" customHeight="1" x14ac:dyDescent="0.35">
      <c r="E218" s="84" t="str">
        <f t="shared" si="6"/>
        <v/>
      </c>
      <c r="J218" s="77"/>
      <c r="K218" s="77"/>
      <c r="L218" s="77"/>
      <c r="M218" s="77"/>
      <c r="N218" s="77"/>
      <c r="O218" s="77"/>
      <c r="P218" s="140">
        <f t="shared" si="7"/>
        <v>0</v>
      </c>
    </row>
    <row r="219" spans="5:25" ht="15" customHeight="1" x14ac:dyDescent="0.35">
      <c r="E219" s="84" t="str">
        <f t="shared" si="6"/>
        <v/>
      </c>
      <c r="J219" s="77"/>
      <c r="K219" s="77"/>
      <c r="L219" s="77"/>
      <c r="M219" s="77"/>
      <c r="N219" s="77"/>
      <c r="O219" s="77"/>
      <c r="P219" s="140">
        <f t="shared" si="7"/>
        <v>0</v>
      </c>
    </row>
    <row r="220" spans="5:25" ht="15" customHeight="1" x14ac:dyDescent="0.35">
      <c r="E220" s="84" t="str">
        <f t="shared" si="6"/>
        <v/>
      </c>
      <c r="J220" s="77"/>
      <c r="K220" s="77"/>
      <c r="L220" s="77"/>
      <c r="M220" s="77"/>
      <c r="N220" s="77"/>
      <c r="O220" s="77"/>
      <c r="P220" s="140">
        <f t="shared" si="7"/>
        <v>0</v>
      </c>
      <c r="Y220" s="78"/>
    </row>
    <row r="221" spans="5:25" ht="15" customHeight="1" x14ac:dyDescent="0.35">
      <c r="E221" s="84" t="str">
        <f t="shared" si="6"/>
        <v/>
      </c>
      <c r="J221" s="77"/>
      <c r="K221" s="77"/>
      <c r="L221" s="77"/>
      <c r="M221" s="77"/>
      <c r="N221" s="77"/>
      <c r="O221" s="77"/>
      <c r="P221" s="140">
        <f t="shared" si="7"/>
        <v>0</v>
      </c>
    </row>
    <row r="222" spans="5:25" ht="15" customHeight="1" x14ac:dyDescent="0.35">
      <c r="E222" s="84" t="str">
        <f t="shared" si="6"/>
        <v/>
      </c>
      <c r="J222" s="77"/>
      <c r="K222" s="77"/>
      <c r="L222" s="77"/>
      <c r="M222" s="77"/>
      <c r="N222" s="77"/>
      <c r="O222" s="77"/>
      <c r="P222" s="140">
        <f t="shared" si="7"/>
        <v>0</v>
      </c>
      <c r="X222" s="78"/>
    </row>
    <row r="223" spans="5:25" ht="15" customHeight="1" x14ac:dyDescent="0.35">
      <c r="E223" s="84" t="str">
        <f t="shared" ref="E223:E284" si="8">LEFT(D223,4)</f>
        <v/>
      </c>
      <c r="J223" s="77"/>
      <c r="K223" s="77"/>
      <c r="L223" s="77"/>
      <c r="M223" s="77"/>
      <c r="N223" s="77"/>
      <c r="O223" s="77"/>
      <c r="P223" s="140">
        <f t="shared" si="7"/>
        <v>0</v>
      </c>
    </row>
    <row r="224" spans="5:25" ht="15" customHeight="1" x14ac:dyDescent="0.35">
      <c r="E224" s="84" t="str">
        <f t="shared" si="8"/>
        <v/>
      </c>
      <c r="J224" s="77"/>
      <c r="K224" s="77"/>
      <c r="L224" s="77"/>
      <c r="M224" s="77"/>
      <c r="N224" s="77"/>
      <c r="O224" s="77"/>
      <c r="P224" s="140">
        <f t="shared" ref="P224:P285" si="9">INT(O224)</f>
        <v>0</v>
      </c>
      <c r="X224" s="78"/>
      <c r="Y224" s="78"/>
    </row>
    <row r="225" spans="5:25" ht="15" customHeight="1" x14ac:dyDescent="0.35">
      <c r="E225" s="84" t="str">
        <f t="shared" si="8"/>
        <v/>
      </c>
      <c r="J225" s="77"/>
      <c r="K225" s="77"/>
      <c r="L225" s="77"/>
      <c r="M225" s="77"/>
      <c r="N225" s="77"/>
      <c r="O225" s="77"/>
      <c r="P225" s="140">
        <f t="shared" si="9"/>
        <v>0</v>
      </c>
    </row>
    <row r="226" spans="5:25" ht="15" customHeight="1" x14ac:dyDescent="0.35">
      <c r="E226" s="84" t="str">
        <f t="shared" si="8"/>
        <v/>
      </c>
      <c r="J226" s="77"/>
      <c r="K226" s="77"/>
      <c r="L226" s="77"/>
      <c r="M226" s="77"/>
      <c r="N226" s="77"/>
      <c r="O226" s="77"/>
      <c r="P226" s="140">
        <f t="shared" si="9"/>
        <v>0</v>
      </c>
      <c r="Y226" s="78"/>
    </row>
    <row r="227" spans="5:25" ht="15" customHeight="1" x14ac:dyDescent="0.35">
      <c r="E227" s="84" t="str">
        <f t="shared" si="8"/>
        <v/>
      </c>
      <c r="J227" s="77"/>
      <c r="K227" s="77"/>
      <c r="L227" s="77"/>
      <c r="M227" s="77"/>
      <c r="N227" s="77"/>
      <c r="O227" s="77"/>
      <c r="P227" s="140">
        <f t="shared" si="9"/>
        <v>0</v>
      </c>
    </row>
    <row r="228" spans="5:25" ht="15" customHeight="1" x14ac:dyDescent="0.35">
      <c r="E228" s="84" t="str">
        <f t="shared" si="8"/>
        <v/>
      </c>
      <c r="J228" s="77"/>
      <c r="K228" s="77"/>
      <c r="L228" s="77"/>
      <c r="M228" s="77"/>
      <c r="N228" s="77"/>
      <c r="O228" s="77"/>
      <c r="P228" s="140">
        <f t="shared" si="9"/>
        <v>0</v>
      </c>
    </row>
    <row r="229" spans="5:25" ht="15" customHeight="1" x14ac:dyDescent="0.35">
      <c r="E229" s="84" t="str">
        <f t="shared" si="8"/>
        <v/>
      </c>
      <c r="J229" s="77"/>
      <c r="K229" s="77"/>
      <c r="L229" s="77"/>
      <c r="M229" s="77"/>
      <c r="N229" s="77"/>
      <c r="O229" s="77"/>
      <c r="P229" s="140">
        <f t="shared" si="9"/>
        <v>0</v>
      </c>
    </row>
    <row r="230" spans="5:25" ht="15" customHeight="1" x14ac:dyDescent="0.35">
      <c r="E230" s="84" t="str">
        <f t="shared" si="8"/>
        <v/>
      </c>
      <c r="J230" s="77"/>
      <c r="K230" s="77"/>
      <c r="L230" s="77"/>
      <c r="M230" s="77"/>
      <c r="N230" s="77"/>
      <c r="O230" s="77"/>
      <c r="P230" s="140">
        <f t="shared" si="9"/>
        <v>0</v>
      </c>
      <c r="X230" s="78"/>
      <c r="Y230" s="78"/>
    </row>
    <row r="231" spans="5:25" ht="15" customHeight="1" x14ac:dyDescent="0.35">
      <c r="E231" s="84" t="str">
        <f t="shared" si="8"/>
        <v/>
      </c>
      <c r="J231" s="77"/>
      <c r="K231" s="77"/>
      <c r="L231" s="77"/>
      <c r="M231" s="77"/>
      <c r="N231" s="77"/>
      <c r="O231" s="77"/>
      <c r="P231" s="140">
        <f t="shared" si="9"/>
        <v>0</v>
      </c>
      <c r="X231" s="78"/>
    </row>
    <row r="232" spans="5:25" ht="15" customHeight="1" x14ac:dyDescent="0.35">
      <c r="E232" s="84" t="str">
        <f t="shared" si="8"/>
        <v/>
      </c>
      <c r="J232" s="77"/>
      <c r="K232" s="77"/>
      <c r="L232" s="77"/>
      <c r="M232" s="77"/>
      <c r="N232" s="77"/>
      <c r="O232" s="77"/>
      <c r="P232" s="140">
        <f t="shared" si="9"/>
        <v>0</v>
      </c>
      <c r="X232" s="78"/>
      <c r="Y232" s="78"/>
    </row>
    <row r="233" spans="5:25" ht="15" customHeight="1" x14ac:dyDescent="0.35">
      <c r="E233" s="84" t="str">
        <f t="shared" si="8"/>
        <v/>
      </c>
      <c r="J233" s="77"/>
      <c r="K233" s="77"/>
      <c r="L233" s="77"/>
      <c r="M233" s="77"/>
      <c r="N233" s="77"/>
      <c r="O233" s="77"/>
      <c r="P233" s="140">
        <f t="shared" si="9"/>
        <v>0</v>
      </c>
    </row>
    <row r="234" spans="5:25" ht="15" customHeight="1" x14ac:dyDescent="0.35">
      <c r="E234" s="84" t="str">
        <f t="shared" si="8"/>
        <v/>
      </c>
      <c r="J234" s="77"/>
      <c r="K234" s="77"/>
      <c r="L234" s="77"/>
      <c r="M234" s="77"/>
      <c r="N234" s="77"/>
      <c r="O234" s="77"/>
      <c r="P234" s="140">
        <f t="shared" si="9"/>
        <v>0</v>
      </c>
      <c r="X234" s="78"/>
      <c r="Y234" s="78"/>
    </row>
    <row r="235" spans="5:25" ht="15" customHeight="1" x14ac:dyDescent="0.35">
      <c r="E235" s="84" t="str">
        <f t="shared" si="8"/>
        <v/>
      </c>
      <c r="J235" s="77"/>
      <c r="K235" s="77"/>
      <c r="L235" s="77"/>
      <c r="M235" s="77"/>
      <c r="N235" s="77"/>
      <c r="O235" s="77"/>
      <c r="P235" s="140">
        <f t="shared" si="9"/>
        <v>0</v>
      </c>
      <c r="X235" s="78"/>
      <c r="Y235" s="78"/>
    </row>
    <row r="236" spans="5:25" ht="15" customHeight="1" x14ac:dyDescent="0.35">
      <c r="E236" s="84" t="str">
        <f t="shared" si="8"/>
        <v/>
      </c>
      <c r="J236" s="77"/>
      <c r="K236" s="77"/>
      <c r="L236" s="77"/>
      <c r="M236" s="77"/>
      <c r="N236" s="77"/>
      <c r="O236" s="77"/>
      <c r="P236" s="140">
        <f t="shared" si="9"/>
        <v>0</v>
      </c>
    </row>
    <row r="237" spans="5:25" ht="15" customHeight="1" x14ac:dyDescent="0.35">
      <c r="E237" s="84" t="str">
        <f t="shared" si="8"/>
        <v/>
      </c>
      <c r="J237" s="77"/>
      <c r="K237" s="77"/>
      <c r="L237" s="77"/>
      <c r="M237" s="77"/>
      <c r="N237" s="77"/>
      <c r="O237" s="77"/>
      <c r="P237" s="140">
        <f t="shared" si="9"/>
        <v>0</v>
      </c>
    </row>
    <row r="238" spans="5:25" ht="15" customHeight="1" x14ac:dyDescent="0.35">
      <c r="E238" s="84" t="str">
        <f t="shared" si="8"/>
        <v/>
      </c>
      <c r="J238" s="77"/>
      <c r="K238" s="77"/>
      <c r="L238" s="77"/>
      <c r="M238" s="77"/>
      <c r="N238" s="77"/>
      <c r="O238" s="77"/>
      <c r="P238" s="140">
        <f t="shared" si="9"/>
        <v>0</v>
      </c>
    </row>
    <row r="239" spans="5:25" ht="15" customHeight="1" x14ac:dyDescent="0.35">
      <c r="E239" s="84" t="str">
        <f t="shared" si="8"/>
        <v/>
      </c>
      <c r="J239" s="77"/>
      <c r="K239" s="77"/>
      <c r="L239" s="77"/>
      <c r="M239" s="77"/>
      <c r="N239" s="77"/>
      <c r="O239" s="77"/>
      <c r="P239" s="140">
        <f t="shared" si="9"/>
        <v>0</v>
      </c>
      <c r="X239" s="78"/>
      <c r="Y239" s="78"/>
    </row>
    <row r="240" spans="5:25" ht="15" customHeight="1" x14ac:dyDescent="0.35">
      <c r="E240" s="84" t="str">
        <f t="shared" si="8"/>
        <v/>
      </c>
      <c r="J240" s="77"/>
      <c r="K240" s="77"/>
      <c r="L240" s="77"/>
      <c r="M240" s="77"/>
      <c r="N240" s="77"/>
      <c r="O240" s="77"/>
      <c r="P240" s="140">
        <f t="shared" si="9"/>
        <v>0</v>
      </c>
    </row>
    <row r="241" spans="5:25" ht="15" customHeight="1" x14ac:dyDescent="0.35">
      <c r="E241" s="84" t="str">
        <f t="shared" si="8"/>
        <v/>
      </c>
      <c r="J241" s="77"/>
      <c r="K241" s="77"/>
      <c r="L241" s="77"/>
      <c r="M241" s="77"/>
      <c r="N241" s="77"/>
      <c r="O241" s="77"/>
      <c r="P241" s="140">
        <f t="shared" si="9"/>
        <v>0</v>
      </c>
    </row>
    <row r="242" spans="5:25" ht="15" customHeight="1" x14ac:dyDescent="0.35">
      <c r="E242" s="84" t="str">
        <f t="shared" si="8"/>
        <v/>
      </c>
      <c r="J242" s="77"/>
      <c r="K242" s="77"/>
      <c r="L242" s="77"/>
      <c r="M242" s="77"/>
      <c r="N242" s="77"/>
      <c r="O242" s="77"/>
      <c r="P242" s="140">
        <f t="shared" si="9"/>
        <v>0</v>
      </c>
    </row>
    <row r="243" spans="5:25" ht="15" customHeight="1" x14ac:dyDescent="0.35">
      <c r="E243" s="84" t="str">
        <f t="shared" si="8"/>
        <v/>
      </c>
      <c r="J243" s="77"/>
      <c r="K243" s="77"/>
      <c r="L243" s="77"/>
      <c r="M243" s="77"/>
      <c r="N243" s="77"/>
      <c r="O243" s="77"/>
      <c r="P243" s="140">
        <f t="shared" si="9"/>
        <v>0</v>
      </c>
      <c r="Y243" s="78"/>
    </row>
    <row r="244" spans="5:25" ht="15" customHeight="1" x14ac:dyDescent="0.35">
      <c r="E244" s="84" t="str">
        <f t="shared" si="8"/>
        <v/>
      </c>
      <c r="J244" s="77"/>
      <c r="K244" s="77"/>
      <c r="L244" s="77"/>
      <c r="M244" s="77"/>
      <c r="N244" s="77"/>
      <c r="O244" s="77"/>
      <c r="P244" s="140">
        <f t="shared" si="9"/>
        <v>0</v>
      </c>
      <c r="X244" s="78"/>
      <c r="Y244" s="78"/>
    </row>
    <row r="245" spans="5:25" ht="15" customHeight="1" x14ac:dyDescent="0.35">
      <c r="E245" s="84" t="str">
        <f t="shared" si="8"/>
        <v/>
      </c>
      <c r="J245" s="77"/>
      <c r="K245" s="77"/>
      <c r="L245" s="77"/>
      <c r="M245" s="77"/>
      <c r="N245" s="77"/>
      <c r="O245" s="77"/>
      <c r="P245" s="140">
        <f t="shared" si="9"/>
        <v>0</v>
      </c>
    </row>
    <row r="246" spans="5:25" ht="15" customHeight="1" x14ac:dyDescent="0.35">
      <c r="E246" s="84" t="str">
        <f t="shared" si="8"/>
        <v/>
      </c>
      <c r="J246" s="77"/>
      <c r="K246" s="77"/>
      <c r="L246" s="77"/>
      <c r="M246" s="77"/>
      <c r="N246" s="77"/>
      <c r="O246" s="77"/>
      <c r="P246" s="140">
        <f t="shared" si="9"/>
        <v>0</v>
      </c>
      <c r="Y246" s="78"/>
    </row>
    <row r="247" spans="5:25" ht="15" customHeight="1" x14ac:dyDescent="0.35">
      <c r="E247" s="84" t="str">
        <f t="shared" si="8"/>
        <v/>
      </c>
      <c r="J247" s="77"/>
      <c r="K247" s="77"/>
      <c r="L247" s="77"/>
      <c r="M247" s="77"/>
      <c r="N247" s="77"/>
      <c r="O247" s="77"/>
      <c r="P247" s="140">
        <f t="shared" si="9"/>
        <v>0</v>
      </c>
    </row>
    <row r="248" spans="5:25" ht="15" customHeight="1" x14ac:dyDescent="0.35">
      <c r="E248" s="84" t="str">
        <f t="shared" si="8"/>
        <v/>
      </c>
      <c r="J248" s="77"/>
      <c r="K248" s="77"/>
      <c r="L248" s="77"/>
      <c r="M248" s="77"/>
      <c r="N248" s="77"/>
      <c r="O248" s="77"/>
      <c r="P248" s="140">
        <f t="shared" si="9"/>
        <v>0</v>
      </c>
      <c r="X248" s="78"/>
      <c r="Y248" s="78"/>
    </row>
    <row r="249" spans="5:25" ht="15" customHeight="1" x14ac:dyDescent="0.35">
      <c r="E249" s="84" t="str">
        <f t="shared" si="8"/>
        <v/>
      </c>
      <c r="J249" s="77"/>
      <c r="K249" s="77"/>
      <c r="L249" s="77"/>
      <c r="M249" s="77"/>
      <c r="N249" s="77"/>
      <c r="O249" s="77"/>
      <c r="P249" s="140">
        <f t="shared" si="9"/>
        <v>0</v>
      </c>
      <c r="X249" s="78"/>
      <c r="Y249" s="78"/>
    </row>
    <row r="250" spans="5:25" ht="15" customHeight="1" x14ac:dyDescent="0.35">
      <c r="E250" s="84" t="str">
        <f t="shared" si="8"/>
        <v/>
      </c>
      <c r="J250" s="77"/>
      <c r="K250" s="77"/>
      <c r="L250" s="77"/>
      <c r="M250" s="77"/>
      <c r="N250" s="77"/>
      <c r="O250" s="77"/>
      <c r="P250" s="140">
        <f t="shared" si="9"/>
        <v>0</v>
      </c>
    </row>
    <row r="251" spans="5:25" ht="15" customHeight="1" x14ac:dyDescent="0.35">
      <c r="E251" s="84" t="str">
        <f t="shared" si="8"/>
        <v/>
      </c>
      <c r="J251" s="77"/>
      <c r="K251" s="77"/>
      <c r="L251" s="77"/>
      <c r="M251" s="77"/>
      <c r="N251" s="77"/>
      <c r="O251" s="77"/>
      <c r="P251" s="140">
        <f t="shared" si="9"/>
        <v>0</v>
      </c>
      <c r="Y251" s="78"/>
    </row>
    <row r="252" spans="5:25" ht="15" customHeight="1" x14ac:dyDescent="0.35">
      <c r="E252" s="84" t="str">
        <f t="shared" si="8"/>
        <v/>
      </c>
      <c r="J252" s="77"/>
      <c r="K252" s="77"/>
      <c r="L252" s="77"/>
      <c r="M252" s="77"/>
      <c r="N252" s="77"/>
      <c r="O252" s="77"/>
      <c r="P252" s="140">
        <f t="shared" si="9"/>
        <v>0</v>
      </c>
      <c r="X252" s="78"/>
      <c r="Y252" s="78"/>
    </row>
    <row r="253" spans="5:25" ht="15" customHeight="1" x14ac:dyDescent="0.35">
      <c r="E253" s="84" t="str">
        <f t="shared" si="8"/>
        <v/>
      </c>
      <c r="J253" s="77"/>
      <c r="K253" s="77"/>
      <c r="L253" s="77"/>
      <c r="M253" s="77"/>
      <c r="N253" s="77"/>
      <c r="O253" s="77"/>
      <c r="P253" s="140">
        <f t="shared" si="9"/>
        <v>0</v>
      </c>
      <c r="Y253" s="78"/>
    </row>
    <row r="254" spans="5:25" ht="15" customHeight="1" x14ac:dyDescent="0.35">
      <c r="E254" s="84" t="str">
        <f t="shared" si="8"/>
        <v/>
      </c>
      <c r="J254" s="77"/>
      <c r="K254" s="77"/>
      <c r="L254" s="77"/>
      <c r="M254" s="77"/>
      <c r="N254" s="77"/>
      <c r="O254" s="77"/>
      <c r="P254" s="140">
        <f t="shared" si="9"/>
        <v>0</v>
      </c>
      <c r="X254" s="78"/>
      <c r="Y254" s="78"/>
    </row>
    <row r="255" spans="5:25" ht="15" customHeight="1" x14ac:dyDescent="0.35">
      <c r="E255" s="84" t="str">
        <f t="shared" si="8"/>
        <v/>
      </c>
      <c r="J255" s="77"/>
      <c r="K255" s="77"/>
      <c r="L255" s="77"/>
      <c r="M255" s="77"/>
      <c r="N255" s="77"/>
      <c r="O255" s="77"/>
      <c r="P255" s="140">
        <f t="shared" si="9"/>
        <v>0</v>
      </c>
      <c r="X255" s="78"/>
      <c r="Y255" s="78"/>
    </row>
    <row r="256" spans="5:25" ht="15" customHeight="1" x14ac:dyDescent="0.35">
      <c r="E256" s="84" t="str">
        <f t="shared" si="8"/>
        <v/>
      </c>
      <c r="J256" s="77"/>
      <c r="K256" s="77"/>
      <c r="L256" s="77"/>
      <c r="M256" s="77"/>
      <c r="N256" s="77"/>
      <c r="O256" s="77"/>
      <c r="P256" s="140">
        <f t="shared" si="9"/>
        <v>0</v>
      </c>
      <c r="X256" s="78"/>
      <c r="Y256" s="78"/>
    </row>
    <row r="257" spans="5:25" ht="15" customHeight="1" x14ac:dyDescent="0.35">
      <c r="E257" s="84" t="str">
        <f t="shared" si="8"/>
        <v/>
      </c>
      <c r="J257" s="77"/>
      <c r="K257" s="77"/>
      <c r="L257" s="77"/>
      <c r="M257" s="77"/>
      <c r="N257" s="77"/>
      <c r="O257" s="77"/>
      <c r="P257" s="140">
        <f t="shared" si="9"/>
        <v>0</v>
      </c>
    </row>
    <row r="258" spans="5:25" ht="15" customHeight="1" x14ac:dyDescent="0.35">
      <c r="E258" s="84" t="str">
        <f t="shared" si="8"/>
        <v/>
      </c>
      <c r="J258" s="77"/>
      <c r="K258" s="77"/>
      <c r="L258" s="77"/>
      <c r="M258" s="77"/>
      <c r="N258" s="77"/>
      <c r="O258" s="77"/>
      <c r="P258" s="140">
        <f t="shared" si="9"/>
        <v>0</v>
      </c>
      <c r="X258" s="78"/>
      <c r="Y258" s="78"/>
    </row>
    <row r="259" spans="5:25" ht="15" customHeight="1" x14ac:dyDescent="0.35">
      <c r="E259" s="84" t="str">
        <f t="shared" si="8"/>
        <v/>
      </c>
      <c r="J259" s="77"/>
      <c r="K259" s="77"/>
      <c r="L259" s="77"/>
      <c r="M259" s="77"/>
      <c r="N259" s="77"/>
      <c r="O259" s="77"/>
      <c r="P259" s="140">
        <f t="shared" si="9"/>
        <v>0</v>
      </c>
      <c r="X259" s="78"/>
      <c r="Y259" s="78"/>
    </row>
    <row r="260" spans="5:25" ht="15" customHeight="1" x14ac:dyDescent="0.35">
      <c r="E260" s="84" t="str">
        <f t="shared" si="8"/>
        <v/>
      </c>
      <c r="J260" s="77"/>
      <c r="K260" s="77"/>
      <c r="L260" s="77"/>
      <c r="M260" s="77"/>
      <c r="N260" s="77"/>
      <c r="O260" s="77"/>
      <c r="P260" s="140">
        <f t="shared" si="9"/>
        <v>0</v>
      </c>
      <c r="X260" s="78"/>
      <c r="Y260" s="78"/>
    </row>
    <row r="261" spans="5:25" ht="15" customHeight="1" x14ac:dyDescent="0.35">
      <c r="E261" s="84" t="str">
        <f t="shared" si="8"/>
        <v/>
      </c>
      <c r="J261" s="77"/>
      <c r="K261" s="77"/>
      <c r="L261" s="77"/>
      <c r="M261" s="77"/>
      <c r="N261" s="77"/>
      <c r="O261" s="77"/>
      <c r="P261" s="140">
        <f t="shared" si="9"/>
        <v>0</v>
      </c>
    </row>
    <row r="262" spans="5:25" ht="15" customHeight="1" x14ac:dyDescent="0.35">
      <c r="E262" s="84" t="str">
        <f t="shared" si="8"/>
        <v/>
      </c>
      <c r="J262" s="77"/>
      <c r="K262" s="77"/>
      <c r="L262" s="77"/>
      <c r="M262" s="77"/>
      <c r="N262" s="77"/>
      <c r="O262" s="77"/>
      <c r="P262" s="140">
        <f t="shared" si="9"/>
        <v>0</v>
      </c>
    </row>
    <row r="263" spans="5:25" ht="15" customHeight="1" x14ac:dyDescent="0.35">
      <c r="E263" s="84" t="str">
        <f t="shared" si="8"/>
        <v/>
      </c>
      <c r="J263" s="77"/>
      <c r="K263" s="77"/>
      <c r="L263" s="77"/>
      <c r="M263" s="77"/>
      <c r="N263" s="77"/>
      <c r="O263" s="77"/>
      <c r="P263" s="140">
        <f t="shared" si="9"/>
        <v>0</v>
      </c>
      <c r="X263" s="78"/>
    </row>
    <row r="264" spans="5:25" ht="15" customHeight="1" x14ac:dyDescent="0.35">
      <c r="E264" s="84" t="str">
        <f t="shared" si="8"/>
        <v/>
      </c>
      <c r="J264" s="77"/>
      <c r="K264" s="77"/>
      <c r="L264" s="77"/>
      <c r="M264" s="77"/>
      <c r="N264" s="77"/>
      <c r="O264" s="77"/>
      <c r="P264" s="140">
        <f t="shared" si="9"/>
        <v>0</v>
      </c>
      <c r="X264" s="78"/>
      <c r="Y264" s="78"/>
    </row>
    <row r="265" spans="5:25" ht="15" customHeight="1" x14ac:dyDescent="0.35">
      <c r="E265" s="84" t="str">
        <f t="shared" si="8"/>
        <v/>
      </c>
      <c r="J265" s="77"/>
      <c r="K265" s="77"/>
      <c r="L265" s="77"/>
      <c r="M265" s="77"/>
      <c r="N265" s="77"/>
      <c r="O265" s="77"/>
      <c r="P265" s="140">
        <f t="shared" si="9"/>
        <v>0</v>
      </c>
      <c r="X265" s="78"/>
      <c r="Y265" s="78"/>
    </row>
    <row r="266" spans="5:25" ht="15" customHeight="1" x14ac:dyDescent="0.35">
      <c r="E266" s="84" t="str">
        <f t="shared" si="8"/>
        <v/>
      </c>
      <c r="J266" s="77"/>
      <c r="K266" s="77"/>
      <c r="L266" s="77"/>
      <c r="M266" s="77"/>
      <c r="N266" s="77"/>
      <c r="O266" s="77"/>
      <c r="P266" s="140">
        <f t="shared" si="9"/>
        <v>0</v>
      </c>
      <c r="Y266" s="78"/>
    </row>
    <row r="267" spans="5:25" ht="15" customHeight="1" x14ac:dyDescent="0.35">
      <c r="E267" s="84" t="str">
        <f t="shared" si="8"/>
        <v/>
      </c>
      <c r="J267" s="77"/>
      <c r="K267" s="77"/>
      <c r="L267" s="77"/>
      <c r="M267" s="77"/>
      <c r="N267" s="77"/>
      <c r="O267" s="77"/>
      <c r="P267" s="140">
        <f t="shared" si="9"/>
        <v>0</v>
      </c>
      <c r="Y267" s="78"/>
    </row>
    <row r="268" spans="5:25" ht="15" customHeight="1" x14ac:dyDescent="0.35">
      <c r="E268" s="84" t="str">
        <f t="shared" si="8"/>
        <v/>
      </c>
      <c r="J268" s="77"/>
      <c r="K268" s="77"/>
      <c r="L268" s="77"/>
      <c r="M268" s="77"/>
      <c r="N268" s="77"/>
      <c r="O268" s="77"/>
      <c r="P268" s="140">
        <f t="shared" si="9"/>
        <v>0</v>
      </c>
      <c r="Y268" s="78"/>
    </row>
    <row r="269" spans="5:25" ht="15" customHeight="1" x14ac:dyDescent="0.35">
      <c r="E269" s="84" t="str">
        <f t="shared" si="8"/>
        <v/>
      </c>
      <c r="J269" s="77"/>
      <c r="K269" s="77"/>
      <c r="L269" s="77"/>
      <c r="M269" s="77"/>
      <c r="N269" s="77"/>
      <c r="O269" s="77"/>
      <c r="P269" s="140">
        <f t="shared" si="9"/>
        <v>0</v>
      </c>
      <c r="Y269" s="78"/>
    </row>
    <row r="270" spans="5:25" ht="15" customHeight="1" x14ac:dyDescent="0.35">
      <c r="E270" s="84" t="str">
        <f t="shared" si="8"/>
        <v/>
      </c>
      <c r="J270" s="77"/>
      <c r="K270" s="77"/>
      <c r="L270" s="77"/>
      <c r="M270" s="77"/>
      <c r="N270" s="77"/>
      <c r="O270" s="77"/>
      <c r="P270" s="140">
        <f t="shared" si="9"/>
        <v>0</v>
      </c>
      <c r="X270" s="78"/>
      <c r="Y270" s="78"/>
    </row>
    <row r="271" spans="5:25" ht="15" customHeight="1" x14ac:dyDescent="0.35">
      <c r="E271" s="84" t="str">
        <f t="shared" si="8"/>
        <v/>
      </c>
      <c r="J271" s="77"/>
      <c r="K271" s="77"/>
      <c r="L271" s="77"/>
      <c r="M271" s="77"/>
      <c r="N271" s="77"/>
      <c r="O271" s="77"/>
      <c r="P271" s="140">
        <f t="shared" si="9"/>
        <v>0</v>
      </c>
      <c r="Y271" s="78"/>
    </row>
    <row r="272" spans="5:25" ht="15" customHeight="1" x14ac:dyDescent="0.35">
      <c r="E272" s="84" t="str">
        <f t="shared" si="8"/>
        <v/>
      </c>
      <c r="J272" s="77"/>
      <c r="K272" s="77"/>
      <c r="L272" s="77"/>
      <c r="M272" s="77"/>
      <c r="N272" s="77"/>
      <c r="O272" s="77"/>
      <c r="P272" s="140">
        <f t="shared" si="9"/>
        <v>0</v>
      </c>
      <c r="X272" s="78"/>
    </row>
    <row r="273" spans="5:25" ht="15" customHeight="1" x14ac:dyDescent="0.35">
      <c r="E273" s="84" t="str">
        <f t="shared" si="8"/>
        <v/>
      </c>
      <c r="J273" s="77"/>
      <c r="K273" s="77"/>
      <c r="L273" s="77"/>
      <c r="M273" s="77"/>
      <c r="N273" s="77"/>
      <c r="O273" s="77"/>
      <c r="P273" s="140">
        <f t="shared" si="9"/>
        <v>0</v>
      </c>
    </row>
    <row r="274" spans="5:25" ht="15" customHeight="1" x14ac:dyDescent="0.35">
      <c r="E274" s="84" t="str">
        <f t="shared" si="8"/>
        <v/>
      </c>
      <c r="J274" s="77"/>
      <c r="K274" s="77"/>
      <c r="L274" s="77"/>
      <c r="M274" s="77"/>
      <c r="N274" s="77"/>
      <c r="O274" s="77"/>
      <c r="P274" s="140">
        <f t="shared" si="9"/>
        <v>0</v>
      </c>
    </row>
    <row r="275" spans="5:25" ht="15" customHeight="1" x14ac:dyDescent="0.35">
      <c r="E275" s="84" t="str">
        <f t="shared" si="8"/>
        <v/>
      </c>
      <c r="J275" s="77"/>
      <c r="K275" s="77"/>
      <c r="L275" s="77"/>
      <c r="M275" s="77"/>
      <c r="N275" s="77"/>
      <c r="O275" s="77"/>
      <c r="P275" s="140">
        <f t="shared" si="9"/>
        <v>0</v>
      </c>
      <c r="X275" s="78"/>
      <c r="Y275" s="78"/>
    </row>
    <row r="276" spans="5:25" ht="15" customHeight="1" x14ac:dyDescent="0.35">
      <c r="E276" s="84" t="str">
        <f t="shared" si="8"/>
        <v/>
      </c>
      <c r="J276" s="77"/>
      <c r="K276" s="77"/>
      <c r="L276" s="77"/>
      <c r="M276" s="77"/>
      <c r="N276" s="77"/>
      <c r="O276" s="77"/>
      <c r="P276" s="140">
        <f t="shared" si="9"/>
        <v>0</v>
      </c>
    </row>
    <row r="277" spans="5:25" ht="15" customHeight="1" x14ac:dyDescent="0.35">
      <c r="E277" s="84" t="str">
        <f t="shared" si="8"/>
        <v/>
      </c>
      <c r="J277" s="77"/>
      <c r="K277" s="77"/>
      <c r="L277" s="77"/>
      <c r="M277" s="77"/>
      <c r="N277" s="77"/>
      <c r="O277" s="77"/>
      <c r="P277" s="140">
        <f t="shared" si="9"/>
        <v>0</v>
      </c>
      <c r="X277" s="78"/>
    </row>
    <row r="278" spans="5:25" ht="15" customHeight="1" x14ac:dyDescent="0.35">
      <c r="E278" s="84" t="str">
        <f t="shared" si="8"/>
        <v/>
      </c>
      <c r="J278" s="77"/>
      <c r="K278" s="77"/>
      <c r="L278" s="77"/>
      <c r="M278" s="77"/>
      <c r="N278" s="77"/>
      <c r="O278" s="77"/>
      <c r="P278" s="140">
        <f t="shared" si="9"/>
        <v>0</v>
      </c>
    </row>
    <row r="279" spans="5:25" ht="15" customHeight="1" x14ac:dyDescent="0.35">
      <c r="E279" s="84" t="str">
        <f t="shared" si="8"/>
        <v/>
      </c>
      <c r="J279" s="77"/>
      <c r="K279" s="77"/>
      <c r="L279" s="77"/>
      <c r="M279" s="77"/>
      <c r="N279" s="77"/>
      <c r="O279" s="77"/>
      <c r="P279" s="140">
        <f t="shared" si="9"/>
        <v>0</v>
      </c>
      <c r="Y279" s="78"/>
    </row>
    <row r="280" spans="5:25" ht="15" customHeight="1" x14ac:dyDescent="0.35">
      <c r="E280" s="84" t="str">
        <f t="shared" si="8"/>
        <v/>
      </c>
      <c r="J280" s="77"/>
      <c r="K280" s="77"/>
      <c r="L280" s="77"/>
      <c r="M280" s="77"/>
      <c r="N280" s="77"/>
      <c r="O280" s="77"/>
      <c r="P280" s="140">
        <f t="shared" si="9"/>
        <v>0</v>
      </c>
      <c r="X280" s="78"/>
      <c r="Y280" s="78"/>
    </row>
    <row r="281" spans="5:25" ht="15" customHeight="1" x14ac:dyDescent="0.35">
      <c r="E281" s="84" t="str">
        <f t="shared" si="8"/>
        <v/>
      </c>
      <c r="J281" s="77"/>
      <c r="K281" s="77"/>
      <c r="L281" s="77"/>
      <c r="M281" s="77"/>
      <c r="N281" s="77"/>
      <c r="O281" s="77"/>
      <c r="P281" s="140">
        <f t="shared" si="9"/>
        <v>0</v>
      </c>
      <c r="X281" s="78"/>
      <c r="Y281" s="78"/>
    </row>
    <row r="282" spans="5:25" ht="15" customHeight="1" x14ac:dyDescent="0.35">
      <c r="E282" s="84" t="str">
        <f t="shared" si="8"/>
        <v/>
      </c>
      <c r="J282" s="77"/>
      <c r="K282" s="77"/>
      <c r="L282" s="77"/>
      <c r="M282" s="77"/>
      <c r="N282" s="77"/>
      <c r="O282" s="77"/>
      <c r="P282" s="140">
        <f t="shared" si="9"/>
        <v>0</v>
      </c>
      <c r="X282" s="78"/>
    </row>
    <row r="283" spans="5:25" ht="15" customHeight="1" x14ac:dyDescent="0.35">
      <c r="E283" s="84" t="str">
        <f t="shared" si="8"/>
        <v/>
      </c>
      <c r="J283" s="77"/>
      <c r="K283" s="77"/>
      <c r="L283" s="77"/>
      <c r="M283" s="77"/>
      <c r="N283" s="77"/>
      <c r="O283" s="77"/>
      <c r="P283" s="140">
        <f t="shared" si="9"/>
        <v>0</v>
      </c>
      <c r="Y283" s="78"/>
    </row>
    <row r="284" spans="5:25" ht="15" customHeight="1" x14ac:dyDescent="0.35">
      <c r="E284" s="84" t="str">
        <f t="shared" si="8"/>
        <v/>
      </c>
      <c r="J284" s="77"/>
      <c r="K284" s="77"/>
      <c r="L284" s="77"/>
      <c r="M284" s="77"/>
      <c r="N284" s="77"/>
      <c r="O284" s="77"/>
      <c r="P284" s="140">
        <f t="shared" si="9"/>
        <v>0</v>
      </c>
    </row>
    <row r="285" spans="5:25" ht="15" customHeight="1" x14ac:dyDescent="0.35">
      <c r="E285" s="84" t="str">
        <f t="shared" ref="E285:E348" si="10">LEFT(D285,4)</f>
        <v/>
      </c>
      <c r="J285" s="77"/>
      <c r="K285" s="77"/>
      <c r="L285" s="77"/>
      <c r="M285" s="77"/>
      <c r="N285" s="77"/>
      <c r="O285" s="77"/>
      <c r="P285" s="140">
        <f t="shared" si="9"/>
        <v>0</v>
      </c>
    </row>
    <row r="286" spans="5:25" ht="15" customHeight="1" x14ac:dyDescent="0.35">
      <c r="E286" s="84" t="str">
        <f t="shared" si="10"/>
        <v/>
      </c>
      <c r="J286" s="77"/>
      <c r="K286" s="77"/>
      <c r="L286" s="77"/>
      <c r="M286" s="77"/>
      <c r="N286" s="77"/>
      <c r="O286" s="77"/>
      <c r="P286" s="140">
        <f t="shared" ref="P286:P349" si="11">INT(O286)</f>
        <v>0</v>
      </c>
    </row>
    <row r="287" spans="5:25" ht="15" customHeight="1" x14ac:dyDescent="0.35">
      <c r="E287" s="84" t="str">
        <f t="shared" si="10"/>
        <v/>
      </c>
      <c r="J287" s="77"/>
      <c r="K287" s="77"/>
      <c r="L287" s="77"/>
      <c r="M287" s="77"/>
      <c r="N287" s="77"/>
      <c r="O287" s="77"/>
      <c r="P287" s="140">
        <f t="shared" si="11"/>
        <v>0</v>
      </c>
      <c r="X287" s="78"/>
      <c r="Y287" s="78"/>
    </row>
    <row r="288" spans="5:25" ht="15" customHeight="1" x14ac:dyDescent="0.35">
      <c r="E288" s="84" t="str">
        <f t="shared" si="10"/>
        <v/>
      </c>
      <c r="J288" s="77"/>
      <c r="K288" s="77"/>
      <c r="L288" s="77"/>
      <c r="M288" s="77"/>
      <c r="N288" s="77"/>
      <c r="O288" s="77"/>
      <c r="P288" s="140">
        <f t="shared" si="11"/>
        <v>0</v>
      </c>
      <c r="X288" s="78"/>
      <c r="Y288" s="78"/>
    </row>
    <row r="289" spans="5:25" ht="15" customHeight="1" x14ac:dyDescent="0.35">
      <c r="E289" s="84" t="str">
        <f t="shared" si="10"/>
        <v/>
      </c>
      <c r="J289" s="77"/>
      <c r="K289" s="77"/>
      <c r="L289" s="77"/>
      <c r="M289" s="77"/>
      <c r="N289" s="77"/>
      <c r="O289" s="77"/>
      <c r="P289" s="140">
        <f t="shared" si="11"/>
        <v>0</v>
      </c>
    </row>
    <row r="290" spans="5:25" ht="15" customHeight="1" x14ac:dyDescent="0.35">
      <c r="E290" s="84" t="str">
        <f t="shared" si="10"/>
        <v/>
      </c>
      <c r="J290" s="77"/>
      <c r="K290" s="77"/>
      <c r="L290" s="77"/>
      <c r="M290" s="77"/>
      <c r="N290" s="77"/>
      <c r="O290" s="77"/>
      <c r="P290" s="140">
        <f t="shared" si="11"/>
        <v>0</v>
      </c>
    </row>
    <row r="291" spans="5:25" ht="15" customHeight="1" x14ac:dyDescent="0.35">
      <c r="E291" s="84" t="str">
        <f t="shared" si="10"/>
        <v/>
      </c>
      <c r="J291" s="77"/>
      <c r="K291" s="77"/>
      <c r="L291" s="77"/>
      <c r="M291" s="77"/>
      <c r="N291" s="77"/>
      <c r="O291" s="77"/>
      <c r="P291" s="140">
        <f t="shared" si="11"/>
        <v>0</v>
      </c>
    </row>
    <row r="292" spans="5:25" ht="15" customHeight="1" x14ac:dyDescent="0.35">
      <c r="E292" s="84" t="str">
        <f t="shared" si="10"/>
        <v/>
      </c>
      <c r="J292" s="77"/>
      <c r="K292" s="77"/>
      <c r="L292" s="77"/>
      <c r="M292" s="77"/>
      <c r="N292" s="77"/>
      <c r="O292" s="77"/>
      <c r="P292" s="140">
        <f t="shared" si="11"/>
        <v>0</v>
      </c>
      <c r="X292" s="78"/>
      <c r="Y292" s="78"/>
    </row>
    <row r="293" spans="5:25" ht="15" customHeight="1" x14ac:dyDescent="0.35">
      <c r="E293" s="84" t="str">
        <f t="shared" si="10"/>
        <v/>
      </c>
      <c r="J293" s="77"/>
      <c r="K293" s="77"/>
      <c r="L293" s="77"/>
      <c r="M293" s="77"/>
      <c r="N293" s="77"/>
      <c r="O293" s="77"/>
      <c r="P293" s="140">
        <f t="shared" si="11"/>
        <v>0</v>
      </c>
      <c r="X293" s="78"/>
      <c r="Y293" s="78"/>
    </row>
    <row r="294" spans="5:25" ht="15" customHeight="1" x14ac:dyDescent="0.35">
      <c r="E294" s="84" t="str">
        <f t="shared" si="10"/>
        <v/>
      </c>
      <c r="J294" s="77"/>
      <c r="K294" s="77"/>
      <c r="L294" s="77"/>
      <c r="M294" s="77"/>
      <c r="N294" s="77"/>
      <c r="O294" s="77"/>
      <c r="P294" s="140">
        <f t="shared" si="11"/>
        <v>0</v>
      </c>
    </row>
    <row r="295" spans="5:25" ht="15" customHeight="1" x14ac:dyDescent="0.35">
      <c r="E295" s="84" t="str">
        <f t="shared" si="10"/>
        <v/>
      </c>
      <c r="J295" s="77"/>
      <c r="K295" s="77"/>
      <c r="L295" s="77"/>
      <c r="M295" s="77"/>
      <c r="N295" s="77"/>
      <c r="O295" s="77"/>
      <c r="P295" s="140">
        <f t="shared" si="11"/>
        <v>0</v>
      </c>
      <c r="X295" s="78"/>
    </row>
    <row r="296" spans="5:25" ht="15" customHeight="1" x14ac:dyDescent="0.35">
      <c r="E296" s="84" t="str">
        <f t="shared" si="10"/>
        <v/>
      </c>
      <c r="J296" s="77"/>
      <c r="K296" s="77"/>
      <c r="L296" s="77"/>
      <c r="M296" s="77"/>
      <c r="N296" s="77"/>
      <c r="O296" s="77"/>
      <c r="P296" s="140">
        <f t="shared" si="11"/>
        <v>0</v>
      </c>
    </row>
    <row r="297" spans="5:25" ht="15" customHeight="1" x14ac:dyDescent="0.35">
      <c r="E297" s="84" t="str">
        <f t="shared" si="10"/>
        <v/>
      </c>
      <c r="J297" s="77"/>
      <c r="K297" s="77"/>
      <c r="L297" s="77"/>
      <c r="M297" s="77"/>
      <c r="N297" s="77"/>
      <c r="O297" s="77"/>
      <c r="P297" s="140">
        <f t="shared" si="11"/>
        <v>0</v>
      </c>
      <c r="Y297" s="78"/>
    </row>
    <row r="298" spans="5:25" ht="15" customHeight="1" x14ac:dyDescent="0.35">
      <c r="E298" s="84" t="str">
        <f t="shared" si="10"/>
        <v/>
      </c>
      <c r="J298" s="77"/>
      <c r="K298" s="77"/>
      <c r="L298" s="77"/>
      <c r="M298" s="77"/>
      <c r="N298" s="77"/>
      <c r="O298" s="77"/>
      <c r="P298" s="140">
        <f t="shared" si="11"/>
        <v>0</v>
      </c>
    </row>
    <row r="299" spans="5:25" ht="15" customHeight="1" x14ac:dyDescent="0.35">
      <c r="E299" s="84" t="str">
        <f t="shared" si="10"/>
        <v/>
      </c>
      <c r="J299" s="77"/>
      <c r="K299" s="77"/>
      <c r="L299" s="77"/>
      <c r="M299" s="77"/>
      <c r="N299" s="77"/>
      <c r="O299" s="77"/>
      <c r="P299" s="140">
        <f t="shared" si="11"/>
        <v>0</v>
      </c>
    </row>
    <row r="300" spans="5:25" ht="15" customHeight="1" x14ac:dyDescent="0.35">
      <c r="E300" s="84" t="str">
        <f t="shared" si="10"/>
        <v/>
      </c>
      <c r="J300" s="77"/>
      <c r="K300" s="77"/>
      <c r="L300" s="77"/>
      <c r="M300" s="77"/>
      <c r="N300" s="77"/>
      <c r="O300" s="77"/>
      <c r="P300" s="140">
        <f t="shared" si="11"/>
        <v>0</v>
      </c>
      <c r="X300" s="78"/>
      <c r="Y300" s="78"/>
    </row>
    <row r="301" spans="5:25" ht="15" customHeight="1" x14ac:dyDescent="0.35">
      <c r="E301" s="84" t="str">
        <f t="shared" si="10"/>
        <v/>
      </c>
      <c r="J301" s="77"/>
      <c r="K301" s="77"/>
      <c r="L301" s="77"/>
      <c r="M301" s="77"/>
      <c r="N301" s="77"/>
      <c r="O301" s="77"/>
      <c r="P301" s="140">
        <f t="shared" si="11"/>
        <v>0</v>
      </c>
    </row>
    <row r="302" spans="5:25" ht="15" customHeight="1" x14ac:dyDescent="0.35">
      <c r="E302" s="84" t="str">
        <f t="shared" si="10"/>
        <v/>
      </c>
      <c r="J302" s="77"/>
      <c r="K302" s="77"/>
      <c r="L302" s="77"/>
      <c r="M302" s="77"/>
      <c r="N302" s="77"/>
      <c r="O302" s="77"/>
      <c r="P302" s="140">
        <f t="shared" si="11"/>
        <v>0</v>
      </c>
    </row>
    <row r="303" spans="5:25" ht="15" customHeight="1" x14ac:dyDescent="0.35">
      <c r="E303" s="84" t="str">
        <f t="shared" si="10"/>
        <v/>
      </c>
      <c r="J303" s="77"/>
      <c r="K303" s="77"/>
      <c r="L303" s="77"/>
      <c r="M303" s="77"/>
      <c r="N303" s="77"/>
      <c r="O303" s="77"/>
      <c r="P303" s="140">
        <f t="shared" si="11"/>
        <v>0</v>
      </c>
      <c r="X303" s="78"/>
      <c r="Y303" s="78"/>
    </row>
    <row r="304" spans="5:25" ht="15" customHeight="1" x14ac:dyDescent="0.35">
      <c r="E304" s="84" t="str">
        <f t="shared" si="10"/>
        <v/>
      </c>
      <c r="J304" s="77"/>
      <c r="K304" s="77"/>
      <c r="L304" s="77"/>
      <c r="M304" s="77"/>
      <c r="N304" s="77"/>
      <c r="O304" s="77"/>
      <c r="P304" s="140">
        <f t="shared" si="11"/>
        <v>0</v>
      </c>
      <c r="X304" s="78"/>
      <c r="Y304" s="78"/>
    </row>
    <row r="305" spans="5:25" ht="15" customHeight="1" x14ac:dyDescent="0.35">
      <c r="E305" s="84" t="str">
        <f t="shared" si="10"/>
        <v/>
      </c>
      <c r="J305" s="77"/>
      <c r="K305" s="77"/>
      <c r="L305" s="77"/>
      <c r="M305" s="77"/>
      <c r="N305" s="77"/>
      <c r="O305" s="77"/>
      <c r="P305" s="140">
        <f t="shared" si="11"/>
        <v>0</v>
      </c>
    </row>
    <row r="306" spans="5:25" ht="15" customHeight="1" x14ac:dyDescent="0.35">
      <c r="E306" s="84" t="str">
        <f t="shared" si="10"/>
        <v/>
      </c>
      <c r="J306" s="77"/>
      <c r="K306" s="77"/>
      <c r="L306" s="77"/>
      <c r="M306" s="77"/>
      <c r="N306" s="77"/>
      <c r="O306" s="77"/>
      <c r="P306" s="140">
        <f t="shared" si="11"/>
        <v>0</v>
      </c>
      <c r="X306" s="78"/>
    </row>
    <row r="307" spans="5:25" ht="15" customHeight="1" x14ac:dyDescent="0.35">
      <c r="E307" s="84" t="str">
        <f t="shared" si="10"/>
        <v/>
      </c>
      <c r="J307" s="77"/>
      <c r="K307" s="77"/>
      <c r="L307" s="77"/>
      <c r="M307" s="77"/>
      <c r="N307" s="77"/>
      <c r="O307" s="77"/>
      <c r="P307" s="140">
        <f t="shared" si="11"/>
        <v>0</v>
      </c>
    </row>
    <row r="308" spans="5:25" ht="15" customHeight="1" x14ac:dyDescent="0.35">
      <c r="E308" s="84" t="str">
        <f t="shared" si="10"/>
        <v/>
      </c>
      <c r="J308" s="77"/>
      <c r="K308" s="77"/>
      <c r="L308" s="77"/>
      <c r="M308" s="77"/>
      <c r="N308" s="77"/>
      <c r="O308" s="77"/>
      <c r="P308" s="140">
        <f t="shared" si="11"/>
        <v>0</v>
      </c>
    </row>
    <row r="309" spans="5:25" ht="15" customHeight="1" x14ac:dyDescent="0.35">
      <c r="E309" s="84" t="str">
        <f t="shared" si="10"/>
        <v/>
      </c>
      <c r="J309" s="77"/>
      <c r="K309" s="77"/>
      <c r="L309" s="77"/>
      <c r="M309" s="77"/>
      <c r="N309" s="77"/>
      <c r="O309" s="77"/>
      <c r="P309" s="140">
        <f t="shared" si="11"/>
        <v>0</v>
      </c>
      <c r="X309" s="78"/>
      <c r="Y309" s="78"/>
    </row>
    <row r="310" spans="5:25" ht="15" customHeight="1" x14ac:dyDescent="0.35">
      <c r="E310" s="84" t="str">
        <f t="shared" si="10"/>
        <v/>
      </c>
      <c r="J310" s="77"/>
      <c r="K310" s="77"/>
      <c r="L310" s="77"/>
      <c r="M310" s="77"/>
      <c r="N310" s="77"/>
      <c r="O310" s="77"/>
      <c r="P310" s="140">
        <f t="shared" si="11"/>
        <v>0</v>
      </c>
    </row>
    <row r="311" spans="5:25" ht="15" customHeight="1" x14ac:dyDescent="0.35">
      <c r="E311" s="84" t="str">
        <f t="shared" si="10"/>
        <v/>
      </c>
      <c r="J311" s="77"/>
      <c r="K311" s="77"/>
      <c r="L311" s="77"/>
      <c r="M311" s="77"/>
      <c r="N311" s="77"/>
      <c r="O311" s="77"/>
      <c r="P311" s="140">
        <f t="shared" si="11"/>
        <v>0</v>
      </c>
      <c r="X311" s="78"/>
      <c r="Y311" s="78"/>
    </row>
    <row r="312" spans="5:25" ht="15" customHeight="1" x14ac:dyDescent="0.35">
      <c r="E312" s="84" t="str">
        <f t="shared" si="10"/>
        <v/>
      </c>
      <c r="J312" s="77"/>
      <c r="K312" s="77"/>
      <c r="L312" s="77"/>
      <c r="M312" s="77"/>
      <c r="N312" s="77"/>
      <c r="O312" s="77"/>
      <c r="P312" s="140">
        <f t="shared" si="11"/>
        <v>0</v>
      </c>
      <c r="S312" s="78"/>
    </row>
    <row r="313" spans="5:25" ht="15" customHeight="1" x14ac:dyDescent="0.35">
      <c r="E313" s="84" t="str">
        <f t="shared" si="10"/>
        <v/>
      </c>
      <c r="J313" s="77"/>
      <c r="K313" s="77"/>
      <c r="L313" s="77"/>
      <c r="M313" s="77"/>
      <c r="N313" s="77"/>
      <c r="O313" s="77"/>
      <c r="P313" s="140">
        <f t="shared" si="11"/>
        <v>0</v>
      </c>
    </row>
    <row r="314" spans="5:25" ht="15" customHeight="1" x14ac:dyDescent="0.35">
      <c r="E314" s="84" t="str">
        <f t="shared" si="10"/>
        <v/>
      </c>
      <c r="J314" s="77"/>
      <c r="K314" s="77"/>
      <c r="L314" s="77"/>
      <c r="M314" s="77"/>
      <c r="N314" s="77"/>
      <c r="O314" s="77"/>
      <c r="P314" s="140">
        <f t="shared" si="11"/>
        <v>0</v>
      </c>
    </row>
    <row r="315" spans="5:25" ht="15" customHeight="1" x14ac:dyDescent="0.35">
      <c r="E315" s="84" t="str">
        <f t="shared" si="10"/>
        <v/>
      </c>
      <c r="J315" s="77"/>
      <c r="K315" s="77"/>
      <c r="L315" s="77"/>
      <c r="M315" s="77"/>
      <c r="N315" s="77"/>
      <c r="O315" s="77"/>
      <c r="P315" s="140">
        <f t="shared" si="11"/>
        <v>0</v>
      </c>
    </row>
    <row r="316" spans="5:25" ht="15" customHeight="1" x14ac:dyDescent="0.35">
      <c r="E316" s="84" t="str">
        <f t="shared" si="10"/>
        <v/>
      </c>
      <c r="J316" s="77"/>
      <c r="K316" s="77"/>
      <c r="L316" s="77"/>
      <c r="M316" s="77"/>
      <c r="N316" s="77"/>
      <c r="O316" s="77"/>
      <c r="P316" s="140">
        <f t="shared" si="11"/>
        <v>0</v>
      </c>
      <c r="X316" s="78"/>
      <c r="Y316" s="78"/>
    </row>
    <row r="317" spans="5:25" ht="15" customHeight="1" x14ac:dyDescent="0.35">
      <c r="E317" s="84" t="str">
        <f t="shared" si="10"/>
        <v/>
      </c>
      <c r="J317" s="77"/>
      <c r="K317" s="77"/>
      <c r="L317" s="77"/>
      <c r="M317" s="77"/>
      <c r="N317" s="77"/>
      <c r="O317" s="77"/>
      <c r="P317" s="140">
        <f t="shared" si="11"/>
        <v>0</v>
      </c>
    </row>
    <row r="318" spans="5:25" ht="15" customHeight="1" x14ac:dyDescent="0.35">
      <c r="E318" s="84" t="str">
        <f t="shared" si="10"/>
        <v/>
      </c>
      <c r="J318" s="77"/>
      <c r="K318" s="77"/>
      <c r="L318" s="77"/>
      <c r="M318" s="77"/>
      <c r="N318" s="77"/>
      <c r="O318" s="77"/>
      <c r="P318" s="140">
        <f t="shared" si="11"/>
        <v>0</v>
      </c>
      <c r="X318" s="78"/>
    </row>
    <row r="319" spans="5:25" ht="15" customHeight="1" x14ac:dyDescent="0.35">
      <c r="E319" s="84" t="str">
        <f t="shared" si="10"/>
        <v/>
      </c>
      <c r="J319" s="77"/>
      <c r="K319" s="77"/>
      <c r="L319" s="77"/>
      <c r="M319" s="77"/>
      <c r="N319" s="77"/>
      <c r="O319" s="77"/>
      <c r="P319" s="140">
        <f t="shared" si="11"/>
        <v>0</v>
      </c>
      <c r="X319" s="78"/>
    </row>
    <row r="320" spans="5:25" ht="15" customHeight="1" x14ac:dyDescent="0.35">
      <c r="E320" s="84" t="str">
        <f t="shared" si="10"/>
        <v/>
      </c>
      <c r="J320" s="77"/>
      <c r="K320" s="77"/>
      <c r="L320" s="77"/>
      <c r="M320" s="77"/>
      <c r="N320" s="77"/>
      <c r="O320" s="77"/>
      <c r="P320" s="140">
        <f t="shared" si="11"/>
        <v>0</v>
      </c>
    </row>
    <row r="321" spans="5:25" ht="15" customHeight="1" x14ac:dyDescent="0.35">
      <c r="E321" s="84" t="str">
        <f t="shared" si="10"/>
        <v/>
      </c>
      <c r="J321" s="77"/>
      <c r="K321" s="77"/>
      <c r="L321" s="77"/>
      <c r="M321" s="77"/>
      <c r="N321" s="77"/>
      <c r="O321" s="77"/>
      <c r="P321" s="140">
        <f t="shared" si="11"/>
        <v>0</v>
      </c>
    </row>
    <row r="322" spans="5:25" ht="15" customHeight="1" x14ac:dyDescent="0.35">
      <c r="E322" s="84" t="str">
        <f t="shared" si="10"/>
        <v/>
      </c>
      <c r="J322" s="77"/>
      <c r="K322" s="77"/>
      <c r="L322" s="77"/>
      <c r="M322" s="77"/>
      <c r="N322" s="77"/>
      <c r="O322" s="77"/>
      <c r="P322" s="140">
        <f t="shared" si="11"/>
        <v>0</v>
      </c>
      <c r="Y322" s="78"/>
    </row>
    <row r="323" spans="5:25" ht="15" customHeight="1" x14ac:dyDescent="0.35">
      <c r="E323" s="84" t="str">
        <f t="shared" si="10"/>
        <v/>
      </c>
      <c r="J323" s="77"/>
      <c r="K323" s="77"/>
      <c r="L323" s="77"/>
      <c r="M323" s="77"/>
      <c r="N323" s="77"/>
      <c r="O323" s="77"/>
      <c r="P323" s="140">
        <f t="shared" si="11"/>
        <v>0</v>
      </c>
    </row>
    <row r="324" spans="5:25" ht="15" customHeight="1" x14ac:dyDescent="0.35">
      <c r="E324" s="84" t="str">
        <f t="shared" si="10"/>
        <v/>
      </c>
      <c r="J324" s="77"/>
      <c r="K324" s="77"/>
      <c r="L324" s="77"/>
      <c r="M324" s="77"/>
      <c r="N324" s="77"/>
      <c r="O324" s="77"/>
      <c r="P324" s="140">
        <f t="shared" si="11"/>
        <v>0</v>
      </c>
      <c r="X324" s="78"/>
      <c r="Y324" s="78"/>
    </row>
    <row r="325" spans="5:25" ht="15" customHeight="1" x14ac:dyDescent="0.35">
      <c r="E325" s="84" t="str">
        <f t="shared" si="10"/>
        <v/>
      </c>
      <c r="J325" s="77"/>
      <c r="K325" s="77"/>
      <c r="L325" s="77"/>
      <c r="M325" s="77"/>
      <c r="N325" s="77"/>
      <c r="O325" s="77"/>
      <c r="P325" s="140">
        <f t="shared" si="11"/>
        <v>0</v>
      </c>
      <c r="X325" s="78"/>
      <c r="Y325" s="78"/>
    </row>
    <row r="326" spans="5:25" ht="15" customHeight="1" x14ac:dyDescent="0.35">
      <c r="E326" s="84" t="str">
        <f t="shared" si="10"/>
        <v/>
      </c>
      <c r="J326" s="77"/>
      <c r="K326" s="77"/>
      <c r="L326" s="77"/>
      <c r="M326" s="77"/>
      <c r="N326" s="77"/>
      <c r="O326" s="77"/>
      <c r="P326" s="140">
        <f t="shared" si="11"/>
        <v>0</v>
      </c>
      <c r="X326" s="78"/>
      <c r="Y326" s="78"/>
    </row>
    <row r="327" spans="5:25" ht="15" customHeight="1" x14ac:dyDescent="0.35">
      <c r="E327" s="84" t="str">
        <f t="shared" si="10"/>
        <v/>
      </c>
      <c r="J327" s="77"/>
      <c r="K327" s="77"/>
      <c r="L327" s="77"/>
      <c r="M327" s="77"/>
      <c r="N327" s="77"/>
      <c r="O327" s="77"/>
      <c r="P327" s="140">
        <f t="shared" si="11"/>
        <v>0</v>
      </c>
    </row>
    <row r="328" spans="5:25" ht="15" customHeight="1" x14ac:dyDescent="0.35">
      <c r="E328" s="84" t="str">
        <f t="shared" si="10"/>
        <v/>
      </c>
      <c r="J328" s="77"/>
      <c r="K328" s="77"/>
      <c r="L328" s="77"/>
      <c r="M328" s="77"/>
      <c r="N328" s="77"/>
      <c r="O328" s="77"/>
      <c r="P328" s="140">
        <f t="shared" si="11"/>
        <v>0</v>
      </c>
    </row>
    <row r="329" spans="5:25" ht="15" customHeight="1" x14ac:dyDescent="0.35">
      <c r="E329" s="84" t="str">
        <f t="shared" si="10"/>
        <v/>
      </c>
      <c r="J329" s="77"/>
      <c r="K329" s="77"/>
      <c r="L329" s="77"/>
      <c r="M329" s="77"/>
      <c r="N329" s="77"/>
      <c r="O329" s="77"/>
      <c r="P329" s="140">
        <f t="shared" si="11"/>
        <v>0</v>
      </c>
      <c r="Y329" s="78"/>
    </row>
    <row r="330" spans="5:25" ht="15" customHeight="1" x14ac:dyDescent="0.35">
      <c r="E330" s="84" t="str">
        <f t="shared" si="10"/>
        <v/>
      </c>
      <c r="J330" s="77"/>
      <c r="K330" s="77"/>
      <c r="L330" s="77"/>
      <c r="M330" s="77"/>
      <c r="N330" s="77"/>
      <c r="O330" s="77"/>
      <c r="P330" s="140">
        <f t="shared" si="11"/>
        <v>0</v>
      </c>
    </row>
    <row r="331" spans="5:25" ht="15" customHeight="1" x14ac:dyDescent="0.35">
      <c r="E331" s="84" t="str">
        <f t="shared" si="10"/>
        <v/>
      </c>
      <c r="J331" s="77"/>
      <c r="K331" s="77"/>
      <c r="L331" s="77"/>
      <c r="M331" s="77"/>
      <c r="N331" s="77"/>
      <c r="O331" s="77"/>
      <c r="P331" s="140">
        <f t="shared" si="11"/>
        <v>0</v>
      </c>
      <c r="X331" s="78"/>
      <c r="Y331" s="78"/>
    </row>
    <row r="332" spans="5:25" ht="15" customHeight="1" x14ac:dyDescent="0.35">
      <c r="E332" s="84" t="str">
        <f t="shared" si="10"/>
        <v/>
      </c>
      <c r="J332" s="77"/>
      <c r="K332" s="77"/>
      <c r="L332" s="77"/>
      <c r="M332" s="77"/>
      <c r="N332" s="77"/>
      <c r="O332" s="77"/>
      <c r="P332" s="140">
        <f t="shared" si="11"/>
        <v>0</v>
      </c>
    </row>
    <row r="333" spans="5:25" ht="15" customHeight="1" x14ac:dyDescent="0.35">
      <c r="E333" s="84" t="str">
        <f t="shared" si="10"/>
        <v/>
      </c>
      <c r="J333" s="77"/>
      <c r="K333" s="77"/>
      <c r="L333" s="77"/>
      <c r="M333" s="77"/>
      <c r="N333" s="77"/>
      <c r="O333" s="77"/>
      <c r="P333" s="140">
        <f t="shared" si="11"/>
        <v>0</v>
      </c>
      <c r="Y333" s="78"/>
    </row>
    <row r="334" spans="5:25" ht="15" customHeight="1" x14ac:dyDescent="0.35">
      <c r="E334" s="84" t="str">
        <f t="shared" si="10"/>
        <v/>
      </c>
      <c r="J334" s="77"/>
      <c r="K334" s="77"/>
      <c r="L334" s="77"/>
      <c r="M334" s="77"/>
      <c r="N334" s="77"/>
      <c r="O334" s="77"/>
      <c r="P334" s="140">
        <f t="shared" si="11"/>
        <v>0</v>
      </c>
      <c r="X334" s="78"/>
    </row>
    <row r="335" spans="5:25" ht="15" customHeight="1" x14ac:dyDescent="0.35">
      <c r="E335" s="84" t="str">
        <f t="shared" si="10"/>
        <v/>
      </c>
      <c r="J335" s="77"/>
      <c r="K335" s="77"/>
      <c r="L335" s="77"/>
      <c r="M335" s="77"/>
      <c r="N335" s="77"/>
      <c r="O335" s="77"/>
      <c r="P335" s="140">
        <f t="shared" si="11"/>
        <v>0</v>
      </c>
      <c r="X335" s="78"/>
      <c r="Y335" s="78"/>
    </row>
    <row r="336" spans="5:25" ht="15" customHeight="1" x14ac:dyDescent="0.35">
      <c r="E336" s="84" t="str">
        <f t="shared" si="10"/>
        <v/>
      </c>
      <c r="I336" s="78"/>
      <c r="J336" s="77"/>
      <c r="K336" s="77"/>
      <c r="L336" s="77"/>
      <c r="M336" s="77"/>
      <c r="N336" s="77"/>
      <c r="O336" s="77"/>
      <c r="P336" s="140">
        <f t="shared" si="11"/>
        <v>0</v>
      </c>
      <c r="Y336" s="78"/>
    </row>
    <row r="337" spans="5:25" ht="15" customHeight="1" x14ac:dyDescent="0.35">
      <c r="E337" s="84" t="str">
        <f t="shared" si="10"/>
        <v/>
      </c>
      <c r="J337" s="77"/>
      <c r="K337" s="77"/>
      <c r="L337" s="77"/>
      <c r="M337" s="77"/>
      <c r="N337" s="77"/>
      <c r="O337" s="77"/>
      <c r="P337" s="140">
        <f t="shared" si="11"/>
        <v>0</v>
      </c>
      <c r="X337" s="78"/>
    </row>
    <row r="338" spans="5:25" ht="15" customHeight="1" x14ac:dyDescent="0.35">
      <c r="E338" s="84" t="str">
        <f t="shared" si="10"/>
        <v/>
      </c>
      <c r="J338" s="77"/>
      <c r="K338" s="77"/>
      <c r="L338" s="77"/>
      <c r="M338" s="77"/>
      <c r="N338" s="77"/>
      <c r="O338" s="77"/>
      <c r="P338" s="140">
        <f t="shared" si="11"/>
        <v>0</v>
      </c>
    </row>
    <row r="339" spans="5:25" ht="15" customHeight="1" x14ac:dyDescent="0.35">
      <c r="E339" s="84" t="str">
        <f t="shared" si="10"/>
        <v/>
      </c>
      <c r="J339" s="77"/>
      <c r="K339" s="77"/>
      <c r="L339" s="77"/>
      <c r="M339" s="77"/>
      <c r="N339" s="77"/>
      <c r="O339" s="77"/>
      <c r="P339" s="140">
        <f t="shared" si="11"/>
        <v>0</v>
      </c>
    </row>
    <row r="340" spans="5:25" ht="15" customHeight="1" x14ac:dyDescent="0.35">
      <c r="E340" s="84" t="str">
        <f t="shared" si="10"/>
        <v/>
      </c>
      <c r="J340" s="77"/>
      <c r="K340" s="77"/>
      <c r="L340" s="77"/>
      <c r="M340" s="77"/>
      <c r="N340" s="77"/>
      <c r="O340" s="77"/>
      <c r="P340" s="140">
        <f t="shared" si="11"/>
        <v>0</v>
      </c>
    </row>
    <row r="341" spans="5:25" ht="15" customHeight="1" x14ac:dyDescent="0.35">
      <c r="E341" s="84" t="str">
        <f t="shared" si="10"/>
        <v/>
      </c>
      <c r="J341" s="77"/>
      <c r="K341" s="77"/>
      <c r="L341" s="77"/>
      <c r="M341" s="77"/>
      <c r="N341" s="77"/>
      <c r="O341" s="77"/>
      <c r="P341" s="140">
        <f t="shared" si="11"/>
        <v>0</v>
      </c>
      <c r="Y341" s="78"/>
    </row>
    <row r="342" spans="5:25" ht="15" customHeight="1" x14ac:dyDescent="0.35">
      <c r="E342" s="84" t="str">
        <f t="shared" si="10"/>
        <v/>
      </c>
      <c r="J342" s="77"/>
      <c r="K342" s="77"/>
      <c r="L342" s="77"/>
      <c r="M342" s="77"/>
      <c r="N342" s="77"/>
      <c r="O342" s="77"/>
      <c r="P342" s="140">
        <f t="shared" si="11"/>
        <v>0</v>
      </c>
    </row>
    <row r="343" spans="5:25" ht="15" customHeight="1" x14ac:dyDescent="0.35">
      <c r="E343" s="84" t="str">
        <f t="shared" si="10"/>
        <v/>
      </c>
      <c r="J343" s="77"/>
      <c r="K343" s="77"/>
      <c r="L343" s="77"/>
      <c r="M343" s="77"/>
      <c r="N343" s="77"/>
      <c r="O343" s="77"/>
      <c r="P343" s="140">
        <f t="shared" si="11"/>
        <v>0</v>
      </c>
      <c r="Y343" s="78"/>
    </row>
    <row r="344" spans="5:25" ht="15" customHeight="1" x14ac:dyDescent="0.35">
      <c r="E344" s="84" t="str">
        <f t="shared" si="10"/>
        <v/>
      </c>
      <c r="J344" s="77"/>
      <c r="K344" s="77"/>
      <c r="L344" s="77"/>
      <c r="M344" s="77"/>
      <c r="N344" s="77"/>
      <c r="O344" s="77"/>
      <c r="P344" s="140">
        <f t="shared" si="11"/>
        <v>0</v>
      </c>
    </row>
    <row r="345" spans="5:25" ht="15" customHeight="1" x14ac:dyDescent="0.35">
      <c r="E345" s="84" t="str">
        <f t="shared" si="10"/>
        <v/>
      </c>
      <c r="J345" s="77"/>
      <c r="K345" s="77"/>
      <c r="L345" s="77"/>
      <c r="M345" s="77"/>
      <c r="N345" s="77"/>
      <c r="O345" s="77"/>
      <c r="P345" s="140">
        <f t="shared" si="11"/>
        <v>0</v>
      </c>
    </row>
    <row r="346" spans="5:25" ht="15" customHeight="1" x14ac:dyDescent="0.35">
      <c r="E346" s="84" t="str">
        <f t="shared" si="10"/>
        <v/>
      </c>
      <c r="J346" s="77"/>
      <c r="K346" s="77"/>
      <c r="L346" s="77"/>
      <c r="M346" s="77"/>
      <c r="N346" s="77"/>
      <c r="O346" s="77"/>
      <c r="P346" s="140">
        <f t="shared" si="11"/>
        <v>0</v>
      </c>
      <c r="X346" s="78"/>
      <c r="Y346" s="78"/>
    </row>
    <row r="347" spans="5:25" ht="15" customHeight="1" x14ac:dyDescent="0.35">
      <c r="E347" s="84" t="str">
        <f t="shared" si="10"/>
        <v/>
      </c>
      <c r="J347" s="77"/>
      <c r="K347" s="77"/>
      <c r="L347" s="77"/>
      <c r="M347" s="77"/>
      <c r="N347" s="77"/>
      <c r="O347" s="77"/>
      <c r="P347" s="140">
        <f t="shared" si="11"/>
        <v>0</v>
      </c>
      <c r="Y347" s="78"/>
    </row>
    <row r="348" spans="5:25" ht="15" customHeight="1" x14ac:dyDescent="0.35">
      <c r="E348" s="84" t="str">
        <f t="shared" si="10"/>
        <v/>
      </c>
      <c r="J348" s="77"/>
      <c r="K348" s="77"/>
      <c r="L348" s="77"/>
      <c r="M348" s="77"/>
      <c r="N348" s="77"/>
      <c r="O348" s="77"/>
      <c r="P348" s="140">
        <f t="shared" si="11"/>
        <v>0</v>
      </c>
    </row>
    <row r="349" spans="5:25" ht="15" customHeight="1" x14ac:dyDescent="0.35">
      <c r="E349" s="84" t="str">
        <f t="shared" ref="E349:E412" si="12">LEFT(D349,4)</f>
        <v/>
      </c>
      <c r="J349" s="77"/>
      <c r="K349" s="77"/>
      <c r="L349" s="77"/>
      <c r="M349" s="77"/>
      <c r="N349" s="77"/>
      <c r="O349" s="77"/>
      <c r="P349" s="140">
        <f t="shared" si="11"/>
        <v>0</v>
      </c>
    </row>
    <row r="350" spans="5:25" ht="15" customHeight="1" x14ac:dyDescent="0.35">
      <c r="E350" s="84" t="str">
        <f t="shared" si="12"/>
        <v/>
      </c>
      <c r="J350" s="77"/>
      <c r="K350" s="77"/>
      <c r="L350" s="77"/>
      <c r="M350" s="77"/>
      <c r="N350" s="77"/>
      <c r="O350" s="77"/>
      <c r="P350" s="140">
        <f t="shared" ref="P350:P413" si="13">INT(O350)</f>
        <v>0</v>
      </c>
    </row>
    <row r="351" spans="5:25" ht="15" customHeight="1" x14ac:dyDescent="0.35">
      <c r="E351" s="84" t="str">
        <f t="shared" si="12"/>
        <v/>
      </c>
      <c r="J351" s="77"/>
      <c r="K351" s="77"/>
      <c r="L351" s="77"/>
      <c r="M351" s="77"/>
      <c r="N351" s="77"/>
      <c r="O351" s="77"/>
      <c r="P351" s="140">
        <f t="shared" si="13"/>
        <v>0</v>
      </c>
      <c r="Y351" s="78"/>
    </row>
    <row r="352" spans="5:25" ht="15" customHeight="1" x14ac:dyDescent="0.35">
      <c r="E352" s="84" t="str">
        <f t="shared" si="12"/>
        <v/>
      </c>
      <c r="J352" s="77"/>
      <c r="K352" s="77"/>
      <c r="L352" s="77"/>
      <c r="M352" s="77"/>
      <c r="N352" s="77"/>
      <c r="O352" s="77"/>
      <c r="P352" s="140">
        <f t="shared" si="13"/>
        <v>0</v>
      </c>
      <c r="X352" s="78"/>
      <c r="Y352" s="78"/>
    </row>
    <row r="353" spans="5:25" ht="15" customHeight="1" x14ac:dyDescent="0.35">
      <c r="E353" s="84" t="str">
        <f t="shared" si="12"/>
        <v/>
      </c>
      <c r="J353" s="77"/>
      <c r="K353" s="77"/>
      <c r="L353" s="77"/>
      <c r="M353" s="77"/>
      <c r="N353" s="77"/>
      <c r="O353" s="77"/>
      <c r="P353" s="140">
        <f t="shared" si="13"/>
        <v>0</v>
      </c>
      <c r="X353" s="78"/>
      <c r="Y353" s="78"/>
    </row>
    <row r="354" spans="5:25" ht="15" customHeight="1" x14ac:dyDescent="0.35">
      <c r="E354" s="84" t="str">
        <f t="shared" si="12"/>
        <v/>
      </c>
      <c r="J354" s="77"/>
      <c r="K354" s="77"/>
      <c r="L354" s="77"/>
      <c r="M354" s="77"/>
      <c r="N354" s="77"/>
      <c r="O354" s="77"/>
      <c r="P354" s="140">
        <f t="shared" si="13"/>
        <v>0</v>
      </c>
    </row>
    <row r="355" spans="5:25" ht="15" customHeight="1" x14ac:dyDescent="0.35">
      <c r="E355" s="84" t="str">
        <f t="shared" si="12"/>
        <v/>
      </c>
      <c r="J355" s="77"/>
      <c r="K355" s="77"/>
      <c r="L355" s="77"/>
      <c r="M355" s="77"/>
      <c r="N355" s="77"/>
      <c r="O355" s="77"/>
      <c r="P355" s="140">
        <f t="shared" si="13"/>
        <v>0</v>
      </c>
      <c r="X355" s="78"/>
      <c r="Y355" s="78"/>
    </row>
    <row r="356" spans="5:25" ht="15" customHeight="1" x14ac:dyDescent="0.35">
      <c r="E356" s="84" t="str">
        <f t="shared" si="12"/>
        <v/>
      </c>
      <c r="J356" s="77"/>
      <c r="K356" s="77"/>
      <c r="L356" s="77"/>
      <c r="M356" s="77"/>
      <c r="N356" s="77"/>
      <c r="O356" s="77"/>
      <c r="P356" s="140">
        <f t="shared" si="13"/>
        <v>0</v>
      </c>
    </row>
    <row r="357" spans="5:25" ht="15" customHeight="1" x14ac:dyDescent="0.35">
      <c r="E357" s="84" t="str">
        <f t="shared" si="12"/>
        <v/>
      </c>
      <c r="J357" s="77"/>
      <c r="K357" s="77"/>
      <c r="L357" s="77"/>
      <c r="M357" s="77"/>
      <c r="N357" s="77"/>
      <c r="O357" s="77"/>
      <c r="P357" s="140">
        <f t="shared" si="13"/>
        <v>0</v>
      </c>
    </row>
    <row r="358" spans="5:25" ht="15" customHeight="1" x14ac:dyDescent="0.35">
      <c r="E358" s="84" t="str">
        <f t="shared" si="12"/>
        <v/>
      </c>
      <c r="J358" s="77"/>
      <c r="K358" s="77"/>
      <c r="L358" s="77"/>
      <c r="M358" s="77"/>
      <c r="N358" s="77"/>
      <c r="O358" s="77"/>
      <c r="P358" s="140">
        <f t="shared" si="13"/>
        <v>0</v>
      </c>
    </row>
    <row r="359" spans="5:25" ht="15" customHeight="1" x14ac:dyDescent="0.35">
      <c r="E359" s="84" t="str">
        <f t="shared" si="12"/>
        <v/>
      </c>
      <c r="J359" s="77"/>
      <c r="K359" s="77"/>
      <c r="L359" s="77"/>
      <c r="M359" s="77"/>
      <c r="N359" s="77"/>
      <c r="O359" s="77"/>
      <c r="P359" s="140">
        <f t="shared" si="13"/>
        <v>0</v>
      </c>
    </row>
    <row r="360" spans="5:25" ht="15" customHeight="1" x14ac:dyDescent="0.35">
      <c r="E360" s="84" t="str">
        <f t="shared" si="12"/>
        <v/>
      </c>
      <c r="J360" s="77"/>
      <c r="K360" s="77"/>
      <c r="L360" s="77"/>
      <c r="M360" s="77"/>
      <c r="N360" s="77"/>
      <c r="O360" s="77"/>
      <c r="P360" s="140">
        <f t="shared" si="13"/>
        <v>0</v>
      </c>
      <c r="X360" s="78"/>
      <c r="Y360" s="78"/>
    </row>
    <row r="361" spans="5:25" ht="15" customHeight="1" x14ac:dyDescent="0.35">
      <c r="E361" s="84" t="str">
        <f t="shared" si="12"/>
        <v/>
      </c>
      <c r="J361" s="77"/>
      <c r="K361" s="77"/>
      <c r="L361" s="77"/>
      <c r="M361" s="77"/>
      <c r="N361" s="77"/>
      <c r="O361" s="77"/>
      <c r="P361" s="140">
        <f t="shared" si="13"/>
        <v>0</v>
      </c>
      <c r="X361" s="78"/>
    </row>
    <row r="362" spans="5:25" ht="15" customHeight="1" x14ac:dyDescent="0.35">
      <c r="E362" s="84" t="str">
        <f t="shared" si="12"/>
        <v/>
      </c>
      <c r="J362" s="77"/>
      <c r="K362" s="77"/>
      <c r="L362" s="77"/>
      <c r="M362" s="77"/>
      <c r="N362" s="77"/>
      <c r="O362" s="77"/>
      <c r="P362" s="140">
        <f t="shared" si="13"/>
        <v>0</v>
      </c>
    </row>
    <row r="363" spans="5:25" ht="15" customHeight="1" x14ac:dyDescent="0.35">
      <c r="E363" s="84" t="str">
        <f t="shared" si="12"/>
        <v/>
      </c>
      <c r="J363" s="77"/>
      <c r="K363" s="77"/>
      <c r="L363" s="77"/>
      <c r="M363" s="77"/>
      <c r="N363" s="77"/>
      <c r="O363" s="77"/>
      <c r="P363" s="140">
        <f t="shared" si="13"/>
        <v>0</v>
      </c>
    </row>
    <row r="364" spans="5:25" ht="15" customHeight="1" x14ac:dyDescent="0.35">
      <c r="E364" s="84" t="str">
        <f t="shared" si="12"/>
        <v/>
      </c>
      <c r="J364" s="77"/>
      <c r="K364" s="77"/>
      <c r="L364" s="77"/>
      <c r="M364" s="77"/>
      <c r="N364" s="77"/>
      <c r="O364" s="77"/>
      <c r="P364" s="140">
        <f t="shared" si="13"/>
        <v>0</v>
      </c>
    </row>
    <row r="365" spans="5:25" ht="15" customHeight="1" x14ac:dyDescent="0.35">
      <c r="E365" s="84" t="str">
        <f t="shared" si="12"/>
        <v/>
      </c>
      <c r="J365" s="77"/>
      <c r="K365" s="77"/>
      <c r="L365" s="77"/>
      <c r="M365" s="77"/>
      <c r="N365" s="77"/>
      <c r="O365" s="77"/>
      <c r="P365" s="140">
        <f t="shared" si="13"/>
        <v>0</v>
      </c>
    </row>
    <row r="366" spans="5:25" ht="15" customHeight="1" x14ac:dyDescent="0.35">
      <c r="E366" s="84" t="str">
        <f t="shared" si="12"/>
        <v/>
      </c>
      <c r="J366" s="77"/>
      <c r="K366" s="77"/>
      <c r="L366" s="77"/>
      <c r="M366" s="77"/>
      <c r="N366" s="77"/>
      <c r="O366" s="77"/>
      <c r="P366" s="140">
        <f t="shared" si="13"/>
        <v>0</v>
      </c>
    </row>
    <row r="367" spans="5:25" ht="15" customHeight="1" x14ac:dyDescent="0.35">
      <c r="E367" s="84" t="str">
        <f t="shared" si="12"/>
        <v/>
      </c>
      <c r="J367" s="77"/>
      <c r="K367" s="77"/>
      <c r="L367" s="77"/>
      <c r="M367" s="77"/>
      <c r="N367" s="77"/>
      <c r="O367" s="77"/>
      <c r="P367" s="140">
        <f t="shared" si="13"/>
        <v>0</v>
      </c>
    </row>
    <row r="368" spans="5:25" ht="15" customHeight="1" x14ac:dyDescent="0.35">
      <c r="E368" s="84" t="str">
        <f t="shared" si="12"/>
        <v/>
      </c>
      <c r="J368" s="77"/>
      <c r="K368" s="77"/>
      <c r="L368" s="77"/>
      <c r="M368" s="77"/>
      <c r="N368" s="77"/>
      <c r="O368" s="77"/>
      <c r="P368" s="140">
        <f t="shared" si="13"/>
        <v>0</v>
      </c>
    </row>
    <row r="369" spans="5:25" ht="15" customHeight="1" x14ac:dyDescent="0.35">
      <c r="E369" s="84" t="str">
        <f t="shared" si="12"/>
        <v/>
      </c>
      <c r="J369" s="77"/>
      <c r="K369" s="77"/>
      <c r="L369" s="77"/>
      <c r="M369" s="77"/>
      <c r="N369" s="77"/>
      <c r="O369" s="77"/>
      <c r="P369" s="140">
        <f t="shared" si="13"/>
        <v>0</v>
      </c>
      <c r="Y369" s="78"/>
    </row>
    <row r="370" spans="5:25" ht="15" customHeight="1" x14ac:dyDescent="0.35">
      <c r="E370" s="84" t="str">
        <f t="shared" si="12"/>
        <v/>
      </c>
      <c r="J370" s="77"/>
      <c r="K370" s="77"/>
      <c r="L370" s="77"/>
      <c r="M370" s="77"/>
      <c r="N370" s="77"/>
      <c r="O370" s="77"/>
      <c r="P370" s="140">
        <f t="shared" si="13"/>
        <v>0</v>
      </c>
    </row>
    <row r="371" spans="5:25" ht="15" customHeight="1" x14ac:dyDescent="0.35">
      <c r="E371" s="84" t="str">
        <f t="shared" si="12"/>
        <v/>
      </c>
      <c r="I371" s="78"/>
      <c r="J371" s="77"/>
      <c r="K371" s="77"/>
      <c r="L371" s="77"/>
      <c r="M371" s="77"/>
      <c r="N371" s="77"/>
      <c r="O371" s="77"/>
      <c r="P371" s="140">
        <f t="shared" si="13"/>
        <v>0</v>
      </c>
    </row>
    <row r="372" spans="5:25" ht="15" customHeight="1" x14ac:dyDescent="0.35">
      <c r="E372" s="84" t="str">
        <f t="shared" si="12"/>
        <v/>
      </c>
      <c r="I372" s="78"/>
      <c r="J372" s="77"/>
      <c r="K372" s="77"/>
      <c r="L372" s="77"/>
      <c r="M372" s="77"/>
      <c r="N372" s="77"/>
      <c r="O372" s="77"/>
      <c r="P372" s="140">
        <f t="shared" si="13"/>
        <v>0</v>
      </c>
    </row>
    <row r="373" spans="5:25" ht="15" customHeight="1" x14ac:dyDescent="0.35">
      <c r="E373" s="84" t="str">
        <f t="shared" si="12"/>
        <v/>
      </c>
      <c r="J373" s="77"/>
      <c r="K373" s="77"/>
      <c r="L373" s="77"/>
      <c r="M373" s="77"/>
      <c r="N373" s="77"/>
      <c r="O373" s="77"/>
      <c r="P373" s="140">
        <f t="shared" si="13"/>
        <v>0</v>
      </c>
      <c r="Y373" s="78"/>
    </row>
    <row r="374" spans="5:25" ht="15" customHeight="1" x14ac:dyDescent="0.35">
      <c r="E374" s="84" t="str">
        <f t="shared" si="12"/>
        <v/>
      </c>
      <c r="J374" s="77"/>
      <c r="K374" s="77"/>
      <c r="L374" s="77"/>
      <c r="M374" s="77"/>
      <c r="N374" s="77"/>
      <c r="O374" s="77"/>
      <c r="P374" s="140">
        <f t="shared" si="13"/>
        <v>0</v>
      </c>
      <c r="Y374" s="78"/>
    </row>
    <row r="375" spans="5:25" ht="15" customHeight="1" x14ac:dyDescent="0.35">
      <c r="E375" s="84" t="str">
        <f t="shared" si="12"/>
        <v/>
      </c>
      <c r="J375" s="77"/>
      <c r="K375" s="77"/>
      <c r="L375" s="77"/>
      <c r="M375" s="77"/>
      <c r="N375" s="77"/>
      <c r="O375" s="77"/>
      <c r="P375" s="140">
        <f t="shared" si="13"/>
        <v>0</v>
      </c>
    </row>
    <row r="376" spans="5:25" ht="15" customHeight="1" x14ac:dyDescent="0.35">
      <c r="E376" s="84" t="str">
        <f t="shared" si="12"/>
        <v/>
      </c>
      <c r="I376" s="78"/>
      <c r="J376" s="77"/>
      <c r="K376" s="77"/>
      <c r="L376" s="77"/>
      <c r="M376" s="77"/>
      <c r="N376" s="77"/>
      <c r="O376" s="77"/>
      <c r="P376" s="140">
        <f t="shared" si="13"/>
        <v>0</v>
      </c>
      <c r="Y376" s="78"/>
    </row>
    <row r="377" spans="5:25" ht="15" customHeight="1" x14ac:dyDescent="0.35">
      <c r="E377" s="84" t="str">
        <f t="shared" si="12"/>
        <v/>
      </c>
      <c r="J377" s="77"/>
      <c r="K377" s="77"/>
      <c r="L377" s="77"/>
      <c r="M377" s="77"/>
      <c r="N377" s="77"/>
      <c r="O377" s="77"/>
      <c r="P377" s="140">
        <f t="shared" si="13"/>
        <v>0</v>
      </c>
    </row>
    <row r="378" spans="5:25" ht="15" customHeight="1" x14ac:dyDescent="0.35">
      <c r="E378" s="84" t="str">
        <f t="shared" si="12"/>
        <v/>
      </c>
      <c r="J378" s="77"/>
      <c r="K378" s="77"/>
      <c r="L378" s="77"/>
      <c r="M378" s="77"/>
      <c r="N378" s="77"/>
      <c r="O378" s="77"/>
      <c r="P378" s="140">
        <f t="shared" si="13"/>
        <v>0</v>
      </c>
      <c r="Y378" s="78"/>
    </row>
    <row r="379" spans="5:25" ht="15" customHeight="1" x14ac:dyDescent="0.35">
      <c r="E379" s="84" t="str">
        <f t="shared" si="12"/>
        <v/>
      </c>
      <c r="J379" s="77"/>
      <c r="K379" s="77"/>
      <c r="L379" s="77"/>
      <c r="M379" s="77"/>
      <c r="N379" s="77"/>
      <c r="O379" s="77"/>
      <c r="P379" s="140">
        <f t="shared" si="13"/>
        <v>0</v>
      </c>
    </row>
    <row r="380" spans="5:25" ht="15" customHeight="1" x14ac:dyDescent="0.35">
      <c r="E380" s="84" t="str">
        <f t="shared" si="12"/>
        <v/>
      </c>
      <c r="J380" s="77"/>
      <c r="K380" s="77"/>
      <c r="L380" s="77"/>
      <c r="M380" s="77"/>
      <c r="N380" s="77"/>
      <c r="O380" s="77"/>
      <c r="P380" s="140">
        <f t="shared" si="13"/>
        <v>0</v>
      </c>
    </row>
    <row r="381" spans="5:25" ht="15" customHeight="1" x14ac:dyDescent="0.35">
      <c r="E381" s="84" t="str">
        <f t="shared" si="12"/>
        <v/>
      </c>
      <c r="J381" s="77"/>
      <c r="K381" s="77"/>
      <c r="L381" s="77"/>
      <c r="M381" s="77"/>
      <c r="N381" s="77"/>
      <c r="O381" s="77"/>
      <c r="P381" s="140">
        <f t="shared" si="13"/>
        <v>0</v>
      </c>
      <c r="Y381" s="78"/>
    </row>
    <row r="382" spans="5:25" ht="15" customHeight="1" x14ac:dyDescent="0.35">
      <c r="E382" s="84" t="str">
        <f t="shared" si="12"/>
        <v/>
      </c>
      <c r="J382" s="77"/>
      <c r="K382" s="77"/>
      <c r="L382" s="77"/>
      <c r="M382" s="77"/>
      <c r="N382" s="77"/>
      <c r="O382" s="77"/>
      <c r="P382" s="140">
        <f t="shared" si="13"/>
        <v>0</v>
      </c>
    </row>
    <row r="383" spans="5:25" ht="15" customHeight="1" x14ac:dyDescent="0.35">
      <c r="E383" s="84" t="str">
        <f t="shared" si="12"/>
        <v/>
      </c>
      <c r="J383" s="77"/>
      <c r="K383" s="77"/>
      <c r="L383" s="77"/>
      <c r="M383" s="77"/>
      <c r="N383" s="77"/>
      <c r="O383" s="77"/>
      <c r="P383" s="140">
        <f t="shared" si="13"/>
        <v>0</v>
      </c>
    </row>
    <row r="384" spans="5:25" ht="15" customHeight="1" x14ac:dyDescent="0.35">
      <c r="E384" s="84" t="str">
        <f t="shared" si="12"/>
        <v/>
      </c>
      <c r="J384" s="77"/>
      <c r="K384" s="77"/>
      <c r="L384" s="77"/>
      <c r="M384" s="77"/>
      <c r="N384" s="77"/>
      <c r="O384" s="77"/>
      <c r="P384" s="140">
        <f t="shared" si="13"/>
        <v>0</v>
      </c>
      <c r="X384" s="78"/>
    </row>
    <row r="385" spans="5:25" ht="15" customHeight="1" x14ac:dyDescent="0.35">
      <c r="E385" s="84" t="str">
        <f t="shared" si="12"/>
        <v/>
      </c>
      <c r="J385" s="77"/>
      <c r="K385" s="77"/>
      <c r="L385" s="77"/>
      <c r="M385" s="77"/>
      <c r="N385" s="77"/>
      <c r="O385" s="77"/>
      <c r="P385" s="140">
        <f t="shared" si="13"/>
        <v>0</v>
      </c>
    </row>
    <row r="386" spans="5:25" ht="15" customHeight="1" x14ac:dyDescent="0.35">
      <c r="E386" s="84" t="str">
        <f t="shared" si="12"/>
        <v/>
      </c>
      <c r="J386" s="77"/>
      <c r="K386" s="77"/>
      <c r="L386" s="77"/>
      <c r="M386" s="77"/>
      <c r="N386" s="77"/>
      <c r="O386" s="77"/>
      <c r="P386" s="140">
        <f t="shared" si="13"/>
        <v>0</v>
      </c>
      <c r="X386" s="78"/>
    </row>
    <row r="387" spans="5:25" ht="15" customHeight="1" x14ac:dyDescent="0.35">
      <c r="E387" s="84" t="str">
        <f t="shared" si="12"/>
        <v/>
      </c>
      <c r="J387" s="77"/>
      <c r="K387" s="77"/>
      <c r="L387" s="77"/>
      <c r="M387" s="77"/>
      <c r="N387" s="77"/>
      <c r="O387" s="77"/>
      <c r="P387" s="140">
        <f t="shared" si="13"/>
        <v>0</v>
      </c>
    </row>
    <row r="388" spans="5:25" ht="15" customHeight="1" x14ac:dyDescent="0.35">
      <c r="E388" s="84" t="str">
        <f t="shared" si="12"/>
        <v/>
      </c>
      <c r="J388" s="77"/>
      <c r="K388" s="77"/>
      <c r="L388" s="77"/>
      <c r="M388" s="77"/>
      <c r="N388" s="77"/>
      <c r="O388" s="77"/>
      <c r="P388" s="140">
        <f t="shared" si="13"/>
        <v>0</v>
      </c>
    </row>
    <row r="389" spans="5:25" ht="15" customHeight="1" x14ac:dyDescent="0.35">
      <c r="E389" s="84" t="str">
        <f t="shared" si="12"/>
        <v/>
      </c>
      <c r="J389" s="77"/>
      <c r="K389" s="77"/>
      <c r="L389" s="77"/>
      <c r="M389" s="77"/>
      <c r="N389" s="77"/>
      <c r="O389" s="77"/>
      <c r="P389" s="140">
        <f t="shared" si="13"/>
        <v>0</v>
      </c>
    </row>
    <row r="390" spans="5:25" ht="15" customHeight="1" x14ac:dyDescent="0.35">
      <c r="E390" s="84" t="str">
        <f t="shared" si="12"/>
        <v/>
      </c>
      <c r="J390" s="77"/>
      <c r="K390" s="77"/>
      <c r="L390" s="77"/>
      <c r="M390" s="77"/>
      <c r="N390" s="77"/>
      <c r="O390" s="77"/>
      <c r="P390" s="140">
        <f t="shared" si="13"/>
        <v>0</v>
      </c>
    </row>
    <row r="391" spans="5:25" ht="15" customHeight="1" x14ac:dyDescent="0.35">
      <c r="E391" s="84" t="str">
        <f t="shared" si="12"/>
        <v/>
      </c>
      <c r="J391" s="77"/>
      <c r="K391" s="77"/>
      <c r="L391" s="77"/>
      <c r="M391" s="77"/>
      <c r="N391" s="77"/>
      <c r="O391" s="77"/>
      <c r="P391" s="140">
        <f t="shared" si="13"/>
        <v>0</v>
      </c>
    </row>
    <row r="392" spans="5:25" ht="15" customHeight="1" x14ac:dyDescent="0.35">
      <c r="E392" s="84" t="str">
        <f t="shared" si="12"/>
        <v/>
      </c>
      <c r="J392" s="77"/>
      <c r="K392" s="77"/>
      <c r="L392" s="77"/>
      <c r="M392" s="77"/>
      <c r="N392" s="77"/>
      <c r="O392" s="77"/>
      <c r="P392" s="140">
        <f t="shared" si="13"/>
        <v>0</v>
      </c>
      <c r="Y392" s="78"/>
    </row>
    <row r="393" spans="5:25" ht="15" customHeight="1" x14ac:dyDescent="0.35">
      <c r="E393" s="84" t="str">
        <f t="shared" si="12"/>
        <v/>
      </c>
      <c r="J393" s="77"/>
      <c r="K393" s="77"/>
      <c r="L393" s="77"/>
      <c r="M393" s="77"/>
      <c r="N393" s="77"/>
      <c r="O393" s="77"/>
      <c r="P393" s="140">
        <f t="shared" si="13"/>
        <v>0</v>
      </c>
    </row>
    <row r="394" spans="5:25" ht="15" customHeight="1" x14ac:dyDescent="0.35">
      <c r="E394" s="84" t="str">
        <f t="shared" si="12"/>
        <v/>
      </c>
      <c r="J394" s="77"/>
      <c r="K394" s="77"/>
      <c r="L394" s="77"/>
      <c r="M394" s="77"/>
      <c r="N394" s="77"/>
      <c r="O394" s="77"/>
      <c r="P394" s="140">
        <f t="shared" si="13"/>
        <v>0</v>
      </c>
    </row>
    <row r="395" spans="5:25" ht="15" customHeight="1" x14ac:dyDescent="0.35">
      <c r="E395" s="84" t="str">
        <f t="shared" si="12"/>
        <v/>
      </c>
      <c r="J395" s="77"/>
      <c r="K395" s="77"/>
      <c r="L395" s="77"/>
      <c r="M395" s="77"/>
      <c r="N395" s="77"/>
      <c r="O395" s="77"/>
      <c r="P395" s="140">
        <f t="shared" si="13"/>
        <v>0</v>
      </c>
    </row>
    <row r="396" spans="5:25" ht="15" customHeight="1" x14ac:dyDescent="0.35">
      <c r="E396" s="84" t="str">
        <f t="shared" si="12"/>
        <v/>
      </c>
      <c r="J396" s="77"/>
      <c r="K396" s="77"/>
      <c r="L396" s="77"/>
      <c r="M396" s="77"/>
      <c r="N396" s="77"/>
      <c r="O396" s="77"/>
      <c r="P396" s="140">
        <f t="shared" si="13"/>
        <v>0</v>
      </c>
      <c r="X396" s="78"/>
      <c r="Y396" s="78"/>
    </row>
    <row r="397" spans="5:25" ht="15" customHeight="1" x14ac:dyDescent="0.35">
      <c r="E397" s="84" t="str">
        <f t="shared" si="12"/>
        <v/>
      </c>
      <c r="J397" s="77"/>
      <c r="K397" s="77"/>
      <c r="L397" s="77"/>
      <c r="M397" s="77"/>
      <c r="N397" s="77"/>
      <c r="O397" s="77"/>
      <c r="P397" s="140">
        <f t="shared" si="13"/>
        <v>0</v>
      </c>
      <c r="X397" s="78"/>
      <c r="Y397" s="78"/>
    </row>
    <row r="398" spans="5:25" ht="15" customHeight="1" x14ac:dyDescent="0.35">
      <c r="E398" s="84" t="str">
        <f t="shared" si="12"/>
        <v/>
      </c>
      <c r="J398" s="77"/>
      <c r="K398" s="77"/>
      <c r="L398" s="77"/>
      <c r="M398" s="77"/>
      <c r="N398" s="77"/>
      <c r="O398" s="77"/>
      <c r="P398" s="140">
        <f t="shared" si="13"/>
        <v>0</v>
      </c>
      <c r="X398" s="78"/>
      <c r="Y398" s="78"/>
    </row>
    <row r="399" spans="5:25" ht="15" customHeight="1" x14ac:dyDescent="0.35">
      <c r="E399" s="84" t="str">
        <f t="shared" si="12"/>
        <v/>
      </c>
      <c r="J399" s="77"/>
      <c r="K399" s="77"/>
      <c r="L399" s="77"/>
      <c r="M399" s="77"/>
      <c r="N399" s="77"/>
      <c r="O399" s="77"/>
      <c r="P399" s="140">
        <f t="shared" si="13"/>
        <v>0</v>
      </c>
    </row>
    <row r="400" spans="5:25" ht="15" customHeight="1" x14ac:dyDescent="0.35">
      <c r="E400" s="84" t="str">
        <f t="shared" si="12"/>
        <v/>
      </c>
      <c r="J400" s="77"/>
      <c r="K400" s="77"/>
      <c r="L400" s="77"/>
      <c r="M400" s="77"/>
      <c r="N400" s="77"/>
      <c r="O400" s="77"/>
      <c r="P400" s="140">
        <f t="shared" si="13"/>
        <v>0</v>
      </c>
      <c r="X400" s="78"/>
      <c r="Y400" s="78"/>
    </row>
    <row r="401" spans="5:25" ht="15" customHeight="1" x14ac:dyDescent="0.35">
      <c r="E401" s="84" t="str">
        <f t="shared" si="12"/>
        <v/>
      </c>
      <c r="J401" s="77"/>
      <c r="K401" s="77"/>
      <c r="L401" s="77"/>
      <c r="M401" s="77"/>
      <c r="N401" s="77"/>
      <c r="O401" s="77"/>
      <c r="P401" s="140">
        <f t="shared" si="13"/>
        <v>0</v>
      </c>
      <c r="X401" s="78"/>
    </row>
    <row r="402" spans="5:25" ht="15" customHeight="1" x14ac:dyDescent="0.35">
      <c r="E402" s="84" t="str">
        <f t="shared" si="12"/>
        <v/>
      </c>
      <c r="J402" s="77"/>
      <c r="K402" s="77"/>
      <c r="L402" s="77"/>
      <c r="M402" s="77"/>
      <c r="N402" s="77"/>
      <c r="O402" s="77"/>
      <c r="P402" s="140">
        <f t="shared" si="13"/>
        <v>0</v>
      </c>
      <c r="X402" s="78"/>
    </row>
    <row r="403" spans="5:25" ht="15" customHeight="1" x14ac:dyDescent="0.35">
      <c r="E403" s="84" t="str">
        <f t="shared" si="12"/>
        <v/>
      </c>
      <c r="J403" s="77"/>
      <c r="K403" s="77"/>
      <c r="L403" s="77"/>
      <c r="M403" s="77"/>
      <c r="N403" s="77"/>
      <c r="O403" s="77"/>
      <c r="P403" s="140">
        <f t="shared" si="13"/>
        <v>0</v>
      </c>
    </row>
    <row r="404" spans="5:25" ht="15" customHeight="1" x14ac:dyDescent="0.35">
      <c r="E404" s="84" t="str">
        <f t="shared" si="12"/>
        <v/>
      </c>
      <c r="J404" s="77"/>
      <c r="K404" s="77"/>
      <c r="L404" s="77"/>
      <c r="M404" s="77"/>
      <c r="N404" s="77"/>
      <c r="O404" s="77"/>
      <c r="P404" s="140">
        <f t="shared" si="13"/>
        <v>0</v>
      </c>
    </row>
    <row r="405" spans="5:25" ht="15" customHeight="1" x14ac:dyDescent="0.35">
      <c r="E405" s="84" t="str">
        <f t="shared" si="12"/>
        <v/>
      </c>
      <c r="J405" s="77"/>
      <c r="K405" s="77"/>
      <c r="L405" s="77"/>
      <c r="M405" s="77"/>
      <c r="N405" s="77"/>
      <c r="O405" s="77"/>
      <c r="P405" s="140">
        <f t="shared" si="13"/>
        <v>0</v>
      </c>
    </row>
    <row r="406" spans="5:25" ht="15" customHeight="1" x14ac:dyDescent="0.35">
      <c r="E406" s="84" t="str">
        <f t="shared" si="12"/>
        <v/>
      </c>
      <c r="J406" s="77"/>
      <c r="K406" s="77"/>
      <c r="L406" s="77"/>
      <c r="M406" s="77"/>
      <c r="N406" s="77"/>
      <c r="O406" s="77"/>
      <c r="P406" s="140">
        <f t="shared" si="13"/>
        <v>0</v>
      </c>
      <c r="X406" s="78"/>
    </row>
    <row r="407" spans="5:25" ht="15" customHeight="1" x14ac:dyDescent="0.35">
      <c r="E407" s="84" t="str">
        <f t="shared" si="12"/>
        <v/>
      </c>
      <c r="J407" s="77"/>
      <c r="K407" s="77"/>
      <c r="L407" s="77"/>
      <c r="M407" s="77"/>
      <c r="N407" s="77"/>
      <c r="O407" s="77"/>
      <c r="P407" s="140">
        <f t="shared" si="13"/>
        <v>0</v>
      </c>
    </row>
    <row r="408" spans="5:25" ht="15" customHeight="1" x14ac:dyDescent="0.35">
      <c r="E408" s="84" t="str">
        <f t="shared" si="12"/>
        <v/>
      </c>
      <c r="J408" s="77"/>
      <c r="K408" s="77"/>
      <c r="L408" s="77"/>
      <c r="M408" s="77"/>
      <c r="N408" s="77"/>
      <c r="O408" s="77"/>
      <c r="P408" s="140">
        <f t="shared" si="13"/>
        <v>0</v>
      </c>
      <c r="X408" s="78"/>
      <c r="Y408" s="78"/>
    </row>
    <row r="409" spans="5:25" ht="15" customHeight="1" x14ac:dyDescent="0.35">
      <c r="E409" s="84" t="str">
        <f t="shared" si="12"/>
        <v/>
      </c>
      <c r="J409" s="77"/>
      <c r="K409" s="77"/>
      <c r="L409" s="77"/>
      <c r="M409" s="77"/>
      <c r="N409" s="77"/>
      <c r="O409" s="77"/>
      <c r="P409" s="140">
        <f t="shared" si="13"/>
        <v>0</v>
      </c>
    </row>
    <row r="410" spans="5:25" ht="15" customHeight="1" x14ac:dyDescent="0.35">
      <c r="E410" s="84" t="str">
        <f t="shared" si="12"/>
        <v/>
      </c>
      <c r="J410" s="77"/>
      <c r="K410" s="77"/>
      <c r="L410" s="77"/>
      <c r="M410" s="77"/>
      <c r="N410" s="77"/>
      <c r="O410" s="77"/>
      <c r="P410" s="140">
        <f t="shared" si="13"/>
        <v>0</v>
      </c>
    </row>
    <row r="411" spans="5:25" ht="15" customHeight="1" x14ac:dyDescent="0.35">
      <c r="E411" s="84" t="str">
        <f t="shared" si="12"/>
        <v/>
      </c>
      <c r="J411" s="77"/>
      <c r="K411" s="77"/>
      <c r="L411" s="77"/>
      <c r="M411" s="77"/>
      <c r="N411" s="77"/>
      <c r="O411" s="77"/>
      <c r="P411" s="140">
        <f t="shared" si="13"/>
        <v>0</v>
      </c>
      <c r="Y411" s="78"/>
    </row>
    <row r="412" spans="5:25" ht="15" customHeight="1" x14ac:dyDescent="0.35">
      <c r="E412" s="84" t="str">
        <f t="shared" si="12"/>
        <v/>
      </c>
      <c r="J412" s="77"/>
      <c r="K412" s="77"/>
      <c r="L412" s="77"/>
      <c r="M412" s="77"/>
      <c r="N412" s="77"/>
      <c r="O412" s="77"/>
      <c r="P412" s="140">
        <f t="shared" si="13"/>
        <v>0</v>
      </c>
      <c r="S412" s="78"/>
    </row>
    <row r="413" spans="5:25" ht="15" customHeight="1" x14ac:dyDescent="0.35">
      <c r="E413" s="84" t="str">
        <f t="shared" ref="E413:E476" si="14">LEFT(D413,4)</f>
        <v/>
      </c>
      <c r="J413" s="77"/>
      <c r="K413" s="77"/>
      <c r="L413" s="77"/>
      <c r="M413" s="77"/>
      <c r="N413" s="77"/>
      <c r="O413" s="77"/>
      <c r="P413" s="140">
        <f t="shared" si="13"/>
        <v>0</v>
      </c>
    </row>
    <row r="414" spans="5:25" ht="15" customHeight="1" x14ac:dyDescent="0.35">
      <c r="E414" s="84" t="str">
        <f t="shared" si="14"/>
        <v/>
      </c>
      <c r="J414" s="77"/>
      <c r="K414" s="77"/>
      <c r="L414" s="77"/>
      <c r="M414" s="77"/>
      <c r="N414" s="77"/>
      <c r="O414" s="77"/>
      <c r="P414" s="140">
        <f t="shared" ref="P414:P477" si="15">INT(O414)</f>
        <v>0</v>
      </c>
      <c r="X414" s="78"/>
    </row>
    <row r="415" spans="5:25" ht="15" customHeight="1" x14ac:dyDescent="0.35">
      <c r="E415" s="84" t="str">
        <f t="shared" si="14"/>
        <v/>
      </c>
      <c r="J415" s="77"/>
      <c r="K415" s="77"/>
      <c r="L415" s="77"/>
      <c r="M415" s="77"/>
      <c r="N415" s="77"/>
      <c r="O415" s="77"/>
      <c r="P415" s="140">
        <f t="shared" si="15"/>
        <v>0</v>
      </c>
    </row>
    <row r="416" spans="5:25" ht="15" customHeight="1" x14ac:dyDescent="0.35">
      <c r="E416" s="84" t="str">
        <f t="shared" si="14"/>
        <v/>
      </c>
      <c r="J416" s="77"/>
      <c r="K416" s="77"/>
      <c r="L416" s="77"/>
      <c r="M416" s="77"/>
      <c r="N416" s="77"/>
      <c r="O416" s="77"/>
      <c r="P416" s="140">
        <f t="shared" si="15"/>
        <v>0</v>
      </c>
    </row>
    <row r="417" spans="5:25" ht="15" customHeight="1" x14ac:dyDescent="0.35">
      <c r="E417" s="84" t="str">
        <f t="shared" si="14"/>
        <v/>
      </c>
      <c r="J417" s="77"/>
      <c r="K417" s="77"/>
      <c r="L417" s="77"/>
      <c r="M417" s="77"/>
      <c r="N417" s="77"/>
      <c r="O417" s="77"/>
      <c r="P417" s="140">
        <f t="shared" si="15"/>
        <v>0</v>
      </c>
      <c r="Y417" s="78"/>
    </row>
    <row r="418" spans="5:25" ht="15" customHeight="1" x14ac:dyDescent="0.35">
      <c r="E418" s="84" t="str">
        <f t="shared" si="14"/>
        <v/>
      </c>
      <c r="J418" s="77"/>
      <c r="K418" s="77"/>
      <c r="L418" s="77"/>
      <c r="M418" s="77"/>
      <c r="N418" s="77"/>
      <c r="O418" s="77"/>
      <c r="P418" s="140">
        <f t="shared" si="15"/>
        <v>0</v>
      </c>
      <c r="S418" s="78"/>
      <c r="X418" s="78"/>
    </row>
    <row r="419" spans="5:25" ht="15" customHeight="1" x14ac:dyDescent="0.35">
      <c r="E419" s="84" t="str">
        <f t="shared" si="14"/>
        <v/>
      </c>
      <c r="J419" s="77"/>
      <c r="K419" s="77"/>
      <c r="L419" s="77"/>
      <c r="M419" s="77"/>
      <c r="N419" s="77"/>
      <c r="O419" s="77"/>
      <c r="P419" s="140">
        <f t="shared" si="15"/>
        <v>0</v>
      </c>
      <c r="X419" s="78"/>
    </row>
    <row r="420" spans="5:25" ht="15" customHeight="1" x14ac:dyDescent="0.35">
      <c r="E420" s="84" t="str">
        <f t="shared" si="14"/>
        <v/>
      </c>
      <c r="J420" s="77"/>
      <c r="K420" s="77"/>
      <c r="L420" s="77"/>
      <c r="M420" s="77"/>
      <c r="N420" s="77"/>
      <c r="O420" s="77"/>
      <c r="P420" s="140">
        <f t="shared" si="15"/>
        <v>0</v>
      </c>
    </row>
    <row r="421" spans="5:25" ht="15" customHeight="1" x14ac:dyDescent="0.35">
      <c r="E421" s="84" t="str">
        <f t="shared" si="14"/>
        <v/>
      </c>
      <c r="J421" s="77"/>
      <c r="K421" s="77"/>
      <c r="L421" s="77"/>
      <c r="M421" s="77"/>
      <c r="N421" s="77"/>
      <c r="O421" s="77"/>
      <c r="P421" s="140">
        <f t="shared" si="15"/>
        <v>0</v>
      </c>
      <c r="X421" s="78"/>
    </row>
    <row r="422" spans="5:25" ht="15" customHeight="1" x14ac:dyDescent="0.35">
      <c r="E422" s="84" t="str">
        <f t="shared" si="14"/>
        <v/>
      </c>
      <c r="J422" s="77"/>
      <c r="K422" s="77"/>
      <c r="L422" s="77"/>
      <c r="M422" s="77"/>
      <c r="N422" s="77"/>
      <c r="O422" s="77"/>
      <c r="P422" s="140">
        <f t="shared" si="15"/>
        <v>0</v>
      </c>
      <c r="Y422" s="78"/>
    </row>
    <row r="423" spans="5:25" ht="15" customHeight="1" x14ac:dyDescent="0.35">
      <c r="E423" s="84" t="str">
        <f t="shared" si="14"/>
        <v/>
      </c>
      <c r="J423" s="77"/>
      <c r="K423" s="77"/>
      <c r="L423" s="77"/>
      <c r="M423" s="77"/>
      <c r="N423" s="77"/>
      <c r="O423" s="77"/>
      <c r="P423" s="140">
        <f t="shared" si="15"/>
        <v>0</v>
      </c>
    </row>
    <row r="424" spans="5:25" ht="15" customHeight="1" x14ac:dyDescent="0.35">
      <c r="E424" s="84" t="str">
        <f t="shared" si="14"/>
        <v/>
      </c>
      <c r="J424" s="77"/>
      <c r="K424" s="77"/>
      <c r="L424" s="77"/>
      <c r="M424" s="77"/>
      <c r="N424" s="77"/>
      <c r="O424" s="77"/>
      <c r="P424" s="140">
        <f t="shared" si="15"/>
        <v>0</v>
      </c>
      <c r="Y424" s="78"/>
    </row>
    <row r="425" spans="5:25" ht="15" customHeight="1" x14ac:dyDescent="0.35">
      <c r="E425" s="84" t="str">
        <f t="shared" si="14"/>
        <v/>
      </c>
      <c r="J425" s="77"/>
      <c r="K425" s="77"/>
      <c r="L425" s="77"/>
      <c r="M425" s="77"/>
      <c r="N425" s="77"/>
      <c r="O425" s="77"/>
      <c r="P425" s="140">
        <f t="shared" si="15"/>
        <v>0</v>
      </c>
    </row>
    <row r="426" spans="5:25" ht="15" customHeight="1" x14ac:dyDescent="0.35">
      <c r="E426" s="84" t="str">
        <f t="shared" si="14"/>
        <v/>
      </c>
      <c r="J426" s="77"/>
      <c r="K426" s="77"/>
      <c r="L426" s="77"/>
      <c r="M426" s="77"/>
      <c r="N426" s="77"/>
      <c r="O426" s="77"/>
      <c r="P426" s="140">
        <f t="shared" si="15"/>
        <v>0</v>
      </c>
    </row>
    <row r="427" spans="5:25" ht="15" customHeight="1" x14ac:dyDescent="0.35">
      <c r="E427" s="84" t="str">
        <f t="shared" si="14"/>
        <v/>
      </c>
      <c r="J427" s="77"/>
      <c r="K427" s="77"/>
      <c r="L427" s="77"/>
      <c r="M427" s="77"/>
      <c r="N427" s="77"/>
      <c r="O427" s="77"/>
      <c r="P427" s="140">
        <f t="shared" si="15"/>
        <v>0</v>
      </c>
      <c r="X427" s="78"/>
      <c r="Y427" s="78"/>
    </row>
    <row r="428" spans="5:25" ht="15" customHeight="1" x14ac:dyDescent="0.35">
      <c r="E428" s="84" t="str">
        <f t="shared" si="14"/>
        <v/>
      </c>
      <c r="J428" s="77"/>
      <c r="K428" s="77"/>
      <c r="L428" s="77"/>
      <c r="M428" s="77"/>
      <c r="N428" s="77"/>
      <c r="O428" s="77"/>
      <c r="P428" s="140">
        <f t="shared" si="15"/>
        <v>0</v>
      </c>
    </row>
    <row r="429" spans="5:25" ht="15" customHeight="1" x14ac:dyDescent="0.35">
      <c r="E429" s="84" t="str">
        <f t="shared" si="14"/>
        <v/>
      </c>
      <c r="J429" s="77"/>
      <c r="K429" s="77"/>
      <c r="L429" s="77"/>
      <c r="M429" s="77"/>
      <c r="N429" s="77"/>
      <c r="O429" s="77"/>
      <c r="P429" s="140">
        <f t="shared" si="15"/>
        <v>0</v>
      </c>
      <c r="X429" s="78"/>
      <c r="Y429" s="78"/>
    </row>
    <row r="430" spans="5:25" ht="15" customHeight="1" x14ac:dyDescent="0.35">
      <c r="E430" s="84" t="str">
        <f t="shared" si="14"/>
        <v/>
      </c>
      <c r="J430" s="77"/>
      <c r="K430" s="77"/>
      <c r="L430" s="77"/>
      <c r="M430" s="77"/>
      <c r="N430" s="77"/>
      <c r="O430" s="77"/>
      <c r="P430" s="140">
        <f t="shared" si="15"/>
        <v>0</v>
      </c>
      <c r="Y430" s="78"/>
    </row>
    <row r="431" spans="5:25" ht="15" customHeight="1" x14ac:dyDescent="0.35">
      <c r="E431" s="84" t="str">
        <f t="shared" si="14"/>
        <v/>
      </c>
      <c r="J431" s="77"/>
      <c r="K431" s="77"/>
      <c r="L431" s="77"/>
      <c r="M431" s="77"/>
      <c r="N431" s="77"/>
      <c r="O431" s="77"/>
      <c r="P431" s="140">
        <f t="shared" si="15"/>
        <v>0</v>
      </c>
    </row>
    <row r="432" spans="5:25" ht="15" customHeight="1" x14ac:dyDescent="0.35">
      <c r="E432" s="84" t="str">
        <f t="shared" si="14"/>
        <v/>
      </c>
      <c r="J432" s="77"/>
      <c r="K432" s="77"/>
      <c r="L432" s="77"/>
      <c r="M432" s="77"/>
      <c r="N432" s="77"/>
      <c r="O432" s="77"/>
      <c r="P432" s="140">
        <f t="shared" si="15"/>
        <v>0</v>
      </c>
    </row>
    <row r="433" spans="5:25" ht="15" customHeight="1" x14ac:dyDescent="0.35">
      <c r="E433" s="84" t="str">
        <f t="shared" si="14"/>
        <v/>
      </c>
      <c r="J433" s="77"/>
      <c r="K433" s="77"/>
      <c r="L433" s="77"/>
      <c r="M433" s="77"/>
      <c r="N433" s="77"/>
      <c r="O433" s="77"/>
      <c r="P433" s="140">
        <f t="shared" si="15"/>
        <v>0</v>
      </c>
    </row>
    <row r="434" spans="5:25" ht="15" customHeight="1" x14ac:dyDescent="0.35">
      <c r="E434" s="84" t="str">
        <f t="shared" si="14"/>
        <v/>
      </c>
      <c r="J434" s="77"/>
      <c r="K434" s="77"/>
      <c r="L434" s="77"/>
      <c r="M434" s="77"/>
      <c r="N434" s="77"/>
      <c r="O434" s="77"/>
      <c r="P434" s="140">
        <f t="shared" si="15"/>
        <v>0</v>
      </c>
      <c r="X434" s="78"/>
      <c r="Y434" s="78"/>
    </row>
    <row r="435" spans="5:25" ht="15" customHeight="1" x14ac:dyDescent="0.35">
      <c r="E435" s="84" t="str">
        <f t="shared" si="14"/>
        <v/>
      </c>
      <c r="J435" s="77"/>
      <c r="K435" s="77"/>
      <c r="L435" s="77"/>
      <c r="M435" s="77"/>
      <c r="N435" s="77"/>
      <c r="O435" s="77"/>
      <c r="P435" s="140">
        <f t="shared" si="15"/>
        <v>0</v>
      </c>
    </row>
    <row r="436" spans="5:25" ht="15" customHeight="1" x14ac:dyDescent="0.35">
      <c r="E436" s="84" t="str">
        <f t="shared" si="14"/>
        <v/>
      </c>
      <c r="J436" s="77"/>
      <c r="K436" s="77"/>
      <c r="L436" s="77"/>
      <c r="M436" s="77"/>
      <c r="N436" s="77"/>
      <c r="O436" s="77"/>
      <c r="P436" s="140">
        <f t="shared" si="15"/>
        <v>0</v>
      </c>
      <c r="X436" s="78"/>
    </row>
    <row r="437" spans="5:25" ht="15" customHeight="1" x14ac:dyDescent="0.35">
      <c r="E437" s="84" t="str">
        <f t="shared" si="14"/>
        <v/>
      </c>
      <c r="J437" s="77"/>
      <c r="K437" s="77"/>
      <c r="L437" s="77"/>
      <c r="M437" s="77"/>
      <c r="N437" s="77"/>
      <c r="O437" s="77"/>
      <c r="P437" s="140">
        <f t="shared" si="15"/>
        <v>0</v>
      </c>
      <c r="X437" s="78"/>
      <c r="Y437" s="78"/>
    </row>
    <row r="438" spans="5:25" ht="15" customHeight="1" x14ac:dyDescent="0.35">
      <c r="E438" s="84" t="str">
        <f t="shared" si="14"/>
        <v/>
      </c>
      <c r="J438" s="77"/>
      <c r="K438" s="77"/>
      <c r="L438" s="77"/>
      <c r="M438" s="77"/>
      <c r="N438" s="77"/>
      <c r="O438" s="77"/>
      <c r="P438" s="140">
        <f t="shared" si="15"/>
        <v>0</v>
      </c>
    </row>
    <row r="439" spans="5:25" ht="15" customHeight="1" x14ac:dyDescent="0.35">
      <c r="E439" s="84" t="str">
        <f t="shared" si="14"/>
        <v/>
      </c>
      <c r="J439" s="77"/>
      <c r="K439" s="77"/>
      <c r="L439" s="77"/>
      <c r="M439" s="77"/>
      <c r="N439" s="77"/>
      <c r="O439" s="77"/>
      <c r="P439" s="140">
        <f t="shared" si="15"/>
        <v>0</v>
      </c>
      <c r="X439" s="78"/>
    </row>
    <row r="440" spans="5:25" ht="15" customHeight="1" x14ac:dyDescent="0.35">
      <c r="E440" s="84" t="str">
        <f t="shared" si="14"/>
        <v/>
      </c>
      <c r="J440" s="77"/>
      <c r="K440" s="77"/>
      <c r="L440" s="77"/>
      <c r="M440" s="77"/>
      <c r="N440" s="77"/>
      <c r="O440" s="77"/>
      <c r="P440" s="140">
        <f t="shared" si="15"/>
        <v>0</v>
      </c>
      <c r="Y440" s="78"/>
    </row>
    <row r="441" spans="5:25" ht="15" customHeight="1" x14ac:dyDescent="0.35">
      <c r="E441" s="84" t="str">
        <f t="shared" si="14"/>
        <v/>
      </c>
      <c r="J441" s="77"/>
      <c r="K441" s="77"/>
      <c r="L441" s="77"/>
      <c r="M441" s="77"/>
      <c r="N441" s="77"/>
      <c r="O441" s="77"/>
      <c r="P441" s="140">
        <f t="shared" si="15"/>
        <v>0</v>
      </c>
      <c r="Y441" s="78"/>
    </row>
    <row r="442" spans="5:25" ht="15" customHeight="1" x14ac:dyDescent="0.35">
      <c r="E442" s="84" t="str">
        <f t="shared" si="14"/>
        <v/>
      </c>
      <c r="J442" s="77"/>
      <c r="K442" s="77"/>
      <c r="L442" s="77"/>
      <c r="M442" s="77"/>
      <c r="N442" s="77"/>
      <c r="O442" s="77"/>
      <c r="P442" s="140">
        <f t="shared" si="15"/>
        <v>0</v>
      </c>
    </row>
    <row r="443" spans="5:25" ht="15" customHeight="1" x14ac:dyDescent="0.35">
      <c r="E443" s="84" t="str">
        <f t="shared" si="14"/>
        <v/>
      </c>
      <c r="J443" s="77"/>
      <c r="K443" s="77"/>
      <c r="L443" s="77"/>
      <c r="M443" s="77"/>
      <c r="N443" s="77"/>
      <c r="O443" s="77"/>
      <c r="P443" s="140">
        <f t="shared" si="15"/>
        <v>0</v>
      </c>
    </row>
    <row r="444" spans="5:25" ht="15" customHeight="1" x14ac:dyDescent="0.35">
      <c r="E444" s="84" t="str">
        <f t="shared" si="14"/>
        <v/>
      </c>
      <c r="J444" s="77"/>
      <c r="K444" s="77"/>
      <c r="L444" s="77"/>
      <c r="M444" s="77"/>
      <c r="N444" s="77"/>
      <c r="O444" s="77"/>
      <c r="P444" s="140">
        <f t="shared" si="15"/>
        <v>0</v>
      </c>
    </row>
    <row r="445" spans="5:25" ht="15" customHeight="1" x14ac:dyDescent="0.35">
      <c r="E445" s="84" t="str">
        <f t="shared" si="14"/>
        <v/>
      </c>
      <c r="J445" s="77"/>
      <c r="K445" s="77"/>
      <c r="L445" s="77"/>
      <c r="M445" s="77"/>
      <c r="N445" s="77"/>
      <c r="O445" s="77"/>
      <c r="P445" s="140">
        <f t="shared" si="15"/>
        <v>0</v>
      </c>
    </row>
    <row r="446" spans="5:25" ht="15" customHeight="1" x14ac:dyDescent="0.35">
      <c r="E446" s="84" t="str">
        <f t="shared" si="14"/>
        <v/>
      </c>
      <c r="J446" s="77"/>
      <c r="K446" s="77"/>
      <c r="L446" s="77"/>
      <c r="M446" s="77"/>
      <c r="N446" s="77"/>
      <c r="O446" s="77"/>
      <c r="P446" s="140">
        <f t="shared" si="15"/>
        <v>0</v>
      </c>
    </row>
    <row r="447" spans="5:25" ht="15" customHeight="1" x14ac:dyDescent="0.35">
      <c r="E447" s="84" t="str">
        <f t="shared" si="14"/>
        <v/>
      </c>
      <c r="J447" s="77"/>
      <c r="K447" s="77"/>
      <c r="L447" s="77"/>
      <c r="M447" s="77"/>
      <c r="N447" s="77"/>
      <c r="O447" s="77"/>
      <c r="P447" s="140">
        <f t="shared" si="15"/>
        <v>0</v>
      </c>
    </row>
    <row r="448" spans="5:25" ht="15" customHeight="1" x14ac:dyDescent="0.35">
      <c r="E448" s="84" t="str">
        <f t="shared" si="14"/>
        <v/>
      </c>
      <c r="J448" s="77"/>
      <c r="K448" s="77"/>
      <c r="L448" s="77"/>
      <c r="M448" s="77"/>
      <c r="N448" s="77"/>
      <c r="O448" s="77"/>
      <c r="P448" s="140">
        <f t="shared" si="15"/>
        <v>0</v>
      </c>
    </row>
    <row r="449" spans="5:25" ht="15" customHeight="1" x14ac:dyDescent="0.35">
      <c r="E449" s="84" t="str">
        <f t="shared" si="14"/>
        <v/>
      </c>
      <c r="J449" s="77"/>
      <c r="K449" s="77"/>
      <c r="L449" s="77"/>
      <c r="M449" s="77"/>
      <c r="N449" s="77"/>
      <c r="O449" s="77"/>
      <c r="P449" s="140">
        <f t="shared" si="15"/>
        <v>0</v>
      </c>
      <c r="Y449" s="78"/>
    </row>
    <row r="450" spans="5:25" ht="15" customHeight="1" x14ac:dyDescent="0.35">
      <c r="E450" s="84" t="str">
        <f t="shared" si="14"/>
        <v/>
      </c>
      <c r="J450" s="77"/>
      <c r="K450" s="77"/>
      <c r="L450" s="77"/>
      <c r="M450" s="77"/>
      <c r="N450" s="77"/>
      <c r="O450" s="77"/>
      <c r="P450" s="140">
        <f t="shared" si="15"/>
        <v>0</v>
      </c>
      <c r="X450" s="78"/>
    </row>
    <row r="451" spans="5:25" ht="15" customHeight="1" x14ac:dyDescent="0.35">
      <c r="E451" s="84" t="str">
        <f t="shared" si="14"/>
        <v/>
      </c>
      <c r="J451" s="77"/>
      <c r="K451" s="77"/>
      <c r="L451" s="77"/>
      <c r="M451" s="77"/>
      <c r="N451" s="77"/>
      <c r="O451" s="77"/>
      <c r="P451" s="140">
        <f t="shared" si="15"/>
        <v>0</v>
      </c>
    </row>
    <row r="452" spans="5:25" ht="15" customHeight="1" x14ac:dyDescent="0.35">
      <c r="E452" s="84" t="str">
        <f t="shared" si="14"/>
        <v/>
      </c>
      <c r="J452" s="77"/>
      <c r="K452" s="77"/>
      <c r="L452" s="77"/>
      <c r="M452" s="77"/>
      <c r="N452" s="77"/>
      <c r="O452" s="77"/>
      <c r="P452" s="140">
        <f t="shared" si="15"/>
        <v>0</v>
      </c>
    </row>
    <row r="453" spans="5:25" ht="15" customHeight="1" x14ac:dyDescent="0.35">
      <c r="E453" s="84" t="str">
        <f t="shared" si="14"/>
        <v/>
      </c>
      <c r="J453" s="77"/>
      <c r="K453" s="77"/>
      <c r="L453" s="77"/>
      <c r="M453" s="77"/>
      <c r="N453" s="77"/>
      <c r="O453" s="77"/>
      <c r="P453" s="140">
        <f t="shared" si="15"/>
        <v>0</v>
      </c>
      <c r="X453" s="78"/>
    </row>
    <row r="454" spans="5:25" ht="15" customHeight="1" x14ac:dyDescent="0.35">
      <c r="E454" s="84" t="str">
        <f t="shared" si="14"/>
        <v/>
      </c>
      <c r="J454" s="77"/>
      <c r="K454" s="77"/>
      <c r="L454" s="77"/>
      <c r="M454" s="77"/>
      <c r="N454" s="77"/>
      <c r="O454" s="77"/>
      <c r="P454" s="140">
        <f t="shared" si="15"/>
        <v>0</v>
      </c>
      <c r="X454" s="78"/>
    </row>
    <row r="455" spans="5:25" ht="15" customHeight="1" x14ac:dyDescent="0.35">
      <c r="E455" s="84" t="str">
        <f t="shared" si="14"/>
        <v/>
      </c>
      <c r="J455" s="77"/>
      <c r="K455" s="77"/>
      <c r="L455" s="77"/>
      <c r="M455" s="77"/>
      <c r="N455" s="77"/>
      <c r="O455" s="77"/>
      <c r="P455" s="140">
        <f t="shared" si="15"/>
        <v>0</v>
      </c>
      <c r="S455" s="78"/>
    </row>
    <row r="456" spans="5:25" ht="15" customHeight="1" x14ac:dyDescent="0.35">
      <c r="E456" s="84" t="str">
        <f t="shared" si="14"/>
        <v/>
      </c>
      <c r="J456" s="77"/>
      <c r="K456" s="77"/>
      <c r="L456" s="77"/>
      <c r="M456" s="77"/>
      <c r="N456" s="77"/>
      <c r="O456" s="77"/>
      <c r="P456" s="140">
        <f t="shared" si="15"/>
        <v>0</v>
      </c>
    </row>
    <row r="457" spans="5:25" ht="15" customHeight="1" x14ac:dyDescent="0.35">
      <c r="E457" s="84" t="str">
        <f t="shared" si="14"/>
        <v/>
      </c>
      <c r="J457" s="77"/>
      <c r="K457" s="77"/>
      <c r="L457" s="77"/>
      <c r="M457" s="77"/>
      <c r="N457" s="77"/>
      <c r="O457" s="77"/>
      <c r="P457" s="140">
        <f t="shared" si="15"/>
        <v>0</v>
      </c>
      <c r="X457" s="78"/>
    </row>
    <row r="458" spans="5:25" ht="15" customHeight="1" x14ac:dyDescent="0.35">
      <c r="E458" s="84" t="str">
        <f t="shared" si="14"/>
        <v/>
      </c>
      <c r="J458" s="77"/>
      <c r="K458" s="77"/>
      <c r="L458" s="77"/>
      <c r="M458" s="77"/>
      <c r="N458" s="77"/>
      <c r="O458" s="77"/>
      <c r="P458" s="140">
        <f t="shared" si="15"/>
        <v>0</v>
      </c>
    </row>
    <row r="459" spans="5:25" ht="15" customHeight="1" x14ac:dyDescent="0.35">
      <c r="E459" s="84" t="str">
        <f t="shared" si="14"/>
        <v/>
      </c>
      <c r="J459" s="77"/>
      <c r="K459" s="77"/>
      <c r="L459" s="77"/>
      <c r="M459" s="77"/>
      <c r="N459" s="77"/>
      <c r="O459" s="77"/>
      <c r="P459" s="140">
        <f t="shared" si="15"/>
        <v>0</v>
      </c>
      <c r="Y459" s="78"/>
    </row>
    <row r="460" spans="5:25" ht="15" customHeight="1" x14ac:dyDescent="0.35">
      <c r="E460" s="84" t="str">
        <f t="shared" si="14"/>
        <v/>
      </c>
      <c r="J460" s="77"/>
      <c r="K460" s="77"/>
      <c r="L460" s="77"/>
      <c r="M460" s="77"/>
      <c r="N460" s="77"/>
      <c r="O460" s="77"/>
      <c r="P460" s="140">
        <f t="shared" si="15"/>
        <v>0</v>
      </c>
      <c r="S460" s="78"/>
    </row>
    <row r="461" spans="5:25" ht="15" customHeight="1" x14ac:dyDescent="0.35">
      <c r="E461" s="84" t="str">
        <f t="shared" si="14"/>
        <v/>
      </c>
      <c r="J461" s="77"/>
      <c r="K461" s="77"/>
      <c r="L461" s="77"/>
      <c r="M461" s="77"/>
      <c r="N461" s="77"/>
      <c r="O461" s="77"/>
      <c r="P461" s="140">
        <f t="shared" si="15"/>
        <v>0</v>
      </c>
    </row>
    <row r="462" spans="5:25" ht="15" customHeight="1" x14ac:dyDescent="0.35">
      <c r="E462" s="84" t="str">
        <f t="shared" si="14"/>
        <v/>
      </c>
      <c r="J462" s="77"/>
      <c r="K462" s="77"/>
      <c r="L462" s="77"/>
      <c r="M462" s="77"/>
      <c r="N462" s="77"/>
      <c r="O462" s="77"/>
      <c r="P462" s="140">
        <f t="shared" si="15"/>
        <v>0</v>
      </c>
    </row>
    <row r="463" spans="5:25" ht="15" customHeight="1" x14ac:dyDescent="0.35">
      <c r="E463" s="84" t="str">
        <f t="shared" si="14"/>
        <v/>
      </c>
      <c r="J463" s="77"/>
      <c r="K463" s="77"/>
      <c r="L463" s="77"/>
      <c r="M463" s="77"/>
      <c r="N463" s="77"/>
      <c r="O463" s="77"/>
      <c r="P463" s="140">
        <f t="shared" si="15"/>
        <v>0</v>
      </c>
      <c r="X463" s="78"/>
    </row>
    <row r="464" spans="5:25" ht="15" customHeight="1" x14ac:dyDescent="0.35">
      <c r="E464" s="84" t="str">
        <f t="shared" si="14"/>
        <v/>
      </c>
      <c r="J464" s="77"/>
      <c r="K464" s="77"/>
      <c r="L464" s="77"/>
      <c r="M464" s="77"/>
      <c r="N464" s="77"/>
      <c r="O464" s="77"/>
      <c r="P464" s="140">
        <f t="shared" si="15"/>
        <v>0</v>
      </c>
      <c r="X464" s="78"/>
    </row>
    <row r="465" spans="5:25" ht="15" customHeight="1" x14ac:dyDescent="0.35">
      <c r="E465" s="84" t="str">
        <f t="shared" si="14"/>
        <v/>
      </c>
      <c r="J465" s="77"/>
      <c r="K465" s="77"/>
      <c r="L465" s="77"/>
      <c r="M465" s="77"/>
      <c r="N465" s="77"/>
      <c r="O465" s="77"/>
      <c r="P465" s="140">
        <f t="shared" si="15"/>
        <v>0</v>
      </c>
      <c r="X465" s="78"/>
      <c r="Y465" s="78"/>
    </row>
    <row r="466" spans="5:25" ht="15" customHeight="1" x14ac:dyDescent="0.35">
      <c r="E466" s="84" t="str">
        <f t="shared" si="14"/>
        <v/>
      </c>
      <c r="J466" s="77"/>
      <c r="K466" s="77"/>
      <c r="L466" s="77"/>
      <c r="M466" s="77"/>
      <c r="N466" s="77"/>
      <c r="O466" s="77"/>
      <c r="P466" s="140">
        <f t="shared" si="15"/>
        <v>0</v>
      </c>
    </row>
    <row r="467" spans="5:25" ht="15" customHeight="1" x14ac:dyDescent="0.35">
      <c r="E467" s="84" t="str">
        <f t="shared" si="14"/>
        <v/>
      </c>
      <c r="J467" s="77"/>
      <c r="K467" s="77"/>
      <c r="L467" s="77"/>
      <c r="M467" s="77"/>
      <c r="N467" s="77"/>
      <c r="O467" s="77"/>
      <c r="P467" s="140">
        <f t="shared" si="15"/>
        <v>0</v>
      </c>
    </row>
    <row r="468" spans="5:25" ht="15" customHeight="1" x14ac:dyDescent="0.35">
      <c r="E468" s="84" t="str">
        <f t="shared" si="14"/>
        <v/>
      </c>
      <c r="J468" s="77"/>
      <c r="K468" s="77"/>
      <c r="L468" s="77"/>
      <c r="M468" s="77"/>
      <c r="N468" s="77"/>
      <c r="O468" s="77"/>
      <c r="P468" s="140">
        <f t="shared" si="15"/>
        <v>0</v>
      </c>
    </row>
    <row r="469" spans="5:25" ht="15" customHeight="1" x14ac:dyDescent="0.35">
      <c r="E469" s="84" t="str">
        <f t="shared" si="14"/>
        <v/>
      </c>
      <c r="J469" s="77"/>
      <c r="K469" s="77"/>
      <c r="L469" s="77"/>
      <c r="M469" s="77"/>
      <c r="N469" s="77"/>
      <c r="O469" s="77"/>
      <c r="P469" s="140">
        <f t="shared" si="15"/>
        <v>0</v>
      </c>
    </row>
    <row r="470" spans="5:25" ht="15" customHeight="1" x14ac:dyDescent="0.35">
      <c r="E470" s="84" t="str">
        <f t="shared" si="14"/>
        <v/>
      </c>
      <c r="J470" s="77"/>
      <c r="K470" s="77"/>
      <c r="L470" s="77"/>
      <c r="M470" s="77"/>
      <c r="N470" s="77"/>
      <c r="O470" s="77"/>
      <c r="P470" s="140">
        <f t="shared" si="15"/>
        <v>0</v>
      </c>
      <c r="X470" s="78"/>
    </row>
    <row r="471" spans="5:25" ht="15" customHeight="1" x14ac:dyDescent="0.35">
      <c r="E471" s="84" t="str">
        <f t="shared" si="14"/>
        <v/>
      </c>
      <c r="J471" s="77"/>
      <c r="K471" s="77"/>
      <c r="L471" s="77"/>
      <c r="M471" s="77"/>
      <c r="N471" s="77"/>
      <c r="O471" s="77"/>
      <c r="P471" s="140">
        <f t="shared" si="15"/>
        <v>0</v>
      </c>
      <c r="Y471" s="78"/>
    </row>
    <row r="472" spans="5:25" ht="15" customHeight="1" x14ac:dyDescent="0.35">
      <c r="E472" s="84" t="str">
        <f t="shared" si="14"/>
        <v/>
      </c>
      <c r="J472" s="77"/>
      <c r="K472" s="77"/>
      <c r="L472" s="77"/>
      <c r="M472" s="77"/>
      <c r="N472" s="77"/>
      <c r="O472" s="77"/>
      <c r="P472" s="140">
        <f t="shared" si="15"/>
        <v>0</v>
      </c>
    </row>
    <row r="473" spans="5:25" ht="15" customHeight="1" x14ac:dyDescent="0.35">
      <c r="E473" s="84" t="str">
        <f t="shared" si="14"/>
        <v/>
      </c>
      <c r="J473" s="77"/>
      <c r="K473" s="77"/>
      <c r="L473" s="77"/>
      <c r="M473" s="77"/>
      <c r="N473" s="77"/>
      <c r="O473" s="77"/>
      <c r="P473" s="140">
        <f t="shared" si="15"/>
        <v>0</v>
      </c>
      <c r="Y473" s="78"/>
    </row>
    <row r="474" spans="5:25" ht="15" customHeight="1" x14ac:dyDescent="0.35">
      <c r="E474" s="84" t="str">
        <f t="shared" si="14"/>
        <v/>
      </c>
      <c r="J474" s="77"/>
      <c r="K474" s="77"/>
      <c r="L474" s="77"/>
      <c r="M474" s="77"/>
      <c r="N474" s="77"/>
      <c r="O474" s="77"/>
      <c r="P474" s="140">
        <f t="shared" si="15"/>
        <v>0</v>
      </c>
      <c r="X474" s="78"/>
    </row>
    <row r="475" spans="5:25" ht="15" customHeight="1" x14ac:dyDescent="0.35">
      <c r="E475" s="84" t="str">
        <f t="shared" si="14"/>
        <v/>
      </c>
      <c r="J475" s="77"/>
      <c r="K475" s="77"/>
      <c r="L475" s="77"/>
      <c r="M475" s="77"/>
      <c r="N475" s="77"/>
      <c r="O475" s="77"/>
      <c r="P475" s="140">
        <f t="shared" si="15"/>
        <v>0</v>
      </c>
    </row>
    <row r="476" spans="5:25" ht="15" customHeight="1" x14ac:dyDescent="0.35">
      <c r="E476" s="84" t="str">
        <f t="shared" si="14"/>
        <v/>
      </c>
      <c r="J476" s="77"/>
      <c r="K476" s="77"/>
      <c r="L476" s="77"/>
      <c r="M476" s="77"/>
      <c r="N476" s="77"/>
      <c r="O476" s="77"/>
      <c r="P476" s="140">
        <f t="shared" si="15"/>
        <v>0</v>
      </c>
    </row>
    <row r="477" spans="5:25" ht="15" customHeight="1" x14ac:dyDescent="0.35">
      <c r="E477" s="84" t="str">
        <f t="shared" ref="E477:E527" si="16">LEFT(D477,4)</f>
        <v/>
      </c>
      <c r="J477" s="77"/>
      <c r="K477" s="77"/>
      <c r="L477" s="77"/>
      <c r="M477" s="77"/>
      <c r="N477" s="77"/>
      <c r="O477" s="77"/>
      <c r="P477" s="140">
        <f t="shared" si="15"/>
        <v>0</v>
      </c>
      <c r="Y477" s="78"/>
    </row>
    <row r="478" spans="5:25" ht="15" customHeight="1" x14ac:dyDescent="0.35">
      <c r="E478" s="84" t="str">
        <f t="shared" si="16"/>
        <v/>
      </c>
      <c r="J478" s="77"/>
      <c r="K478" s="77"/>
      <c r="L478" s="77"/>
      <c r="M478" s="77"/>
      <c r="N478" s="77"/>
      <c r="O478" s="77"/>
      <c r="P478" s="140">
        <f t="shared" ref="P478:P527" si="17">INT(O478)</f>
        <v>0</v>
      </c>
      <c r="X478" s="78"/>
    </row>
    <row r="479" spans="5:25" ht="15" customHeight="1" x14ac:dyDescent="0.35">
      <c r="E479" s="84" t="str">
        <f t="shared" si="16"/>
        <v/>
      </c>
      <c r="J479" s="77"/>
      <c r="K479" s="77"/>
      <c r="L479" s="77"/>
      <c r="M479" s="77"/>
      <c r="N479" s="77"/>
      <c r="O479" s="77"/>
      <c r="P479" s="140">
        <f t="shared" si="17"/>
        <v>0</v>
      </c>
    </row>
    <row r="480" spans="5:25" ht="15" customHeight="1" x14ac:dyDescent="0.35">
      <c r="E480" s="84" t="str">
        <f t="shared" si="16"/>
        <v/>
      </c>
      <c r="J480" s="77"/>
      <c r="K480" s="77"/>
      <c r="L480" s="77"/>
      <c r="M480" s="77"/>
      <c r="N480" s="77"/>
      <c r="O480" s="77"/>
      <c r="P480" s="140">
        <f t="shared" si="17"/>
        <v>0</v>
      </c>
      <c r="X480" s="78"/>
    </row>
    <row r="481" spans="5:25" ht="15" customHeight="1" x14ac:dyDescent="0.35">
      <c r="E481" s="84" t="str">
        <f t="shared" si="16"/>
        <v/>
      </c>
      <c r="J481" s="77"/>
      <c r="K481" s="77"/>
      <c r="L481" s="77"/>
      <c r="M481" s="77"/>
      <c r="N481" s="77"/>
      <c r="O481" s="77"/>
      <c r="P481" s="140">
        <f t="shared" si="17"/>
        <v>0</v>
      </c>
      <c r="Y481" s="78"/>
    </row>
    <row r="482" spans="5:25" ht="15" customHeight="1" x14ac:dyDescent="0.35">
      <c r="E482" s="84" t="str">
        <f t="shared" si="16"/>
        <v/>
      </c>
      <c r="J482" s="77"/>
      <c r="K482" s="77"/>
      <c r="L482" s="77"/>
      <c r="M482" s="77"/>
      <c r="N482" s="77"/>
      <c r="O482" s="77"/>
      <c r="P482" s="140">
        <f t="shared" si="17"/>
        <v>0</v>
      </c>
      <c r="Y482" s="78"/>
    </row>
    <row r="483" spans="5:25" ht="15" customHeight="1" x14ac:dyDescent="0.35">
      <c r="E483" s="84" t="str">
        <f t="shared" si="16"/>
        <v/>
      </c>
      <c r="J483" s="77"/>
      <c r="K483" s="77"/>
      <c r="L483" s="77"/>
      <c r="M483" s="77"/>
      <c r="N483" s="77"/>
      <c r="O483" s="77"/>
      <c r="P483" s="140">
        <f t="shared" si="17"/>
        <v>0</v>
      </c>
      <c r="Y483" s="78"/>
    </row>
    <row r="484" spans="5:25" ht="15" customHeight="1" x14ac:dyDescent="0.35">
      <c r="E484" s="84" t="str">
        <f t="shared" si="16"/>
        <v/>
      </c>
      <c r="J484" s="77"/>
      <c r="K484" s="77"/>
      <c r="L484" s="77"/>
      <c r="M484" s="77"/>
      <c r="N484" s="77"/>
      <c r="O484" s="77"/>
      <c r="P484" s="140">
        <f t="shared" si="17"/>
        <v>0</v>
      </c>
      <c r="X484" s="78"/>
    </row>
    <row r="485" spans="5:25" ht="15" customHeight="1" x14ac:dyDescent="0.35">
      <c r="E485" s="84" t="str">
        <f t="shared" si="16"/>
        <v/>
      </c>
      <c r="J485" s="77"/>
      <c r="K485" s="77"/>
      <c r="L485" s="77"/>
      <c r="M485" s="77"/>
      <c r="N485" s="77"/>
      <c r="O485" s="77"/>
      <c r="P485" s="140">
        <f t="shared" si="17"/>
        <v>0</v>
      </c>
    </row>
    <row r="486" spans="5:25" ht="15" customHeight="1" x14ac:dyDescent="0.35">
      <c r="E486" s="84" t="str">
        <f t="shared" si="16"/>
        <v/>
      </c>
      <c r="J486" s="77"/>
      <c r="K486" s="77"/>
      <c r="L486" s="77"/>
      <c r="M486" s="77"/>
      <c r="N486" s="77"/>
      <c r="O486" s="77"/>
      <c r="P486" s="140">
        <f t="shared" si="17"/>
        <v>0</v>
      </c>
    </row>
    <row r="487" spans="5:25" ht="15" customHeight="1" x14ac:dyDescent="0.35">
      <c r="E487" s="84" t="str">
        <f t="shared" si="16"/>
        <v/>
      </c>
      <c r="J487" s="77"/>
      <c r="K487" s="77"/>
      <c r="L487" s="77"/>
      <c r="M487" s="77"/>
      <c r="N487" s="77"/>
      <c r="O487" s="77"/>
      <c r="P487" s="140">
        <f t="shared" si="17"/>
        <v>0</v>
      </c>
      <c r="X487" s="78"/>
      <c r="Y487" s="78"/>
    </row>
    <row r="488" spans="5:25" ht="15" customHeight="1" x14ac:dyDescent="0.35">
      <c r="E488" s="84" t="str">
        <f t="shared" si="16"/>
        <v/>
      </c>
      <c r="J488" s="77"/>
      <c r="K488" s="77"/>
      <c r="L488" s="77"/>
      <c r="M488" s="77"/>
      <c r="N488" s="77"/>
      <c r="O488" s="77"/>
      <c r="P488" s="140">
        <f t="shared" si="17"/>
        <v>0</v>
      </c>
    </row>
    <row r="489" spans="5:25" ht="15" customHeight="1" x14ac:dyDescent="0.35">
      <c r="E489" s="84" t="str">
        <f t="shared" si="16"/>
        <v/>
      </c>
      <c r="J489" s="77"/>
      <c r="K489" s="77"/>
      <c r="L489" s="77"/>
      <c r="M489" s="77"/>
      <c r="N489" s="77"/>
      <c r="O489" s="77"/>
      <c r="P489" s="140">
        <f t="shared" si="17"/>
        <v>0</v>
      </c>
      <c r="X489" s="78"/>
    </row>
    <row r="490" spans="5:25" ht="15" customHeight="1" x14ac:dyDescent="0.35">
      <c r="E490" s="84" t="str">
        <f t="shared" si="16"/>
        <v/>
      </c>
      <c r="J490" s="77"/>
      <c r="K490" s="77"/>
      <c r="L490" s="77"/>
      <c r="M490" s="77"/>
      <c r="N490" s="77"/>
      <c r="O490" s="77"/>
      <c r="P490" s="140">
        <f t="shared" si="17"/>
        <v>0</v>
      </c>
    </row>
    <row r="491" spans="5:25" ht="15" customHeight="1" x14ac:dyDescent="0.35">
      <c r="E491" s="84" t="str">
        <f t="shared" si="16"/>
        <v/>
      </c>
      <c r="J491" s="77"/>
      <c r="K491" s="77"/>
      <c r="L491" s="77"/>
      <c r="M491" s="77"/>
      <c r="N491" s="77"/>
      <c r="O491" s="77"/>
      <c r="P491" s="140">
        <f t="shared" si="17"/>
        <v>0</v>
      </c>
    </row>
    <row r="492" spans="5:25" ht="15" customHeight="1" x14ac:dyDescent="0.35">
      <c r="E492" s="84" t="str">
        <f t="shared" si="16"/>
        <v/>
      </c>
      <c r="J492" s="77"/>
      <c r="K492" s="77"/>
      <c r="L492" s="77"/>
      <c r="M492" s="77"/>
      <c r="N492" s="77"/>
      <c r="O492" s="77"/>
      <c r="P492" s="140">
        <f t="shared" si="17"/>
        <v>0</v>
      </c>
    </row>
    <row r="493" spans="5:25" ht="15" customHeight="1" x14ac:dyDescent="0.35">
      <c r="E493" s="84" t="str">
        <f t="shared" si="16"/>
        <v/>
      </c>
      <c r="J493" s="77"/>
      <c r="K493" s="77"/>
      <c r="L493" s="77"/>
      <c r="M493" s="77"/>
      <c r="N493" s="77"/>
      <c r="O493" s="77"/>
      <c r="P493" s="140">
        <f t="shared" si="17"/>
        <v>0</v>
      </c>
      <c r="Y493" s="78"/>
    </row>
    <row r="494" spans="5:25" ht="15" customHeight="1" x14ac:dyDescent="0.35">
      <c r="E494" s="84" t="str">
        <f t="shared" si="16"/>
        <v/>
      </c>
      <c r="J494" s="77"/>
      <c r="K494" s="77"/>
      <c r="L494" s="77"/>
      <c r="M494" s="77"/>
      <c r="N494" s="77"/>
      <c r="O494" s="77"/>
      <c r="P494" s="140">
        <f t="shared" si="17"/>
        <v>0</v>
      </c>
    </row>
    <row r="495" spans="5:25" ht="15" customHeight="1" x14ac:dyDescent="0.35">
      <c r="E495" s="84" t="str">
        <f t="shared" si="16"/>
        <v/>
      </c>
      <c r="J495" s="77"/>
      <c r="K495" s="77"/>
      <c r="L495" s="77"/>
      <c r="M495" s="77"/>
      <c r="N495" s="77"/>
      <c r="O495" s="77"/>
      <c r="P495" s="140">
        <f t="shared" si="17"/>
        <v>0</v>
      </c>
    </row>
    <row r="496" spans="5:25" ht="15" customHeight="1" x14ac:dyDescent="0.35">
      <c r="E496" s="84" t="str">
        <f t="shared" si="16"/>
        <v/>
      </c>
      <c r="J496" s="77"/>
      <c r="K496" s="77"/>
      <c r="L496" s="77"/>
      <c r="M496" s="77"/>
      <c r="N496" s="77"/>
      <c r="O496" s="77"/>
      <c r="P496" s="140">
        <f t="shared" si="17"/>
        <v>0</v>
      </c>
      <c r="Y496" s="78"/>
    </row>
    <row r="497" spans="5:25" ht="15" customHeight="1" x14ac:dyDescent="0.35">
      <c r="E497" s="84" t="str">
        <f t="shared" si="16"/>
        <v/>
      </c>
      <c r="J497" s="77"/>
      <c r="K497" s="77"/>
      <c r="L497" s="77"/>
      <c r="M497" s="77"/>
      <c r="N497" s="77"/>
      <c r="O497" s="77"/>
      <c r="P497" s="140">
        <f t="shared" si="17"/>
        <v>0</v>
      </c>
      <c r="Y497" s="78"/>
    </row>
    <row r="498" spans="5:25" ht="15" customHeight="1" x14ac:dyDescent="0.35">
      <c r="E498" s="84" t="str">
        <f t="shared" si="16"/>
        <v/>
      </c>
      <c r="J498" s="77"/>
      <c r="K498" s="77"/>
      <c r="L498" s="77"/>
      <c r="M498" s="77"/>
      <c r="N498" s="77"/>
      <c r="O498" s="77"/>
      <c r="P498" s="140">
        <f t="shared" si="17"/>
        <v>0</v>
      </c>
    </row>
    <row r="499" spans="5:25" ht="15" customHeight="1" x14ac:dyDescent="0.35">
      <c r="E499" s="84" t="str">
        <f t="shared" si="16"/>
        <v/>
      </c>
      <c r="J499" s="77"/>
      <c r="K499" s="77"/>
      <c r="L499" s="77"/>
      <c r="M499" s="77"/>
      <c r="N499" s="77"/>
      <c r="O499" s="77"/>
      <c r="P499" s="140">
        <f t="shared" si="17"/>
        <v>0</v>
      </c>
    </row>
    <row r="500" spans="5:25" ht="15" customHeight="1" x14ac:dyDescent="0.35">
      <c r="E500" s="84" t="str">
        <f t="shared" si="16"/>
        <v/>
      </c>
      <c r="J500" s="77"/>
      <c r="K500" s="77"/>
      <c r="L500" s="77"/>
      <c r="M500" s="77"/>
      <c r="N500" s="77"/>
      <c r="O500" s="77"/>
      <c r="P500" s="140">
        <f t="shared" si="17"/>
        <v>0</v>
      </c>
      <c r="X500" s="78"/>
    </row>
    <row r="501" spans="5:25" ht="15" customHeight="1" x14ac:dyDescent="0.35">
      <c r="E501" s="84" t="str">
        <f t="shared" si="16"/>
        <v/>
      </c>
      <c r="J501" s="77"/>
      <c r="K501" s="77"/>
      <c r="L501" s="77"/>
      <c r="M501" s="77"/>
      <c r="N501" s="77"/>
      <c r="O501" s="77"/>
      <c r="P501" s="140">
        <f t="shared" si="17"/>
        <v>0</v>
      </c>
    </row>
    <row r="502" spans="5:25" ht="15" customHeight="1" x14ac:dyDescent="0.35">
      <c r="E502" s="84" t="str">
        <f t="shared" si="16"/>
        <v/>
      </c>
      <c r="J502" s="77"/>
      <c r="K502" s="77"/>
      <c r="L502" s="77"/>
      <c r="M502" s="77"/>
      <c r="N502" s="77"/>
      <c r="O502" s="77"/>
      <c r="P502" s="140">
        <f t="shared" si="17"/>
        <v>0</v>
      </c>
    </row>
    <row r="503" spans="5:25" ht="15" customHeight="1" x14ac:dyDescent="0.35">
      <c r="E503" s="84" t="str">
        <f t="shared" si="16"/>
        <v/>
      </c>
      <c r="J503" s="77"/>
      <c r="K503" s="77"/>
      <c r="L503" s="77"/>
      <c r="M503" s="77"/>
      <c r="N503" s="77"/>
      <c r="O503" s="77"/>
      <c r="P503" s="140">
        <f t="shared" si="17"/>
        <v>0</v>
      </c>
    </row>
    <row r="504" spans="5:25" ht="15" customHeight="1" x14ac:dyDescent="0.35">
      <c r="E504" s="84" t="str">
        <f t="shared" si="16"/>
        <v/>
      </c>
      <c r="J504" s="77"/>
      <c r="K504" s="77"/>
      <c r="L504" s="77"/>
      <c r="M504" s="77"/>
      <c r="N504" s="77"/>
      <c r="O504" s="77"/>
      <c r="P504" s="140">
        <f t="shared" si="17"/>
        <v>0</v>
      </c>
      <c r="X504" s="78"/>
    </row>
    <row r="505" spans="5:25" ht="15" customHeight="1" x14ac:dyDescent="0.35">
      <c r="E505" s="84" t="str">
        <f t="shared" si="16"/>
        <v/>
      </c>
      <c r="J505" s="77"/>
      <c r="K505" s="77"/>
      <c r="L505" s="77"/>
      <c r="M505" s="77"/>
      <c r="N505" s="77"/>
      <c r="O505" s="77"/>
      <c r="P505" s="140">
        <f t="shared" si="17"/>
        <v>0</v>
      </c>
      <c r="X505" s="78"/>
    </row>
    <row r="506" spans="5:25" ht="15" customHeight="1" x14ac:dyDescent="0.35">
      <c r="E506" s="84" t="str">
        <f t="shared" si="16"/>
        <v/>
      </c>
      <c r="J506" s="77"/>
      <c r="K506" s="77"/>
      <c r="L506" s="77"/>
      <c r="M506" s="77"/>
      <c r="N506" s="77"/>
      <c r="O506" s="77"/>
      <c r="P506" s="140">
        <f t="shared" si="17"/>
        <v>0</v>
      </c>
    </row>
    <row r="507" spans="5:25" ht="15" customHeight="1" x14ac:dyDescent="0.35">
      <c r="E507" s="84" t="str">
        <f t="shared" si="16"/>
        <v/>
      </c>
      <c r="J507" s="77"/>
      <c r="K507" s="77"/>
      <c r="L507" s="77"/>
      <c r="M507" s="77"/>
      <c r="N507" s="77"/>
      <c r="O507" s="77"/>
      <c r="P507" s="140">
        <f t="shared" si="17"/>
        <v>0</v>
      </c>
    </row>
    <row r="508" spans="5:25" ht="15" customHeight="1" x14ac:dyDescent="0.35">
      <c r="E508" s="84" t="str">
        <f t="shared" si="16"/>
        <v/>
      </c>
      <c r="J508" s="77"/>
      <c r="K508" s="77"/>
      <c r="L508" s="77"/>
      <c r="M508" s="77"/>
      <c r="N508" s="77"/>
      <c r="O508" s="77"/>
      <c r="P508" s="140">
        <f t="shared" si="17"/>
        <v>0</v>
      </c>
    </row>
    <row r="509" spans="5:25" ht="15" customHeight="1" x14ac:dyDescent="0.35">
      <c r="E509" s="84" t="str">
        <f t="shared" si="16"/>
        <v/>
      </c>
      <c r="J509" s="77"/>
      <c r="K509" s="77"/>
      <c r="L509" s="77"/>
      <c r="M509" s="77"/>
      <c r="N509" s="77"/>
      <c r="O509" s="77"/>
      <c r="P509" s="140">
        <f t="shared" si="17"/>
        <v>0</v>
      </c>
      <c r="X509" s="78"/>
      <c r="Y509" s="78"/>
    </row>
    <row r="510" spans="5:25" ht="15" customHeight="1" x14ac:dyDescent="0.35">
      <c r="E510" s="84" t="str">
        <f t="shared" si="16"/>
        <v/>
      </c>
      <c r="J510" s="77"/>
      <c r="K510" s="77"/>
      <c r="L510" s="77"/>
      <c r="M510" s="77"/>
      <c r="N510" s="77"/>
      <c r="O510" s="77"/>
      <c r="P510" s="140">
        <f t="shared" si="17"/>
        <v>0</v>
      </c>
      <c r="X510" s="78"/>
      <c r="Y510" s="78"/>
    </row>
    <row r="511" spans="5:25" ht="15" customHeight="1" x14ac:dyDescent="0.35">
      <c r="E511" s="84" t="str">
        <f t="shared" si="16"/>
        <v/>
      </c>
      <c r="J511" s="77"/>
      <c r="K511" s="77"/>
      <c r="L511" s="77"/>
      <c r="M511" s="77"/>
      <c r="N511" s="77"/>
      <c r="O511" s="77"/>
      <c r="P511" s="140">
        <f t="shared" si="17"/>
        <v>0</v>
      </c>
    </row>
    <row r="512" spans="5:25" ht="15" customHeight="1" x14ac:dyDescent="0.35">
      <c r="E512" s="84" t="str">
        <f t="shared" si="16"/>
        <v/>
      </c>
      <c r="J512" s="77"/>
      <c r="K512" s="77"/>
      <c r="L512" s="77"/>
      <c r="M512" s="77"/>
      <c r="N512" s="77"/>
      <c r="O512" s="77"/>
      <c r="P512" s="140">
        <f t="shared" si="17"/>
        <v>0</v>
      </c>
      <c r="Y512" s="78"/>
    </row>
    <row r="513" spans="5:25" ht="15" customHeight="1" x14ac:dyDescent="0.35">
      <c r="E513" s="84" t="str">
        <f t="shared" si="16"/>
        <v/>
      </c>
      <c r="J513" s="77"/>
      <c r="K513" s="77"/>
      <c r="L513" s="77"/>
      <c r="M513" s="77"/>
      <c r="N513" s="77"/>
      <c r="O513" s="77"/>
      <c r="P513" s="140">
        <f t="shared" si="17"/>
        <v>0</v>
      </c>
      <c r="X513" s="78"/>
      <c r="Y513" s="78"/>
    </row>
    <row r="514" spans="5:25" ht="15" customHeight="1" x14ac:dyDescent="0.35">
      <c r="E514" s="84" t="str">
        <f t="shared" si="16"/>
        <v/>
      </c>
      <c r="J514" s="77"/>
      <c r="K514" s="77"/>
      <c r="L514" s="77"/>
      <c r="M514" s="77"/>
      <c r="N514" s="77"/>
      <c r="O514" s="77"/>
      <c r="P514" s="140">
        <f t="shared" si="17"/>
        <v>0</v>
      </c>
    </row>
    <row r="515" spans="5:25" ht="15" customHeight="1" x14ac:dyDescent="0.35">
      <c r="E515" s="84" t="str">
        <f t="shared" si="16"/>
        <v/>
      </c>
      <c r="J515" s="77"/>
      <c r="K515" s="77"/>
      <c r="L515" s="77"/>
      <c r="M515" s="77"/>
      <c r="N515" s="77"/>
      <c r="O515" s="77"/>
      <c r="P515" s="140">
        <f t="shared" si="17"/>
        <v>0</v>
      </c>
      <c r="Y515" s="78"/>
    </row>
    <row r="516" spans="5:25" ht="15" customHeight="1" x14ac:dyDescent="0.35">
      <c r="E516" s="84" t="str">
        <f t="shared" si="16"/>
        <v/>
      </c>
      <c r="J516" s="77"/>
      <c r="K516" s="77"/>
      <c r="L516" s="77"/>
      <c r="M516" s="77"/>
      <c r="N516" s="77"/>
      <c r="O516" s="77"/>
      <c r="P516" s="140">
        <f t="shared" si="17"/>
        <v>0</v>
      </c>
      <c r="Y516" s="78"/>
    </row>
    <row r="517" spans="5:25" ht="15" customHeight="1" x14ac:dyDescent="0.35">
      <c r="E517" s="84" t="str">
        <f t="shared" si="16"/>
        <v/>
      </c>
      <c r="J517" s="77"/>
      <c r="K517" s="77"/>
      <c r="L517" s="77"/>
      <c r="M517" s="77"/>
      <c r="N517" s="77"/>
      <c r="O517" s="77"/>
      <c r="P517" s="140">
        <f t="shared" si="17"/>
        <v>0</v>
      </c>
    </row>
    <row r="518" spans="5:25" ht="15" customHeight="1" x14ac:dyDescent="0.35">
      <c r="E518" s="84" t="str">
        <f t="shared" si="16"/>
        <v/>
      </c>
      <c r="J518" s="77"/>
      <c r="K518" s="77"/>
      <c r="L518" s="77"/>
      <c r="M518" s="77"/>
      <c r="N518" s="77"/>
      <c r="O518" s="77"/>
      <c r="P518" s="140">
        <f t="shared" si="17"/>
        <v>0</v>
      </c>
    </row>
    <row r="519" spans="5:25" ht="15" customHeight="1" x14ac:dyDescent="0.35">
      <c r="E519" s="84" t="str">
        <f t="shared" si="16"/>
        <v/>
      </c>
      <c r="J519" s="77"/>
      <c r="K519" s="77"/>
      <c r="L519" s="77"/>
      <c r="M519" s="77"/>
      <c r="N519" s="77"/>
      <c r="O519" s="77"/>
      <c r="P519" s="140">
        <f t="shared" si="17"/>
        <v>0</v>
      </c>
      <c r="X519" s="78"/>
    </row>
    <row r="520" spans="5:25" ht="15" customHeight="1" x14ac:dyDescent="0.35">
      <c r="E520" s="84" t="str">
        <f t="shared" si="16"/>
        <v/>
      </c>
      <c r="J520" s="77"/>
      <c r="K520" s="77"/>
      <c r="L520" s="77"/>
      <c r="M520" s="77"/>
      <c r="N520" s="77"/>
      <c r="O520" s="77"/>
      <c r="P520" s="140">
        <f t="shared" si="17"/>
        <v>0</v>
      </c>
    </row>
    <row r="521" spans="5:25" ht="15" customHeight="1" x14ac:dyDescent="0.35">
      <c r="E521" s="84" t="str">
        <f t="shared" si="16"/>
        <v/>
      </c>
      <c r="J521" s="77"/>
      <c r="K521" s="77"/>
      <c r="L521" s="77"/>
      <c r="M521" s="77"/>
      <c r="N521" s="77"/>
      <c r="O521" s="77"/>
      <c r="P521" s="140">
        <f t="shared" si="17"/>
        <v>0</v>
      </c>
    </row>
    <row r="522" spans="5:25" ht="15" customHeight="1" x14ac:dyDescent="0.35">
      <c r="E522" s="84" t="str">
        <f t="shared" si="16"/>
        <v/>
      </c>
      <c r="J522" s="77"/>
      <c r="K522" s="77"/>
      <c r="L522" s="77"/>
      <c r="M522" s="77"/>
      <c r="N522" s="77"/>
      <c r="O522" s="77"/>
      <c r="P522" s="140">
        <f t="shared" si="17"/>
        <v>0</v>
      </c>
      <c r="Y522" s="78"/>
    </row>
    <row r="523" spans="5:25" ht="15" customHeight="1" x14ac:dyDescent="0.35">
      <c r="E523" s="84" t="str">
        <f t="shared" si="16"/>
        <v/>
      </c>
      <c r="J523" s="77"/>
      <c r="K523" s="77"/>
      <c r="L523" s="77"/>
      <c r="M523" s="77"/>
      <c r="N523" s="77"/>
      <c r="O523" s="77"/>
      <c r="P523" s="140">
        <f t="shared" si="17"/>
        <v>0</v>
      </c>
    </row>
    <row r="524" spans="5:25" ht="15" customHeight="1" x14ac:dyDescent="0.35">
      <c r="E524" s="84" t="str">
        <f t="shared" si="16"/>
        <v/>
      </c>
      <c r="J524" s="77"/>
      <c r="K524" s="77"/>
      <c r="L524" s="77"/>
      <c r="M524" s="77"/>
      <c r="N524" s="77"/>
      <c r="O524" s="77"/>
      <c r="P524" s="140">
        <f t="shared" si="17"/>
        <v>0</v>
      </c>
    </row>
    <row r="525" spans="5:25" ht="15" customHeight="1" x14ac:dyDescent="0.35">
      <c r="E525" s="84" t="str">
        <f t="shared" si="16"/>
        <v/>
      </c>
      <c r="J525" s="77"/>
      <c r="K525" s="77"/>
      <c r="L525" s="77"/>
      <c r="M525" s="77"/>
      <c r="N525" s="77"/>
      <c r="O525" s="77"/>
      <c r="P525" s="140">
        <f t="shared" si="17"/>
        <v>0</v>
      </c>
      <c r="X525" s="78"/>
    </row>
    <row r="526" spans="5:25" ht="15" customHeight="1" x14ac:dyDescent="0.35">
      <c r="E526" s="84" t="str">
        <f t="shared" si="16"/>
        <v/>
      </c>
      <c r="J526" s="77"/>
      <c r="K526" s="77"/>
      <c r="L526" s="77"/>
      <c r="M526" s="77"/>
      <c r="N526" s="77"/>
      <c r="O526" s="77"/>
      <c r="P526" s="140">
        <f t="shared" si="17"/>
        <v>0</v>
      </c>
    </row>
    <row r="527" spans="5:25" ht="15" customHeight="1" x14ac:dyDescent="0.35">
      <c r="E527" s="84" t="str">
        <f t="shared" si="16"/>
        <v/>
      </c>
      <c r="J527" s="77"/>
      <c r="K527" s="77"/>
      <c r="L527" s="77"/>
      <c r="M527" s="77"/>
      <c r="N527" s="77"/>
      <c r="O527" s="77"/>
      <c r="P527" s="140">
        <f t="shared" si="17"/>
        <v>0</v>
      </c>
      <c r="Y527" s="78"/>
    </row>
  </sheetData>
  <autoFilter ref="A1:AM321" xr:uid="{0873232D-0261-4D1D-A474-95FAB5E4FA0F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A3171-730C-4FE0-9699-DB3A8C3BD325}">
  <dimension ref="A1:AM168"/>
  <sheetViews>
    <sheetView workbookViewId="0">
      <selection activeCell="A7" sqref="A7:AM168"/>
    </sheetView>
  </sheetViews>
  <sheetFormatPr defaultRowHeight="14.5" x14ac:dyDescent="0.35"/>
  <cols>
    <col min="3" max="3" width="15.54296875" bestFit="1" customWidth="1"/>
    <col min="7" max="7" width="15.54296875" bestFit="1" customWidth="1"/>
  </cols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s="77">
        <v>46031</v>
      </c>
      <c r="D2" s="8" t="s">
        <v>51</v>
      </c>
      <c r="G2" s="77">
        <v>46031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>
      <c r="E5" s="132" t="s">
        <v>54</v>
      </c>
      <c r="F5" s="132" t="s">
        <v>54</v>
      </c>
      <c r="G5" s="133" t="s">
        <v>54</v>
      </c>
      <c r="H5" s="134"/>
      <c r="I5" s="134"/>
      <c r="J5" s="134"/>
      <c r="K5" s="134"/>
      <c r="L5" s="134"/>
      <c r="M5" s="134"/>
      <c r="N5" s="102" t="s">
        <v>55</v>
      </c>
      <c r="O5" s="102"/>
      <c r="P5" s="102"/>
      <c r="Q5" s="103"/>
      <c r="R5" s="104" t="s">
        <v>56</v>
      </c>
      <c r="S5" s="105"/>
      <c r="T5" s="106"/>
      <c r="U5" s="104" t="s">
        <v>57</v>
      </c>
      <c r="V5" s="105"/>
      <c r="W5" s="106"/>
      <c r="X5" s="104" t="s">
        <v>58</v>
      </c>
      <c r="Y5" s="105"/>
      <c r="Z5" s="106"/>
      <c r="AA5" s="104" t="s">
        <v>59</v>
      </c>
      <c r="AB5" s="105"/>
      <c r="AC5" s="106"/>
      <c r="AD5" s="104" t="s">
        <v>60</v>
      </c>
      <c r="AE5" s="105"/>
      <c r="AF5" s="106"/>
    </row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6:AM168" xr:uid="{4C2A3171-730C-4FE0-9699-DB3A8C3BD325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52BD-EBD9-412D-8AD8-F976B8D166E4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3398</v>
      </c>
      <c r="D2" s="8" t="s">
        <v>51</v>
      </c>
      <c r="G2" t="s">
        <v>3398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>
      <c r="E5" s="132" t="s">
        <v>54</v>
      </c>
      <c r="F5" s="132" t="s">
        <v>54</v>
      </c>
      <c r="G5" s="133" t="s">
        <v>54</v>
      </c>
      <c r="H5" s="134"/>
      <c r="I5" s="134"/>
      <c r="J5" s="134"/>
      <c r="K5" s="134"/>
      <c r="L5" s="134"/>
      <c r="M5" s="134"/>
      <c r="N5" s="102" t="s">
        <v>55</v>
      </c>
      <c r="O5" s="102"/>
      <c r="P5" s="102"/>
      <c r="Q5" s="103"/>
      <c r="R5" s="104" t="s">
        <v>56</v>
      </c>
      <c r="S5" s="105"/>
      <c r="T5" s="106"/>
      <c r="U5" s="104" t="s">
        <v>57</v>
      </c>
      <c r="V5" s="105"/>
      <c r="W5" s="106"/>
      <c r="X5" s="104" t="s">
        <v>58</v>
      </c>
      <c r="Y5" s="105"/>
      <c r="Z5" s="106"/>
      <c r="AA5" s="104" t="s">
        <v>59</v>
      </c>
      <c r="AB5" s="105"/>
      <c r="AC5" s="106"/>
      <c r="AD5" s="104" t="s">
        <v>60</v>
      </c>
      <c r="AE5" s="105"/>
      <c r="AF5" s="106"/>
    </row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6:AM168" xr:uid="{95B452BD-EBD9-412D-8AD8-F976B8D166E4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149D3-D243-43C5-A310-D8D9BA4D524F}">
  <dimension ref="A1:AM168"/>
  <sheetViews>
    <sheetView workbookViewId="0">
      <selection activeCell="A7" sqref="A7:AM168"/>
    </sheetView>
  </sheetViews>
  <sheetFormatPr defaultRowHeight="14.5" x14ac:dyDescent="0.35"/>
  <cols>
    <col min="3" max="3" width="12.453125" bestFit="1" customWidth="1"/>
    <col min="7" max="7" width="12.453125" bestFit="1" customWidth="1"/>
  </cols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3401</v>
      </c>
      <c r="D2" s="8" t="s">
        <v>51</v>
      </c>
      <c r="G2" t="s">
        <v>3401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>
      <c r="E5" s="132" t="s">
        <v>54</v>
      </c>
      <c r="F5" s="132" t="s">
        <v>54</v>
      </c>
      <c r="G5" s="133" t="s">
        <v>54</v>
      </c>
      <c r="H5" s="134"/>
      <c r="I5" s="134"/>
      <c r="J5" s="134"/>
      <c r="K5" s="134"/>
      <c r="L5" s="134"/>
      <c r="M5" s="134"/>
      <c r="N5" s="102" t="s">
        <v>55</v>
      </c>
      <c r="O5" s="102"/>
      <c r="P5" s="102"/>
      <c r="Q5" s="103"/>
      <c r="R5" s="104" t="s">
        <v>56</v>
      </c>
      <c r="S5" s="105"/>
      <c r="T5" s="106"/>
      <c r="U5" s="104" t="s">
        <v>57</v>
      </c>
      <c r="V5" s="105"/>
      <c r="W5" s="106"/>
      <c r="X5" s="104" t="s">
        <v>58</v>
      </c>
      <c r="Y5" s="105"/>
      <c r="Z5" s="106"/>
      <c r="AA5" s="104" t="s">
        <v>59</v>
      </c>
      <c r="AB5" s="105"/>
      <c r="AC5" s="106"/>
      <c r="AD5" s="104" t="s">
        <v>60</v>
      </c>
      <c r="AE5" s="105"/>
      <c r="AF5" s="106"/>
    </row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6:AM168" xr:uid="{648149D3-D243-43C5-A310-D8D9BA4D524F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9B488-3FDB-4592-88F1-5FA7DAF84834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3405</v>
      </c>
      <c r="D2" s="8" t="s">
        <v>51</v>
      </c>
      <c r="G2" t="s">
        <v>3405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SUBTOTAL(9,O7:O99998)</f>
        <v>0</v>
      </c>
      <c r="E3" s="12">
        <f>SUBTOTAL(9,Q7:Q99998)</f>
        <v>0</v>
      </c>
      <c r="F3" s="12">
        <f>SUBTOTAL(3,B7:B99998)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47F76-5BA2-4C23-938F-4784D90A7B81}">
  <dimension ref="A1:AM168"/>
  <sheetViews>
    <sheetView workbookViewId="0">
      <selection activeCell="A7" sqref="A7:AM168"/>
    </sheetView>
  </sheetViews>
  <sheetFormatPr defaultRowHeight="14.5" x14ac:dyDescent="0.35"/>
  <cols>
    <col min="4" max="4" width="19.81640625" customWidth="1"/>
  </cols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3406</v>
      </c>
      <c r="D2" s="8" t="s">
        <v>51</v>
      </c>
      <c r="G2" t="s">
        <v>3406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6:AM168" xr:uid="{C7B47F76-5BA2-4C23-938F-4784D90A7B8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817D7-DFBA-4E0E-A03E-2382FFD674A7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3404</v>
      </c>
      <c r="D2" s="8" t="s">
        <v>51</v>
      </c>
      <c r="G2" t="s">
        <v>3404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7" xr:uid="{237817D7-DFBA-4E0E-A03E-2382FFD674A7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1E10C-9654-4CC0-9E23-887A1C2AEFCB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3407</v>
      </c>
      <c r="D2" s="8" t="s">
        <v>51</v>
      </c>
      <c r="G2" t="s">
        <v>3407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7" xr:uid="{5411E10C-9654-4CC0-9E23-887A1C2AEFCB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A8EDE-EBF5-4C3A-8717-8E956CBADC47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3408</v>
      </c>
      <c r="D2" s="8" t="s">
        <v>51</v>
      </c>
      <c r="G2" t="s">
        <v>3408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7" xr:uid="{B6FA8EDE-EBF5-4C3A-8717-8E956CBADC47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B722B-4FA9-4220-A702-1BC46C8DABF4}">
  <dimension ref="A1:AM168"/>
  <sheetViews>
    <sheetView workbookViewId="0">
      <selection activeCell="A7" sqref="A7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3411</v>
      </c>
      <c r="D2" s="8" t="s">
        <v>51</v>
      </c>
      <c r="G2" t="s">
        <v>3411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8" xr:uid="{759B722B-4FA9-4220-A702-1BC46C8DABF4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ACF16-4C85-402C-94B1-137F54F0F423}">
  <dimension ref="A1:AM168"/>
  <sheetViews>
    <sheetView workbookViewId="0">
      <selection activeCell="A7" sqref="A7:XFD1048576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3412</v>
      </c>
      <c r="D2" s="8" t="s">
        <v>51</v>
      </c>
      <c r="G2" t="s">
        <v>3412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8099" xr:uid="{581ACF16-4C85-402C-94B1-137F54F0F423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0E019-2086-4A97-A850-83313B4D0FE3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3413</v>
      </c>
      <c r="D2" s="8" t="s">
        <v>51</v>
      </c>
      <c r="G2" t="s">
        <v>3413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7" xr:uid="{43E0E019-2086-4A97-A850-83313B4D0FE3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26ECF-1196-4E56-B4CB-BD175CCF3328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3414</v>
      </c>
      <c r="D2" s="8" t="s">
        <v>51</v>
      </c>
      <c r="G2" t="s">
        <v>3414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6" xr:uid="{E3726ECF-1196-4E56-B4CB-BD175CCF3328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5372-C883-48B4-9F9B-5A15F798A0C8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3415</v>
      </c>
      <c r="D2" s="8" t="s">
        <v>51</v>
      </c>
      <c r="G2" t="s">
        <v>3415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5" xr:uid="{74375372-C883-48B4-9F9B-5A15F798A0C8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B9EEA-E3F8-4E42-BC6D-AE18A0BE6499}">
  <dimension ref="A1:AM168"/>
  <sheetViews>
    <sheetView workbookViewId="0">
      <selection activeCell="A7" sqref="A7:AM168"/>
    </sheetView>
  </sheetViews>
  <sheetFormatPr defaultRowHeight="14.5" x14ac:dyDescent="0.35"/>
  <cols>
    <col min="4" max="4" width="15.6328125" customWidth="1"/>
  </cols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3416</v>
      </c>
      <c r="D2" s="8" t="s">
        <v>51</v>
      </c>
      <c r="G2" t="s">
        <v>3416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6:AM168" xr:uid="{4B8B9EEA-E3F8-4E42-BC6D-AE18A0BE6499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DB1C0-6D6A-4048-89DE-9854AF0086FA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3418</v>
      </c>
      <c r="D2" s="8" t="s">
        <v>51</v>
      </c>
      <c r="G2" t="s">
        <v>3418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7" xr:uid="{24FDB1C0-6D6A-4048-89DE-9854AF0086FA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1887C-A972-447B-8C45-DD019CEA6796}">
  <dimension ref="A1:AM168"/>
  <sheetViews>
    <sheetView workbookViewId="0">
      <selection activeCell="B7" sqref="B7"/>
    </sheetView>
  </sheetViews>
  <sheetFormatPr defaultRowHeight="14.5" x14ac:dyDescent="0.35"/>
  <cols>
    <col min="3" max="3" width="13.54296875" bestFit="1" customWidth="1"/>
    <col min="7" max="7" width="13.54296875" bestFit="1" customWidth="1"/>
  </cols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3417</v>
      </c>
      <c r="D2" s="8" t="s">
        <v>51</v>
      </c>
      <c r="G2" t="s">
        <v>3417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7" xr:uid="{5641887C-A972-447B-8C45-DD019CEA6796}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F1B9-AE34-4061-8426-5C9810976A5B}">
  <dimension ref="A1:AM168"/>
  <sheetViews>
    <sheetView workbookViewId="0">
      <selection activeCell="A7" sqref="A7:AM168"/>
    </sheetView>
  </sheetViews>
  <sheetFormatPr defaultRowHeight="14.5" x14ac:dyDescent="0.35"/>
  <cols>
    <col min="3" max="3" width="13.54296875" bestFit="1" customWidth="1"/>
    <col min="7" max="7" width="13.54296875" bestFit="1" customWidth="1"/>
  </cols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3388</v>
      </c>
      <c r="D2" s="8" t="s">
        <v>51</v>
      </c>
      <c r="G2" t="s">
        <v>3388</v>
      </c>
    </row>
    <row r="3" spans="1:39" x14ac:dyDescent="0.35">
      <c r="B3" s="9" t="s">
        <v>52</v>
      </c>
      <c r="C3" s="10" t="e">
        <f>100-(D3/E3*100)</f>
        <v>#DIV/0!</v>
      </c>
      <c r="D3" s="11">
        <f>SUBTOTAL(9,O6:O99998)</f>
        <v>0</v>
      </c>
      <c r="E3" s="12">
        <f>SUBTOTAL(9,Q6:Q99998)</f>
        <v>0</v>
      </c>
      <c r="F3" s="12">
        <f>SUBTOTAL(3,B6:B99998)</f>
        <v>1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#VALUE!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6" xr:uid="{6494F1B9-AE34-4061-8426-5C9810976A5B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7F9F-641D-4C61-B3F1-FB3568A4B3C8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3419</v>
      </c>
      <c r="D2" s="8" t="s">
        <v>51</v>
      </c>
      <c r="G2" t="s">
        <v>3419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167" xr:uid="{C6867F9F-641D-4C61-B3F1-FB3568A4B3C8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B1C6D-EB7B-4734-BB58-F2DDF2799E36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3420</v>
      </c>
      <c r="D2" s="8" t="s">
        <v>51</v>
      </c>
      <c r="G2" t="s">
        <v>3420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6:AM6" xr:uid="{FF7B1C6D-EB7B-4734-BB58-F2DDF2799E36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CCEA3-98E6-46C7-A7B7-9D6061D6E992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3421</v>
      </c>
      <c r="D2" s="8" t="s">
        <v>51</v>
      </c>
      <c r="G2" t="s">
        <v>3421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5:AH5" xr:uid="{3A1CCEA3-98E6-46C7-A7B7-9D6061D6E992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F36D3-CFBD-44E6-BAEE-36D1E63248EB}">
  <dimension ref="A1:AM168"/>
  <sheetViews>
    <sheetView workbookViewId="0">
      <selection activeCell="A7" sqref="A7:AM168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3422</v>
      </c>
      <c r="D2" s="8" t="s">
        <v>51</v>
      </c>
      <c r="G2" t="s">
        <v>3422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821D6-13CC-4ABE-BA01-F47DF1A2CE76}">
  <dimension ref="A1:AM168"/>
  <sheetViews>
    <sheetView workbookViewId="0">
      <selection activeCell="A7" sqref="A7:AM168"/>
    </sheetView>
  </sheetViews>
  <sheetFormatPr defaultRowHeight="14.5" x14ac:dyDescent="0.35"/>
  <cols>
    <col min="3" max="3" width="13.54296875" bestFit="1" customWidth="1"/>
    <col min="7" max="7" width="13.54296875" bestFit="1" customWidth="1"/>
  </cols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3423</v>
      </c>
      <c r="D2" s="8" t="s">
        <v>51</v>
      </c>
      <c r="G2" t="s">
        <v>3423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6:AM6" xr:uid="{D9B821D6-13CC-4ABE-BA01-F47DF1A2CE76}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F64C-8ACB-47E4-9E75-58CB4E764FBF}">
  <sheetPr filterMode="1"/>
  <dimension ref="A1:AM451"/>
  <sheetViews>
    <sheetView workbookViewId="0">
      <selection activeCell="A290" sqref="A290:AM451"/>
    </sheetView>
  </sheetViews>
  <sheetFormatPr defaultRowHeight="14.5" x14ac:dyDescent="0.35"/>
  <cols>
    <col min="4" max="4" width="19.90625" customWidth="1"/>
  </cols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3399</v>
      </c>
      <c r="D2" s="8" t="s">
        <v>51</v>
      </c>
      <c r="G2" t="s">
        <v>3432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SUBTOTAL(9,O7:O99269)</f>
        <v>0</v>
      </c>
      <c r="E3" s="12">
        <f>SUBTOTAL(9,Q7:Q99269)</f>
        <v>0</v>
      </c>
      <c r="F3" s="12">
        <f>SUBTOTAL(3,B7:B99269)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B=283,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hidden="1" thickTop="1" x14ac:dyDescent="0.35">
      <c r="A7" t="s">
        <v>2087</v>
      </c>
      <c r="B7" t="s">
        <v>2088</v>
      </c>
      <c r="C7" t="s">
        <v>66</v>
      </c>
      <c r="D7" t="s">
        <v>2089</v>
      </c>
      <c r="E7" t="s">
        <v>559</v>
      </c>
      <c r="F7">
        <v>1</v>
      </c>
      <c r="G7" t="s">
        <v>2050</v>
      </c>
      <c r="H7" t="s">
        <v>2051</v>
      </c>
      <c r="I7" t="s">
        <v>53</v>
      </c>
      <c r="J7" t="s">
        <v>67</v>
      </c>
      <c r="K7" t="s">
        <v>68</v>
      </c>
      <c r="L7" t="s">
        <v>2052</v>
      </c>
      <c r="M7" t="s">
        <v>2064</v>
      </c>
      <c r="N7">
        <v>0</v>
      </c>
      <c r="O7">
        <v>0</v>
      </c>
      <c r="P7">
        <v>0</v>
      </c>
      <c r="Q7">
        <v>900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69</v>
      </c>
      <c r="AH7" s="21" t="s">
        <v>3424</v>
      </c>
      <c r="AI7" s="21">
        <v>67.5</v>
      </c>
      <c r="AJ7" s="21">
        <v>100</v>
      </c>
      <c r="AK7" s="21" t="s">
        <v>2054</v>
      </c>
      <c r="AL7" t="s">
        <v>70</v>
      </c>
      <c r="AM7" t="s">
        <v>2029</v>
      </c>
    </row>
    <row r="8" spans="1:39" ht="15" hidden="1" thickTop="1" x14ac:dyDescent="0.35">
      <c r="A8" t="s">
        <v>2090</v>
      </c>
      <c r="B8" t="s">
        <v>2091</v>
      </c>
      <c r="C8" t="s">
        <v>71</v>
      </c>
      <c r="D8" t="s">
        <v>2092</v>
      </c>
      <c r="E8" t="s">
        <v>72</v>
      </c>
      <c r="F8">
        <v>2</v>
      </c>
      <c r="G8" t="s">
        <v>2050</v>
      </c>
      <c r="H8" t="s">
        <v>2051</v>
      </c>
      <c r="I8" t="s">
        <v>53</v>
      </c>
      <c r="J8" t="s">
        <v>73</v>
      </c>
      <c r="K8" t="s">
        <v>68</v>
      </c>
      <c r="L8" t="s">
        <v>2052</v>
      </c>
      <c r="M8" t="s">
        <v>2093</v>
      </c>
      <c r="N8">
        <v>0</v>
      </c>
      <c r="O8">
        <v>0</v>
      </c>
      <c r="P8">
        <v>0</v>
      </c>
      <c r="Q8">
        <v>840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74</v>
      </c>
      <c r="AH8" s="21" t="s">
        <v>3424</v>
      </c>
      <c r="AI8" s="21">
        <v>63</v>
      </c>
      <c r="AJ8" s="21">
        <v>100</v>
      </c>
      <c r="AK8" s="21" t="s">
        <v>2055</v>
      </c>
      <c r="AL8" t="s">
        <v>75</v>
      </c>
      <c r="AM8" t="s">
        <v>2027</v>
      </c>
    </row>
    <row r="9" spans="1:39" ht="15" hidden="1" thickTop="1" x14ac:dyDescent="0.35">
      <c r="A9" t="s">
        <v>2056</v>
      </c>
      <c r="B9" t="s">
        <v>2095</v>
      </c>
      <c r="C9" t="s">
        <v>76</v>
      </c>
      <c r="D9" t="s">
        <v>2096</v>
      </c>
      <c r="E9" t="s">
        <v>559</v>
      </c>
      <c r="F9">
        <v>3</v>
      </c>
      <c r="G9" t="s">
        <v>2050</v>
      </c>
      <c r="H9" t="s">
        <v>2051</v>
      </c>
      <c r="I9" t="s">
        <v>53</v>
      </c>
      <c r="J9" t="s">
        <v>67</v>
      </c>
      <c r="K9" t="s">
        <v>68</v>
      </c>
      <c r="L9" t="s">
        <v>2052</v>
      </c>
      <c r="M9" t="s">
        <v>2064</v>
      </c>
      <c r="N9">
        <v>0</v>
      </c>
      <c r="O9">
        <v>0</v>
      </c>
      <c r="P9">
        <v>0</v>
      </c>
      <c r="Q9">
        <v>900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77</v>
      </c>
      <c r="AH9" s="21" t="s">
        <v>3424</v>
      </c>
      <c r="AI9" s="21">
        <v>67.5</v>
      </c>
      <c r="AJ9" s="21">
        <v>100</v>
      </c>
      <c r="AK9" s="21" t="s">
        <v>2055</v>
      </c>
      <c r="AL9" t="s">
        <v>70</v>
      </c>
      <c r="AM9" t="s">
        <v>2028</v>
      </c>
    </row>
    <row r="10" spans="1:39" ht="15" hidden="1" thickTop="1" x14ac:dyDescent="0.35">
      <c r="A10" t="s">
        <v>2057</v>
      </c>
      <c r="B10" t="s">
        <v>2098</v>
      </c>
      <c r="C10" t="s">
        <v>78</v>
      </c>
      <c r="D10" t="s">
        <v>2099</v>
      </c>
      <c r="E10" t="s">
        <v>559</v>
      </c>
      <c r="F10">
        <v>2</v>
      </c>
      <c r="G10" t="s">
        <v>2050</v>
      </c>
      <c r="H10" t="s">
        <v>2051</v>
      </c>
      <c r="I10" t="s">
        <v>53</v>
      </c>
      <c r="J10" t="s">
        <v>67</v>
      </c>
      <c r="K10" t="s">
        <v>68</v>
      </c>
      <c r="L10" t="s">
        <v>2052</v>
      </c>
      <c r="M10" t="s">
        <v>2064</v>
      </c>
      <c r="N10">
        <v>0</v>
      </c>
      <c r="O10">
        <v>0</v>
      </c>
      <c r="P10">
        <v>0</v>
      </c>
      <c r="Q10">
        <v>900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80</v>
      </c>
      <c r="AH10" s="21" t="s">
        <v>3424</v>
      </c>
      <c r="AI10" s="21">
        <v>67.5</v>
      </c>
      <c r="AJ10" s="21">
        <v>100</v>
      </c>
      <c r="AK10" s="21" t="s">
        <v>2055</v>
      </c>
      <c r="AL10" t="s">
        <v>70</v>
      </c>
      <c r="AM10" t="s">
        <v>2029</v>
      </c>
    </row>
    <row r="11" spans="1:39" ht="15" hidden="1" thickTop="1" x14ac:dyDescent="0.35">
      <c r="A11" t="s">
        <v>2058</v>
      </c>
      <c r="B11" t="s">
        <v>2101</v>
      </c>
      <c r="C11" t="s">
        <v>565</v>
      </c>
      <c r="D11" t="s">
        <v>2102</v>
      </c>
      <c r="E11" t="s">
        <v>559</v>
      </c>
      <c r="F11">
        <v>1</v>
      </c>
      <c r="G11" t="s">
        <v>2050</v>
      </c>
      <c r="H11" t="s">
        <v>2051</v>
      </c>
      <c r="I11" t="s">
        <v>53</v>
      </c>
      <c r="J11" t="s">
        <v>427</v>
      </c>
      <c r="K11" t="s">
        <v>68</v>
      </c>
      <c r="L11" t="s">
        <v>2052</v>
      </c>
      <c r="M11" t="s">
        <v>2053</v>
      </c>
      <c r="N11">
        <v>0</v>
      </c>
      <c r="O11">
        <v>0</v>
      </c>
      <c r="P11">
        <v>0</v>
      </c>
      <c r="Q11">
        <v>1440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83</v>
      </c>
      <c r="AH11" s="21" t="s">
        <v>3425</v>
      </c>
      <c r="AI11" s="21">
        <v>107.92500000000001</v>
      </c>
      <c r="AJ11" s="21">
        <v>100</v>
      </c>
      <c r="AK11" s="21" t="s">
        <v>2054</v>
      </c>
      <c r="AL11" t="s">
        <v>70</v>
      </c>
      <c r="AM11" t="s">
        <v>2029</v>
      </c>
    </row>
    <row r="12" spans="1:39" ht="15" hidden="1" thickTop="1" x14ac:dyDescent="0.35">
      <c r="A12" t="s">
        <v>2059</v>
      </c>
      <c r="B12" t="s">
        <v>2103</v>
      </c>
      <c r="C12" t="s">
        <v>565</v>
      </c>
      <c r="D12" t="s">
        <v>2104</v>
      </c>
      <c r="E12" t="s">
        <v>559</v>
      </c>
      <c r="F12">
        <v>2</v>
      </c>
      <c r="G12" t="s">
        <v>2050</v>
      </c>
      <c r="H12" t="s">
        <v>2051</v>
      </c>
      <c r="I12" t="s">
        <v>53</v>
      </c>
      <c r="J12" t="s">
        <v>427</v>
      </c>
      <c r="K12" t="s">
        <v>68</v>
      </c>
      <c r="L12" t="s">
        <v>2052</v>
      </c>
      <c r="M12" t="s">
        <v>2063</v>
      </c>
      <c r="N12">
        <v>0</v>
      </c>
      <c r="O12">
        <v>0</v>
      </c>
      <c r="P12">
        <v>0</v>
      </c>
      <c r="Q12">
        <v>1020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84</v>
      </c>
      <c r="AH12" s="21" t="s">
        <v>3425</v>
      </c>
      <c r="AI12" s="21">
        <v>76.500000000000014</v>
      </c>
      <c r="AJ12" s="21">
        <v>100</v>
      </c>
      <c r="AK12" s="21" t="s">
        <v>2054</v>
      </c>
      <c r="AL12" t="s">
        <v>70</v>
      </c>
      <c r="AM12" t="s">
        <v>2027</v>
      </c>
    </row>
    <row r="13" spans="1:39" ht="15" hidden="1" thickTop="1" x14ac:dyDescent="0.35">
      <c r="A13" t="s">
        <v>2105</v>
      </c>
      <c r="B13" t="s">
        <v>2107</v>
      </c>
      <c r="C13" t="s">
        <v>81</v>
      </c>
      <c r="D13" t="s">
        <v>2108</v>
      </c>
      <c r="E13" t="s">
        <v>559</v>
      </c>
      <c r="F13">
        <v>1</v>
      </c>
      <c r="G13" t="s">
        <v>2050</v>
      </c>
      <c r="H13" t="s">
        <v>2051</v>
      </c>
      <c r="I13" t="s">
        <v>53</v>
      </c>
      <c r="J13" t="s">
        <v>82</v>
      </c>
      <c r="K13" t="s">
        <v>68</v>
      </c>
      <c r="L13" t="s">
        <v>2052</v>
      </c>
      <c r="M13" t="s">
        <v>2100</v>
      </c>
      <c r="N13">
        <v>0</v>
      </c>
      <c r="O13">
        <v>0</v>
      </c>
      <c r="P13">
        <v>0</v>
      </c>
      <c r="Q13">
        <v>840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85</v>
      </c>
      <c r="AH13" s="21" t="s">
        <v>3425</v>
      </c>
      <c r="AI13" s="21">
        <v>62.999999999999986</v>
      </c>
      <c r="AJ13" s="21">
        <v>100</v>
      </c>
      <c r="AK13" s="21" t="s">
        <v>2055</v>
      </c>
      <c r="AL13" t="s">
        <v>70</v>
      </c>
      <c r="AM13" t="s">
        <v>2030</v>
      </c>
    </row>
    <row r="14" spans="1:39" ht="15" hidden="1" thickTop="1" x14ac:dyDescent="0.35">
      <c r="A14" t="s">
        <v>2106</v>
      </c>
      <c r="B14" t="s">
        <v>2109</v>
      </c>
      <c r="C14" t="s">
        <v>820</v>
      </c>
      <c r="D14" t="s">
        <v>2110</v>
      </c>
      <c r="E14" t="s">
        <v>72</v>
      </c>
      <c r="F14">
        <v>2</v>
      </c>
      <c r="G14" t="s">
        <v>2050</v>
      </c>
      <c r="H14" t="s">
        <v>2051</v>
      </c>
      <c r="I14" t="s">
        <v>53</v>
      </c>
      <c r="J14" t="s">
        <v>424</v>
      </c>
      <c r="K14" t="s">
        <v>68</v>
      </c>
      <c r="L14" t="s">
        <v>2052</v>
      </c>
      <c r="M14" t="s">
        <v>2053</v>
      </c>
      <c r="N14">
        <v>0</v>
      </c>
      <c r="O14">
        <v>0</v>
      </c>
      <c r="P14">
        <v>0</v>
      </c>
      <c r="Q14">
        <v>1440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87</v>
      </c>
      <c r="AH14" s="21" t="s">
        <v>3425</v>
      </c>
      <c r="AI14" s="21">
        <v>107.92500000000001</v>
      </c>
      <c r="AJ14" s="21">
        <v>100</v>
      </c>
      <c r="AK14" s="21" t="s">
        <v>2054</v>
      </c>
      <c r="AL14" t="s">
        <v>75</v>
      </c>
      <c r="AM14" t="s">
        <v>2027</v>
      </c>
    </row>
    <row r="15" spans="1:39" ht="15" hidden="1" thickTop="1" x14ac:dyDescent="0.35">
      <c r="A15" t="s">
        <v>2111</v>
      </c>
      <c r="B15" t="s">
        <v>2112</v>
      </c>
      <c r="C15" t="s">
        <v>78</v>
      </c>
      <c r="D15" t="s">
        <v>2113</v>
      </c>
      <c r="E15" t="s">
        <v>559</v>
      </c>
      <c r="F15">
        <v>1</v>
      </c>
      <c r="G15" t="s">
        <v>2050</v>
      </c>
      <c r="H15" t="s">
        <v>2051</v>
      </c>
      <c r="I15" t="s">
        <v>53</v>
      </c>
      <c r="J15" t="s">
        <v>67</v>
      </c>
      <c r="K15" t="s">
        <v>68</v>
      </c>
      <c r="L15" t="s">
        <v>2052</v>
      </c>
      <c r="M15" t="s">
        <v>2053</v>
      </c>
      <c r="N15">
        <v>0</v>
      </c>
      <c r="O15">
        <v>0</v>
      </c>
      <c r="P15">
        <v>0</v>
      </c>
      <c r="Q15">
        <v>1440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89</v>
      </c>
      <c r="AH15" s="21" t="s">
        <v>3425</v>
      </c>
      <c r="AI15" s="21">
        <v>107.92500000000001</v>
      </c>
      <c r="AJ15" s="21">
        <v>100</v>
      </c>
      <c r="AK15" s="21" t="s">
        <v>2054</v>
      </c>
      <c r="AL15" t="s">
        <v>70</v>
      </c>
      <c r="AM15" t="s">
        <v>2030</v>
      </c>
    </row>
    <row r="16" spans="1:39" ht="15" hidden="1" thickTop="1" x14ac:dyDescent="0.35">
      <c r="A16" t="s">
        <v>2114</v>
      </c>
      <c r="B16" t="s">
        <v>2116</v>
      </c>
      <c r="C16" t="s">
        <v>71</v>
      </c>
      <c r="D16" t="s">
        <v>2117</v>
      </c>
      <c r="E16" t="s">
        <v>72</v>
      </c>
      <c r="F16">
        <v>1</v>
      </c>
      <c r="G16" t="s">
        <v>2050</v>
      </c>
      <c r="H16" t="s">
        <v>2051</v>
      </c>
      <c r="I16" t="s">
        <v>53</v>
      </c>
      <c r="J16" t="s">
        <v>73</v>
      </c>
      <c r="K16" t="s">
        <v>68</v>
      </c>
      <c r="L16" t="s">
        <v>2052</v>
      </c>
      <c r="M16" t="s">
        <v>2053</v>
      </c>
      <c r="N16">
        <v>0</v>
      </c>
      <c r="O16">
        <v>0</v>
      </c>
      <c r="P16">
        <v>0</v>
      </c>
      <c r="Q16">
        <v>1440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90</v>
      </c>
      <c r="AH16" s="21" t="s">
        <v>3426</v>
      </c>
      <c r="AI16" s="21">
        <v>107.92500000000001</v>
      </c>
      <c r="AJ16" s="21">
        <v>100</v>
      </c>
      <c r="AK16" s="21" t="s">
        <v>2055</v>
      </c>
      <c r="AL16" t="s">
        <v>75</v>
      </c>
      <c r="AM16" t="s">
        <v>2028</v>
      </c>
    </row>
    <row r="17" spans="1:39" ht="15" hidden="1" thickTop="1" x14ac:dyDescent="0.35">
      <c r="A17" t="s">
        <v>2115</v>
      </c>
      <c r="B17" t="s">
        <v>2118</v>
      </c>
      <c r="C17" t="s">
        <v>66</v>
      </c>
      <c r="D17" t="s">
        <v>2119</v>
      </c>
      <c r="E17" t="s">
        <v>559</v>
      </c>
      <c r="F17">
        <v>2</v>
      </c>
      <c r="G17" t="s">
        <v>2050</v>
      </c>
      <c r="H17" t="s">
        <v>2051</v>
      </c>
      <c r="I17" t="s">
        <v>53</v>
      </c>
      <c r="J17" t="s">
        <v>67</v>
      </c>
      <c r="K17" t="s">
        <v>68</v>
      </c>
      <c r="L17" t="s">
        <v>2052</v>
      </c>
      <c r="M17" t="s">
        <v>2064</v>
      </c>
      <c r="N17">
        <v>0</v>
      </c>
      <c r="O17">
        <v>0</v>
      </c>
      <c r="P17">
        <v>0</v>
      </c>
      <c r="Q17">
        <v>900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91</v>
      </c>
      <c r="AH17" s="21" t="s">
        <v>3427</v>
      </c>
      <c r="AI17" s="21">
        <v>67.5</v>
      </c>
      <c r="AJ17" s="21">
        <v>100</v>
      </c>
      <c r="AK17" s="21" t="s">
        <v>2055</v>
      </c>
      <c r="AL17" t="s">
        <v>70</v>
      </c>
      <c r="AM17" t="s">
        <v>2029</v>
      </c>
    </row>
    <row r="18" spans="1:39" ht="15" hidden="1" thickTop="1" x14ac:dyDescent="0.35">
      <c r="A18" t="s">
        <v>2120</v>
      </c>
      <c r="B18" t="s">
        <v>2123</v>
      </c>
      <c r="C18" t="s">
        <v>66</v>
      </c>
      <c r="D18" t="s">
        <v>2124</v>
      </c>
      <c r="E18" t="s">
        <v>559</v>
      </c>
      <c r="F18">
        <v>1</v>
      </c>
      <c r="G18" t="s">
        <v>2050</v>
      </c>
      <c r="H18" t="s">
        <v>2051</v>
      </c>
      <c r="I18" t="s">
        <v>53</v>
      </c>
      <c r="J18" t="s">
        <v>67</v>
      </c>
      <c r="K18" t="s">
        <v>68</v>
      </c>
      <c r="L18" t="s">
        <v>2052</v>
      </c>
      <c r="M18" t="s">
        <v>2053</v>
      </c>
      <c r="N18">
        <v>0</v>
      </c>
      <c r="O18">
        <v>0</v>
      </c>
      <c r="P18">
        <v>0</v>
      </c>
      <c r="Q18">
        <v>1440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93</v>
      </c>
      <c r="AH18" s="21" t="s">
        <v>3427</v>
      </c>
      <c r="AI18" s="21">
        <v>107.92500000000001</v>
      </c>
      <c r="AJ18" s="21">
        <v>100</v>
      </c>
      <c r="AK18" s="21" t="s">
        <v>2054</v>
      </c>
      <c r="AL18" t="s">
        <v>70</v>
      </c>
      <c r="AM18" t="s">
        <v>2031</v>
      </c>
    </row>
    <row r="19" spans="1:39" ht="15" hidden="1" thickTop="1" x14ac:dyDescent="0.35">
      <c r="A19" t="s">
        <v>2121</v>
      </c>
      <c r="B19" t="s">
        <v>2125</v>
      </c>
      <c r="C19" t="s">
        <v>1515</v>
      </c>
      <c r="D19" t="s">
        <v>2126</v>
      </c>
      <c r="E19" t="s">
        <v>95</v>
      </c>
      <c r="F19">
        <v>1</v>
      </c>
      <c r="G19" t="s">
        <v>2050</v>
      </c>
      <c r="H19" t="s">
        <v>2051</v>
      </c>
      <c r="I19" t="s">
        <v>53</v>
      </c>
      <c r="J19" t="s">
        <v>1516</v>
      </c>
      <c r="K19" t="s">
        <v>68</v>
      </c>
      <c r="L19" t="s">
        <v>2052</v>
      </c>
      <c r="M19" t="s">
        <v>2053</v>
      </c>
      <c r="N19">
        <v>0</v>
      </c>
      <c r="O19">
        <v>0</v>
      </c>
      <c r="P19">
        <v>0</v>
      </c>
      <c r="Q19">
        <v>1440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97</v>
      </c>
      <c r="AH19" s="21" t="s">
        <v>3427</v>
      </c>
      <c r="AI19" s="21">
        <v>107.92500000000001</v>
      </c>
      <c r="AJ19" s="21">
        <v>100</v>
      </c>
      <c r="AK19" s="21" t="s">
        <v>2055</v>
      </c>
      <c r="AL19" t="s">
        <v>75</v>
      </c>
      <c r="AM19" t="s">
        <v>2027</v>
      </c>
    </row>
    <row r="20" spans="1:39" ht="15" hidden="1" thickTop="1" x14ac:dyDescent="0.35">
      <c r="A20" t="s">
        <v>2122</v>
      </c>
      <c r="B20" t="s">
        <v>2127</v>
      </c>
      <c r="C20" t="s">
        <v>71</v>
      </c>
      <c r="D20" t="s">
        <v>2128</v>
      </c>
      <c r="E20" t="s">
        <v>72</v>
      </c>
      <c r="F20">
        <v>1</v>
      </c>
      <c r="G20" t="s">
        <v>2050</v>
      </c>
      <c r="H20" t="s">
        <v>2051</v>
      </c>
      <c r="I20" t="s">
        <v>53</v>
      </c>
      <c r="J20" t="s">
        <v>73</v>
      </c>
      <c r="K20" t="s">
        <v>68</v>
      </c>
      <c r="L20" t="s">
        <v>2052</v>
      </c>
      <c r="M20" t="s">
        <v>2053</v>
      </c>
      <c r="N20">
        <v>0</v>
      </c>
      <c r="O20">
        <v>0</v>
      </c>
      <c r="P20">
        <v>0</v>
      </c>
      <c r="Q20">
        <v>1440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98</v>
      </c>
      <c r="AH20" s="21" t="s">
        <v>3427</v>
      </c>
      <c r="AI20" s="21">
        <v>107.92500000000001</v>
      </c>
      <c r="AJ20" s="21">
        <v>100</v>
      </c>
      <c r="AK20" s="21" t="s">
        <v>2054</v>
      </c>
      <c r="AL20" t="s">
        <v>75</v>
      </c>
      <c r="AM20" t="s">
        <v>2028</v>
      </c>
    </row>
    <row r="21" spans="1:39" ht="15" hidden="1" thickTop="1" x14ac:dyDescent="0.35">
      <c r="A21" t="s">
        <v>2129</v>
      </c>
      <c r="B21" t="s">
        <v>2132</v>
      </c>
      <c r="C21" t="s">
        <v>78</v>
      </c>
      <c r="D21" t="s">
        <v>2133</v>
      </c>
      <c r="E21" t="s">
        <v>559</v>
      </c>
      <c r="F21">
        <v>1</v>
      </c>
      <c r="G21" t="s">
        <v>2050</v>
      </c>
      <c r="H21" t="s">
        <v>2051</v>
      </c>
      <c r="I21" t="s">
        <v>53</v>
      </c>
      <c r="J21" t="s">
        <v>67</v>
      </c>
      <c r="K21" t="s">
        <v>68</v>
      </c>
      <c r="L21" t="s">
        <v>2052</v>
      </c>
      <c r="M21" t="s">
        <v>2053</v>
      </c>
      <c r="N21">
        <v>0</v>
      </c>
      <c r="O21">
        <v>0</v>
      </c>
      <c r="P21">
        <v>0</v>
      </c>
      <c r="Q21">
        <v>1440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99</v>
      </c>
      <c r="AH21" s="21" t="s">
        <v>3427</v>
      </c>
      <c r="AI21" s="21">
        <v>107.92500000000001</v>
      </c>
      <c r="AJ21" s="21">
        <v>100</v>
      </c>
      <c r="AK21" s="21" t="s">
        <v>2054</v>
      </c>
      <c r="AL21" t="s">
        <v>70</v>
      </c>
      <c r="AM21" t="s">
        <v>2027</v>
      </c>
    </row>
    <row r="22" spans="1:39" ht="15" hidden="1" thickTop="1" x14ac:dyDescent="0.35">
      <c r="A22" t="s">
        <v>2130</v>
      </c>
      <c r="B22" t="s">
        <v>2134</v>
      </c>
      <c r="C22" t="s">
        <v>100</v>
      </c>
      <c r="D22" t="s">
        <v>2135</v>
      </c>
      <c r="E22" t="s">
        <v>559</v>
      </c>
      <c r="F22">
        <v>1</v>
      </c>
      <c r="G22" t="s">
        <v>2050</v>
      </c>
      <c r="H22" t="s">
        <v>2051</v>
      </c>
      <c r="I22" t="s">
        <v>53</v>
      </c>
      <c r="J22" t="s">
        <v>67</v>
      </c>
      <c r="K22" t="s">
        <v>68</v>
      </c>
      <c r="L22" t="s">
        <v>2052</v>
      </c>
      <c r="M22" t="s">
        <v>2053</v>
      </c>
      <c r="N22">
        <v>0</v>
      </c>
      <c r="O22">
        <v>0</v>
      </c>
      <c r="P22">
        <v>0</v>
      </c>
      <c r="Q22">
        <v>1440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101</v>
      </c>
      <c r="AH22" s="21" t="s">
        <v>3424</v>
      </c>
      <c r="AI22" s="21">
        <v>107.92500000000001</v>
      </c>
      <c r="AJ22" s="21">
        <v>100</v>
      </c>
      <c r="AK22" s="21" t="s">
        <v>2054</v>
      </c>
      <c r="AL22" t="s">
        <v>70</v>
      </c>
      <c r="AM22" t="s">
        <v>2028</v>
      </c>
    </row>
    <row r="23" spans="1:39" ht="15" hidden="1" thickTop="1" x14ac:dyDescent="0.35">
      <c r="A23" t="s">
        <v>2131</v>
      </c>
      <c r="B23" t="s">
        <v>2136</v>
      </c>
      <c r="C23" t="s">
        <v>102</v>
      </c>
      <c r="D23" t="s">
        <v>2137</v>
      </c>
      <c r="E23" t="s">
        <v>559</v>
      </c>
      <c r="F23">
        <v>1</v>
      </c>
      <c r="G23" t="s">
        <v>2050</v>
      </c>
      <c r="H23" t="s">
        <v>2051</v>
      </c>
      <c r="I23" t="s">
        <v>53</v>
      </c>
      <c r="J23" t="s">
        <v>67</v>
      </c>
      <c r="K23" t="s">
        <v>68</v>
      </c>
      <c r="L23" t="s">
        <v>2052</v>
      </c>
      <c r="M23" t="s">
        <v>2053</v>
      </c>
      <c r="N23">
        <v>0</v>
      </c>
      <c r="O23">
        <v>0</v>
      </c>
      <c r="P23">
        <v>0</v>
      </c>
      <c r="Q23">
        <v>1440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103</v>
      </c>
      <c r="AH23" s="21" t="s">
        <v>3425</v>
      </c>
      <c r="AI23" s="21">
        <v>107.92500000000001</v>
      </c>
      <c r="AJ23" s="21">
        <v>100</v>
      </c>
      <c r="AK23" s="21" t="s">
        <v>2054</v>
      </c>
      <c r="AL23" t="s">
        <v>70</v>
      </c>
      <c r="AM23" t="s">
        <v>2027</v>
      </c>
    </row>
    <row r="24" spans="1:39" ht="15" hidden="1" thickTop="1" x14ac:dyDescent="0.35">
      <c r="A24" t="s">
        <v>2139</v>
      </c>
      <c r="B24" t="s">
        <v>2140</v>
      </c>
      <c r="C24" t="s">
        <v>66</v>
      </c>
      <c r="D24" t="s">
        <v>2141</v>
      </c>
      <c r="E24" t="s">
        <v>559</v>
      </c>
      <c r="F24">
        <v>2</v>
      </c>
      <c r="G24" t="s">
        <v>2050</v>
      </c>
      <c r="H24" t="s">
        <v>2051</v>
      </c>
      <c r="I24" t="s">
        <v>53</v>
      </c>
      <c r="J24" t="s">
        <v>67</v>
      </c>
      <c r="K24" t="s">
        <v>68</v>
      </c>
      <c r="L24" t="s">
        <v>2052</v>
      </c>
      <c r="M24" t="s">
        <v>2053</v>
      </c>
      <c r="N24">
        <v>0</v>
      </c>
      <c r="O24">
        <v>0</v>
      </c>
      <c r="P24">
        <v>0</v>
      </c>
      <c r="Q24">
        <v>1440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104</v>
      </c>
      <c r="AH24" s="21" t="s">
        <v>3428</v>
      </c>
      <c r="AI24" s="21">
        <v>107.92500000000001</v>
      </c>
      <c r="AJ24" s="21">
        <v>100</v>
      </c>
      <c r="AK24" s="21" t="s">
        <v>2054</v>
      </c>
      <c r="AL24" t="s">
        <v>70</v>
      </c>
      <c r="AM24" t="s">
        <v>2028</v>
      </c>
    </row>
    <row r="25" spans="1:39" ht="15" hidden="1" thickTop="1" x14ac:dyDescent="0.35">
      <c r="A25" t="s">
        <v>2142</v>
      </c>
      <c r="B25" t="s">
        <v>2147</v>
      </c>
      <c r="C25" t="s">
        <v>76</v>
      </c>
      <c r="D25" t="s">
        <v>2148</v>
      </c>
      <c r="E25" t="s">
        <v>559</v>
      </c>
      <c r="F25">
        <v>1</v>
      </c>
      <c r="G25" t="s">
        <v>2050</v>
      </c>
      <c r="H25" t="s">
        <v>2051</v>
      </c>
      <c r="I25" t="s">
        <v>53</v>
      </c>
      <c r="J25" t="s">
        <v>67</v>
      </c>
      <c r="K25" t="s">
        <v>68</v>
      </c>
      <c r="L25" t="s">
        <v>2052</v>
      </c>
      <c r="M25" t="s">
        <v>2064</v>
      </c>
      <c r="N25">
        <v>0</v>
      </c>
      <c r="O25">
        <v>0</v>
      </c>
      <c r="P25">
        <v>0</v>
      </c>
      <c r="Q25">
        <v>900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105</v>
      </c>
      <c r="AH25" s="21" t="s">
        <v>3425</v>
      </c>
      <c r="AI25" s="21">
        <v>67.5</v>
      </c>
      <c r="AJ25" s="21">
        <v>100</v>
      </c>
      <c r="AK25" s="21" t="s">
        <v>2054</v>
      </c>
      <c r="AL25" t="s">
        <v>70</v>
      </c>
      <c r="AM25" t="s">
        <v>2029</v>
      </c>
    </row>
    <row r="26" spans="1:39" ht="15" hidden="1" thickTop="1" x14ac:dyDescent="0.35">
      <c r="A26" t="s">
        <v>2143</v>
      </c>
      <c r="B26" t="s">
        <v>2149</v>
      </c>
      <c r="C26" t="s">
        <v>76</v>
      </c>
      <c r="D26" t="s">
        <v>2150</v>
      </c>
      <c r="E26" t="s">
        <v>559</v>
      </c>
      <c r="F26">
        <v>1</v>
      </c>
      <c r="G26" t="s">
        <v>2050</v>
      </c>
      <c r="H26" t="s">
        <v>2051</v>
      </c>
      <c r="I26" t="s">
        <v>53</v>
      </c>
      <c r="J26" t="s">
        <v>67</v>
      </c>
      <c r="K26" t="s">
        <v>68</v>
      </c>
      <c r="L26" t="s">
        <v>2052</v>
      </c>
      <c r="M26" t="s">
        <v>2064</v>
      </c>
      <c r="N26">
        <v>0</v>
      </c>
      <c r="O26">
        <v>0</v>
      </c>
      <c r="P26">
        <v>0</v>
      </c>
      <c r="Q26">
        <v>900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106</v>
      </c>
      <c r="AH26" s="21" t="s">
        <v>3424</v>
      </c>
      <c r="AI26" s="21">
        <v>67.5</v>
      </c>
      <c r="AJ26" s="21">
        <v>100</v>
      </c>
      <c r="AK26" s="21" t="s">
        <v>2054</v>
      </c>
      <c r="AL26" t="s">
        <v>70</v>
      </c>
      <c r="AM26" t="s">
        <v>2028</v>
      </c>
    </row>
    <row r="27" spans="1:39" ht="15" hidden="1" thickTop="1" x14ac:dyDescent="0.35">
      <c r="A27" t="s">
        <v>2144</v>
      </c>
      <c r="B27" t="s">
        <v>2151</v>
      </c>
      <c r="C27" t="s">
        <v>86</v>
      </c>
      <c r="D27" t="s">
        <v>2152</v>
      </c>
      <c r="E27" t="s">
        <v>72</v>
      </c>
      <c r="F27">
        <v>1</v>
      </c>
      <c r="G27" t="s">
        <v>2050</v>
      </c>
      <c r="H27" t="s">
        <v>2051</v>
      </c>
      <c r="I27" t="s">
        <v>53</v>
      </c>
      <c r="J27" t="s">
        <v>73</v>
      </c>
      <c r="K27" t="s">
        <v>68</v>
      </c>
      <c r="L27" t="s">
        <v>2052</v>
      </c>
      <c r="M27" t="s">
        <v>2064</v>
      </c>
      <c r="N27">
        <v>0</v>
      </c>
      <c r="O27">
        <v>0</v>
      </c>
      <c r="P27">
        <v>0</v>
      </c>
      <c r="Q27">
        <v>900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107</v>
      </c>
      <c r="AH27" s="21" t="s">
        <v>3424</v>
      </c>
      <c r="AI27" s="21">
        <v>67.5</v>
      </c>
      <c r="AJ27" s="21">
        <v>100</v>
      </c>
      <c r="AK27" s="21" t="s">
        <v>2054</v>
      </c>
      <c r="AL27" t="s">
        <v>75</v>
      </c>
      <c r="AM27" t="s">
        <v>2029</v>
      </c>
    </row>
    <row r="28" spans="1:39" ht="15" hidden="1" thickTop="1" x14ac:dyDescent="0.35">
      <c r="A28" t="s">
        <v>2146</v>
      </c>
      <c r="B28" t="s">
        <v>2156</v>
      </c>
      <c r="C28" t="s">
        <v>102</v>
      </c>
      <c r="D28" t="s">
        <v>2157</v>
      </c>
      <c r="E28" t="s">
        <v>559</v>
      </c>
      <c r="F28">
        <v>1</v>
      </c>
      <c r="G28" t="s">
        <v>2050</v>
      </c>
      <c r="H28" t="s">
        <v>2051</v>
      </c>
      <c r="I28" t="s">
        <v>53</v>
      </c>
      <c r="J28" t="s">
        <v>67</v>
      </c>
      <c r="K28" t="s">
        <v>68</v>
      </c>
      <c r="L28" t="s">
        <v>2052</v>
      </c>
      <c r="M28" t="s">
        <v>2053</v>
      </c>
      <c r="N28">
        <v>0</v>
      </c>
      <c r="O28">
        <v>0</v>
      </c>
      <c r="P28">
        <v>0</v>
      </c>
      <c r="Q28">
        <v>1440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108</v>
      </c>
      <c r="AH28" s="21" t="s">
        <v>3425</v>
      </c>
      <c r="AI28" s="21">
        <v>107.92500000000001</v>
      </c>
      <c r="AJ28" s="21">
        <v>100</v>
      </c>
      <c r="AK28" s="21" t="s">
        <v>2054</v>
      </c>
      <c r="AL28" t="s">
        <v>70</v>
      </c>
      <c r="AM28" t="s">
        <v>2027</v>
      </c>
    </row>
    <row r="29" spans="1:39" ht="15" hidden="1" thickTop="1" x14ac:dyDescent="0.35">
      <c r="A29" t="s">
        <v>2154</v>
      </c>
      <c r="B29" t="s">
        <v>2160</v>
      </c>
      <c r="C29" t="s">
        <v>102</v>
      </c>
      <c r="D29" t="s">
        <v>2161</v>
      </c>
      <c r="E29" t="s">
        <v>559</v>
      </c>
      <c r="F29">
        <v>1</v>
      </c>
      <c r="G29" t="s">
        <v>2050</v>
      </c>
      <c r="H29" t="s">
        <v>2051</v>
      </c>
      <c r="I29" t="s">
        <v>53</v>
      </c>
      <c r="J29" t="s">
        <v>67</v>
      </c>
      <c r="K29" t="s">
        <v>68</v>
      </c>
      <c r="L29" t="s">
        <v>2052</v>
      </c>
      <c r="M29" t="s">
        <v>2053</v>
      </c>
      <c r="N29">
        <v>1</v>
      </c>
      <c r="O29">
        <v>18</v>
      </c>
      <c r="P29">
        <v>1.25</v>
      </c>
      <c r="Q29">
        <v>1440</v>
      </c>
      <c r="R29">
        <v>1</v>
      </c>
      <c r="S29">
        <v>18</v>
      </c>
      <c r="T29">
        <v>1.25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109</v>
      </c>
      <c r="AH29" s="21" t="s">
        <v>3429</v>
      </c>
      <c r="AI29" s="21">
        <v>107.92500000000001</v>
      </c>
      <c r="AJ29" s="21">
        <v>98.75</v>
      </c>
      <c r="AK29" s="21" t="s">
        <v>2054</v>
      </c>
      <c r="AL29" t="s">
        <v>70</v>
      </c>
      <c r="AM29" t="s">
        <v>2028</v>
      </c>
    </row>
    <row r="30" spans="1:39" ht="15" hidden="1" thickTop="1" x14ac:dyDescent="0.35">
      <c r="A30" t="s">
        <v>2155</v>
      </c>
      <c r="B30" t="s">
        <v>2162</v>
      </c>
      <c r="C30" t="s">
        <v>78</v>
      </c>
      <c r="D30" t="s">
        <v>2163</v>
      </c>
      <c r="E30" t="s">
        <v>559</v>
      </c>
      <c r="F30">
        <v>1</v>
      </c>
      <c r="G30" t="s">
        <v>2050</v>
      </c>
      <c r="H30" t="s">
        <v>2051</v>
      </c>
      <c r="I30" t="s">
        <v>53</v>
      </c>
      <c r="J30" t="s">
        <v>67</v>
      </c>
      <c r="K30" t="s">
        <v>68</v>
      </c>
      <c r="L30" t="s">
        <v>2052</v>
      </c>
      <c r="M30" t="s">
        <v>2053</v>
      </c>
      <c r="N30">
        <v>0</v>
      </c>
      <c r="O30">
        <v>0</v>
      </c>
      <c r="P30">
        <v>0</v>
      </c>
      <c r="Q30">
        <v>1440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110</v>
      </c>
      <c r="AH30" s="21" t="s">
        <v>3424</v>
      </c>
      <c r="AI30" s="21">
        <v>107.92500000000001</v>
      </c>
      <c r="AJ30" s="21">
        <v>100</v>
      </c>
      <c r="AK30" s="21" t="s">
        <v>2054</v>
      </c>
      <c r="AL30" t="s">
        <v>70</v>
      </c>
      <c r="AM30" t="s">
        <v>2029</v>
      </c>
    </row>
    <row r="31" spans="1:39" ht="15" hidden="1" thickTop="1" x14ac:dyDescent="0.35">
      <c r="A31" t="s">
        <v>2159</v>
      </c>
      <c r="B31" t="s">
        <v>2164</v>
      </c>
      <c r="C31" t="s">
        <v>111</v>
      </c>
      <c r="D31" t="s">
        <v>2165</v>
      </c>
      <c r="E31" t="s">
        <v>112</v>
      </c>
      <c r="F31">
        <v>1</v>
      </c>
      <c r="G31" t="s">
        <v>2050</v>
      </c>
      <c r="H31" t="s">
        <v>2051</v>
      </c>
      <c r="I31" t="s">
        <v>53</v>
      </c>
      <c r="J31" t="s">
        <v>113</v>
      </c>
      <c r="K31" t="s">
        <v>68</v>
      </c>
      <c r="L31" t="s">
        <v>2052</v>
      </c>
      <c r="M31" t="s">
        <v>2053</v>
      </c>
      <c r="N31">
        <v>0</v>
      </c>
      <c r="O31">
        <v>0</v>
      </c>
      <c r="P31">
        <v>0</v>
      </c>
      <c r="Q31">
        <v>1440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114</v>
      </c>
      <c r="AH31" s="21" t="s">
        <v>3424</v>
      </c>
      <c r="AI31" s="21">
        <v>107.92500000000001</v>
      </c>
      <c r="AJ31" s="21">
        <v>100</v>
      </c>
      <c r="AK31" s="21" t="s">
        <v>2054</v>
      </c>
      <c r="AL31" t="s">
        <v>115</v>
      </c>
      <c r="AM31" t="s">
        <v>2027</v>
      </c>
    </row>
    <row r="32" spans="1:39" ht="15" hidden="1" thickTop="1" x14ac:dyDescent="0.35">
      <c r="A32" t="s">
        <v>2167</v>
      </c>
      <c r="B32" t="s">
        <v>2171</v>
      </c>
      <c r="C32" t="s">
        <v>117</v>
      </c>
      <c r="D32" t="s">
        <v>2172</v>
      </c>
      <c r="E32" t="s">
        <v>559</v>
      </c>
      <c r="F32">
        <v>1</v>
      </c>
      <c r="G32" t="s">
        <v>2050</v>
      </c>
      <c r="H32" t="s">
        <v>2051</v>
      </c>
      <c r="I32" t="s">
        <v>53</v>
      </c>
      <c r="J32" t="s">
        <v>67</v>
      </c>
      <c r="K32" t="s">
        <v>68</v>
      </c>
      <c r="L32" t="s">
        <v>2052</v>
      </c>
      <c r="M32" t="s">
        <v>2066</v>
      </c>
      <c r="N32">
        <v>0</v>
      </c>
      <c r="O32">
        <v>0</v>
      </c>
      <c r="P32">
        <v>0</v>
      </c>
      <c r="Q32">
        <v>780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118</v>
      </c>
      <c r="AH32" s="21" t="s">
        <v>3425</v>
      </c>
      <c r="AI32" s="21">
        <v>58.5</v>
      </c>
      <c r="AJ32" s="21">
        <v>100</v>
      </c>
      <c r="AK32" s="21" t="s">
        <v>2054</v>
      </c>
      <c r="AL32" t="s">
        <v>70</v>
      </c>
      <c r="AM32" t="s">
        <v>2029</v>
      </c>
    </row>
    <row r="33" spans="1:39" ht="15" hidden="1" thickTop="1" x14ac:dyDescent="0.35">
      <c r="A33" t="s">
        <v>2169</v>
      </c>
      <c r="B33" t="s">
        <v>2173</v>
      </c>
      <c r="C33" t="s">
        <v>76</v>
      </c>
      <c r="D33" t="s">
        <v>2174</v>
      </c>
      <c r="E33" t="s">
        <v>119</v>
      </c>
      <c r="F33">
        <v>1</v>
      </c>
      <c r="G33" t="s">
        <v>2050</v>
      </c>
      <c r="H33" t="s">
        <v>2051</v>
      </c>
      <c r="I33" t="s">
        <v>53</v>
      </c>
      <c r="J33" t="s">
        <v>67</v>
      </c>
      <c r="K33" t="s">
        <v>68</v>
      </c>
      <c r="L33" t="s">
        <v>2052</v>
      </c>
      <c r="M33" t="s">
        <v>2053</v>
      </c>
      <c r="N33">
        <v>0</v>
      </c>
      <c r="O33">
        <v>0</v>
      </c>
      <c r="P33">
        <v>0</v>
      </c>
      <c r="Q33">
        <v>1440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120</v>
      </c>
      <c r="AH33" s="21" t="s">
        <v>3425</v>
      </c>
      <c r="AI33" s="21">
        <v>107.92500000000001</v>
      </c>
      <c r="AJ33" s="21">
        <v>100</v>
      </c>
      <c r="AK33" s="21" t="s">
        <v>2054</v>
      </c>
      <c r="AL33" t="s">
        <v>70</v>
      </c>
      <c r="AM33" t="s">
        <v>2028</v>
      </c>
    </row>
    <row r="34" spans="1:39" ht="15" hidden="1" thickTop="1" x14ac:dyDescent="0.35">
      <c r="A34" t="s">
        <v>2170</v>
      </c>
      <c r="B34" t="s">
        <v>2175</v>
      </c>
      <c r="C34" t="s">
        <v>76</v>
      </c>
      <c r="D34" t="s">
        <v>2176</v>
      </c>
      <c r="E34" t="s">
        <v>559</v>
      </c>
      <c r="F34">
        <v>2</v>
      </c>
      <c r="G34" t="s">
        <v>2050</v>
      </c>
      <c r="H34" t="s">
        <v>2051</v>
      </c>
      <c r="I34" t="s">
        <v>53</v>
      </c>
      <c r="J34" t="s">
        <v>67</v>
      </c>
      <c r="K34" t="s">
        <v>68</v>
      </c>
      <c r="L34" t="s">
        <v>2052</v>
      </c>
      <c r="M34" t="s">
        <v>2053</v>
      </c>
      <c r="N34">
        <v>0</v>
      </c>
      <c r="O34">
        <v>0</v>
      </c>
      <c r="P34">
        <v>0</v>
      </c>
      <c r="Q34">
        <v>1440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121</v>
      </c>
      <c r="AH34" s="21" t="s">
        <v>3425</v>
      </c>
      <c r="AI34" s="21">
        <v>107.92500000000001</v>
      </c>
      <c r="AJ34" s="21">
        <v>100</v>
      </c>
      <c r="AK34" s="21" t="s">
        <v>2055</v>
      </c>
      <c r="AL34" t="s">
        <v>70</v>
      </c>
      <c r="AM34" t="s">
        <v>2030</v>
      </c>
    </row>
    <row r="35" spans="1:39" ht="15" hidden="1" thickTop="1" x14ac:dyDescent="0.35">
      <c r="A35" t="s">
        <v>2178</v>
      </c>
      <c r="B35" t="s">
        <v>2183</v>
      </c>
      <c r="C35" t="s">
        <v>76</v>
      </c>
      <c r="D35" t="s">
        <v>2184</v>
      </c>
      <c r="E35" t="s">
        <v>559</v>
      </c>
      <c r="F35">
        <v>2</v>
      </c>
      <c r="G35" t="s">
        <v>2050</v>
      </c>
      <c r="H35" t="s">
        <v>2051</v>
      </c>
      <c r="I35" t="s">
        <v>53</v>
      </c>
      <c r="J35" t="s">
        <v>67</v>
      </c>
      <c r="K35" t="s">
        <v>68</v>
      </c>
      <c r="L35" t="s">
        <v>2052</v>
      </c>
      <c r="M35" t="s">
        <v>2064</v>
      </c>
      <c r="N35">
        <v>0</v>
      </c>
      <c r="O35">
        <v>0</v>
      </c>
      <c r="P35">
        <v>0</v>
      </c>
      <c r="Q35">
        <v>900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122</v>
      </c>
      <c r="AH35" s="21" t="s">
        <v>3424</v>
      </c>
      <c r="AI35" s="21">
        <v>67.5</v>
      </c>
      <c r="AJ35" s="21">
        <v>100</v>
      </c>
      <c r="AK35" s="21" t="s">
        <v>2054</v>
      </c>
      <c r="AL35" t="s">
        <v>70</v>
      </c>
      <c r="AM35" t="s">
        <v>2029</v>
      </c>
    </row>
    <row r="36" spans="1:39" ht="15" hidden="1" thickTop="1" x14ac:dyDescent="0.35">
      <c r="A36" t="s">
        <v>2179</v>
      </c>
      <c r="B36" t="s">
        <v>2185</v>
      </c>
      <c r="C36" t="s">
        <v>81</v>
      </c>
      <c r="D36" t="s">
        <v>2186</v>
      </c>
      <c r="E36" t="s">
        <v>559</v>
      </c>
      <c r="F36">
        <v>2</v>
      </c>
      <c r="G36" t="s">
        <v>2050</v>
      </c>
      <c r="H36" t="s">
        <v>2051</v>
      </c>
      <c r="I36" t="s">
        <v>53</v>
      </c>
      <c r="J36" t="s">
        <v>82</v>
      </c>
      <c r="K36" t="s">
        <v>68</v>
      </c>
      <c r="L36" t="s">
        <v>2052</v>
      </c>
      <c r="M36" t="s">
        <v>2053</v>
      </c>
      <c r="N36">
        <v>0</v>
      </c>
      <c r="O36">
        <v>0</v>
      </c>
      <c r="P36">
        <v>0</v>
      </c>
      <c r="Q36">
        <v>1440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123</v>
      </c>
      <c r="AH36" s="21" t="s">
        <v>3425</v>
      </c>
      <c r="AI36" s="21">
        <v>107.92500000000001</v>
      </c>
      <c r="AJ36" s="21">
        <v>100</v>
      </c>
      <c r="AK36" s="21" t="s">
        <v>2054</v>
      </c>
      <c r="AL36" t="s">
        <v>70</v>
      </c>
      <c r="AM36" t="s">
        <v>2027</v>
      </c>
    </row>
    <row r="37" spans="1:39" ht="15" hidden="1" thickTop="1" x14ac:dyDescent="0.35">
      <c r="A37" t="s">
        <v>2180</v>
      </c>
      <c r="B37" t="s">
        <v>2187</v>
      </c>
      <c r="C37" t="s">
        <v>100</v>
      </c>
      <c r="D37" t="s">
        <v>2188</v>
      </c>
      <c r="E37" t="s">
        <v>559</v>
      </c>
      <c r="F37">
        <v>1</v>
      </c>
      <c r="G37" t="s">
        <v>2050</v>
      </c>
      <c r="H37" t="s">
        <v>2051</v>
      </c>
      <c r="I37" t="s">
        <v>53</v>
      </c>
      <c r="J37" t="s">
        <v>67</v>
      </c>
      <c r="K37" t="s">
        <v>68</v>
      </c>
      <c r="L37" t="s">
        <v>2052</v>
      </c>
      <c r="M37" t="s">
        <v>2053</v>
      </c>
      <c r="N37">
        <v>0</v>
      </c>
      <c r="O37">
        <v>0</v>
      </c>
      <c r="P37">
        <v>0</v>
      </c>
      <c r="Q37">
        <v>1440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124</v>
      </c>
      <c r="AH37" s="21" t="s">
        <v>3424</v>
      </c>
      <c r="AI37" s="21">
        <v>107.92500000000001</v>
      </c>
      <c r="AJ37" s="21">
        <v>100</v>
      </c>
      <c r="AK37" s="21" t="s">
        <v>2054</v>
      </c>
      <c r="AL37" t="s">
        <v>70</v>
      </c>
      <c r="AM37" t="s">
        <v>2031</v>
      </c>
    </row>
    <row r="38" spans="1:39" ht="15" hidden="1" thickTop="1" x14ac:dyDescent="0.35">
      <c r="A38" t="s">
        <v>2182</v>
      </c>
      <c r="B38" t="s">
        <v>2189</v>
      </c>
      <c r="C38" t="s">
        <v>76</v>
      </c>
      <c r="D38" t="s">
        <v>2190</v>
      </c>
      <c r="E38" t="s">
        <v>559</v>
      </c>
      <c r="F38">
        <v>2</v>
      </c>
      <c r="G38" t="s">
        <v>2050</v>
      </c>
      <c r="H38" t="s">
        <v>2051</v>
      </c>
      <c r="I38" t="s">
        <v>53</v>
      </c>
      <c r="J38" t="s">
        <v>67</v>
      </c>
      <c r="K38" t="s">
        <v>68</v>
      </c>
      <c r="L38" t="s">
        <v>2052</v>
      </c>
      <c r="M38" t="s">
        <v>2084</v>
      </c>
      <c r="N38">
        <v>0</v>
      </c>
      <c r="O38">
        <v>0</v>
      </c>
      <c r="P38">
        <v>0</v>
      </c>
      <c r="Q38">
        <v>840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125</v>
      </c>
      <c r="AH38" s="21" t="s">
        <v>3424</v>
      </c>
      <c r="AI38" s="21">
        <v>62.999999999999986</v>
      </c>
      <c r="AJ38" s="21">
        <v>100</v>
      </c>
      <c r="AK38" s="21" t="s">
        <v>2055</v>
      </c>
      <c r="AL38" t="s">
        <v>70</v>
      </c>
      <c r="AM38" t="s">
        <v>2027</v>
      </c>
    </row>
    <row r="39" spans="1:39" ht="15" hidden="1" thickTop="1" x14ac:dyDescent="0.35">
      <c r="A39" t="s">
        <v>2192</v>
      </c>
      <c r="B39" t="s">
        <v>2195</v>
      </c>
      <c r="C39" t="s">
        <v>565</v>
      </c>
      <c r="D39" t="s">
        <v>2196</v>
      </c>
      <c r="E39" t="s">
        <v>559</v>
      </c>
      <c r="F39">
        <v>2</v>
      </c>
      <c r="G39" t="s">
        <v>2050</v>
      </c>
      <c r="H39" t="s">
        <v>2051</v>
      </c>
      <c r="I39" t="s">
        <v>53</v>
      </c>
      <c r="J39" t="s">
        <v>427</v>
      </c>
      <c r="K39" t="s">
        <v>68</v>
      </c>
      <c r="L39" t="s">
        <v>2052</v>
      </c>
      <c r="M39" t="s">
        <v>2053</v>
      </c>
      <c r="N39">
        <v>0</v>
      </c>
      <c r="O39">
        <v>0</v>
      </c>
      <c r="P39">
        <v>0</v>
      </c>
      <c r="Q39">
        <v>1440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127</v>
      </c>
      <c r="AH39" s="21" t="s">
        <v>3425</v>
      </c>
      <c r="AI39" s="21">
        <v>107.92500000000001</v>
      </c>
      <c r="AJ39" s="21">
        <v>100</v>
      </c>
      <c r="AK39" s="21" t="s">
        <v>2055</v>
      </c>
      <c r="AL39" t="s">
        <v>70</v>
      </c>
      <c r="AM39" t="s">
        <v>2029</v>
      </c>
    </row>
    <row r="40" spans="1:39" ht="15" hidden="1" thickTop="1" x14ac:dyDescent="0.35">
      <c r="A40" t="s">
        <v>2194</v>
      </c>
      <c r="B40" t="s">
        <v>2197</v>
      </c>
      <c r="C40" t="s">
        <v>128</v>
      </c>
      <c r="D40" t="s">
        <v>2198</v>
      </c>
      <c r="E40" t="s">
        <v>112</v>
      </c>
      <c r="F40">
        <v>1</v>
      </c>
      <c r="G40" t="s">
        <v>2050</v>
      </c>
      <c r="H40" t="s">
        <v>2051</v>
      </c>
      <c r="I40" t="s">
        <v>53</v>
      </c>
      <c r="J40" t="s">
        <v>113</v>
      </c>
      <c r="K40" t="s">
        <v>68</v>
      </c>
      <c r="L40" t="s">
        <v>2052</v>
      </c>
      <c r="M40" t="s">
        <v>2053</v>
      </c>
      <c r="N40">
        <v>0</v>
      </c>
      <c r="O40">
        <v>0</v>
      </c>
      <c r="P40">
        <v>0</v>
      </c>
      <c r="Q40">
        <v>1440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129</v>
      </c>
      <c r="AH40" s="21" t="s">
        <v>3425</v>
      </c>
      <c r="AI40" s="21">
        <v>107.92500000000001</v>
      </c>
      <c r="AJ40" s="21">
        <v>100</v>
      </c>
      <c r="AK40" s="21" t="s">
        <v>2055</v>
      </c>
      <c r="AL40" t="s">
        <v>115</v>
      </c>
      <c r="AM40" t="s">
        <v>2027</v>
      </c>
    </row>
    <row r="41" spans="1:39" ht="15" hidden="1" thickTop="1" x14ac:dyDescent="0.35">
      <c r="A41" t="s">
        <v>2199</v>
      </c>
      <c r="B41" t="s">
        <v>2200</v>
      </c>
      <c r="C41" t="s">
        <v>117</v>
      </c>
      <c r="D41" t="s">
        <v>2201</v>
      </c>
      <c r="E41" t="s">
        <v>559</v>
      </c>
      <c r="F41">
        <v>1</v>
      </c>
      <c r="G41" t="s">
        <v>2050</v>
      </c>
      <c r="H41" t="s">
        <v>2051</v>
      </c>
      <c r="I41" t="s">
        <v>53</v>
      </c>
      <c r="J41" t="s">
        <v>67</v>
      </c>
      <c r="K41" t="s">
        <v>68</v>
      </c>
      <c r="L41" t="s">
        <v>2052</v>
      </c>
      <c r="M41" t="s">
        <v>2053</v>
      </c>
      <c r="N41">
        <v>0</v>
      </c>
      <c r="O41">
        <v>0</v>
      </c>
      <c r="P41">
        <v>0</v>
      </c>
      <c r="Q41">
        <v>1440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130</v>
      </c>
      <c r="AH41" s="21" t="s">
        <v>3424</v>
      </c>
      <c r="AI41" s="21">
        <v>107.92500000000001</v>
      </c>
      <c r="AJ41" s="21">
        <v>100</v>
      </c>
      <c r="AK41" s="21" t="s">
        <v>2054</v>
      </c>
      <c r="AL41" t="s">
        <v>70</v>
      </c>
      <c r="AM41" t="s">
        <v>2029</v>
      </c>
    </row>
    <row r="42" spans="1:39" ht="15" hidden="1" thickTop="1" x14ac:dyDescent="0.35">
      <c r="A42" t="s">
        <v>2203</v>
      </c>
      <c r="B42" t="s">
        <v>2207</v>
      </c>
      <c r="C42" t="s">
        <v>86</v>
      </c>
      <c r="D42" t="s">
        <v>2208</v>
      </c>
      <c r="E42" t="s">
        <v>72</v>
      </c>
      <c r="F42">
        <v>1</v>
      </c>
      <c r="G42" t="s">
        <v>2050</v>
      </c>
      <c r="H42" t="s">
        <v>2051</v>
      </c>
      <c r="I42" t="s">
        <v>53</v>
      </c>
      <c r="J42" t="s">
        <v>73</v>
      </c>
      <c r="K42" t="s">
        <v>68</v>
      </c>
      <c r="L42" t="s">
        <v>2052</v>
      </c>
      <c r="M42" t="s">
        <v>2063</v>
      </c>
      <c r="N42">
        <v>0</v>
      </c>
      <c r="O42">
        <v>0</v>
      </c>
      <c r="P42">
        <v>0</v>
      </c>
      <c r="Q42">
        <v>1020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131</v>
      </c>
      <c r="AH42" s="21" t="s">
        <v>3430</v>
      </c>
      <c r="AI42" s="21">
        <v>76.500000000000014</v>
      </c>
      <c r="AJ42" s="21">
        <v>100</v>
      </c>
      <c r="AK42" s="21" t="s">
        <v>2054</v>
      </c>
      <c r="AL42" t="s">
        <v>75</v>
      </c>
      <c r="AM42" t="s">
        <v>2027</v>
      </c>
    </row>
    <row r="43" spans="1:39" ht="15" hidden="1" thickTop="1" x14ac:dyDescent="0.35">
      <c r="A43" t="s">
        <v>2204</v>
      </c>
      <c r="B43" t="s">
        <v>2213</v>
      </c>
      <c r="C43" t="s">
        <v>820</v>
      </c>
      <c r="D43" t="s">
        <v>2214</v>
      </c>
      <c r="E43" t="s">
        <v>72</v>
      </c>
      <c r="F43">
        <v>1</v>
      </c>
      <c r="G43" t="s">
        <v>2050</v>
      </c>
      <c r="H43" t="s">
        <v>2051</v>
      </c>
      <c r="I43" t="s">
        <v>53</v>
      </c>
      <c r="J43" t="s">
        <v>424</v>
      </c>
      <c r="K43" t="s">
        <v>68</v>
      </c>
      <c r="L43" t="s">
        <v>2052</v>
      </c>
      <c r="M43" t="s">
        <v>2053</v>
      </c>
      <c r="N43">
        <v>0</v>
      </c>
      <c r="O43">
        <v>0</v>
      </c>
      <c r="P43">
        <v>0</v>
      </c>
      <c r="Q43">
        <v>1440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133</v>
      </c>
      <c r="AH43" s="21" t="s">
        <v>3425</v>
      </c>
      <c r="AI43" s="21">
        <v>107.92500000000001</v>
      </c>
      <c r="AJ43" s="21">
        <v>100</v>
      </c>
      <c r="AK43" s="21" t="s">
        <v>2054</v>
      </c>
      <c r="AL43" t="s">
        <v>75</v>
      </c>
      <c r="AM43" t="s">
        <v>2027</v>
      </c>
    </row>
    <row r="44" spans="1:39" ht="15" hidden="1" thickTop="1" x14ac:dyDescent="0.35">
      <c r="A44" t="s">
        <v>2206</v>
      </c>
      <c r="B44" t="s">
        <v>2215</v>
      </c>
      <c r="C44" t="s">
        <v>3376</v>
      </c>
      <c r="D44" t="s">
        <v>2216</v>
      </c>
      <c r="E44" t="s">
        <v>559</v>
      </c>
      <c r="F44">
        <v>1</v>
      </c>
      <c r="G44" t="s">
        <v>2050</v>
      </c>
      <c r="H44" t="s">
        <v>2051</v>
      </c>
      <c r="I44" t="s">
        <v>53</v>
      </c>
      <c r="J44" t="s">
        <v>67</v>
      </c>
      <c r="K44" t="s">
        <v>68</v>
      </c>
      <c r="L44" t="s">
        <v>2052</v>
      </c>
      <c r="M44" t="s">
        <v>2053</v>
      </c>
      <c r="N44">
        <v>0</v>
      </c>
      <c r="O44">
        <v>0</v>
      </c>
      <c r="P44">
        <v>0</v>
      </c>
      <c r="Q44">
        <v>1440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134</v>
      </c>
      <c r="AH44" s="21" t="s">
        <v>3425</v>
      </c>
      <c r="AI44" s="21">
        <v>107.92500000000001</v>
      </c>
      <c r="AJ44" s="21">
        <v>100</v>
      </c>
      <c r="AK44" s="21" t="s">
        <v>2054</v>
      </c>
      <c r="AL44" t="s">
        <v>70</v>
      </c>
      <c r="AM44" t="s">
        <v>2027</v>
      </c>
    </row>
    <row r="45" spans="1:39" ht="15" hidden="1" thickTop="1" x14ac:dyDescent="0.35">
      <c r="A45" t="s">
        <v>2210</v>
      </c>
      <c r="B45" t="s">
        <v>2220</v>
      </c>
      <c r="C45" t="s">
        <v>135</v>
      </c>
      <c r="D45" t="s">
        <v>2221</v>
      </c>
      <c r="E45" t="s">
        <v>136</v>
      </c>
      <c r="F45">
        <v>1</v>
      </c>
      <c r="G45" t="s">
        <v>2050</v>
      </c>
      <c r="H45" t="s">
        <v>2051</v>
      </c>
      <c r="I45" t="s">
        <v>53</v>
      </c>
      <c r="J45" t="s">
        <v>137</v>
      </c>
      <c r="K45" t="s">
        <v>68</v>
      </c>
      <c r="L45" t="s">
        <v>2052</v>
      </c>
      <c r="M45" t="s">
        <v>2053</v>
      </c>
      <c r="N45">
        <v>0</v>
      </c>
      <c r="O45">
        <v>0</v>
      </c>
      <c r="P45">
        <v>0</v>
      </c>
      <c r="Q45">
        <v>1440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138</v>
      </c>
      <c r="AH45" s="21" t="s">
        <v>3425</v>
      </c>
      <c r="AI45" s="21">
        <v>107.92500000000001</v>
      </c>
      <c r="AJ45" s="21">
        <v>100</v>
      </c>
      <c r="AK45" s="21" t="s">
        <v>2054</v>
      </c>
      <c r="AL45" t="s">
        <v>115</v>
      </c>
      <c r="AM45" t="s">
        <v>2027</v>
      </c>
    </row>
    <row r="46" spans="1:39" ht="15" hidden="1" thickTop="1" x14ac:dyDescent="0.35">
      <c r="A46" t="s">
        <v>2212</v>
      </c>
      <c r="B46" t="s">
        <v>2222</v>
      </c>
      <c r="C46" t="s">
        <v>3376</v>
      </c>
      <c r="D46" t="s">
        <v>2223</v>
      </c>
      <c r="E46" t="s">
        <v>559</v>
      </c>
      <c r="F46">
        <v>1</v>
      </c>
      <c r="G46" t="s">
        <v>2050</v>
      </c>
      <c r="H46" t="s">
        <v>2051</v>
      </c>
      <c r="I46" t="s">
        <v>53</v>
      </c>
      <c r="J46" t="s">
        <v>67</v>
      </c>
      <c r="K46" t="s">
        <v>68</v>
      </c>
      <c r="L46" t="s">
        <v>2052</v>
      </c>
      <c r="M46" t="s">
        <v>2053</v>
      </c>
      <c r="N46">
        <v>0</v>
      </c>
      <c r="O46">
        <v>0</v>
      </c>
      <c r="P46">
        <v>0</v>
      </c>
      <c r="Q46">
        <v>1440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139</v>
      </c>
      <c r="AH46" s="21" t="s">
        <v>3425</v>
      </c>
      <c r="AI46" s="21">
        <v>107.92500000000001</v>
      </c>
      <c r="AJ46" s="21">
        <v>100</v>
      </c>
      <c r="AK46" s="21" t="s">
        <v>2054</v>
      </c>
      <c r="AL46" t="s">
        <v>70</v>
      </c>
      <c r="AM46" t="s">
        <v>2027</v>
      </c>
    </row>
    <row r="47" spans="1:39" ht="15" hidden="1" thickTop="1" x14ac:dyDescent="0.35">
      <c r="A47" t="s">
        <v>2218</v>
      </c>
      <c r="B47" t="s">
        <v>2230</v>
      </c>
      <c r="C47" t="s">
        <v>78</v>
      </c>
      <c r="D47" t="s">
        <v>2231</v>
      </c>
      <c r="E47" t="s">
        <v>559</v>
      </c>
      <c r="F47">
        <v>1</v>
      </c>
      <c r="G47" t="s">
        <v>2050</v>
      </c>
      <c r="H47" t="s">
        <v>2051</v>
      </c>
      <c r="I47" t="s">
        <v>53</v>
      </c>
      <c r="J47" t="s">
        <v>67</v>
      </c>
      <c r="K47" t="s">
        <v>68</v>
      </c>
      <c r="L47" t="s">
        <v>2052</v>
      </c>
      <c r="M47" t="s">
        <v>2053</v>
      </c>
      <c r="N47">
        <v>0</v>
      </c>
      <c r="O47">
        <v>0</v>
      </c>
      <c r="P47">
        <v>0</v>
      </c>
      <c r="Q47">
        <v>1440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140</v>
      </c>
      <c r="AH47" s="21" t="s">
        <v>3425</v>
      </c>
      <c r="AI47" s="21">
        <v>107.92500000000001</v>
      </c>
      <c r="AJ47" s="21">
        <v>100</v>
      </c>
      <c r="AK47" s="21" t="s">
        <v>2054</v>
      </c>
      <c r="AL47" t="s">
        <v>70</v>
      </c>
      <c r="AM47" t="s">
        <v>2029</v>
      </c>
    </row>
    <row r="48" spans="1:39" ht="15" hidden="1" thickTop="1" x14ac:dyDescent="0.35">
      <c r="A48" t="s">
        <v>2219</v>
      </c>
      <c r="B48" t="s">
        <v>2232</v>
      </c>
      <c r="C48" t="s">
        <v>92</v>
      </c>
      <c r="D48" t="s">
        <v>2233</v>
      </c>
      <c r="E48" t="s">
        <v>119</v>
      </c>
      <c r="F48">
        <v>1</v>
      </c>
      <c r="G48" t="s">
        <v>2050</v>
      </c>
      <c r="H48" t="s">
        <v>2051</v>
      </c>
      <c r="I48" t="s">
        <v>53</v>
      </c>
      <c r="J48" t="s">
        <v>67</v>
      </c>
      <c r="K48" t="s">
        <v>68</v>
      </c>
      <c r="L48" t="s">
        <v>2052</v>
      </c>
      <c r="M48" t="s">
        <v>2053</v>
      </c>
      <c r="N48">
        <v>0</v>
      </c>
      <c r="O48">
        <v>0</v>
      </c>
      <c r="P48">
        <v>0</v>
      </c>
      <c r="Q48">
        <v>1440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141</v>
      </c>
      <c r="AH48" s="21" t="s">
        <v>3427</v>
      </c>
      <c r="AI48" s="21">
        <v>107.92500000000001</v>
      </c>
      <c r="AJ48" s="21">
        <v>100</v>
      </c>
      <c r="AK48" s="21" t="s">
        <v>2054</v>
      </c>
      <c r="AL48" t="s">
        <v>70</v>
      </c>
      <c r="AM48" t="s">
        <v>2027</v>
      </c>
    </row>
    <row r="49" spans="1:39" ht="15" hidden="1" thickTop="1" x14ac:dyDescent="0.35">
      <c r="A49" t="s">
        <v>2225</v>
      </c>
      <c r="B49" t="s">
        <v>2238</v>
      </c>
      <c r="C49" t="s">
        <v>81</v>
      </c>
      <c r="D49" t="s">
        <v>2239</v>
      </c>
      <c r="E49" t="s">
        <v>559</v>
      </c>
      <c r="F49">
        <v>1</v>
      </c>
      <c r="G49" t="s">
        <v>2050</v>
      </c>
      <c r="H49" t="s">
        <v>2051</v>
      </c>
      <c r="I49" t="s">
        <v>53</v>
      </c>
      <c r="J49" t="s">
        <v>82</v>
      </c>
      <c r="K49" t="s">
        <v>68</v>
      </c>
      <c r="L49" t="s">
        <v>2052</v>
      </c>
      <c r="M49" t="s">
        <v>2053</v>
      </c>
      <c r="N49">
        <v>0</v>
      </c>
      <c r="O49">
        <v>0</v>
      </c>
      <c r="P49">
        <v>0</v>
      </c>
      <c r="Q49">
        <v>1440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142</v>
      </c>
      <c r="AH49" s="21" t="s">
        <v>3425</v>
      </c>
      <c r="AI49" s="21">
        <v>107.92500000000001</v>
      </c>
      <c r="AJ49" s="21">
        <v>100</v>
      </c>
      <c r="AK49" s="21" t="s">
        <v>2054</v>
      </c>
      <c r="AL49" t="s">
        <v>70</v>
      </c>
      <c r="AM49" t="s">
        <v>2029</v>
      </c>
    </row>
    <row r="50" spans="1:39" ht="15" hidden="1" thickTop="1" x14ac:dyDescent="0.35">
      <c r="A50" t="s">
        <v>2226</v>
      </c>
      <c r="B50" t="s">
        <v>2240</v>
      </c>
      <c r="C50" t="s">
        <v>76</v>
      </c>
      <c r="D50" t="s">
        <v>2241</v>
      </c>
      <c r="E50" t="s">
        <v>119</v>
      </c>
      <c r="F50">
        <v>1</v>
      </c>
      <c r="G50" t="s">
        <v>2050</v>
      </c>
      <c r="H50" t="s">
        <v>2051</v>
      </c>
      <c r="I50" t="s">
        <v>53</v>
      </c>
      <c r="J50" t="s">
        <v>67</v>
      </c>
      <c r="K50" t="s">
        <v>68</v>
      </c>
      <c r="L50" t="s">
        <v>2052</v>
      </c>
      <c r="M50" t="s">
        <v>2053</v>
      </c>
      <c r="N50">
        <v>0</v>
      </c>
      <c r="O50">
        <v>0</v>
      </c>
      <c r="P50">
        <v>0</v>
      </c>
      <c r="Q50">
        <v>1440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143</v>
      </c>
      <c r="AH50" s="21" t="s">
        <v>3424</v>
      </c>
      <c r="AI50" s="21">
        <v>107.92500000000001</v>
      </c>
      <c r="AJ50" s="21">
        <v>100</v>
      </c>
      <c r="AK50" s="21" t="s">
        <v>2054</v>
      </c>
      <c r="AL50" t="s">
        <v>70</v>
      </c>
      <c r="AM50" t="s">
        <v>2029</v>
      </c>
    </row>
    <row r="51" spans="1:39" ht="15" hidden="1" thickTop="1" x14ac:dyDescent="0.35">
      <c r="A51" t="s">
        <v>2228</v>
      </c>
      <c r="B51" t="s">
        <v>2244</v>
      </c>
      <c r="C51" t="s">
        <v>78</v>
      </c>
      <c r="D51" t="s">
        <v>2245</v>
      </c>
      <c r="E51" t="s">
        <v>559</v>
      </c>
      <c r="F51">
        <v>1</v>
      </c>
      <c r="G51" t="s">
        <v>2050</v>
      </c>
      <c r="H51" t="s">
        <v>2051</v>
      </c>
      <c r="I51" t="s">
        <v>53</v>
      </c>
      <c r="J51" t="s">
        <v>67</v>
      </c>
      <c r="K51" t="s">
        <v>68</v>
      </c>
      <c r="L51" t="s">
        <v>2052</v>
      </c>
      <c r="M51" t="s">
        <v>2053</v>
      </c>
      <c r="N51">
        <v>0</v>
      </c>
      <c r="O51">
        <v>0</v>
      </c>
      <c r="P51">
        <v>0</v>
      </c>
      <c r="Q51">
        <v>1440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144</v>
      </c>
      <c r="AH51" s="21" t="s">
        <v>3425</v>
      </c>
      <c r="AI51" s="21">
        <v>107.92500000000001</v>
      </c>
      <c r="AJ51" s="21">
        <v>100</v>
      </c>
      <c r="AK51" s="21" t="s">
        <v>2054</v>
      </c>
      <c r="AL51" t="s">
        <v>70</v>
      </c>
      <c r="AM51" t="s">
        <v>2030</v>
      </c>
    </row>
    <row r="52" spans="1:39" ht="15" hidden="1" thickTop="1" x14ac:dyDescent="0.35">
      <c r="A52" t="s">
        <v>2229</v>
      </c>
      <c r="B52" t="s">
        <v>2247</v>
      </c>
      <c r="C52" t="s">
        <v>66</v>
      </c>
      <c r="D52" t="s">
        <v>2248</v>
      </c>
      <c r="E52" t="s">
        <v>559</v>
      </c>
      <c r="F52">
        <v>1</v>
      </c>
      <c r="G52" t="s">
        <v>2050</v>
      </c>
      <c r="H52" t="s">
        <v>2051</v>
      </c>
      <c r="I52" t="s">
        <v>53</v>
      </c>
      <c r="J52" t="s">
        <v>67</v>
      </c>
      <c r="K52" t="s">
        <v>68</v>
      </c>
      <c r="L52" t="s">
        <v>2052</v>
      </c>
      <c r="M52" t="s">
        <v>2084</v>
      </c>
      <c r="N52">
        <v>0</v>
      </c>
      <c r="O52">
        <v>0</v>
      </c>
      <c r="P52">
        <v>0</v>
      </c>
      <c r="Q52">
        <v>840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145</v>
      </c>
      <c r="AH52" s="21" t="s">
        <v>3427</v>
      </c>
      <c r="AI52" s="21">
        <v>62.999999999999986</v>
      </c>
      <c r="AJ52" s="21">
        <v>100</v>
      </c>
      <c r="AK52" s="21" t="s">
        <v>2055</v>
      </c>
      <c r="AL52" t="s">
        <v>70</v>
      </c>
      <c r="AM52" t="s">
        <v>2028</v>
      </c>
    </row>
    <row r="53" spans="1:39" ht="15" hidden="1" thickTop="1" x14ac:dyDescent="0.35">
      <c r="A53" t="s">
        <v>2235</v>
      </c>
      <c r="B53" t="s">
        <v>2251</v>
      </c>
      <c r="C53" t="s">
        <v>92</v>
      </c>
      <c r="D53" t="s">
        <v>2252</v>
      </c>
      <c r="E53" t="s">
        <v>119</v>
      </c>
      <c r="F53">
        <v>1</v>
      </c>
      <c r="G53" t="s">
        <v>2050</v>
      </c>
      <c r="H53" t="s">
        <v>2051</v>
      </c>
      <c r="I53" t="s">
        <v>53</v>
      </c>
      <c r="J53" t="s">
        <v>67</v>
      </c>
      <c r="K53" t="s">
        <v>68</v>
      </c>
      <c r="L53" t="s">
        <v>2052</v>
      </c>
      <c r="M53" t="s">
        <v>2053</v>
      </c>
      <c r="N53">
        <v>0</v>
      </c>
      <c r="O53">
        <v>0</v>
      </c>
      <c r="P53">
        <v>0</v>
      </c>
      <c r="Q53">
        <v>1440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147</v>
      </c>
      <c r="AH53" s="21" t="s">
        <v>3424</v>
      </c>
      <c r="AI53" s="21">
        <v>107.92500000000001</v>
      </c>
      <c r="AJ53" s="21">
        <v>100</v>
      </c>
      <c r="AK53" s="21" t="s">
        <v>2054</v>
      </c>
      <c r="AL53" t="s">
        <v>70</v>
      </c>
      <c r="AM53" t="s">
        <v>2029</v>
      </c>
    </row>
    <row r="54" spans="1:39" ht="15" hidden="1" thickTop="1" x14ac:dyDescent="0.35">
      <c r="A54" t="s">
        <v>2237</v>
      </c>
      <c r="B54" t="s">
        <v>2256</v>
      </c>
      <c r="C54" t="s">
        <v>102</v>
      </c>
      <c r="D54" t="s">
        <v>2257</v>
      </c>
      <c r="E54" t="s">
        <v>559</v>
      </c>
      <c r="F54">
        <v>1</v>
      </c>
      <c r="G54" t="s">
        <v>2050</v>
      </c>
      <c r="H54" t="s">
        <v>2051</v>
      </c>
      <c r="I54" t="s">
        <v>53</v>
      </c>
      <c r="J54" t="s">
        <v>67</v>
      </c>
      <c r="K54" t="s">
        <v>68</v>
      </c>
      <c r="L54" t="s">
        <v>2052</v>
      </c>
      <c r="M54" t="s">
        <v>2053</v>
      </c>
      <c r="N54">
        <v>0</v>
      </c>
      <c r="O54">
        <v>0</v>
      </c>
      <c r="P54">
        <v>0</v>
      </c>
      <c r="Q54">
        <v>1440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148</v>
      </c>
      <c r="AH54" s="21" t="s">
        <v>3425</v>
      </c>
      <c r="AI54" s="21">
        <v>107.92500000000001</v>
      </c>
      <c r="AJ54" s="21">
        <v>100</v>
      </c>
      <c r="AK54" s="21" t="s">
        <v>2054</v>
      </c>
      <c r="AL54" t="s">
        <v>70</v>
      </c>
      <c r="AM54" t="s">
        <v>2029</v>
      </c>
    </row>
    <row r="55" spans="1:39" ht="15" hidden="1" thickTop="1" x14ac:dyDescent="0.35">
      <c r="A55" t="s">
        <v>2243</v>
      </c>
      <c r="B55" t="s">
        <v>2262</v>
      </c>
      <c r="C55" t="s">
        <v>66</v>
      </c>
      <c r="D55" t="s">
        <v>2263</v>
      </c>
      <c r="E55" t="s">
        <v>559</v>
      </c>
      <c r="F55">
        <v>1</v>
      </c>
      <c r="G55" t="s">
        <v>2050</v>
      </c>
      <c r="H55" t="s">
        <v>2051</v>
      </c>
      <c r="I55" t="s">
        <v>53</v>
      </c>
      <c r="J55" t="s">
        <v>67</v>
      </c>
      <c r="K55" t="s">
        <v>68</v>
      </c>
      <c r="L55" t="s">
        <v>2052</v>
      </c>
      <c r="M55" t="s">
        <v>2063</v>
      </c>
      <c r="N55">
        <v>0</v>
      </c>
      <c r="O55">
        <v>0</v>
      </c>
      <c r="P55">
        <v>0</v>
      </c>
      <c r="Q55">
        <v>1020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150</v>
      </c>
      <c r="AH55" s="21" t="s">
        <v>3427</v>
      </c>
      <c r="AI55" s="21">
        <v>76.500000000000014</v>
      </c>
      <c r="AJ55" s="21">
        <v>100</v>
      </c>
      <c r="AK55" s="21" t="s">
        <v>2054</v>
      </c>
      <c r="AL55" t="s">
        <v>70</v>
      </c>
      <c r="AM55" t="s">
        <v>2029</v>
      </c>
    </row>
    <row r="56" spans="1:39" ht="15" hidden="1" thickTop="1" x14ac:dyDescent="0.35">
      <c r="A56" t="s">
        <v>2246</v>
      </c>
      <c r="B56" t="s">
        <v>2265</v>
      </c>
      <c r="C56" t="s">
        <v>66</v>
      </c>
      <c r="D56" t="s">
        <v>2266</v>
      </c>
      <c r="E56" t="s">
        <v>559</v>
      </c>
      <c r="F56">
        <v>1</v>
      </c>
      <c r="G56" t="s">
        <v>2050</v>
      </c>
      <c r="H56" t="s">
        <v>2051</v>
      </c>
      <c r="I56" t="s">
        <v>53</v>
      </c>
      <c r="J56" t="s">
        <v>67</v>
      </c>
      <c r="K56" t="s">
        <v>68</v>
      </c>
      <c r="L56" t="s">
        <v>2052</v>
      </c>
      <c r="M56" t="s">
        <v>2064</v>
      </c>
      <c r="N56">
        <v>0</v>
      </c>
      <c r="O56">
        <v>0</v>
      </c>
      <c r="P56">
        <v>0</v>
      </c>
      <c r="Q56">
        <v>900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151</v>
      </c>
      <c r="AH56" s="21" t="s">
        <v>3427</v>
      </c>
      <c r="AI56" s="21">
        <v>67.5</v>
      </c>
      <c r="AJ56" s="21">
        <v>100</v>
      </c>
      <c r="AK56" s="21" t="s">
        <v>2054</v>
      </c>
      <c r="AL56" t="s">
        <v>70</v>
      </c>
      <c r="AM56" t="s">
        <v>2029</v>
      </c>
    </row>
    <row r="57" spans="1:39" ht="15" hidden="1" thickTop="1" x14ac:dyDescent="0.35">
      <c r="A57" t="s">
        <v>2250</v>
      </c>
      <c r="B57" t="s">
        <v>2269</v>
      </c>
      <c r="C57" t="s">
        <v>565</v>
      </c>
      <c r="D57" t="s">
        <v>2270</v>
      </c>
      <c r="E57" t="s">
        <v>559</v>
      </c>
      <c r="F57">
        <v>1</v>
      </c>
      <c r="G57" t="s">
        <v>2050</v>
      </c>
      <c r="H57" t="s">
        <v>2051</v>
      </c>
      <c r="I57" t="s">
        <v>53</v>
      </c>
      <c r="J57" t="s">
        <v>427</v>
      </c>
      <c r="K57" t="s">
        <v>68</v>
      </c>
      <c r="L57" t="s">
        <v>2052</v>
      </c>
      <c r="M57" t="s">
        <v>2053</v>
      </c>
      <c r="N57">
        <v>0</v>
      </c>
      <c r="O57">
        <v>0</v>
      </c>
      <c r="P57">
        <v>0</v>
      </c>
      <c r="Q57">
        <v>1440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152</v>
      </c>
      <c r="AH57" s="21" t="s">
        <v>3425</v>
      </c>
      <c r="AI57" s="21">
        <v>107.92500000000001</v>
      </c>
      <c r="AJ57" s="21">
        <v>100</v>
      </c>
      <c r="AK57" s="21" t="s">
        <v>2054</v>
      </c>
      <c r="AL57" t="s">
        <v>70</v>
      </c>
      <c r="AM57" t="s">
        <v>2028</v>
      </c>
    </row>
    <row r="58" spans="1:39" ht="15" hidden="1" thickTop="1" x14ac:dyDescent="0.35">
      <c r="A58" t="s">
        <v>2254</v>
      </c>
      <c r="B58" t="s">
        <v>2273</v>
      </c>
      <c r="C58" t="s">
        <v>100</v>
      </c>
      <c r="D58" t="s">
        <v>2274</v>
      </c>
      <c r="E58" t="s">
        <v>559</v>
      </c>
      <c r="F58">
        <v>1</v>
      </c>
      <c r="G58" t="s">
        <v>2050</v>
      </c>
      <c r="H58" t="s">
        <v>2051</v>
      </c>
      <c r="I58" t="s">
        <v>53</v>
      </c>
      <c r="J58" t="s">
        <v>67</v>
      </c>
      <c r="K58" t="s">
        <v>68</v>
      </c>
      <c r="L58" t="s">
        <v>2052</v>
      </c>
      <c r="M58" t="s">
        <v>2053</v>
      </c>
      <c r="N58">
        <v>0</v>
      </c>
      <c r="O58">
        <v>0</v>
      </c>
      <c r="P58">
        <v>0</v>
      </c>
      <c r="Q58">
        <v>1440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153</v>
      </c>
      <c r="AH58" s="21" t="s">
        <v>3425</v>
      </c>
      <c r="AI58" s="21">
        <v>107.92500000000001</v>
      </c>
      <c r="AJ58" s="21">
        <v>100</v>
      </c>
      <c r="AK58" s="21" t="s">
        <v>2054</v>
      </c>
      <c r="AL58" t="s">
        <v>70</v>
      </c>
      <c r="AM58" t="s">
        <v>2028</v>
      </c>
    </row>
    <row r="59" spans="1:39" ht="15" hidden="1" thickTop="1" x14ac:dyDescent="0.35">
      <c r="A59" t="s">
        <v>2255</v>
      </c>
      <c r="B59" t="s">
        <v>2275</v>
      </c>
      <c r="C59" t="s">
        <v>66</v>
      </c>
      <c r="D59" t="s">
        <v>2276</v>
      </c>
      <c r="E59" t="s">
        <v>559</v>
      </c>
      <c r="F59">
        <v>1</v>
      </c>
      <c r="G59" t="s">
        <v>2050</v>
      </c>
      <c r="H59" t="s">
        <v>2051</v>
      </c>
      <c r="I59" t="s">
        <v>53</v>
      </c>
      <c r="J59" t="s">
        <v>67</v>
      </c>
      <c r="K59" t="s">
        <v>68</v>
      </c>
      <c r="L59" t="s">
        <v>2052</v>
      </c>
      <c r="M59" t="s">
        <v>2053</v>
      </c>
      <c r="N59">
        <v>0</v>
      </c>
      <c r="O59">
        <v>0</v>
      </c>
      <c r="P59">
        <v>0</v>
      </c>
      <c r="Q59">
        <v>1440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154</v>
      </c>
      <c r="AH59" s="21" t="s">
        <v>3424</v>
      </c>
      <c r="AI59" s="21">
        <v>107.92500000000001</v>
      </c>
      <c r="AJ59" s="21">
        <v>100</v>
      </c>
      <c r="AK59" s="21" t="s">
        <v>2054</v>
      </c>
      <c r="AL59" t="s">
        <v>70</v>
      </c>
      <c r="AM59" t="s">
        <v>2030</v>
      </c>
    </row>
    <row r="60" spans="1:39" ht="15" hidden="1" thickTop="1" x14ac:dyDescent="0.35">
      <c r="A60" t="s">
        <v>2259</v>
      </c>
      <c r="B60" t="s">
        <v>2277</v>
      </c>
      <c r="C60" t="s">
        <v>81</v>
      </c>
      <c r="D60" t="s">
        <v>2278</v>
      </c>
      <c r="E60" t="s">
        <v>559</v>
      </c>
      <c r="F60">
        <v>1</v>
      </c>
      <c r="G60" t="s">
        <v>2050</v>
      </c>
      <c r="H60" t="s">
        <v>2051</v>
      </c>
      <c r="I60" t="s">
        <v>53</v>
      </c>
      <c r="J60" t="s">
        <v>82</v>
      </c>
      <c r="K60" t="s">
        <v>68</v>
      </c>
      <c r="L60" t="s">
        <v>2052</v>
      </c>
      <c r="M60" t="s">
        <v>2053</v>
      </c>
      <c r="N60">
        <v>0</v>
      </c>
      <c r="O60">
        <v>0</v>
      </c>
      <c r="P60">
        <v>0</v>
      </c>
      <c r="Q60">
        <v>1440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155</v>
      </c>
      <c r="AH60" s="21" t="s">
        <v>3427</v>
      </c>
      <c r="AI60" s="21">
        <v>107.92500000000001</v>
      </c>
      <c r="AJ60" s="21">
        <v>100</v>
      </c>
      <c r="AK60" s="21" t="s">
        <v>2054</v>
      </c>
      <c r="AL60" t="s">
        <v>70</v>
      </c>
      <c r="AM60" t="s">
        <v>2030</v>
      </c>
    </row>
    <row r="61" spans="1:39" ht="15" hidden="1" thickTop="1" x14ac:dyDescent="0.35">
      <c r="A61" t="s">
        <v>2261</v>
      </c>
      <c r="B61" t="s">
        <v>2279</v>
      </c>
      <c r="C61" t="s">
        <v>102</v>
      </c>
      <c r="D61" t="s">
        <v>2280</v>
      </c>
      <c r="E61" t="s">
        <v>559</v>
      </c>
      <c r="F61">
        <v>1</v>
      </c>
      <c r="G61" t="s">
        <v>2050</v>
      </c>
      <c r="H61" t="s">
        <v>2051</v>
      </c>
      <c r="I61" t="s">
        <v>53</v>
      </c>
      <c r="J61" t="s">
        <v>67</v>
      </c>
      <c r="K61" t="s">
        <v>68</v>
      </c>
      <c r="L61" t="s">
        <v>2052</v>
      </c>
      <c r="M61" t="s">
        <v>2053</v>
      </c>
      <c r="N61">
        <v>0</v>
      </c>
      <c r="O61">
        <v>0</v>
      </c>
      <c r="P61">
        <v>0</v>
      </c>
      <c r="Q61">
        <v>1440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156</v>
      </c>
      <c r="AH61" s="21" t="s">
        <v>3427</v>
      </c>
      <c r="AI61" s="21">
        <v>107.92500000000001</v>
      </c>
      <c r="AJ61" s="21">
        <v>100</v>
      </c>
      <c r="AK61" s="21" t="s">
        <v>2055</v>
      </c>
      <c r="AL61" t="s">
        <v>70</v>
      </c>
      <c r="AM61" t="s">
        <v>2030</v>
      </c>
    </row>
    <row r="62" spans="1:39" ht="15" hidden="1" thickTop="1" x14ac:dyDescent="0.35">
      <c r="A62" t="s">
        <v>2264</v>
      </c>
      <c r="B62" t="s">
        <v>2281</v>
      </c>
      <c r="C62" t="s">
        <v>76</v>
      </c>
      <c r="D62" t="s">
        <v>2282</v>
      </c>
      <c r="E62" t="s">
        <v>559</v>
      </c>
      <c r="F62">
        <v>1</v>
      </c>
      <c r="G62" t="s">
        <v>2050</v>
      </c>
      <c r="H62" t="s">
        <v>2051</v>
      </c>
      <c r="I62" t="s">
        <v>53</v>
      </c>
      <c r="J62" t="s">
        <v>67</v>
      </c>
      <c r="K62" t="s">
        <v>68</v>
      </c>
      <c r="L62" t="s">
        <v>2052</v>
      </c>
      <c r="M62" t="s">
        <v>2053</v>
      </c>
      <c r="N62">
        <v>0</v>
      </c>
      <c r="O62">
        <v>0</v>
      </c>
      <c r="P62">
        <v>0</v>
      </c>
      <c r="Q62">
        <v>1440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157</v>
      </c>
      <c r="AH62" s="21" t="s">
        <v>3427</v>
      </c>
      <c r="AI62" s="21">
        <v>107.92500000000001</v>
      </c>
      <c r="AJ62" s="21">
        <v>100</v>
      </c>
      <c r="AK62" s="21" t="s">
        <v>2054</v>
      </c>
      <c r="AL62" t="s">
        <v>70</v>
      </c>
      <c r="AM62" t="s">
        <v>2029</v>
      </c>
    </row>
    <row r="63" spans="1:39" ht="15" hidden="1" thickTop="1" x14ac:dyDescent="0.35">
      <c r="A63" t="s">
        <v>2268</v>
      </c>
      <c r="B63" t="s">
        <v>2283</v>
      </c>
      <c r="C63" t="s">
        <v>3376</v>
      </c>
      <c r="D63" t="s">
        <v>2284</v>
      </c>
      <c r="E63" t="s">
        <v>559</v>
      </c>
      <c r="F63">
        <v>1</v>
      </c>
      <c r="G63" t="s">
        <v>2050</v>
      </c>
      <c r="H63" t="s">
        <v>2051</v>
      </c>
      <c r="I63" t="s">
        <v>53</v>
      </c>
      <c r="J63" t="s">
        <v>67</v>
      </c>
      <c r="K63" t="s">
        <v>68</v>
      </c>
      <c r="L63" t="s">
        <v>2052</v>
      </c>
      <c r="M63" t="s">
        <v>2053</v>
      </c>
      <c r="N63">
        <v>0</v>
      </c>
      <c r="O63">
        <v>0</v>
      </c>
      <c r="P63">
        <v>0</v>
      </c>
      <c r="Q63">
        <v>1440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158</v>
      </c>
      <c r="AH63" s="21" t="s">
        <v>3424</v>
      </c>
      <c r="AI63" s="21">
        <v>107.92500000000001</v>
      </c>
      <c r="AJ63" s="21">
        <v>100</v>
      </c>
      <c r="AK63" s="21" t="s">
        <v>2055</v>
      </c>
      <c r="AL63" t="s">
        <v>70</v>
      </c>
      <c r="AM63" t="s">
        <v>2029</v>
      </c>
    </row>
    <row r="64" spans="1:39" ht="15" hidden="1" thickTop="1" x14ac:dyDescent="0.35">
      <c r="A64" t="s">
        <v>2272</v>
      </c>
      <c r="B64" t="s">
        <v>2285</v>
      </c>
      <c r="C64" t="s">
        <v>117</v>
      </c>
      <c r="D64" t="s">
        <v>2286</v>
      </c>
      <c r="E64" t="s">
        <v>559</v>
      </c>
      <c r="F64">
        <v>1</v>
      </c>
      <c r="G64" t="s">
        <v>2050</v>
      </c>
      <c r="H64" t="s">
        <v>2051</v>
      </c>
      <c r="I64" t="s">
        <v>53</v>
      </c>
      <c r="J64" t="s">
        <v>67</v>
      </c>
      <c r="K64" t="s">
        <v>68</v>
      </c>
      <c r="L64" t="s">
        <v>2052</v>
      </c>
      <c r="M64" t="s">
        <v>2053</v>
      </c>
      <c r="N64">
        <v>0</v>
      </c>
      <c r="O64">
        <v>0</v>
      </c>
      <c r="P64">
        <v>0</v>
      </c>
      <c r="Q64">
        <v>1440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159</v>
      </c>
      <c r="AH64" s="21" t="s">
        <v>3424</v>
      </c>
      <c r="AI64" s="21">
        <v>107.92500000000001</v>
      </c>
      <c r="AJ64" s="21">
        <v>100</v>
      </c>
      <c r="AK64" s="21" t="s">
        <v>2054</v>
      </c>
      <c r="AL64" t="s">
        <v>70</v>
      </c>
      <c r="AM64" t="s">
        <v>2030</v>
      </c>
    </row>
    <row r="65" spans="1:39" ht="15" hidden="1" thickTop="1" x14ac:dyDescent="0.35">
      <c r="A65" t="s">
        <v>2288</v>
      </c>
      <c r="B65" t="s">
        <v>2291</v>
      </c>
      <c r="C65" t="s">
        <v>66</v>
      </c>
      <c r="D65" t="s">
        <v>2292</v>
      </c>
      <c r="E65" t="s">
        <v>559</v>
      </c>
      <c r="F65">
        <v>2</v>
      </c>
      <c r="G65" t="s">
        <v>2050</v>
      </c>
      <c r="H65" t="s">
        <v>2051</v>
      </c>
      <c r="I65" t="s">
        <v>53</v>
      </c>
      <c r="J65" t="s">
        <v>67</v>
      </c>
      <c r="K65" t="s">
        <v>68</v>
      </c>
      <c r="L65" t="s">
        <v>2052</v>
      </c>
      <c r="M65" t="s">
        <v>2053</v>
      </c>
      <c r="N65">
        <v>0</v>
      </c>
      <c r="O65">
        <v>0</v>
      </c>
      <c r="P65">
        <v>0</v>
      </c>
      <c r="Q65">
        <v>1440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160</v>
      </c>
      <c r="AH65" s="21" t="s">
        <v>3424</v>
      </c>
      <c r="AI65" s="21">
        <v>107.92500000000001</v>
      </c>
      <c r="AJ65" s="21">
        <v>100</v>
      </c>
      <c r="AK65" s="21" t="s">
        <v>2054</v>
      </c>
      <c r="AL65" t="s">
        <v>70</v>
      </c>
      <c r="AM65" t="s">
        <v>2029</v>
      </c>
    </row>
    <row r="66" spans="1:39" ht="15" hidden="1" thickTop="1" x14ac:dyDescent="0.35">
      <c r="A66" t="s">
        <v>2290</v>
      </c>
      <c r="B66" t="s">
        <v>2294</v>
      </c>
      <c r="C66" t="s">
        <v>66</v>
      </c>
      <c r="D66" t="s">
        <v>2295</v>
      </c>
      <c r="E66" t="s">
        <v>559</v>
      </c>
      <c r="F66">
        <v>1</v>
      </c>
      <c r="G66" t="s">
        <v>2050</v>
      </c>
      <c r="H66" t="s">
        <v>2051</v>
      </c>
      <c r="I66" t="s">
        <v>53</v>
      </c>
      <c r="J66" t="s">
        <v>67</v>
      </c>
      <c r="K66" t="s">
        <v>68</v>
      </c>
      <c r="L66" t="s">
        <v>2052</v>
      </c>
      <c r="M66" t="s">
        <v>2053</v>
      </c>
      <c r="N66">
        <v>0</v>
      </c>
      <c r="O66">
        <v>0</v>
      </c>
      <c r="P66">
        <v>0</v>
      </c>
      <c r="Q66">
        <v>1440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161</v>
      </c>
      <c r="AH66" s="21" t="s">
        <v>3424</v>
      </c>
      <c r="AI66" s="21">
        <v>107.92500000000001</v>
      </c>
      <c r="AJ66" s="21">
        <v>100</v>
      </c>
      <c r="AK66" s="21" t="s">
        <v>2054</v>
      </c>
      <c r="AL66" t="s">
        <v>70</v>
      </c>
      <c r="AM66" t="s">
        <v>2028</v>
      </c>
    </row>
    <row r="67" spans="1:39" ht="15" hidden="1" thickTop="1" x14ac:dyDescent="0.35">
      <c r="A67" t="s">
        <v>2293</v>
      </c>
      <c r="B67" t="s">
        <v>2296</v>
      </c>
      <c r="C67" t="s">
        <v>78</v>
      </c>
      <c r="D67" t="s">
        <v>2297</v>
      </c>
      <c r="E67" t="s">
        <v>559</v>
      </c>
      <c r="F67">
        <v>1</v>
      </c>
      <c r="G67" t="s">
        <v>2050</v>
      </c>
      <c r="H67" t="s">
        <v>2051</v>
      </c>
      <c r="I67" t="s">
        <v>53</v>
      </c>
      <c r="J67" t="s">
        <v>67</v>
      </c>
      <c r="K67" t="s">
        <v>68</v>
      </c>
      <c r="L67" t="s">
        <v>2052</v>
      </c>
      <c r="M67" t="s">
        <v>2053</v>
      </c>
      <c r="N67">
        <v>0</v>
      </c>
      <c r="O67">
        <v>0</v>
      </c>
      <c r="P67">
        <v>0</v>
      </c>
      <c r="Q67">
        <v>1440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162</v>
      </c>
      <c r="AH67" s="21" t="s">
        <v>3424</v>
      </c>
      <c r="AI67" s="21">
        <v>107.92500000000001</v>
      </c>
      <c r="AJ67" s="21">
        <v>100</v>
      </c>
      <c r="AK67" s="21" t="s">
        <v>2054</v>
      </c>
      <c r="AL67" t="s">
        <v>70</v>
      </c>
      <c r="AM67" t="s">
        <v>2028</v>
      </c>
    </row>
    <row r="68" spans="1:39" ht="15" hidden="1" thickTop="1" x14ac:dyDescent="0.35">
      <c r="A68" t="s">
        <v>2299</v>
      </c>
      <c r="B68" t="s">
        <v>2300</v>
      </c>
      <c r="C68" t="s">
        <v>78</v>
      </c>
      <c r="D68" t="s">
        <v>2301</v>
      </c>
      <c r="E68" t="s">
        <v>559</v>
      </c>
      <c r="F68">
        <v>1</v>
      </c>
      <c r="G68" t="s">
        <v>2050</v>
      </c>
      <c r="H68" t="s">
        <v>2051</v>
      </c>
      <c r="I68" t="s">
        <v>53</v>
      </c>
      <c r="J68" t="s">
        <v>67</v>
      </c>
      <c r="K68" t="s">
        <v>68</v>
      </c>
      <c r="L68" t="s">
        <v>2052</v>
      </c>
      <c r="M68" t="s">
        <v>2064</v>
      </c>
      <c r="N68">
        <v>0</v>
      </c>
      <c r="O68">
        <v>0</v>
      </c>
      <c r="P68">
        <v>0</v>
      </c>
      <c r="Q68">
        <v>900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163</v>
      </c>
      <c r="AH68" s="21" t="s">
        <v>3425</v>
      </c>
      <c r="AI68" s="21">
        <v>67.5</v>
      </c>
      <c r="AJ68" s="21">
        <v>100</v>
      </c>
      <c r="AK68" s="21" t="s">
        <v>2054</v>
      </c>
      <c r="AL68" t="s">
        <v>70</v>
      </c>
      <c r="AM68" t="s">
        <v>2029</v>
      </c>
    </row>
    <row r="69" spans="1:39" ht="15" hidden="1" thickTop="1" x14ac:dyDescent="0.35">
      <c r="A69" t="s">
        <v>2303</v>
      </c>
      <c r="B69" t="s">
        <v>2309</v>
      </c>
      <c r="C69" t="s">
        <v>117</v>
      </c>
      <c r="D69" t="s">
        <v>2310</v>
      </c>
      <c r="E69" t="s">
        <v>559</v>
      </c>
      <c r="F69">
        <v>1</v>
      </c>
      <c r="G69" t="s">
        <v>2050</v>
      </c>
      <c r="H69" t="s">
        <v>2051</v>
      </c>
      <c r="I69" t="s">
        <v>53</v>
      </c>
      <c r="J69" t="s">
        <v>67</v>
      </c>
      <c r="K69" t="s">
        <v>68</v>
      </c>
      <c r="L69" t="s">
        <v>2052</v>
      </c>
      <c r="M69" t="s">
        <v>2063</v>
      </c>
      <c r="N69">
        <v>0</v>
      </c>
      <c r="O69">
        <v>0</v>
      </c>
      <c r="P69">
        <v>0</v>
      </c>
      <c r="Q69">
        <v>1020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164</v>
      </c>
      <c r="AH69" s="21" t="s">
        <v>3425</v>
      </c>
      <c r="AI69" s="21">
        <v>76.500000000000014</v>
      </c>
      <c r="AJ69" s="21">
        <v>100</v>
      </c>
      <c r="AK69" s="21" t="s">
        <v>2054</v>
      </c>
      <c r="AL69" t="s">
        <v>70</v>
      </c>
      <c r="AM69" t="s">
        <v>2027</v>
      </c>
    </row>
    <row r="70" spans="1:39" ht="15" hidden="1" thickTop="1" x14ac:dyDescent="0.35">
      <c r="A70" t="s">
        <v>2305</v>
      </c>
      <c r="B70" t="s">
        <v>2311</v>
      </c>
      <c r="C70" t="s">
        <v>76</v>
      </c>
      <c r="D70" t="s">
        <v>2312</v>
      </c>
      <c r="E70" t="s">
        <v>559</v>
      </c>
      <c r="F70">
        <v>1</v>
      </c>
      <c r="G70" t="s">
        <v>2050</v>
      </c>
      <c r="H70" t="s">
        <v>2051</v>
      </c>
      <c r="I70" t="s">
        <v>53</v>
      </c>
      <c r="J70" t="s">
        <v>67</v>
      </c>
      <c r="K70" t="s">
        <v>68</v>
      </c>
      <c r="L70" t="s">
        <v>2052</v>
      </c>
      <c r="M70" t="s">
        <v>2068</v>
      </c>
      <c r="N70">
        <v>0</v>
      </c>
      <c r="O70">
        <v>0</v>
      </c>
      <c r="P70">
        <v>0</v>
      </c>
      <c r="Q70">
        <v>720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561</v>
      </c>
      <c r="AH70" s="21" t="s">
        <v>3425</v>
      </c>
      <c r="AI70" s="21">
        <v>54</v>
      </c>
      <c r="AJ70" s="21">
        <v>100</v>
      </c>
      <c r="AK70" s="21" t="s">
        <v>2054</v>
      </c>
      <c r="AL70" t="s">
        <v>70</v>
      </c>
      <c r="AM70" t="s">
        <v>2027</v>
      </c>
    </row>
    <row r="71" spans="1:39" ht="15" hidden="1" thickTop="1" x14ac:dyDescent="0.35">
      <c r="A71" t="s">
        <v>2306</v>
      </c>
      <c r="B71" t="s">
        <v>2313</v>
      </c>
      <c r="C71" t="s">
        <v>100</v>
      </c>
      <c r="D71" t="s">
        <v>2314</v>
      </c>
      <c r="E71" t="s">
        <v>559</v>
      </c>
      <c r="F71">
        <v>1</v>
      </c>
      <c r="G71" t="s">
        <v>2050</v>
      </c>
      <c r="H71" t="s">
        <v>2051</v>
      </c>
      <c r="I71" t="s">
        <v>53</v>
      </c>
      <c r="J71" t="s">
        <v>67</v>
      </c>
      <c r="K71" t="s">
        <v>68</v>
      </c>
      <c r="L71" t="s">
        <v>2052</v>
      </c>
      <c r="M71" t="s">
        <v>2053</v>
      </c>
      <c r="N71">
        <v>0</v>
      </c>
      <c r="O71">
        <v>0</v>
      </c>
      <c r="P71">
        <v>0</v>
      </c>
      <c r="Q71">
        <v>1440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165</v>
      </c>
      <c r="AH71" s="21" t="s">
        <v>3425</v>
      </c>
      <c r="AI71" s="21">
        <v>107.92500000000001</v>
      </c>
      <c r="AJ71" s="21">
        <v>100</v>
      </c>
      <c r="AK71" s="21" t="s">
        <v>2054</v>
      </c>
      <c r="AL71" t="s">
        <v>70</v>
      </c>
      <c r="AM71" t="s">
        <v>2029</v>
      </c>
    </row>
    <row r="72" spans="1:39" ht="15" hidden="1" thickTop="1" x14ac:dyDescent="0.35">
      <c r="A72" t="s">
        <v>2308</v>
      </c>
      <c r="B72" t="s">
        <v>2315</v>
      </c>
      <c r="C72" t="s">
        <v>78</v>
      </c>
      <c r="D72" t="s">
        <v>2316</v>
      </c>
      <c r="E72" t="s">
        <v>559</v>
      </c>
      <c r="F72">
        <v>1</v>
      </c>
      <c r="G72" t="s">
        <v>2050</v>
      </c>
      <c r="H72" t="s">
        <v>2051</v>
      </c>
      <c r="I72" t="s">
        <v>53</v>
      </c>
      <c r="J72" t="s">
        <v>67</v>
      </c>
      <c r="K72" t="s">
        <v>68</v>
      </c>
      <c r="L72" t="s">
        <v>2052</v>
      </c>
      <c r="M72" t="s">
        <v>2053</v>
      </c>
      <c r="N72">
        <v>0</v>
      </c>
      <c r="O72">
        <v>0</v>
      </c>
      <c r="P72">
        <v>0</v>
      </c>
      <c r="Q72">
        <v>1440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1514</v>
      </c>
      <c r="AH72" s="21" t="s">
        <v>3425</v>
      </c>
      <c r="AI72" s="21">
        <v>107.92500000000001</v>
      </c>
      <c r="AJ72" s="21">
        <v>100</v>
      </c>
      <c r="AK72" s="21" t="s">
        <v>2055</v>
      </c>
      <c r="AL72" t="s">
        <v>70</v>
      </c>
      <c r="AM72" t="s">
        <v>2029</v>
      </c>
    </row>
    <row r="73" spans="1:39" ht="15" hidden="1" thickTop="1" x14ac:dyDescent="0.35">
      <c r="A73" t="s">
        <v>2319</v>
      </c>
      <c r="B73" t="s">
        <v>2330</v>
      </c>
      <c r="C73" t="s">
        <v>102</v>
      </c>
      <c r="D73" t="s">
        <v>2331</v>
      </c>
      <c r="E73" t="s">
        <v>559</v>
      </c>
      <c r="F73">
        <v>1</v>
      </c>
      <c r="G73" t="s">
        <v>2050</v>
      </c>
      <c r="H73" t="s">
        <v>2051</v>
      </c>
      <c r="I73" t="s">
        <v>53</v>
      </c>
      <c r="J73" t="s">
        <v>67</v>
      </c>
      <c r="K73" t="s">
        <v>68</v>
      </c>
      <c r="L73" t="s">
        <v>2052</v>
      </c>
      <c r="M73" t="s">
        <v>2053</v>
      </c>
      <c r="N73">
        <v>0</v>
      </c>
      <c r="O73">
        <v>0</v>
      </c>
      <c r="P73">
        <v>0</v>
      </c>
      <c r="Q73">
        <v>1440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166</v>
      </c>
      <c r="AH73" s="21" t="s">
        <v>3430</v>
      </c>
      <c r="AI73" s="21">
        <v>107.92500000000001</v>
      </c>
      <c r="AJ73" s="21">
        <v>100</v>
      </c>
      <c r="AK73" s="21" t="s">
        <v>2054</v>
      </c>
      <c r="AL73" t="s">
        <v>70</v>
      </c>
      <c r="AM73" t="s">
        <v>2027</v>
      </c>
    </row>
    <row r="74" spans="1:39" ht="15" hidden="1" thickTop="1" x14ac:dyDescent="0.35">
      <c r="A74" t="s">
        <v>2321</v>
      </c>
      <c r="B74" t="s">
        <v>2332</v>
      </c>
      <c r="C74" t="s">
        <v>117</v>
      </c>
      <c r="D74" t="s">
        <v>2333</v>
      </c>
      <c r="E74" t="s">
        <v>559</v>
      </c>
      <c r="F74">
        <v>1</v>
      </c>
      <c r="G74" t="s">
        <v>2050</v>
      </c>
      <c r="H74" t="s">
        <v>2051</v>
      </c>
      <c r="I74" t="s">
        <v>53</v>
      </c>
      <c r="J74" t="s">
        <v>67</v>
      </c>
      <c r="K74" t="s">
        <v>68</v>
      </c>
      <c r="L74" t="s">
        <v>2052</v>
      </c>
      <c r="M74" t="s">
        <v>2053</v>
      </c>
      <c r="N74">
        <v>0</v>
      </c>
      <c r="O74">
        <v>0</v>
      </c>
      <c r="P74">
        <v>0</v>
      </c>
      <c r="Q74">
        <v>1440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167</v>
      </c>
      <c r="AH74" s="21" t="s">
        <v>3425</v>
      </c>
      <c r="AI74" s="21">
        <v>107.92500000000001</v>
      </c>
      <c r="AJ74" s="21">
        <v>100</v>
      </c>
      <c r="AK74" s="21" t="s">
        <v>2054</v>
      </c>
      <c r="AL74" t="s">
        <v>70</v>
      </c>
      <c r="AM74" t="s">
        <v>2027</v>
      </c>
    </row>
    <row r="75" spans="1:39" ht="15" hidden="1" thickTop="1" x14ac:dyDescent="0.35">
      <c r="A75" t="s">
        <v>2323</v>
      </c>
      <c r="B75" t="s">
        <v>2335</v>
      </c>
      <c r="C75" t="s">
        <v>100</v>
      </c>
      <c r="D75" t="s">
        <v>2336</v>
      </c>
      <c r="E75" t="s">
        <v>119</v>
      </c>
      <c r="F75">
        <v>1</v>
      </c>
      <c r="G75" t="s">
        <v>2050</v>
      </c>
      <c r="H75" t="s">
        <v>2051</v>
      </c>
      <c r="I75" t="s">
        <v>53</v>
      </c>
      <c r="J75" t="s">
        <v>67</v>
      </c>
      <c r="K75" t="s">
        <v>68</v>
      </c>
      <c r="L75" t="s">
        <v>2052</v>
      </c>
      <c r="M75" t="s">
        <v>2064</v>
      </c>
      <c r="N75">
        <v>0</v>
      </c>
      <c r="O75">
        <v>0</v>
      </c>
      <c r="P75">
        <v>0</v>
      </c>
      <c r="Q75">
        <v>900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168</v>
      </c>
      <c r="AH75" s="21" t="s">
        <v>3424</v>
      </c>
      <c r="AI75" s="21">
        <v>67.5</v>
      </c>
      <c r="AJ75" s="21">
        <v>100</v>
      </c>
      <c r="AK75" s="21" t="s">
        <v>2054</v>
      </c>
      <c r="AL75" t="s">
        <v>70</v>
      </c>
      <c r="AM75" t="s">
        <v>2029</v>
      </c>
    </row>
    <row r="76" spans="1:39" ht="15" hidden="1" thickTop="1" x14ac:dyDescent="0.35">
      <c r="A76" t="s">
        <v>2324</v>
      </c>
      <c r="B76" t="s">
        <v>2338</v>
      </c>
      <c r="C76" t="s">
        <v>76</v>
      </c>
      <c r="D76" t="s">
        <v>2339</v>
      </c>
      <c r="E76" t="s">
        <v>559</v>
      </c>
      <c r="F76">
        <v>1</v>
      </c>
      <c r="G76" t="s">
        <v>2050</v>
      </c>
      <c r="H76" t="s">
        <v>2051</v>
      </c>
      <c r="I76" t="s">
        <v>53</v>
      </c>
      <c r="J76" t="s">
        <v>67</v>
      </c>
      <c r="K76" t="s">
        <v>68</v>
      </c>
      <c r="L76" t="s">
        <v>2052</v>
      </c>
      <c r="M76" t="s">
        <v>2053</v>
      </c>
      <c r="N76">
        <v>0</v>
      </c>
      <c r="O76">
        <v>0</v>
      </c>
      <c r="P76">
        <v>0</v>
      </c>
      <c r="Q76">
        <v>1440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169</v>
      </c>
      <c r="AH76" s="21" t="s">
        <v>3425</v>
      </c>
      <c r="AI76" s="21">
        <v>107.92500000000001</v>
      </c>
      <c r="AJ76" s="21">
        <v>100</v>
      </c>
      <c r="AK76" s="21" t="s">
        <v>2054</v>
      </c>
      <c r="AL76" t="s">
        <v>70</v>
      </c>
      <c r="AM76" t="s">
        <v>2028</v>
      </c>
    </row>
    <row r="77" spans="1:39" ht="15" hidden="1" thickTop="1" x14ac:dyDescent="0.35">
      <c r="A77" t="s">
        <v>2325</v>
      </c>
      <c r="B77" t="s">
        <v>2340</v>
      </c>
      <c r="C77" t="s">
        <v>565</v>
      </c>
      <c r="D77" t="s">
        <v>2341</v>
      </c>
      <c r="E77" t="s">
        <v>559</v>
      </c>
      <c r="F77">
        <v>1</v>
      </c>
      <c r="G77" t="s">
        <v>2050</v>
      </c>
      <c r="H77" t="s">
        <v>2051</v>
      </c>
      <c r="I77" t="s">
        <v>53</v>
      </c>
      <c r="J77" t="s">
        <v>427</v>
      </c>
      <c r="K77" t="s">
        <v>68</v>
      </c>
      <c r="L77" t="s">
        <v>2052</v>
      </c>
      <c r="M77" t="s">
        <v>2053</v>
      </c>
      <c r="N77">
        <v>0</v>
      </c>
      <c r="O77">
        <v>0</v>
      </c>
      <c r="P77">
        <v>0</v>
      </c>
      <c r="Q77">
        <v>1440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170</v>
      </c>
      <c r="AH77" s="21" t="s">
        <v>3424</v>
      </c>
      <c r="AI77" s="21">
        <v>107.92500000000001</v>
      </c>
      <c r="AJ77" s="21">
        <v>100</v>
      </c>
      <c r="AK77" s="21" t="s">
        <v>2054</v>
      </c>
      <c r="AL77" t="s">
        <v>70</v>
      </c>
      <c r="AM77" t="s">
        <v>2029</v>
      </c>
    </row>
    <row r="78" spans="1:39" ht="15" hidden="1" thickTop="1" x14ac:dyDescent="0.35">
      <c r="A78" t="s">
        <v>2327</v>
      </c>
      <c r="B78" t="s">
        <v>2344</v>
      </c>
      <c r="C78" t="s">
        <v>100</v>
      </c>
      <c r="D78" t="s">
        <v>2345</v>
      </c>
      <c r="E78" t="s">
        <v>559</v>
      </c>
      <c r="F78">
        <v>1</v>
      </c>
      <c r="G78" t="s">
        <v>2050</v>
      </c>
      <c r="H78" t="s">
        <v>2051</v>
      </c>
      <c r="I78" t="s">
        <v>53</v>
      </c>
      <c r="J78" t="s">
        <v>67</v>
      </c>
      <c r="K78" t="s">
        <v>68</v>
      </c>
      <c r="L78" t="s">
        <v>2052</v>
      </c>
      <c r="M78" t="s">
        <v>2053</v>
      </c>
      <c r="N78">
        <v>0</v>
      </c>
      <c r="O78">
        <v>0</v>
      </c>
      <c r="P78">
        <v>0</v>
      </c>
      <c r="Q78">
        <v>1440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173</v>
      </c>
      <c r="AH78" s="21" t="s">
        <v>3425</v>
      </c>
      <c r="AI78" s="21">
        <v>107.92500000000001</v>
      </c>
      <c r="AJ78" s="21">
        <v>100</v>
      </c>
      <c r="AK78" s="21" t="s">
        <v>2054</v>
      </c>
      <c r="AL78" t="s">
        <v>70</v>
      </c>
      <c r="AM78" t="s">
        <v>2028</v>
      </c>
    </row>
    <row r="79" spans="1:39" ht="15" hidden="1" thickTop="1" x14ac:dyDescent="0.35">
      <c r="A79" t="s">
        <v>2328</v>
      </c>
      <c r="B79" t="s">
        <v>2346</v>
      </c>
      <c r="C79" t="s">
        <v>78</v>
      </c>
      <c r="D79" t="s">
        <v>2347</v>
      </c>
      <c r="E79" t="s">
        <v>559</v>
      </c>
      <c r="F79">
        <v>1</v>
      </c>
      <c r="G79" t="s">
        <v>2050</v>
      </c>
      <c r="H79" t="s">
        <v>2051</v>
      </c>
      <c r="I79" t="s">
        <v>53</v>
      </c>
      <c r="J79" t="s">
        <v>67</v>
      </c>
      <c r="K79" t="s">
        <v>68</v>
      </c>
      <c r="L79" t="s">
        <v>2052</v>
      </c>
      <c r="M79" t="s">
        <v>2064</v>
      </c>
      <c r="N79">
        <v>0</v>
      </c>
      <c r="O79">
        <v>0</v>
      </c>
      <c r="P79">
        <v>0</v>
      </c>
      <c r="Q79">
        <v>900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174</v>
      </c>
      <c r="AH79" s="21" t="s">
        <v>3425</v>
      </c>
      <c r="AI79" s="21">
        <v>67.5</v>
      </c>
      <c r="AJ79" s="21">
        <v>100</v>
      </c>
      <c r="AK79" s="21" t="s">
        <v>2054</v>
      </c>
      <c r="AL79" t="s">
        <v>70</v>
      </c>
      <c r="AM79" t="s">
        <v>2028</v>
      </c>
    </row>
    <row r="80" spans="1:39" ht="15" hidden="1" thickTop="1" x14ac:dyDescent="0.35">
      <c r="A80" t="s">
        <v>2329</v>
      </c>
      <c r="B80" t="s">
        <v>2348</v>
      </c>
      <c r="C80" t="s">
        <v>100</v>
      </c>
      <c r="D80" t="s">
        <v>2349</v>
      </c>
      <c r="E80" t="s">
        <v>559</v>
      </c>
      <c r="F80">
        <v>1</v>
      </c>
      <c r="G80" t="s">
        <v>2050</v>
      </c>
      <c r="H80" t="s">
        <v>2051</v>
      </c>
      <c r="I80" t="s">
        <v>53</v>
      </c>
      <c r="J80" t="s">
        <v>67</v>
      </c>
      <c r="K80" t="s">
        <v>68</v>
      </c>
      <c r="L80" t="s">
        <v>2052</v>
      </c>
      <c r="M80" t="s">
        <v>2053</v>
      </c>
      <c r="N80">
        <v>0</v>
      </c>
      <c r="O80">
        <v>0</v>
      </c>
      <c r="P80">
        <v>0</v>
      </c>
      <c r="Q80">
        <v>1440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175</v>
      </c>
      <c r="AH80" s="21" t="s">
        <v>3425</v>
      </c>
      <c r="AI80" s="21">
        <v>107.92500000000001</v>
      </c>
      <c r="AJ80" s="21">
        <v>100</v>
      </c>
      <c r="AK80" s="21" t="s">
        <v>2054</v>
      </c>
      <c r="AL80" t="s">
        <v>70</v>
      </c>
      <c r="AM80" t="s">
        <v>2030</v>
      </c>
    </row>
    <row r="81" spans="1:39" ht="15" hidden="1" thickTop="1" x14ac:dyDescent="0.35">
      <c r="A81" t="s">
        <v>2337</v>
      </c>
      <c r="B81" t="s">
        <v>2350</v>
      </c>
      <c r="C81" t="s">
        <v>565</v>
      </c>
      <c r="D81" t="s">
        <v>2351</v>
      </c>
      <c r="E81" t="s">
        <v>559</v>
      </c>
      <c r="F81">
        <v>2</v>
      </c>
      <c r="G81" t="s">
        <v>2050</v>
      </c>
      <c r="H81" t="s">
        <v>2051</v>
      </c>
      <c r="I81" t="s">
        <v>53</v>
      </c>
      <c r="J81" t="s">
        <v>427</v>
      </c>
      <c r="K81" t="s">
        <v>68</v>
      </c>
      <c r="L81" t="s">
        <v>2052</v>
      </c>
      <c r="M81" t="s">
        <v>2053</v>
      </c>
      <c r="N81">
        <v>0</v>
      </c>
      <c r="O81">
        <v>0</v>
      </c>
      <c r="P81">
        <v>0</v>
      </c>
      <c r="Q81">
        <v>1440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176</v>
      </c>
      <c r="AH81" s="21" t="s">
        <v>3428</v>
      </c>
      <c r="AI81" s="21">
        <v>107.92500000000001</v>
      </c>
      <c r="AJ81" s="21">
        <v>100</v>
      </c>
      <c r="AK81" s="21" t="s">
        <v>2054</v>
      </c>
      <c r="AL81" t="s">
        <v>70</v>
      </c>
      <c r="AM81" t="s">
        <v>2029</v>
      </c>
    </row>
    <row r="82" spans="1:39" ht="15" hidden="1" thickTop="1" x14ac:dyDescent="0.35">
      <c r="A82" t="s">
        <v>2343</v>
      </c>
      <c r="B82" t="s">
        <v>2352</v>
      </c>
      <c r="C82" t="s">
        <v>76</v>
      </c>
      <c r="D82" t="s">
        <v>2353</v>
      </c>
      <c r="E82" t="s">
        <v>559</v>
      </c>
      <c r="F82">
        <v>1</v>
      </c>
      <c r="G82" t="s">
        <v>2050</v>
      </c>
      <c r="H82" t="s">
        <v>2051</v>
      </c>
      <c r="I82" t="s">
        <v>53</v>
      </c>
      <c r="J82" t="s">
        <v>67</v>
      </c>
      <c r="K82" t="s">
        <v>68</v>
      </c>
      <c r="L82" t="s">
        <v>2052</v>
      </c>
      <c r="M82" t="s">
        <v>2064</v>
      </c>
      <c r="N82">
        <v>0</v>
      </c>
      <c r="O82">
        <v>0</v>
      </c>
      <c r="P82">
        <v>0</v>
      </c>
      <c r="Q82">
        <v>900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177</v>
      </c>
      <c r="AH82" s="21" t="s">
        <v>3424</v>
      </c>
      <c r="AI82" s="21">
        <v>67.5</v>
      </c>
      <c r="AJ82" s="21">
        <v>100</v>
      </c>
      <c r="AK82" s="21" t="s">
        <v>2054</v>
      </c>
      <c r="AL82" t="s">
        <v>70</v>
      </c>
      <c r="AM82" t="s">
        <v>2029</v>
      </c>
    </row>
    <row r="83" spans="1:39" ht="15" hidden="1" thickTop="1" x14ac:dyDescent="0.35">
      <c r="A83" t="s">
        <v>2355</v>
      </c>
      <c r="B83" t="s">
        <v>2358</v>
      </c>
      <c r="C83" t="s">
        <v>81</v>
      </c>
      <c r="D83" t="s">
        <v>2359</v>
      </c>
      <c r="E83" t="s">
        <v>559</v>
      </c>
      <c r="F83">
        <v>2</v>
      </c>
      <c r="G83" t="s">
        <v>2050</v>
      </c>
      <c r="H83" t="s">
        <v>2051</v>
      </c>
      <c r="I83" t="s">
        <v>53</v>
      </c>
      <c r="J83" t="s">
        <v>82</v>
      </c>
      <c r="K83" t="s">
        <v>68</v>
      </c>
      <c r="L83" t="s">
        <v>2052</v>
      </c>
      <c r="M83" t="s">
        <v>2053</v>
      </c>
      <c r="N83">
        <v>0</v>
      </c>
      <c r="O83">
        <v>0</v>
      </c>
      <c r="P83">
        <v>0</v>
      </c>
      <c r="Q83">
        <v>1440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272</v>
      </c>
      <c r="AH83" s="21" t="s">
        <v>3424</v>
      </c>
      <c r="AI83" s="21">
        <v>107.92500000000001</v>
      </c>
      <c r="AJ83" s="21">
        <v>100</v>
      </c>
      <c r="AK83" s="21" t="s">
        <v>2054</v>
      </c>
      <c r="AL83" t="s">
        <v>70</v>
      </c>
      <c r="AM83" t="s">
        <v>2029</v>
      </c>
    </row>
    <row r="84" spans="1:39" ht="15" hidden="1" thickTop="1" x14ac:dyDescent="0.35">
      <c r="A84" t="s">
        <v>2357</v>
      </c>
      <c r="B84" t="s">
        <v>2360</v>
      </c>
      <c r="C84" t="s">
        <v>92</v>
      </c>
      <c r="D84" t="s">
        <v>2361</v>
      </c>
      <c r="E84" t="s">
        <v>119</v>
      </c>
      <c r="F84">
        <v>1</v>
      </c>
      <c r="G84" t="s">
        <v>2050</v>
      </c>
      <c r="H84" t="s">
        <v>2051</v>
      </c>
      <c r="I84" t="s">
        <v>53</v>
      </c>
      <c r="J84" t="s">
        <v>67</v>
      </c>
      <c r="K84" t="s">
        <v>68</v>
      </c>
      <c r="L84" t="s">
        <v>2052</v>
      </c>
      <c r="M84" t="s">
        <v>2053</v>
      </c>
      <c r="N84">
        <v>0</v>
      </c>
      <c r="O84">
        <v>0</v>
      </c>
      <c r="P84">
        <v>0</v>
      </c>
      <c r="Q84">
        <v>1440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221</v>
      </c>
      <c r="AH84" s="21" t="s">
        <v>3424</v>
      </c>
      <c r="AI84" s="21">
        <v>107.92500000000001</v>
      </c>
      <c r="AJ84" s="21">
        <v>100</v>
      </c>
      <c r="AK84" s="21" t="s">
        <v>2055</v>
      </c>
      <c r="AL84" t="s">
        <v>70</v>
      </c>
      <c r="AM84" t="s">
        <v>2029</v>
      </c>
    </row>
    <row r="85" spans="1:39" ht="15" hidden="1" thickTop="1" x14ac:dyDescent="0.35">
      <c r="A85" t="s">
        <v>2363</v>
      </c>
      <c r="B85" t="s">
        <v>2365</v>
      </c>
      <c r="C85" t="s">
        <v>66</v>
      </c>
      <c r="D85" t="s">
        <v>2366</v>
      </c>
      <c r="E85" t="s">
        <v>559</v>
      </c>
      <c r="F85">
        <v>1</v>
      </c>
      <c r="G85" t="s">
        <v>2050</v>
      </c>
      <c r="H85" t="s">
        <v>2051</v>
      </c>
      <c r="I85" t="s">
        <v>53</v>
      </c>
      <c r="J85" t="s">
        <v>67</v>
      </c>
      <c r="K85" t="s">
        <v>68</v>
      </c>
      <c r="L85" t="s">
        <v>2052</v>
      </c>
      <c r="M85" t="s">
        <v>2053</v>
      </c>
      <c r="N85">
        <v>0</v>
      </c>
      <c r="O85">
        <v>0</v>
      </c>
      <c r="P85">
        <v>0</v>
      </c>
      <c r="Q85">
        <v>1440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267</v>
      </c>
      <c r="AH85" s="21" t="s">
        <v>3424</v>
      </c>
      <c r="AI85" s="21">
        <v>107.92500000000001</v>
      </c>
      <c r="AJ85" s="21">
        <v>100</v>
      </c>
      <c r="AK85" s="21" t="s">
        <v>2054</v>
      </c>
      <c r="AL85" t="s">
        <v>70</v>
      </c>
      <c r="AM85" t="s">
        <v>2028</v>
      </c>
    </row>
    <row r="86" spans="1:39" ht="15" hidden="1" thickTop="1" x14ac:dyDescent="0.35">
      <c r="A86" t="s">
        <v>2364</v>
      </c>
      <c r="B86" t="s">
        <v>2367</v>
      </c>
      <c r="C86" t="s">
        <v>76</v>
      </c>
      <c r="D86" t="s">
        <v>2368</v>
      </c>
      <c r="E86" t="s">
        <v>559</v>
      </c>
      <c r="F86">
        <v>2</v>
      </c>
      <c r="G86" t="s">
        <v>2050</v>
      </c>
      <c r="H86" t="s">
        <v>2051</v>
      </c>
      <c r="I86" t="s">
        <v>53</v>
      </c>
      <c r="J86" t="s">
        <v>67</v>
      </c>
      <c r="K86" t="s">
        <v>68</v>
      </c>
      <c r="L86" t="s">
        <v>2052</v>
      </c>
      <c r="M86" t="s">
        <v>2053</v>
      </c>
      <c r="N86">
        <v>0</v>
      </c>
      <c r="O86">
        <v>0</v>
      </c>
      <c r="P86">
        <v>0</v>
      </c>
      <c r="Q86">
        <v>1440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352</v>
      </c>
      <c r="AH86" s="21" t="s">
        <v>3424</v>
      </c>
      <c r="AI86" s="21">
        <v>107.92500000000001</v>
      </c>
      <c r="AJ86" s="21">
        <v>100</v>
      </c>
      <c r="AK86" s="21" t="s">
        <v>2055</v>
      </c>
      <c r="AL86" t="s">
        <v>70</v>
      </c>
      <c r="AM86" t="s">
        <v>2030</v>
      </c>
    </row>
    <row r="87" spans="1:39" ht="15" hidden="1" thickTop="1" x14ac:dyDescent="0.35">
      <c r="A87" t="s">
        <v>2370</v>
      </c>
      <c r="B87" t="s">
        <v>2375</v>
      </c>
      <c r="C87" t="s">
        <v>92</v>
      </c>
      <c r="D87" t="s">
        <v>2376</v>
      </c>
      <c r="E87" t="s">
        <v>119</v>
      </c>
      <c r="F87">
        <v>1</v>
      </c>
      <c r="G87" t="s">
        <v>2050</v>
      </c>
      <c r="H87" t="s">
        <v>2051</v>
      </c>
      <c r="I87" t="s">
        <v>53</v>
      </c>
      <c r="J87" t="s">
        <v>67</v>
      </c>
      <c r="K87" t="s">
        <v>68</v>
      </c>
      <c r="L87" t="s">
        <v>2052</v>
      </c>
      <c r="M87" t="s">
        <v>2053</v>
      </c>
      <c r="N87">
        <v>0</v>
      </c>
      <c r="O87">
        <v>0</v>
      </c>
      <c r="P87">
        <v>0</v>
      </c>
      <c r="Q87">
        <v>1440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183</v>
      </c>
      <c r="AH87" s="21" t="s">
        <v>3425</v>
      </c>
      <c r="AI87" s="21">
        <v>107.92500000000001</v>
      </c>
      <c r="AJ87" s="21">
        <v>100</v>
      </c>
      <c r="AK87" s="21" t="s">
        <v>2054</v>
      </c>
      <c r="AL87" t="s">
        <v>70</v>
      </c>
      <c r="AM87" t="s">
        <v>2027</v>
      </c>
    </row>
    <row r="88" spans="1:39" ht="15" hidden="1" thickTop="1" x14ac:dyDescent="0.35">
      <c r="A88" t="s">
        <v>2372</v>
      </c>
      <c r="B88" t="s">
        <v>2377</v>
      </c>
      <c r="C88" t="s">
        <v>102</v>
      </c>
      <c r="D88" t="s">
        <v>2378</v>
      </c>
      <c r="E88" t="s">
        <v>559</v>
      </c>
      <c r="F88">
        <v>1</v>
      </c>
      <c r="G88" t="s">
        <v>2050</v>
      </c>
      <c r="H88" t="s">
        <v>2051</v>
      </c>
      <c r="I88" t="s">
        <v>53</v>
      </c>
      <c r="J88" t="s">
        <v>67</v>
      </c>
      <c r="K88" t="s">
        <v>68</v>
      </c>
      <c r="L88" t="s">
        <v>2052</v>
      </c>
      <c r="M88" t="s">
        <v>2053</v>
      </c>
      <c r="N88">
        <v>0</v>
      </c>
      <c r="O88">
        <v>0</v>
      </c>
      <c r="P88">
        <v>0</v>
      </c>
      <c r="Q88">
        <v>1440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195</v>
      </c>
      <c r="AH88" s="21" t="s">
        <v>3429</v>
      </c>
      <c r="AI88" s="21">
        <v>107.92500000000001</v>
      </c>
      <c r="AJ88" s="21">
        <v>100</v>
      </c>
      <c r="AK88" s="21" t="s">
        <v>2054</v>
      </c>
      <c r="AL88" t="s">
        <v>70</v>
      </c>
      <c r="AM88" t="s">
        <v>2027</v>
      </c>
    </row>
    <row r="89" spans="1:39" ht="15" hidden="1" thickTop="1" x14ac:dyDescent="0.35">
      <c r="A89" t="s">
        <v>2374</v>
      </c>
      <c r="B89" t="s">
        <v>2379</v>
      </c>
      <c r="C89" t="s">
        <v>100</v>
      </c>
      <c r="D89" t="s">
        <v>2380</v>
      </c>
      <c r="E89" t="s">
        <v>559</v>
      </c>
      <c r="F89">
        <v>1</v>
      </c>
      <c r="G89" t="s">
        <v>2050</v>
      </c>
      <c r="H89" t="s">
        <v>2051</v>
      </c>
      <c r="I89" t="s">
        <v>53</v>
      </c>
      <c r="J89" t="s">
        <v>67</v>
      </c>
      <c r="K89" t="s">
        <v>68</v>
      </c>
      <c r="L89" t="s">
        <v>2052</v>
      </c>
      <c r="M89" t="s">
        <v>2053</v>
      </c>
      <c r="N89">
        <v>0</v>
      </c>
      <c r="O89">
        <v>0</v>
      </c>
      <c r="P89">
        <v>0</v>
      </c>
      <c r="Q89">
        <v>1440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171</v>
      </c>
      <c r="AH89" s="21" t="s">
        <v>3424</v>
      </c>
      <c r="AI89" s="21">
        <v>107.92500000000001</v>
      </c>
      <c r="AJ89" s="21">
        <v>100</v>
      </c>
      <c r="AK89" s="21" t="s">
        <v>2055</v>
      </c>
      <c r="AL89" t="s">
        <v>70</v>
      </c>
      <c r="AM89" t="s">
        <v>2030</v>
      </c>
    </row>
    <row r="90" spans="1:39" ht="15" hidden="1" thickTop="1" x14ac:dyDescent="0.35">
      <c r="A90" t="s">
        <v>2382</v>
      </c>
      <c r="B90" t="s">
        <v>2386</v>
      </c>
      <c r="C90" t="s">
        <v>92</v>
      </c>
      <c r="D90" t="s">
        <v>2387</v>
      </c>
      <c r="E90" t="s">
        <v>559</v>
      </c>
      <c r="F90">
        <v>1</v>
      </c>
      <c r="G90" t="s">
        <v>2050</v>
      </c>
      <c r="H90" t="s">
        <v>2051</v>
      </c>
      <c r="I90" t="s">
        <v>53</v>
      </c>
      <c r="J90" t="s">
        <v>67</v>
      </c>
      <c r="K90" t="s">
        <v>68</v>
      </c>
      <c r="L90" t="s">
        <v>2052</v>
      </c>
      <c r="M90" t="s">
        <v>2064</v>
      </c>
      <c r="N90">
        <v>0</v>
      </c>
      <c r="O90">
        <v>0</v>
      </c>
      <c r="P90">
        <v>0</v>
      </c>
      <c r="Q90">
        <v>900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338</v>
      </c>
      <c r="AH90" s="21" t="s">
        <v>3424</v>
      </c>
      <c r="AI90" s="21">
        <v>67.5</v>
      </c>
      <c r="AJ90" s="21">
        <v>100</v>
      </c>
      <c r="AK90" s="21" t="s">
        <v>2054</v>
      </c>
      <c r="AL90" t="s">
        <v>70</v>
      </c>
      <c r="AM90" t="s">
        <v>2029</v>
      </c>
    </row>
    <row r="91" spans="1:39" ht="15" hidden="1" thickTop="1" x14ac:dyDescent="0.35">
      <c r="A91" t="s">
        <v>2383</v>
      </c>
      <c r="B91" t="s">
        <v>2388</v>
      </c>
      <c r="C91" t="s">
        <v>100</v>
      </c>
      <c r="D91" t="s">
        <v>2389</v>
      </c>
      <c r="E91" t="s">
        <v>119</v>
      </c>
      <c r="F91">
        <v>1</v>
      </c>
      <c r="G91" t="s">
        <v>2050</v>
      </c>
      <c r="H91" t="s">
        <v>2051</v>
      </c>
      <c r="I91" t="s">
        <v>53</v>
      </c>
      <c r="J91" t="s">
        <v>67</v>
      </c>
      <c r="K91" t="s">
        <v>68</v>
      </c>
      <c r="L91" t="s">
        <v>2052</v>
      </c>
      <c r="M91" t="s">
        <v>2064</v>
      </c>
      <c r="N91">
        <v>0</v>
      </c>
      <c r="O91">
        <v>0</v>
      </c>
      <c r="P91">
        <v>0</v>
      </c>
      <c r="Q91">
        <v>900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357</v>
      </c>
      <c r="AH91" s="21" t="s">
        <v>3425</v>
      </c>
      <c r="AI91" s="21">
        <v>67.5</v>
      </c>
      <c r="AJ91" s="21">
        <v>100</v>
      </c>
      <c r="AK91" s="21" t="s">
        <v>2054</v>
      </c>
      <c r="AL91" t="s">
        <v>70</v>
      </c>
      <c r="AM91" t="s">
        <v>2028</v>
      </c>
    </row>
    <row r="92" spans="1:39" ht="15" hidden="1" thickTop="1" x14ac:dyDescent="0.35">
      <c r="A92" t="s">
        <v>2385</v>
      </c>
      <c r="B92" t="s">
        <v>3409</v>
      </c>
      <c r="C92" t="s">
        <v>71</v>
      </c>
      <c r="D92" t="s">
        <v>3410</v>
      </c>
      <c r="E92" t="s">
        <v>72</v>
      </c>
      <c r="F92">
        <v>1</v>
      </c>
      <c r="G92" t="s">
        <v>2050</v>
      </c>
      <c r="H92" t="s">
        <v>2051</v>
      </c>
      <c r="I92" t="s">
        <v>53</v>
      </c>
      <c r="J92" t="s">
        <v>73</v>
      </c>
      <c r="K92" t="s">
        <v>68</v>
      </c>
      <c r="L92" t="s">
        <v>2052</v>
      </c>
      <c r="M92" t="s">
        <v>2053</v>
      </c>
      <c r="N92">
        <v>0</v>
      </c>
      <c r="O92">
        <v>0</v>
      </c>
      <c r="P92">
        <v>0</v>
      </c>
      <c r="Q92">
        <v>1440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295</v>
      </c>
      <c r="AH92" s="21" t="s">
        <v>3427</v>
      </c>
      <c r="AI92" s="21">
        <v>107.92500000000001</v>
      </c>
      <c r="AJ92" s="21">
        <v>100</v>
      </c>
      <c r="AK92" s="21" t="s">
        <v>2054</v>
      </c>
      <c r="AL92" t="s">
        <v>75</v>
      </c>
      <c r="AM92" t="s">
        <v>2032</v>
      </c>
    </row>
    <row r="93" spans="1:39" ht="15" hidden="1" thickTop="1" x14ac:dyDescent="0.35">
      <c r="A93" t="s">
        <v>2391</v>
      </c>
      <c r="B93" t="s">
        <v>3402</v>
      </c>
      <c r="C93" t="s">
        <v>66</v>
      </c>
      <c r="D93" t="s">
        <v>3403</v>
      </c>
      <c r="E93" t="s">
        <v>559</v>
      </c>
      <c r="F93">
        <v>1</v>
      </c>
      <c r="G93" t="s">
        <v>2050</v>
      </c>
      <c r="H93" t="s">
        <v>2051</v>
      </c>
      <c r="I93" t="s">
        <v>53</v>
      </c>
      <c r="J93" t="s">
        <v>67</v>
      </c>
      <c r="K93" t="s">
        <v>68</v>
      </c>
      <c r="L93" t="s">
        <v>2052</v>
      </c>
      <c r="M93" t="s">
        <v>2064</v>
      </c>
      <c r="N93">
        <v>0</v>
      </c>
      <c r="O93">
        <v>0</v>
      </c>
      <c r="P93">
        <v>0</v>
      </c>
      <c r="Q93">
        <v>900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172</v>
      </c>
      <c r="AH93" s="21" t="s">
        <v>3425</v>
      </c>
      <c r="AI93" s="21">
        <v>67.5</v>
      </c>
      <c r="AJ93" s="21">
        <v>100</v>
      </c>
      <c r="AK93" s="21" t="s">
        <v>2054</v>
      </c>
      <c r="AL93" t="s">
        <v>70</v>
      </c>
      <c r="AM93" t="s">
        <v>2032</v>
      </c>
    </row>
    <row r="94" spans="1:39" ht="15" hidden="1" thickTop="1" x14ac:dyDescent="0.35">
      <c r="A94" t="s">
        <v>2404</v>
      </c>
      <c r="B94" t="s">
        <v>2392</v>
      </c>
      <c r="C94" t="s">
        <v>78</v>
      </c>
      <c r="D94" t="s">
        <v>2393</v>
      </c>
      <c r="E94" t="s">
        <v>559</v>
      </c>
      <c r="F94">
        <v>1</v>
      </c>
      <c r="G94" t="s">
        <v>2050</v>
      </c>
      <c r="H94" t="s">
        <v>2051</v>
      </c>
      <c r="I94" t="s">
        <v>53</v>
      </c>
      <c r="J94" t="s">
        <v>67</v>
      </c>
      <c r="K94" t="s">
        <v>68</v>
      </c>
      <c r="L94" t="s">
        <v>2052</v>
      </c>
      <c r="M94" t="s">
        <v>2053</v>
      </c>
      <c r="N94">
        <v>0</v>
      </c>
      <c r="O94">
        <v>0</v>
      </c>
      <c r="P94">
        <v>0</v>
      </c>
      <c r="Q94">
        <v>1440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178</v>
      </c>
      <c r="AH94" s="21" t="s">
        <v>3425</v>
      </c>
      <c r="AI94" s="21">
        <v>107.92500000000001</v>
      </c>
      <c r="AJ94" s="21">
        <v>100</v>
      </c>
      <c r="AK94" s="21" t="s">
        <v>2055</v>
      </c>
      <c r="AL94" t="s">
        <v>70</v>
      </c>
      <c r="AM94" t="s">
        <v>2030</v>
      </c>
    </row>
    <row r="95" spans="1:39" ht="15" hidden="1" thickTop="1" x14ac:dyDescent="0.35">
      <c r="A95" t="s">
        <v>2405</v>
      </c>
      <c r="B95" t="s">
        <v>2394</v>
      </c>
      <c r="C95" t="s">
        <v>92</v>
      </c>
      <c r="D95" t="s">
        <v>2395</v>
      </c>
      <c r="E95" t="s">
        <v>559</v>
      </c>
      <c r="F95">
        <v>1</v>
      </c>
      <c r="G95" t="s">
        <v>2050</v>
      </c>
      <c r="H95" t="s">
        <v>2051</v>
      </c>
      <c r="I95" t="s">
        <v>53</v>
      </c>
      <c r="J95" t="s">
        <v>67</v>
      </c>
      <c r="K95" t="s">
        <v>68</v>
      </c>
      <c r="L95" t="s">
        <v>2052</v>
      </c>
      <c r="M95" t="s">
        <v>2053</v>
      </c>
      <c r="N95">
        <v>0</v>
      </c>
      <c r="O95">
        <v>0</v>
      </c>
      <c r="P95">
        <v>0</v>
      </c>
      <c r="Q95">
        <v>1440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179</v>
      </c>
      <c r="AH95" s="21" t="s">
        <v>3424</v>
      </c>
      <c r="AI95" s="21">
        <v>107.92500000000001</v>
      </c>
      <c r="AJ95" s="21">
        <v>100</v>
      </c>
      <c r="AK95" s="21" t="s">
        <v>2054</v>
      </c>
      <c r="AL95" t="s">
        <v>70</v>
      </c>
      <c r="AM95" t="s">
        <v>2027</v>
      </c>
    </row>
    <row r="96" spans="1:39" ht="15" hidden="1" thickTop="1" x14ac:dyDescent="0.35">
      <c r="A96" t="s">
        <v>2406</v>
      </c>
      <c r="B96" t="s">
        <v>2396</v>
      </c>
      <c r="C96" t="s">
        <v>117</v>
      </c>
      <c r="D96" t="s">
        <v>2397</v>
      </c>
      <c r="E96" t="s">
        <v>559</v>
      </c>
      <c r="F96">
        <v>1</v>
      </c>
      <c r="G96" t="s">
        <v>2050</v>
      </c>
      <c r="H96" t="s">
        <v>2051</v>
      </c>
      <c r="I96" t="s">
        <v>53</v>
      </c>
      <c r="J96" t="s">
        <v>67</v>
      </c>
      <c r="K96" t="s">
        <v>68</v>
      </c>
      <c r="L96" t="s">
        <v>2052</v>
      </c>
      <c r="M96" t="s">
        <v>2053</v>
      </c>
      <c r="N96">
        <v>0</v>
      </c>
      <c r="O96">
        <v>0</v>
      </c>
      <c r="P96">
        <v>0</v>
      </c>
      <c r="Q96">
        <v>1440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180</v>
      </c>
      <c r="AH96" s="21" t="s">
        <v>3424</v>
      </c>
      <c r="AI96" s="21">
        <v>107.92500000000001</v>
      </c>
      <c r="AJ96" s="21">
        <v>100</v>
      </c>
      <c r="AK96" s="21" t="s">
        <v>2054</v>
      </c>
      <c r="AL96" t="s">
        <v>70</v>
      </c>
      <c r="AM96" t="s">
        <v>2027</v>
      </c>
    </row>
    <row r="97" spans="1:39" ht="15" hidden="1" thickTop="1" x14ac:dyDescent="0.35">
      <c r="A97" t="s">
        <v>2407</v>
      </c>
      <c r="B97" t="s">
        <v>2398</v>
      </c>
      <c r="C97" t="s">
        <v>66</v>
      </c>
      <c r="D97" t="s">
        <v>2399</v>
      </c>
      <c r="E97" t="s">
        <v>559</v>
      </c>
      <c r="F97">
        <v>1</v>
      </c>
      <c r="G97" t="s">
        <v>2050</v>
      </c>
      <c r="H97" t="s">
        <v>2051</v>
      </c>
      <c r="I97" t="s">
        <v>53</v>
      </c>
      <c r="J97" t="s">
        <v>67</v>
      </c>
      <c r="K97" t="s">
        <v>68</v>
      </c>
      <c r="L97" t="s">
        <v>2052</v>
      </c>
      <c r="M97" t="s">
        <v>2053</v>
      </c>
      <c r="N97">
        <v>1</v>
      </c>
      <c r="O97">
        <v>46</v>
      </c>
      <c r="P97">
        <v>3.19</v>
      </c>
      <c r="Q97">
        <v>1440</v>
      </c>
      <c r="R97">
        <v>1</v>
      </c>
      <c r="S97">
        <v>46</v>
      </c>
      <c r="T97">
        <v>3.19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181</v>
      </c>
      <c r="AH97" s="21" t="s">
        <v>3429</v>
      </c>
      <c r="AI97" s="21">
        <v>107.92500000000001</v>
      </c>
      <c r="AJ97" s="21">
        <v>96.805555555555557</v>
      </c>
      <c r="AK97" s="21" t="s">
        <v>2055</v>
      </c>
      <c r="AL97" t="s">
        <v>70</v>
      </c>
      <c r="AM97" t="s">
        <v>2027</v>
      </c>
    </row>
    <row r="98" spans="1:39" ht="15" hidden="1" thickTop="1" x14ac:dyDescent="0.35">
      <c r="A98" t="s">
        <v>2408</v>
      </c>
      <c r="B98" t="s">
        <v>2400</v>
      </c>
      <c r="C98" t="s">
        <v>3376</v>
      </c>
      <c r="D98" t="s">
        <v>2401</v>
      </c>
      <c r="E98" t="s">
        <v>559</v>
      </c>
      <c r="F98">
        <v>1</v>
      </c>
      <c r="G98" t="s">
        <v>2050</v>
      </c>
      <c r="H98" t="s">
        <v>2051</v>
      </c>
      <c r="I98" t="s">
        <v>53</v>
      </c>
      <c r="J98" t="s">
        <v>67</v>
      </c>
      <c r="K98" t="s">
        <v>68</v>
      </c>
      <c r="L98" t="s">
        <v>2052</v>
      </c>
      <c r="M98" t="s">
        <v>2053</v>
      </c>
      <c r="N98">
        <v>0</v>
      </c>
      <c r="O98">
        <v>0</v>
      </c>
      <c r="P98">
        <v>0</v>
      </c>
      <c r="Q98">
        <v>1440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182</v>
      </c>
      <c r="AH98" s="21" t="s">
        <v>3424</v>
      </c>
      <c r="AI98" s="21">
        <v>107.92500000000001</v>
      </c>
      <c r="AJ98" s="21">
        <v>100</v>
      </c>
      <c r="AK98" s="21" t="s">
        <v>2054</v>
      </c>
      <c r="AL98" t="s">
        <v>70</v>
      </c>
      <c r="AM98" t="s">
        <v>2029</v>
      </c>
    </row>
    <row r="99" spans="1:39" ht="15" hidden="1" thickTop="1" x14ac:dyDescent="0.35">
      <c r="A99" t="s">
        <v>2413</v>
      </c>
      <c r="B99" t="s">
        <v>2402</v>
      </c>
      <c r="C99" t="s">
        <v>111</v>
      </c>
      <c r="D99" t="s">
        <v>2403</v>
      </c>
      <c r="E99" t="s">
        <v>112</v>
      </c>
      <c r="F99">
        <v>1</v>
      </c>
      <c r="G99" t="s">
        <v>2050</v>
      </c>
      <c r="H99" t="s">
        <v>2051</v>
      </c>
      <c r="I99" t="s">
        <v>53</v>
      </c>
      <c r="J99" t="s">
        <v>113</v>
      </c>
      <c r="K99" t="s">
        <v>68</v>
      </c>
      <c r="L99" t="s">
        <v>2052</v>
      </c>
      <c r="M99" t="s">
        <v>2053</v>
      </c>
      <c r="N99">
        <v>0</v>
      </c>
      <c r="O99">
        <v>0</v>
      </c>
      <c r="P99">
        <v>0</v>
      </c>
      <c r="Q99">
        <v>1440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184</v>
      </c>
      <c r="AH99" s="21" t="s">
        <v>3430</v>
      </c>
      <c r="AI99" s="21">
        <v>107.92500000000001</v>
      </c>
      <c r="AJ99" s="21">
        <v>100</v>
      </c>
      <c r="AK99" s="21" t="s">
        <v>2054</v>
      </c>
      <c r="AL99" t="s">
        <v>115</v>
      </c>
      <c r="AM99" t="s">
        <v>2027</v>
      </c>
    </row>
    <row r="100" spans="1:39" ht="15" hidden="1" thickTop="1" x14ac:dyDescent="0.35">
      <c r="A100" t="s">
        <v>2423</v>
      </c>
      <c r="B100" t="s">
        <v>2418</v>
      </c>
      <c r="C100" t="s">
        <v>117</v>
      </c>
      <c r="D100" t="s">
        <v>2419</v>
      </c>
      <c r="E100" t="s">
        <v>559</v>
      </c>
      <c r="F100">
        <v>1</v>
      </c>
      <c r="G100" t="s">
        <v>2050</v>
      </c>
      <c r="H100" t="s">
        <v>2051</v>
      </c>
      <c r="I100" t="s">
        <v>53</v>
      </c>
      <c r="J100" t="s">
        <v>67</v>
      </c>
      <c r="K100" t="s">
        <v>68</v>
      </c>
      <c r="L100" t="s">
        <v>2052</v>
      </c>
      <c r="M100" t="s">
        <v>2053</v>
      </c>
      <c r="N100">
        <v>0</v>
      </c>
      <c r="O100">
        <v>0</v>
      </c>
      <c r="P100">
        <v>0</v>
      </c>
      <c r="Q100">
        <v>1440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185</v>
      </c>
      <c r="AH100" s="21" t="s">
        <v>3427</v>
      </c>
      <c r="AI100" s="21">
        <v>107.92500000000001</v>
      </c>
      <c r="AJ100" s="21">
        <v>100</v>
      </c>
      <c r="AK100" s="21" t="s">
        <v>2054</v>
      </c>
      <c r="AL100" t="s">
        <v>70</v>
      </c>
      <c r="AM100" t="s">
        <v>2027</v>
      </c>
    </row>
    <row r="101" spans="1:39" ht="15" hidden="1" thickTop="1" x14ac:dyDescent="0.35">
      <c r="A101" t="s">
        <v>2441</v>
      </c>
      <c r="B101" t="s">
        <v>2421</v>
      </c>
      <c r="C101" t="s">
        <v>3376</v>
      </c>
      <c r="D101" t="s">
        <v>2422</v>
      </c>
      <c r="E101" t="s">
        <v>559</v>
      </c>
      <c r="F101">
        <v>1</v>
      </c>
      <c r="G101" t="s">
        <v>2050</v>
      </c>
      <c r="H101" t="s">
        <v>2051</v>
      </c>
      <c r="I101" t="s">
        <v>53</v>
      </c>
      <c r="J101" t="s">
        <v>67</v>
      </c>
      <c r="K101" t="s">
        <v>68</v>
      </c>
      <c r="L101" t="s">
        <v>2052</v>
      </c>
      <c r="M101" t="s">
        <v>2053</v>
      </c>
      <c r="N101">
        <v>0</v>
      </c>
      <c r="O101">
        <v>0</v>
      </c>
      <c r="P101">
        <v>0</v>
      </c>
      <c r="Q101">
        <v>1440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186</v>
      </c>
      <c r="AH101" s="21" t="s">
        <v>3425</v>
      </c>
      <c r="AI101" s="21">
        <v>107.92500000000001</v>
      </c>
      <c r="AJ101" s="21">
        <v>100</v>
      </c>
      <c r="AK101" s="21" t="s">
        <v>2054</v>
      </c>
      <c r="AL101" t="s">
        <v>70</v>
      </c>
      <c r="AM101" t="s">
        <v>2028</v>
      </c>
    </row>
    <row r="102" spans="1:39" ht="15" hidden="1" thickTop="1" x14ac:dyDescent="0.35">
      <c r="A102" t="s">
        <v>2442</v>
      </c>
      <c r="B102" t="s">
        <v>2424</v>
      </c>
      <c r="C102" t="s">
        <v>3376</v>
      </c>
      <c r="D102" t="s">
        <v>2425</v>
      </c>
      <c r="E102" t="s">
        <v>559</v>
      </c>
      <c r="F102">
        <v>1</v>
      </c>
      <c r="G102" t="s">
        <v>2050</v>
      </c>
      <c r="H102" t="s">
        <v>2051</v>
      </c>
      <c r="I102" t="s">
        <v>53</v>
      </c>
      <c r="J102" t="s">
        <v>67</v>
      </c>
      <c r="K102" t="s">
        <v>68</v>
      </c>
      <c r="L102" t="s">
        <v>2052</v>
      </c>
      <c r="M102" t="s">
        <v>2053</v>
      </c>
      <c r="N102">
        <v>0</v>
      </c>
      <c r="O102">
        <v>0</v>
      </c>
      <c r="P102">
        <v>0</v>
      </c>
      <c r="Q102">
        <v>1440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187</v>
      </c>
      <c r="AH102" s="21" t="s">
        <v>3425</v>
      </c>
      <c r="AI102" s="21">
        <v>107.92500000000001</v>
      </c>
      <c r="AJ102" s="21">
        <v>100</v>
      </c>
      <c r="AK102" s="21" t="s">
        <v>2054</v>
      </c>
      <c r="AL102" t="s">
        <v>70</v>
      </c>
      <c r="AM102" t="s">
        <v>2028</v>
      </c>
    </row>
    <row r="103" spans="1:39" ht="15" hidden="1" thickTop="1" x14ac:dyDescent="0.35">
      <c r="A103" t="s">
        <v>2443</v>
      </c>
      <c r="B103" t="s">
        <v>2427</v>
      </c>
      <c r="C103" t="s">
        <v>76</v>
      </c>
      <c r="D103" t="s">
        <v>2428</v>
      </c>
      <c r="E103" t="s">
        <v>559</v>
      </c>
      <c r="F103">
        <v>1</v>
      </c>
      <c r="G103" t="s">
        <v>2050</v>
      </c>
      <c r="H103" t="s">
        <v>2051</v>
      </c>
      <c r="I103" t="s">
        <v>53</v>
      </c>
      <c r="J103" t="s">
        <v>67</v>
      </c>
      <c r="K103" t="s">
        <v>68</v>
      </c>
      <c r="L103" t="s">
        <v>2052</v>
      </c>
      <c r="M103" t="s">
        <v>2053</v>
      </c>
      <c r="N103">
        <v>0</v>
      </c>
      <c r="O103">
        <v>0</v>
      </c>
      <c r="P103">
        <v>0</v>
      </c>
      <c r="Q103">
        <v>1440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188</v>
      </c>
      <c r="AH103" s="21" t="s">
        <v>3425</v>
      </c>
      <c r="AI103" s="21">
        <v>107.92500000000001</v>
      </c>
      <c r="AJ103" s="21">
        <v>100</v>
      </c>
      <c r="AK103" s="21" t="s">
        <v>2055</v>
      </c>
      <c r="AL103" t="s">
        <v>70</v>
      </c>
      <c r="AM103" t="s">
        <v>2030</v>
      </c>
    </row>
    <row r="104" spans="1:39" ht="15" hidden="1" thickTop="1" x14ac:dyDescent="0.35">
      <c r="A104" t="s">
        <v>2445</v>
      </c>
      <c r="B104" t="s">
        <v>2430</v>
      </c>
      <c r="C104" t="s">
        <v>76</v>
      </c>
      <c r="D104" t="s">
        <v>2431</v>
      </c>
      <c r="E104" t="s">
        <v>119</v>
      </c>
      <c r="F104">
        <v>1</v>
      </c>
      <c r="G104" t="s">
        <v>2050</v>
      </c>
      <c r="H104" t="s">
        <v>2051</v>
      </c>
      <c r="I104" t="s">
        <v>53</v>
      </c>
      <c r="J104" t="s">
        <v>67</v>
      </c>
      <c r="K104" t="s">
        <v>68</v>
      </c>
      <c r="L104" t="s">
        <v>2052</v>
      </c>
      <c r="M104" t="s">
        <v>2053</v>
      </c>
      <c r="N104">
        <v>0</v>
      </c>
      <c r="O104">
        <v>0</v>
      </c>
      <c r="P104">
        <v>0</v>
      </c>
      <c r="Q104">
        <v>1440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189</v>
      </c>
      <c r="AH104" s="21" t="s">
        <v>3425</v>
      </c>
      <c r="AI104" s="21">
        <v>107.92500000000001</v>
      </c>
      <c r="AJ104" s="21">
        <v>100</v>
      </c>
      <c r="AK104" s="21" t="s">
        <v>2054</v>
      </c>
      <c r="AL104" t="s">
        <v>70</v>
      </c>
      <c r="AM104" t="s">
        <v>2029</v>
      </c>
    </row>
    <row r="105" spans="1:39" ht="15" hidden="1" thickTop="1" x14ac:dyDescent="0.35">
      <c r="A105" t="s">
        <v>2450</v>
      </c>
      <c r="B105" t="s">
        <v>2434</v>
      </c>
      <c r="C105" t="s">
        <v>78</v>
      </c>
      <c r="D105" t="s">
        <v>2435</v>
      </c>
      <c r="E105" t="s">
        <v>559</v>
      </c>
      <c r="F105">
        <v>1</v>
      </c>
      <c r="G105" t="s">
        <v>2050</v>
      </c>
      <c r="H105" t="s">
        <v>2051</v>
      </c>
      <c r="I105" t="s">
        <v>53</v>
      </c>
      <c r="J105" t="s">
        <v>67</v>
      </c>
      <c r="K105" t="s">
        <v>68</v>
      </c>
      <c r="L105" t="s">
        <v>2052</v>
      </c>
      <c r="M105" t="s">
        <v>2053</v>
      </c>
      <c r="N105">
        <v>0</v>
      </c>
      <c r="O105">
        <v>0</v>
      </c>
      <c r="P105">
        <v>0</v>
      </c>
      <c r="Q105">
        <v>1440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t="s">
        <v>190</v>
      </c>
      <c r="AH105" s="21" t="s">
        <v>3425</v>
      </c>
      <c r="AI105" s="21">
        <v>107.92500000000001</v>
      </c>
      <c r="AJ105" s="21">
        <v>100</v>
      </c>
      <c r="AK105" s="21" t="s">
        <v>2055</v>
      </c>
      <c r="AL105" t="s">
        <v>70</v>
      </c>
      <c r="AM105" t="s">
        <v>2028</v>
      </c>
    </row>
    <row r="106" spans="1:39" ht="15" hidden="1" thickTop="1" x14ac:dyDescent="0.35">
      <c r="A106" t="s">
        <v>2451</v>
      </c>
      <c r="B106" t="s">
        <v>2436</v>
      </c>
      <c r="C106" t="s">
        <v>76</v>
      </c>
      <c r="D106" t="s">
        <v>2437</v>
      </c>
      <c r="E106" t="s">
        <v>559</v>
      </c>
      <c r="F106">
        <v>1</v>
      </c>
      <c r="G106" t="s">
        <v>2050</v>
      </c>
      <c r="H106" t="s">
        <v>2051</v>
      </c>
      <c r="I106" t="s">
        <v>53</v>
      </c>
      <c r="J106" t="s">
        <v>67</v>
      </c>
      <c r="K106" t="s">
        <v>68</v>
      </c>
      <c r="L106" t="s">
        <v>2052</v>
      </c>
      <c r="M106" t="s">
        <v>2053</v>
      </c>
      <c r="N106">
        <v>0</v>
      </c>
      <c r="O106">
        <v>0</v>
      </c>
      <c r="P106">
        <v>0</v>
      </c>
      <c r="Q106">
        <v>1440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191</v>
      </c>
      <c r="AH106" s="21" t="s">
        <v>3425</v>
      </c>
      <c r="AI106" s="21">
        <v>107.92500000000001</v>
      </c>
      <c r="AJ106" s="21">
        <v>100</v>
      </c>
      <c r="AK106" s="21" t="s">
        <v>2055</v>
      </c>
      <c r="AL106" t="s">
        <v>70</v>
      </c>
      <c r="AM106" t="s">
        <v>2028</v>
      </c>
    </row>
    <row r="107" spans="1:39" ht="15" hidden="1" thickTop="1" x14ac:dyDescent="0.35">
      <c r="A107" t="s">
        <v>2459</v>
      </c>
      <c r="B107" t="s">
        <v>2439</v>
      </c>
      <c r="C107" t="s">
        <v>78</v>
      </c>
      <c r="D107" t="s">
        <v>2440</v>
      </c>
      <c r="E107" t="s">
        <v>559</v>
      </c>
      <c r="F107">
        <v>1</v>
      </c>
      <c r="G107" t="s">
        <v>2050</v>
      </c>
      <c r="H107" t="s">
        <v>2051</v>
      </c>
      <c r="I107" t="s">
        <v>53</v>
      </c>
      <c r="J107" t="s">
        <v>67</v>
      </c>
      <c r="K107" t="s">
        <v>68</v>
      </c>
      <c r="L107" t="s">
        <v>2052</v>
      </c>
      <c r="M107" t="s">
        <v>2053</v>
      </c>
      <c r="N107">
        <v>0</v>
      </c>
      <c r="O107">
        <v>0</v>
      </c>
      <c r="P107">
        <v>0</v>
      </c>
      <c r="Q107">
        <v>1440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 t="s">
        <v>192</v>
      </c>
      <c r="AH107" s="21" t="s">
        <v>3425</v>
      </c>
      <c r="AI107" s="21">
        <v>107.92500000000001</v>
      </c>
      <c r="AJ107" s="21">
        <v>100</v>
      </c>
      <c r="AK107" s="21" t="s">
        <v>2054</v>
      </c>
      <c r="AL107" t="s">
        <v>70</v>
      </c>
      <c r="AM107" t="s">
        <v>2029</v>
      </c>
    </row>
    <row r="108" spans="1:39" ht="15" hidden="1" thickTop="1" x14ac:dyDescent="0.35">
      <c r="A108" t="s">
        <v>2465</v>
      </c>
      <c r="B108" t="s">
        <v>2454</v>
      </c>
      <c r="C108" t="s">
        <v>76</v>
      </c>
      <c r="D108" t="s">
        <v>2455</v>
      </c>
      <c r="E108" t="s">
        <v>559</v>
      </c>
      <c r="F108">
        <v>2</v>
      </c>
      <c r="G108" t="s">
        <v>2050</v>
      </c>
      <c r="H108" t="s">
        <v>2051</v>
      </c>
      <c r="I108" t="s">
        <v>53</v>
      </c>
      <c r="J108" t="s">
        <v>67</v>
      </c>
      <c r="K108" t="s">
        <v>68</v>
      </c>
      <c r="L108" t="s">
        <v>2052</v>
      </c>
      <c r="M108" t="s">
        <v>2053</v>
      </c>
      <c r="N108">
        <v>0</v>
      </c>
      <c r="O108">
        <v>0</v>
      </c>
      <c r="P108">
        <v>0</v>
      </c>
      <c r="Q108">
        <v>1440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193</v>
      </c>
      <c r="AH108" s="21" t="s">
        <v>3424</v>
      </c>
      <c r="AI108" s="21">
        <v>107.92500000000001</v>
      </c>
      <c r="AJ108" s="21">
        <v>100</v>
      </c>
      <c r="AK108" s="21" t="s">
        <v>2054</v>
      </c>
      <c r="AL108" t="s">
        <v>70</v>
      </c>
      <c r="AM108" t="s">
        <v>2029</v>
      </c>
    </row>
    <row r="109" spans="1:39" ht="15" hidden="1" thickTop="1" x14ac:dyDescent="0.35">
      <c r="A109" t="s">
        <v>2470</v>
      </c>
      <c r="B109" t="s">
        <v>2420</v>
      </c>
      <c r="C109" t="s">
        <v>117</v>
      </c>
      <c r="D109" t="s">
        <v>2461</v>
      </c>
      <c r="E109" t="s">
        <v>559</v>
      </c>
      <c r="F109">
        <v>1</v>
      </c>
      <c r="G109" t="s">
        <v>2050</v>
      </c>
      <c r="H109" t="s">
        <v>2051</v>
      </c>
      <c r="I109" t="s">
        <v>53</v>
      </c>
      <c r="J109" t="s">
        <v>67</v>
      </c>
      <c r="K109" t="s">
        <v>68</v>
      </c>
      <c r="L109" t="s">
        <v>2052</v>
      </c>
      <c r="M109" t="s">
        <v>2053</v>
      </c>
      <c r="N109">
        <v>0</v>
      </c>
      <c r="O109">
        <v>0</v>
      </c>
      <c r="P109">
        <v>0</v>
      </c>
      <c r="Q109">
        <v>1440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194</v>
      </c>
      <c r="AH109" s="21" t="s">
        <v>3425</v>
      </c>
      <c r="AI109" s="21">
        <v>107.92500000000001</v>
      </c>
      <c r="AJ109" s="21">
        <v>100</v>
      </c>
      <c r="AK109" s="21" t="s">
        <v>2055</v>
      </c>
      <c r="AL109" t="s">
        <v>70</v>
      </c>
      <c r="AM109" t="s">
        <v>2029</v>
      </c>
    </row>
    <row r="110" spans="1:39" ht="15" hidden="1" thickTop="1" x14ac:dyDescent="0.35">
      <c r="A110" t="s">
        <v>2492</v>
      </c>
      <c r="B110" t="s">
        <v>2477</v>
      </c>
      <c r="C110" t="s">
        <v>92</v>
      </c>
      <c r="D110" t="s">
        <v>2478</v>
      </c>
      <c r="E110" t="s">
        <v>119</v>
      </c>
      <c r="F110">
        <v>1</v>
      </c>
      <c r="G110" t="s">
        <v>2050</v>
      </c>
      <c r="H110" t="s">
        <v>2051</v>
      </c>
      <c r="I110" t="s">
        <v>53</v>
      </c>
      <c r="J110" t="s">
        <v>67</v>
      </c>
      <c r="K110" t="s">
        <v>68</v>
      </c>
      <c r="L110" t="s">
        <v>2052</v>
      </c>
      <c r="M110" t="s">
        <v>2053</v>
      </c>
      <c r="N110">
        <v>0</v>
      </c>
      <c r="O110">
        <v>0</v>
      </c>
      <c r="P110">
        <v>0</v>
      </c>
      <c r="Q110">
        <v>1440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196</v>
      </c>
      <c r="AH110" s="21" t="s">
        <v>3425</v>
      </c>
      <c r="AI110" s="21">
        <v>107.92500000000001</v>
      </c>
      <c r="AJ110" s="21">
        <v>100</v>
      </c>
      <c r="AK110" s="21" t="s">
        <v>2054</v>
      </c>
      <c r="AL110" t="s">
        <v>70</v>
      </c>
      <c r="AM110" t="s">
        <v>2029</v>
      </c>
    </row>
    <row r="111" spans="1:39" ht="15" hidden="1" thickTop="1" x14ac:dyDescent="0.35">
      <c r="A111" t="s">
        <v>2497</v>
      </c>
      <c r="B111" t="s">
        <v>2480</v>
      </c>
      <c r="C111" t="s">
        <v>117</v>
      </c>
      <c r="D111" t="s">
        <v>2481</v>
      </c>
      <c r="E111" t="s">
        <v>559</v>
      </c>
      <c r="F111">
        <v>1</v>
      </c>
      <c r="G111" t="s">
        <v>2050</v>
      </c>
      <c r="H111" t="s">
        <v>2051</v>
      </c>
      <c r="I111" t="s">
        <v>53</v>
      </c>
      <c r="J111" t="s">
        <v>67</v>
      </c>
      <c r="K111" t="s">
        <v>68</v>
      </c>
      <c r="L111" t="s">
        <v>2052</v>
      </c>
      <c r="M111" t="s">
        <v>2053</v>
      </c>
      <c r="N111">
        <v>0</v>
      </c>
      <c r="O111">
        <v>0</v>
      </c>
      <c r="P111">
        <v>0</v>
      </c>
      <c r="Q111">
        <v>1440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197</v>
      </c>
      <c r="AH111" s="21" t="s">
        <v>3429</v>
      </c>
      <c r="AI111" s="21">
        <v>107.92500000000001</v>
      </c>
      <c r="AJ111" s="21">
        <v>100</v>
      </c>
      <c r="AK111" s="21" t="s">
        <v>2054</v>
      </c>
      <c r="AL111" t="s">
        <v>70</v>
      </c>
      <c r="AM111" t="s">
        <v>2027</v>
      </c>
    </row>
    <row r="112" spans="1:39" ht="15" hidden="1" thickTop="1" x14ac:dyDescent="0.35">
      <c r="A112" t="s">
        <v>2498</v>
      </c>
      <c r="B112" t="s">
        <v>2482</v>
      </c>
      <c r="C112" t="s">
        <v>66</v>
      </c>
      <c r="D112" t="s">
        <v>2483</v>
      </c>
      <c r="E112" t="s">
        <v>559</v>
      </c>
      <c r="F112">
        <v>1</v>
      </c>
      <c r="G112" t="s">
        <v>2050</v>
      </c>
      <c r="H112" t="s">
        <v>2051</v>
      </c>
      <c r="I112" t="s">
        <v>53</v>
      </c>
      <c r="J112" t="s">
        <v>67</v>
      </c>
      <c r="K112" t="s">
        <v>68</v>
      </c>
      <c r="L112" t="s">
        <v>2052</v>
      </c>
      <c r="M112" t="s">
        <v>2053</v>
      </c>
      <c r="N112">
        <v>1</v>
      </c>
      <c r="O112">
        <v>37</v>
      </c>
      <c r="P112">
        <v>2.57</v>
      </c>
      <c r="Q112">
        <v>1440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37</v>
      </c>
      <c r="Z112">
        <v>2.57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198</v>
      </c>
      <c r="AH112" s="21" t="s">
        <v>3429</v>
      </c>
      <c r="AI112" s="21">
        <v>107.92500000000001</v>
      </c>
      <c r="AJ112" s="21">
        <v>97.430555555555557</v>
      </c>
      <c r="AK112" s="21" t="s">
        <v>2055</v>
      </c>
      <c r="AL112" t="s">
        <v>70</v>
      </c>
      <c r="AM112" t="s">
        <v>2028</v>
      </c>
    </row>
    <row r="113" spans="1:39" ht="15" hidden="1" thickTop="1" x14ac:dyDescent="0.35">
      <c r="A113" t="s">
        <v>2499</v>
      </c>
      <c r="B113" t="s">
        <v>2484</v>
      </c>
      <c r="C113" t="s">
        <v>102</v>
      </c>
      <c r="D113" t="s">
        <v>2485</v>
      </c>
      <c r="E113" t="s">
        <v>559</v>
      </c>
      <c r="F113">
        <v>1</v>
      </c>
      <c r="G113" t="s">
        <v>2050</v>
      </c>
      <c r="H113" t="s">
        <v>2051</v>
      </c>
      <c r="I113" t="s">
        <v>53</v>
      </c>
      <c r="J113" t="s">
        <v>67</v>
      </c>
      <c r="K113" t="s">
        <v>68</v>
      </c>
      <c r="L113" t="s">
        <v>2052</v>
      </c>
      <c r="M113" t="s">
        <v>2053</v>
      </c>
      <c r="N113">
        <v>0</v>
      </c>
      <c r="O113">
        <v>0</v>
      </c>
      <c r="P113">
        <v>0</v>
      </c>
      <c r="Q113">
        <v>1440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199</v>
      </c>
      <c r="AH113" s="21" t="s">
        <v>3429</v>
      </c>
      <c r="AI113" s="21">
        <v>107.92500000000001</v>
      </c>
      <c r="AJ113" s="21">
        <v>100</v>
      </c>
      <c r="AK113" s="21" t="s">
        <v>2054</v>
      </c>
      <c r="AL113" t="s">
        <v>70</v>
      </c>
      <c r="AM113" t="s">
        <v>2027</v>
      </c>
    </row>
    <row r="114" spans="1:39" ht="15" hidden="1" thickTop="1" x14ac:dyDescent="0.35">
      <c r="A114" t="s">
        <v>2503</v>
      </c>
      <c r="B114" t="s">
        <v>2486</v>
      </c>
      <c r="C114" t="s">
        <v>92</v>
      </c>
      <c r="D114" t="s">
        <v>2487</v>
      </c>
      <c r="E114" t="s">
        <v>559</v>
      </c>
      <c r="F114">
        <v>1</v>
      </c>
      <c r="G114" t="s">
        <v>2050</v>
      </c>
      <c r="H114" t="s">
        <v>2051</v>
      </c>
      <c r="I114" t="s">
        <v>53</v>
      </c>
      <c r="J114" t="s">
        <v>67</v>
      </c>
      <c r="K114" t="s">
        <v>68</v>
      </c>
      <c r="L114" t="s">
        <v>2052</v>
      </c>
      <c r="M114" t="s">
        <v>2053</v>
      </c>
      <c r="N114">
        <v>0</v>
      </c>
      <c r="O114">
        <v>0</v>
      </c>
      <c r="P114">
        <v>0</v>
      </c>
      <c r="Q114">
        <v>1440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200</v>
      </c>
      <c r="AH114" s="21" t="s">
        <v>3424</v>
      </c>
      <c r="AI114" s="21">
        <v>107.92500000000001</v>
      </c>
      <c r="AJ114" s="21">
        <v>100</v>
      </c>
      <c r="AK114" s="21" t="s">
        <v>2054</v>
      </c>
      <c r="AL114" t="s">
        <v>70</v>
      </c>
      <c r="AM114" t="s">
        <v>2028</v>
      </c>
    </row>
    <row r="115" spans="1:39" ht="15" hidden="1" thickTop="1" x14ac:dyDescent="0.35">
      <c r="A115" t="s">
        <v>2504</v>
      </c>
      <c r="B115" t="s">
        <v>2488</v>
      </c>
      <c r="C115" t="s">
        <v>76</v>
      </c>
      <c r="D115" t="s">
        <v>2489</v>
      </c>
      <c r="E115" t="s">
        <v>119</v>
      </c>
      <c r="F115">
        <v>1</v>
      </c>
      <c r="G115" t="s">
        <v>2050</v>
      </c>
      <c r="H115" t="s">
        <v>2051</v>
      </c>
      <c r="I115" t="s">
        <v>53</v>
      </c>
      <c r="J115" t="s">
        <v>67</v>
      </c>
      <c r="K115" t="s">
        <v>68</v>
      </c>
      <c r="L115" t="s">
        <v>2052</v>
      </c>
      <c r="M115" t="s">
        <v>2053</v>
      </c>
      <c r="N115">
        <v>0</v>
      </c>
      <c r="O115">
        <v>0</v>
      </c>
      <c r="P115">
        <v>0</v>
      </c>
      <c r="Q115">
        <v>1440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201</v>
      </c>
      <c r="AH115" s="21" t="s">
        <v>3429</v>
      </c>
      <c r="AI115" s="21">
        <v>107.92500000000001</v>
      </c>
      <c r="AJ115" s="21">
        <v>100</v>
      </c>
      <c r="AK115" s="21" t="s">
        <v>2054</v>
      </c>
      <c r="AL115" t="s">
        <v>70</v>
      </c>
      <c r="AM115" t="s">
        <v>2029</v>
      </c>
    </row>
    <row r="116" spans="1:39" ht="15" hidden="1" thickTop="1" x14ac:dyDescent="0.35">
      <c r="A116" t="s">
        <v>2505</v>
      </c>
      <c r="B116" t="s">
        <v>2490</v>
      </c>
      <c r="C116" t="s">
        <v>3376</v>
      </c>
      <c r="D116" t="s">
        <v>2491</v>
      </c>
      <c r="E116" t="s">
        <v>559</v>
      </c>
      <c r="F116">
        <v>1</v>
      </c>
      <c r="G116" t="s">
        <v>2050</v>
      </c>
      <c r="H116" t="s">
        <v>2051</v>
      </c>
      <c r="I116" t="s">
        <v>53</v>
      </c>
      <c r="J116" t="s">
        <v>67</v>
      </c>
      <c r="K116" t="s">
        <v>68</v>
      </c>
      <c r="L116" t="s">
        <v>2052</v>
      </c>
      <c r="M116" t="s">
        <v>2053</v>
      </c>
      <c r="N116">
        <v>0</v>
      </c>
      <c r="O116">
        <v>0</v>
      </c>
      <c r="P116">
        <v>0</v>
      </c>
      <c r="Q116">
        <v>1440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202</v>
      </c>
      <c r="AH116" s="21" t="s">
        <v>3424</v>
      </c>
      <c r="AI116" s="21">
        <v>107.92500000000001</v>
      </c>
      <c r="AJ116" s="21">
        <v>100</v>
      </c>
      <c r="AK116" s="21" t="s">
        <v>2055</v>
      </c>
      <c r="AL116" t="s">
        <v>70</v>
      </c>
      <c r="AM116" t="s">
        <v>2030</v>
      </c>
    </row>
    <row r="117" spans="1:39" ht="15" hidden="1" thickTop="1" x14ac:dyDescent="0.35">
      <c r="A117" t="s">
        <v>2518</v>
      </c>
      <c r="B117" t="s">
        <v>2512</v>
      </c>
      <c r="C117" t="s">
        <v>76</v>
      </c>
      <c r="D117" t="s">
        <v>2513</v>
      </c>
      <c r="E117" t="s">
        <v>559</v>
      </c>
      <c r="F117">
        <v>2</v>
      </c>
      <c r="G117" t="s">
        <v>2050</v>
      </c>
      <c r="H117" t="s">
        <v>2051</v>
      </c>
      <c r="I117" t="s">
        <v>53</v>
      </c>
      <c r="J117" t="s">
        <v>67</v>
      </c>
      <c r="K117" t="s">
        <v>68</v>
      </c>
      <c r="L117" t="s">
        <v>2052</v>
      </c>
      <c r="M117" t="s">
        <v>2064</v>
      </c>
      <c r="N117">
        <v>0</v>
      </c>
      <c r="O117">
        <v>0</v>
      </c>
      <c r="P117">
        <v>0</v>
      </c>
      <c r="Q117">
        <v>900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204</v>
      </c>
      <c r="AH117" s="21" t="s">
        <v>3424</v>
      </c>
      <c r="AI117" s="21">
        <v>67.5</v>
      </c>
      <c r="AJ117" s="21">
        <v>100</v>
      </c>
      <c r="AK117" s="21" t="s">
        <v>2055</v>
      </c>
      <c r="AL117" t="s">
        <v>70</v>
      </c>
      <c r="AM117" t="s">
        <v>2028</v>
      </c>
    </row>
    <row r="118" spans="1:39" ht="15" hidden="1" thickTop="1" x14ac:dyDescent="0.35">
      <c r="A118" t="s">
        <v>2519</v>
      </c>
      <c r="B118" t="s">
        <v>2514</v>
      </c>
      <c r="C118" t="s">
        <v>117</v>
      </c>
      <c r="D118" t="s">
        <v>2515</v>
      </c>
      <c r="E118" t="s">
        <v>559</v>
      </c>
      <c r="F118">
        <v>1</v>
      </c>
      <c r="G118" t="s">
        <v>2050</v>
      </c>
      <c r="H118" t="s">
        <v>2051</v>
      </c>
      <c r="I118" t="s">
        <v>53</v>
      </c>
      <c r="J118" t="s">
        <v>67</v>
      </c>
      <c r="K118" t="s">
        <v>68</v>
      </c>
      <c r="L118" t="s">
        <v>2052</v>
      </c>
      <c r="M118" t="s">
        <v>2053</v>
      </c>
      <c r="N118">
        <v>0</v>
      </c>
      <c r="O118">
        <v>0</v>
      </c>
      <c r="P118">
        <v>0</v>
      </c>
      <c r="Q118">
        <v>1440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205</v>
      </c>
      <c r="AH118" s="21" t="s">
        <v>3424</v>
      </c>
      <c r="AI118" s="21">
        <v>107.92500000000001</v>
      </c>
      <c r="AJ118" s="21">
        <v>100</v>
      </c>
      <c r="AK118" s="21" t="s">
        <v>2055</v>
      </c>
      <c r="AL118" t="s">
        <v>70</v>
      </c>
      <c r="AM118" t="s">
        <v>2029</v>
      </c>
    </row>
    <row r="119" spans="1:39" ht="15" hidden="1" thickTop="1" x14ac:dyDescent="0.35">
      <c r="A119" t="s">
        <v>2520</v>
      </c>
      <c r="B119" t="s">
        <v>2516</v>
      </c>
      <c r="C119" t="s">
        <v>111</v>
      </c>
      <c r="D119" t="s">
        <v>2517</v>
      </c>
      <c r="E119" t="s">
        <v>112</v>
      </c>
      <c r="F119">
        <v>1</v>
      </c>
      <c r="G119" t="s">
        <v>2050</v>
      </c>
      <c r="H119" t="s">
        <v>2051</v>
      </c>
      <c r="I119" t="s">
        <v>53</v>
      </c>
      <c r="J119" t="s">
        <v>113</v>
      </c>
      <c r="K119" t="s">
        <v>68</v>
      </c>
      <c r="L119" t="s">
        <v>2052</v>
      </c>
      <c r="M119" t="s">
        <v>2053</v>
      </c>
      <c r="N119">
        <v>0</v>
      </c>
      <c r="O119">
        <v>0</v>
      </c>
      <c r="P119">
        <v>0</v>
      </c>
      <c r="Q119">
        <v>1440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206</v>
      </c>
      <c r="AH119" s="21" t="s">
        <v>3430</v>
      </c>
      <c r="AI119" s="21">
        <v>107.92500000000001</v>
      </c>
      <c r="AJ119" s="21">
        <v>100</v>
      </c>
      <c r="AK119" s="21" t="s">
        <v>2054</v>
      </c>
      <c r="AL119" t="s">
        <v>115</v>
      </c>
      <c r="AM119" t="s">
        <v>2027</v>
      </c>
    </row>
    <row r="120" spans="1:39" ht="15" hidden="1" thickTop="1" x14ac:dyDescent="0.35">
      <c r="A120" t="s">
        <v>2476</v>
      </c>
      <c r="B120" t="s">
        <v>2523</v>
      </c>
      <c r="C120" t="s">
        <v>102</v>
      </c>
      <c r="D120" t="s">
        <v>2524</v>
      </c>
      <c r="E120" t="s">
        <v>559</v>
      </c>
      <c r="F120">
        <v>1</v>
      </c>
      <c r="G120" t="s">
        <v>2050</v>
      </c>
      <c r="H120" t="s">
        <v>2051</v>
      </c>
      <c r="I120" t="s">
        <v>53</v>
      </c>
      <c r="J120" t="s">
        <v>67</v>
      </c>
      <c r="K120" t="s">
        <v>68</v>
      </c>
      <c r="L120" t="s">
        <v>2052</v>
      </c>
      <c r="M120" t="s">
        <v>2053</v>
      </c>
      <c r="N120">
        <v>0</v>
      </c>
      <c r="O120">
        <v>0</v>
      </c>
      <c r="P120">
        <v>0</v>
      </c>
      <c r="Q120">
        <v>1440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t="s">
        <v>207</v>
      </c>
      <c r="AH120" s="21" t="s">
        <v>3424</v>
      </c>
      <c r="AI120" s="21">
        <v>107.92500000000001</v>
      </c>
      <c r="AJ120" s="21">
        <v>100</v>
      </c>
      <c r="AK120" s="21" t="s">
        <v>2054</v>
      </c>
      <c r="AL120" t="s">
        <v>70</v>
      </c>
      <c r="AM120" t="s">
        <v>2029</v>
      </c>
    </row>
    <row r="121" spans="1:39" ht="15" hidden="1" thickTop="1" x14ac:dyDescent="0.35">
      <c r="A121" t="s">
        <v>2537</v>
      </c>
      <c r="B121" t="s">
        <v>2527</v>
      </c>
      <c r="C121" t="s">
        <v>92</v>
      </c>
      <c r="D121" t="s">
        <v>2528</v>
      </c>
      <c r="E121" t="s">
        <v>119</v>
      </c>
      <c r="F121">
        <v>1</v>
      </c>
      <c r="G121" t="s">
        <v>2050</v>
      </c>
      <c r="H121" t="s">
        <v>2051</v>
      </c>
      <c r="I121" t="s">
        <v>53</v>
      </c>
      <c r="J121" t="s">
        <v>67</v>
      </c>
      <c r="K121" t="s">
        <v>68</v>
      </c>
      <c r="L121" t="s">
        <v>2052</v>
      </c>
      <c r="M121" t="s">
        <v>2053</v>
      </c>
      <c r="N121">
        <v>0</v>
      </c>
      <c r="O121">
        <v>0</v>
      </c>
      <c r="P121">
        <v>0</v>
      </c>
      <c r="Q121">
        <v>1440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208</v>
      </c>
      <c r="AH121" s="21" t="s">
        <v>3425</v>
      </c>
      <c r="AI121" s="21">
        <v>107.92500000000001</v>
      </c>
      <c r="AJ121" s="21">
        <v>100</v>
      </c>
      <c r="AK121" s="21" t="s">
        <v>2055</v>
      </c>
      <c r="AL121" t="s">
        <v>70</v>
      </c>
      <c r="AM121" t="s">
        <v>2030</v>
      </c>
    </row>
    <row r="122" spans="1:39" ht="15" hidden="1" thickTop="1" x14ac:dyDescent="0.35">
      <c r="A122" t="s">
        <v>2545</v>
      </c>
      <c r="B122" t="s">
        <v>2530</v>
      </c>
      <c r="C122" t="s">
        <v>76</v>
      </c>
      <c r="D122" t="s">
        <v>2531</v>
      </c>
      <c r="E122" t="s">
        <v>559</v>
      </c>
      <c r="F122">
        <v>2</v>
      </c>
      <c r="G122" t="s">
        <v>2050</v>
      </c>
      <c r="H122" t="s">
        <v>2051</v>
      </c>
      <c r="I122" t="s">
        <v>53</v>
      </c>
      <c r="J122" t="s">
        <v>67</v>
      </c>
      <c r="K122" t="s">
        <v>68</v>
      </c>
      <c r="L122" t="s">
        <v>2052</v>
      </c>
      <c r="M122" t="s">
        <v>2053</v>
      </c>
      <c r="N122">
        <v>0</v>
      </c>
      <c r="O122">
        <v>0</v>
      </c>
      <c r="P122">
        <v>0</v>
      </c>
      <c r="Q122">
        <v>1440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t="s">
        <v>209</v>
      </c>
      <c r="AH122" s="21" t="s">
        <v>3428</v>
      </c>
      <c r="AI122" s="21">
        <v>107.92500000000001</v>
      </c>
      <c r="AJ122" s="21">
        <v>100</v>
      </c>
      <c r="AK122" s="21" t="s">
        <v>2055</v>
      </c>
      <c r="AL122" t="s">
        <v>70</v>
      </c>
      <c r="AM122" t="s">
        <v>2029</v>
      </c>
    </row>
    <row r="123" spans="1:39" ht="15" hidden="1" thickTop="1" x14ac:dyDescent="0.35">
      <c r="A123" t="s">
        <v>2549</v>
      </c>
      <c r="B123" t="s">
        <v>2538</v>
      </c>
      <c r="C123" t="s">
        <v>3376</v>
      </c>
      <c r="D123" t="s">
        <v>2539</v>
      </c>
      <c r="E123" t="s">
        <v>559</v>
      </c>
      <c r="F123">
        <v>1</v>
      </c>
      <c r="G123" t="s">
        <v>2050</v>
      </c>
      <c r="H123" t="s">
        <v>2051</v>
      </c>
      <c r="I123" t="s">
        <v>53</v>
      </c>
      <c r="J123" t="s">
        <v>67</v>
      </c>
      <c r="K123" t="s">
        <v>68</v>
      </c>
      <c r="L123" t="s">
        <v>2052</v>
      </c>
      <c r="M123" t="s">
        <v>2053</v>
      </c>
      <c r="N123">
        <v>0</v>
      </c>
      <c r="O123">
        <v>0</v>
      </c>
      <c r="P123">
        <v>0</v>
      </c>
      <c r="Q123">
        <v>1440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211</v>
      </c>
      <c r="AH123" s="21" t="s">
        <v>3425</v>
      </c>
      <c r="AI123" s="21">
        <v>107.92500000000001</v>
      </c>
      <c r="AJ123" s="21">
        <v>100</v>
      </c>
      <c r="AK123" s="21" t="s">
        <v>2054</v>
      </c>
      <c r="AL123" t="s">
        <v>70</v>
      </c>
      <c r="AM123" t="s">
        <v>2029</v>
      </c>
    </row>
    <row r="124" spans="1:39" ht="15" hidden="1" thickTop="1" x14ac:dyDescent="0.35">
      <c r="A124" t="s">
        <v>2551</v>
      </c>
      <c r="B124" t="s">
        <v>2542</v>
      </c>
      <c r="C124" t="s">
        <v>3376</v>
      </c>
      <c r="D124" t="s">
        <v>2543</v>
      </c>
      <c r="E124" t="s">
        <v>559</v>
      </c>
      <c r="F124">
        <v>1</v>
      </c>
      <c r="G124" t="s">
        <v>2050</v>
      </c>
      <c r="H124" t="s">
        <v>2051</v>
      </c>
      <c r="I124" t="s">
        <v>53</v>
      </c>
      <c r="J124" t="s">
        <v>67</v>
      </c>
      <c r="K124" t="s">
        <v>68</v>
      </c>
      <c r="L124" t="s">
        <v>2052</v>
      </c>
      <c r="M124" t="s">
        <v>2053</v>
      </c>
      <c r="N124">
        <v>0</v>
      </c>
      <c r="O124">
        <v>0</v>
      </c>
      <c r="P124">
        <v>0</v>
      </c>
      <c r="Q124">
        <v>1440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212</v>
      </c>
      <c r="AH124" s="21" t="s">
        <v>3424</v>
      </c>
      <c r="AI124" s="21">
        <v>107.92500000000001</v>
      </c>
      <c r="AJ124" s="21">
        <v>100</v>
      </c>
      <c r="AK124" s="21" t="s">
        <v>2054</v>
      </c>
      <c r="AL124" t="s">
        <v>70</v>
      </c>
      <c r="AM124" t="s">
        <v>2029</v>
      </c>
    </row>
    <row r="125" spans="1:39" ht="15" hidden="1" thickTop="1" x14ac:dyDescent="0.35">
      <c r="A125" t="s">
        <v>2562</v>
      </c>
      <c r="B125" t="s">
        <v>2556</v>
      </c>
      <c r="C125" t="s">
        <v>76</v>
      </c>
      <c r="D125" t="s">
        <v>2557</v>
      </c>
      <c r="E125" t="s">
        <v>559</v>
      </c>
      <c r="F125">
        <v>1</v>
      </c>
      <c r="G125" t="s">
        <v>2050</v>
      </c>
      <c r="H125" t="s">
        <v>2051</v>
      </c>
      <c r="I125" t="s">
        <v>53</v>
      </c>
      <c r="J125" t="s">
        <v>67</v>
      </c>
      <c r="K125" t="s">
        <v>68</v>
      </c>
      <c r="L125" t="s">
        <v>2052</v>
      </c>
      <c r="M125" t="s">
        <v>2053</v>
      </c>
      <c r="N125">
        <v>0</v>
      </c>
      <c r="O125">
        <v>0</v>
      </c>
      <c r="P125">
        <v>0</v>
      </c>
      <c r="Q125">
        <v>1440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t="s">
        <v>213</v>
      </c>
      <c r="AH125" s="21" t="s">
        <v>3424</v>
      </c>
      <c r="AI125" s="21">
        <v>107.92500000000001</v>
      </c>
      <c r="AJ125" s="21">
        <v>100</v>
      </c>
      <c r="AK125" s="21" t="s">
        <v>2054</v>
      </c>
      <c r="AL125" t="s">
        <v>70</v>
      </c>
      <c r="AM125" t="s">
        <v>2028</v>
      </c>
    </row>
    <row r="126" spans="1:39" ht="15" hidden="1" thickTop="1" x14ac:dyDescent="0.35">
      <c r="A126" t="s">
        <v>2563</v>
      </c>
      <c r="B126" t="s">
        <v>2558</v>
      </c>
      <c r="C126" t="s">
        <v>117</v>
      </c>
      <c r="D126" t="s">
        <v>2559</v>
      </c>
      <c r="E126" t="s">
        <v>559</v>
      </c>
      <c r="F126">
        <v>1</v>
      </c>
      <c r="G126" t="s">
        <v>2050</v>
      </c>
      <c r="H126" t="s">
        <v>2051</v>
      </c>
      <c r="I126" t="s">
        <v>53</v>
      </c>
      <c r="J126" t="s">
        <v>67</v>
      </c>
      <c r="K126" t="s">
        <v>68</v>
      </c>
      <c r="L126" t="s">
        <v>2052</v>
      </c>
      <c r="M126" t="s">
        <v>2053</v>
      </c>
      <c r="N126">
        <v>0</v>
      </c>
      <c r="O126">
        <v>0</v>
      </c>
      <c r="P126">
        <v>0</v>
      </c>
      <c r="Q126">
        <v>1440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214</v>
      </c>
      <c r="AH126" s="21" t="s">
        <v>3424</v>
      </c>
      <c r="AI126" s="21">
        <v>107.92500000000001</v>
      </c>
      <c r="AJ126" s="21">
        <v>100</v>
      </c>
      <c r="AK126" s="21" t="s">
        <v>2054</v>
      </c>
      <c r="AL126" t="s">
        <v>70</v>
      </c>
      <c r="AM126" t="s">
        <v>2027</v>
      </c>
    </row>
    <row r="127" spans="1:39" ht="15" hidden="1" thickTop="1" x14ac:dyDescent="0.35">
      <c r="A127" t="s">
        <v>2574</v>
      </c>
      <c r="B127" t="s">
        <v>2569</v>
      </c>
      <c r="C127" t="s">
        <v>128</v>
      </c>
      <c r="D127" t="s">
        <v>2570</v>
      </c>
      <c r="E127" t="s">
        <v>112</v>
      </c>
      <c r="F127">
        <v>1</v>
      </c>
      <c r="G127" t="s">
        <v>2050</v>
      </c>
      <c r="H127" t="s">
        <v>2051</v>
      </c>
      <c r="I127" t="s">
        <v>53</v>
      </c>
      <c r="J127" t="s">
        <v>113</v>
      </c>
      <c r="K127" t="s">
        <v>68</v>
      </c>
      <c r="L127" t="s">
        <v>2052</v>
      </c>
      <c r="M127" t="s">
        <v>2053</v>
      </c>
      <c r="N127">
        <v>0</v>
      </c>
      <c r="O127">
        <v>0</v>
      </c>
      <c r="P127">
        <v>0</v>
      </c>
      <c r="Q127">
        <v>1440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215</v>
      </c>
      <c r="AH127" s="21" t="s">
        <v>3428</v>
      </c>
      <c r="AI127" s="21">
        <v>107.92500000000001</v>
      </c>
      <c r="AJ127" s="21">
        <v>100</v>
      </c>
      <c r="AK127" s="21" t="s">
        <v>2055</v>
      </c>
      <c r="AL127" t="s">
        <v>115</v>
      </c>
      <c r="AM127" t="s">
        <v>2029</v>
      </c>
    </row>
    <row r="128" spans="1:39" ht="15" hidden="1" thickTop="1" x14ac:dyDescent="0.35">
      <c r="A128" t="s">
        <v>2585</v>
      </c>
      <c r="B128" t="s">
        <v>2577</v>
      </c>
      <c r="C128" t="s">
        <v>565</v>
      </c>
      <c r="D128" t="s">
        <v>2578</v>
      </c>
      <c r="E128" t="s">
        <v>559</v>
      </c>
      <c r="F128">
        <v>2</v>
      </c>
      <c r="G128" t="s">
        <v>2050</v>
      </c>
      <c r="H128" t="s">
        <v>2051</v>
      </c>
      <c r="I128" t="s">
        <v>53</v>
      </c>
      <c r="J128" t="s">
        <v>427</v>
      </c>
      <c r="K128" t="s">
        <v>68</v>
      </c>
      <c r="L128" t="s">
        <v>2052</v>
      </c>
      <c r="M128" t="s">
        <v>2053</v>
      </c>
      <c r="N128">
        <v>0</v>
      </c>
      <c r="O128">
        <v>0</v>
      </c>
      <c r="P128">
        <v>0</v>
      </c>
      <c r="Q128">
        <v>1440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216</v>
      </c>
      <c r="AH128" s="21" t="s">
        <v>3428</v>
      </c>
      <c r="AI128" s="21">
        <v>107.92500000000001</v>
      </c>
      <c r="AJ128" s="21">
        <v>100</v>
      </c>
      <c r="AK128" s="21" t="s">
        <v>2055</v>
      </c>
      <c r="AL128" t="s">
        <v>70</v>
      </c>
      <c r="AM128" t="s">
        <v>2027</v>
      </c>
    </row>
    <row r="129" spans="1:39" ht="15" hidden="1" thickTop="1" x14ac:dyDescent="0.35">
      <c r="A129" t="s">
        <v>2595</v>
      </c>
      <c r="B129" t="s">
        <v>2580</v>
      </c>
      <c r="C129" t="s">
        <v>117</v>
      </c>
      <c r="D129" t="s">
        <v>2581</v>
      </c>
      <c r="E129" t="s">
        <v>559</v>
      </c>
      <c r="F129">
        <v>1</v>
      </c>
      <c r="G129" t="s">
        <v>2050</v>
      </c>
      <c r="H129" t="s">
        <v>2051</v>
      </c>
      <c r="I129" t="s">
        <v>53</v>
      </c>
      <c r="J129" t="s">
        <v>67</v>
      </c>
      <c r="K129" t="s">
        <v>68</v>
      </c>
      <c r="L129" t="s">
        <v>2052</v>
      </c>
      <c r="M129" t="s">
        <v>2053</v>
      </c>
      <c r="N129">
        <v>1</v>
      </c>
      <c r="O129">
        <v>28</v>
      </c>
      <c r="P129">
        <v>1.94</v>
      </c>
      <c r="Q129">
        <v>1440</v>
      </c>
      <c r="R129">
        <v>1</v>
      </c>
      <c r="S129">
        <v>28</v>
      </c>
      <c r="T129">
        <v>1.94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217</v>
      </c>
      <c r="AH129" s="21" t="s">
        <v>3425</v>
      </c>
      <c r="AI129" s="21">
        <v>107.92500000000001</v>
      </c>
      <c r="AJ129" s="21">
        <v>98.055555555555557</v>
      </c>
      <c r="AK129" s="21" t="s">
        <v>2054</v>
      </c>
      <c r="AL129" t="s">
        <v>70</v>
      </c>
      <c r="AM129" t="s">
        <v>2031</v>
      </c>
    </row>
    <row r="130" spans="1:39" ht="15" hidden="1" thickTop="1" x14ac:dyDescent="0.35">
      <c r="A130" t="s">
        <v>2596</v>
      </c>
      <c r="B130" t="s">
        <v>2583</v>
      </c>
      <c r="C130" t="s">
        <v>76</v>
      </c>
      <c r="D130" t="s">
        <v>2584</v>
      </c>
      <c r="E130" t="s">
        <v>119</v>
      </c>
      <c r="F130">
        <v>1</v>
      </c>
      <c r="G130" t="s">
        <v>2050</v>
      </c>
      <c r="H130" t="s">
        <v>2051</v>
      </c>
      <c r="I130" t="s">
        <v>53</v>
      </c>
      <c r="J130" t="s">
        <v>67</v>
      </c>
      <c r="K130" t="s">
        <v>68</v>
      </c>
      <c r="L130" t="s">
        <v>2052</v>
      </c>
      <c r="M130" t="s">
        <v>2053</v>
      </c>
      <c r="N130">
        <v>0</v>
      </c>
      <c r="O130">
        <v>0</v>
      </c>
      <c r="P130">
        <v>0</v>
      </c>
      <c r="Q130">
        <v>1440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t="s">
        <v>218</v>
      </c>
      <c r="AH130" s="21" t="s">
        <v>3425</v>
      </c>
      <c r="AI130" s="21">
        <v>107.92500000000001</v>
      </c>
      <c r="AJ130" s="21">
        <v>100</v>
      </c>
      <c r="AK130" s="21" t="s">
        <v>2054</v>
      </c>
      <c r="AL130" t="s">
        <v>70</v>
      </c>
      <c r="AM130" t="s">
        <v>2031</v>
      </c>
    </row>
    <row r="131" spans="1:39" ht="15" hidden="1" thickTop="1" x14ac:dyDescent="0.35">
      <c r="A131" t="s">
        <v>2601</v>
      </c>
      <c r="B131" t="s">
        <v>2591</v>
      </c>
      <c r="C131" t="s">
        <v>71</v>
      </c>
      <c r="D131" t="s">
        <v>2592</v>
      </c>
      <c r="E131" t="s">
        <v>72</v>
      </c>
      <c r="F131">
        <v>1</v>
      </c>
      <c r="G131" t="s">
        <v>2050</v>
      </c>
      <c r="H131" t="s">
        <v>2051</v>
      </c>
      <c r="I131" t="s">
        <v>53</v>
      </c>
      <c r="J131" t="s">
        <v>73</v>
      </c>
      <c r="K131" t="s">
        <v>68</v>
      </c>
      <c r="L131" t="s">
        <v>2052</v>
      </c>
      <c r="M131" t="s">
        <v>2053</v>
      </c>
      <c r="N131">
        <v>0</v>
      </c>
      <c r="O131">
        <v>0</v>
      </c>
      <c r="P131">
        <v>0</v>
      </c>
      <c r="Q131">
        <v>1440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219</v>
      </c>
      <c r="AH131" s="21" t="s">
        <v>3428</v>
      </c>
      <c r="AI131" s="21">
        <v>107.92500000000001</v>
      </c>
      <c r="AJ131" s="21">
        <v>100</v>
      </c>
      <c r="AK131" s="21" t="s">
        <v>2054</v>
      </c>
      <c r="AL131" t="s">
        <v>75</v>
      </c>
      <c r="AM131" t="s">
        <v>2028</v>
      </c>
    </row>
    <row r="132" spans="1:39" ht="15" hidden="1" thickTop="1" x14ac:dyDescent="0.35">
      <c r="A132" t="s">
        <v>2604</v>
      </c>
      <c r="B132" t="s">
        <v>2593</v>
      </c>
      <c r="C132" t="s">
        <v>92</v>
      </c>
      <c r="D132" t="s">
        <v>2594</v>
      </c>
      <c r="E132" t="s">
        <v>119</v>
      </c>
      <c r="F132">
        <v>1</v>
      </c>
      <c r="G132" t="s">
        <v>2050</v>
      </c>
      <c r="H132" t="s">
        <v>2051</v>
      </c>
      <c r="I132" t="s">
        <v>53</v>
      </c>
      <c r="J132" t="s">
        <v>67</v>
      </c>
      <c r="K132" t="s">
        <v>68</v>
      </c>
      <c r="L132" t="s">
        <v>2052</v>
      </c>
      <c r="M132" t="s">
        <v>2053</v>
      </c>
      <c r="N132">
        <v>0</v>
      </c>
      <c r="O132">
        <v>0</v>
      </c>
      <c r="P132">
        <v>0</v>
      </c>
      <c r="Q132">
        <v>1440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220</v>
      </c>
      <c r="AH132" s="21" t="s">
        <v>3424</v>
      </c>
      <c r="AI132" s="21">
        <v>107.92500000000001</v>
      </c>
      <c r="AJ132" s="21">
        <v>100</v>
      </c>
      <c r="AK132" s="21" t="s">
        <v>2054</v>
      </c>
      <c r="AL132" t="s">
        <v>70</v>
      </c>
      <c r="AM132" t="s">
        <v>2029</v>
      </c>
    </row>
    <row r="133" spans="1:39" ht="15" hidden="1" thickTop="1" x14ac:dyDescent="0.35">
      <c r="A133" t="s">
        <v>2070</v>
      </c>
      <c r="B133" t="s">
        <v>2605</v>
      </c>
      <c r="C133" t="s">
        <v>102</v>
      </c>
      <c r="D133" t="s">
        <v>2606</v>
      </c>
      <c r="E133" t="s">
        <v>559</v>
      </c>
      <c r="F133">
        <v>1</v>
      </c>
      <c r="G133" t="s">
        <v>2050</v>
      </c>
      <c r="H133" t="s">
        <v>2051</v>
      </c>
      <c r="I133" t="s">
        <v>53</v>
      </c>
      <c r="J133" t="s">
        <v>67</v>
      </c>
      <c r="K133" t="s">
        <v>68</v>
      </c>
      <c r="L133" t="s">
        <v>2052</v>
      </c>
      <c r="M133" t="s">
        <v>2053</v>
      </c>
      <c r="N133">
        <v>0</v>
      </c>
      <c r="O133">
        <v>0</v>
      </c>
      <c r="P133">
        <v>0</v>
      </c>
      <c r="Q133">
        <v>1440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222</v>
      </c>
      <c r="AH133" s="21" t="s">
        <v>3424</v>
      </c>
      <c r="AI133" s="21">
        <v>107.92500000000001</v>
      </c>
      <c r="AJ133" s="21">
        <v>100</v>
      </c>
      <c r="AK133" s="21" t="s">
        <v>2054</v>
      </c>
      <c r="AL133" t="s">
        <v>70</v>
      </c>
      <c r="AM133" t="s">
        <v>2030</v>
      </c>
    </row>
    <row r="134" spans="1:39" ht="15" hidden="1" thickTop="1" x14ac:dyDescent="0.35">
      <c r="A134" t="s">
        <v>2071</v>
      </c>
      <c r="B134" t="s">
        <v>2608</v>
      </c>
      <c r="C134" t="s">
        <v>102</v>
      </c>
      <c r="D134" t="s">
        <v>2609</v>
      </c>
      <c r="E134" t="s">
        <v>559</v>
      </c>
      <c r="F134">
        <v>1</v>
      </c>
      <c r="G134" t="s">
        <v>2050</v>
      </c>
      <c r="H134" t="s">
        <v>2051</v>
      </c>
      <c r="I134" t="s">
        <v>53</v>
      </c>
      <c r="J134" t="s">
        <v>67</v>
      </c>
      <c r="K134" t="s">
        <v>68</v>
      </c>
      <c r="L134" t="s">
        <v>2052</v>
      </c>
      <c r="M134" t="s">
        <v>2053</v>
      </c>
      <c r="N134">
        <v>0</v>
      </c>
      <c r="O134">
        <v>0</v>
      </c>
      <c r="P134">
        <v>0</v>
      </c>
      <c r="Q134">
        <v>1440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223</v>
      </c>
      <c r="AH134" s="21" t="s">
        <v>3424</v>
      </c>
      <c r="AI134" s="21">
        <v>107.92500000000001</v>
      </c>
      <c r="AJ134" s="21">
        <v>100</v>
      </c>
      <c r="AK134" s="21" t="s">
        <v>2054</v>
      </c>
      <c r="AL134" t="s">
        <v>70</v>
      </c>
      <c r="AM134" t="s">
        <v>2028</v>
      </c>
    </row>
    <row r="135" spans="1:39" ht="15" hidden="1" thickTop="1" x14ac:dyDescent="0.35">
      <c r="A135" t="s">
        <v>2072</v>
      </c>
      <c r="B135" t="s">
        <v>2611</v>
      </c>
      <c r="C135" t="s">
        <v>117</v>
      </c>
      <c r="D135" t="s">
        <v>2612</v>
      </c>
      <c r="E135" t="s">
        <v>559</v>
      </c>
      <c r="F135">
        <v>1</v>
      </c>
      <c r="G135" t="s">
        <v>2050</v>
      </c>
      <c r="H135" t="s">
        <v>2051</v>
      </c>
      <c r="I135" t="s">
        <v>53</v>
      </c>
      <c r="J135" t="s">
        <v>67</v>
      </c>
      <c r="K135" t="s">
        <v>68</v>
      </c>
      <c r="L135" t="s">
        <v>2052</v>
      </c>
      <c r="M135" t="s">
        <v>2053</v>
      </c>
      <c r="N135">
        <v>0</v>
      </c>
      <c r="O135">
        <v>0</v>
      </c>
      <c r="P135">
        <v>0</v>
      </c>
      <c r="Q135">
        <v>1440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224</v>
      </c>
      <c r="AH135" s="21" t="s">
        <v>3424</v>
      </c>
      <c r="AI135" s="21">
        <v>107.92500000000001</v>
      </c>
      <c r="AJ135" s="21">
        <v>100</v>
      </c>
      <c r="AK135" s="21" t="s">
        <v>2054</v>
      </c>
      <c r="AL135" t="s">
        <v>70</v>
      </c>
      <c r="AM135" t="s">
        <v>2027</v>
      </c>
    </row>
    <row r="136" spans="1:39" ht="15" hidden="1" thickTop="1" x14ac:dyDescent="0.35">
      <c r="A136" t="s">
        <v>2624</v>
      </c>
      <c r="B136" t="s">
        <v>2617</v>
      </c>
      <c r="C136" t="s">
        <v>128</v>
      </c>
      <c r="D136" t="s">
        <v>2618</v>
      </c>
      <c r="E136" t="s">
        <v>112</v>
      </c>
      <c r="F136">
        <v>1</v>
      </c>
      <c r="G136" t="s">
        <v>2050</v>
      </c>
      <c r="H136" t="s">
        <v>2051</v>
      </c>
      <c r="I136" t="s">
        <v>53</v>
      </c>
      <c r="J136" t="s">
        <v>113</v>
      </c>
      <c r="K136" t="s">
        <v>68</v>
      </c>
      <c r="L136" t="s">
        <v>2052</v>
      </c>
      <c r="M136" t="s">
        <v>2619</v>
      </c>
      <c r="N136">
        <v>0</v>
      </c>
      <c r="O136">
        <v>0</v>
      </c>
      <c r="P136">
        <v>0</v>
      </c>
      <c r="Q136">
        <v>1140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225</v>
      </c>
      <c r="AH136" s="21" t="s">
        <v>3424</v>
      </c>
      <c r="AI136" s="21">
        <v>85.5</v>
      </c>
      <c r="AJ136" s="21">
        <v>100</v>
      </c>
      <c r="AK136" s="21" t="s">
        <v>2054</v>
      </c>
      <c r="AL136" t="s">
        <v>115</v>
      </c>
      <c r="AM136" t="s">
        <v>2027</v>
      </c>
    </row>
    <row r="137" spans="1:39" ht="15" hidden="1" thickTop="1" x14ac:dyDescent="0.35">
      <c r="A137" t="s">
        <v>2626</v>
      </c>
      <c r="B137" t="s">
        <v>2620</v>
      </c>
      <c r="C137" t="s">
        <v>66</v>
      </c>
      <c r="D137" t="s">
        <v>2621</v>
      </c>
      <c r="E137" t="s">
        <v>559</v>
      </c>
      <c r="F137">
        <v>1</v>
      </c>
      <c r="G137" t="s">
        <v>2050</v>
      </c>
      <c r="H137" t="s">
        <v>2051</v>
      </c>
      <c r="I137" t="s">
        <v>53</v>
      </c>
      <c r="J137" t="s">
        <v>67</v>
      </c>
      <c r="K137" t="s">
        <v>68</v>
      </c>
      <c r="L137" t="s">
        <v>2052</v>
      </c>
      <c r="M137" t="s">
        <v>2053</v>
      </c>
      <c r="N137">
        <v>0</v>
      </c>
      <c r="O137">
        <v>0</v>
      </c>
      <c r="P137">
        <v>0</v>
      </c>
      <c r="Q137">
        <v>1440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226</v>
      </c>
      <c r="AH137" s="21" t="s">
        <v>3424</v>
      </c>
      <c r="AI137" s="21">
        <v>107.92500000000001</v>
      </c>
      <c r="AJ137" s="21">
        <v>100</v>
      </c>
      <c r="AK137" s="21" t="s">
        <v>2054</v>
      </c>
      <c r="AL137" t="s">
        <v>70</v>
      </c>
      <c r="AM137" t="s">
        <v>2028</v>
      </c>
    </row>
    <row r="138" spans="1:39" ht="15" hidden="1" thickTop="1" x14ac:dyDescent="0.35">
      <c r="A138" t="s">
        <v>2630</v>
      </c>
      <c r="B138" t="s">
        <v>2628</v>
      </c>
      <c r="C138" t="s">
        <v>66</v>
      </c>
      <c r="D138" t="s">
        <v>2629</v>
      </c>
      <c r="E138" t="s">
        <v>559</v>
      </c>
      <c r="F138">
        <v>1</v>
      </c>
      <c r="G138" t="s">
        <v>2050</v>
      </c>
      <c r="H138" t="s">
        <v>2051</v>
      </c>
      <c r="I138" t="s">
        <v>53</v>
      </c>
      <c r="J138" t="s">
        <v>67</v>
      </c>
      <c r="K138" t="s">
        <v>68</v>
      </c>
      <c r="L138" t="s">
        <v>2052</v>
      </c>
      <c r="M138" t="s">
        <v>2064</v>
      </c>
      <c r="N138">
        <v>0</v>
      </c>
      <c r="O138">
        <v>0</v>
      </c>
      <c r="P138">
        <v>0</v>
      </c>
      <c r="Q138">
        <v>900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s">
        <v>227</v>
      </c>
      <c r="AH138" s="21" t="s">
        <v>3424</v>
      </c>
      <c r="AI138" s="21">
        <v>67.5</v>
      </c>
      <c r="AJ138" s="21">
        <v>100</v>
      </c>
      <c r="AK138" s="21" t="s">
        <v>2055</v>
      </c>
      <c r="AL138" t="s">
        <v>70</v>
      </c>
      <c r="AM138" t="s">
        <v>2027</v>
      </c>
    </row>
    <row r="139" spans="1:39" ht="15" hidden="1" thickTop="1" x14ac:dyDescent="0.35">
      <c r="A139" t="s">
        <v>2636</v>
      </c>
      <c r="B139" t="s">
        <v>2632</v>
      </c>
      <c r="C139" t="s">
        <v>100</v>
      </c>
      <c r="D139" t="s">
        <v>2633</v>
      </c>
      <c r="E139" t="s">
        <v>559</v>
      </c>
      <c r="F139">
        <v>1</v>
      </c>
      <c r="G139" t="s">
        <v>2050</v>
      </c>
      <c r="H139" t="s">
        <v>2051</v>
      </c>
      <c r="I139" t="s">
        <v>53</v>
      </c>
      <c r="J139" t="s">
        <v>67</v>
      </c>
      <c r="K139" t="s">
        <v>68</v>
      </c>
      <c r="L139" t="s">
        <v>2052</v>
      </c>
      <c r="M139" t="s">
        <v>2053</v>
      </c>
      <c r="N139">
        <v>0</v>
      </c>
      <c r="O139">
        <v>0</v>
      </c>
      <c r="P139">
        <v>0</v>
      </c>
      <c r="Q139">
        <v>1440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228</v>
      </c>
      <c r="AH139" s="21" t="s">
        <v>3424</v>
      </c>
      <c r="AI139" s="21">
        <v>107.92500000000001</v>
      </c>
      <c r="AJ139" s="21">
        <v>100</v>
      </c>
      <c r="AK139" s="21" t="s">
        <v>2054</v>
      </c>
      <c r="AL139" t="s">
        <v>70</v>
      </c>
      <c r="AM139" t="s">
        <v>2031</v>
      </c>
    </row>
    <row r="140" spans="1:39" ht="15" hidden="1" thickTop="1" x14ac:dyDescent="0.35">
      <c r="A140" t="s">
        <v>2637</v>
      </c>
      <c r="B140" t="s">
        <v>2634</v>
      </c>
      <c r="C140" t="s">
        <v>78</v>
      </c>
      <c r="D140" t="s">
        <v>2635</v>
      </c>
      <c r="E140" t="s">
        <v>559</v>
      </c>
      <c r="F140">
        <v>1</v>
      </c>
      <c r="G140" t="s">
        <v>2050</v>
      </c>
      <c r="H140" t="s">
        <v>2051</v>
      </c>
      <c r="I140" t="s">
        <v>53</v>
      </c>
      <c r="J140" t="s">
        <v>67</v>
      </c>
      <c r="K140" t="s">
        <v>68</v>
      </c>
      <c r="L140" t="s">
        <v>2052</v>
      </c>
      <c r="M140" t="s">
        <v>2053</v>
      </c>
      <c r="N140">
        <v>0</v>
      </c>
      <c r="O140">
        <v>0</v>
      </c>
      <c r="P140">
        <v>0</v>
      </c>
      <c r="Q140">
        <v>1440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229</v>
      </c>
      <c r="AH140" s="21" t="s">
        <v>3424</v>
      </c>
      <c r="AI140" s="21">
        <v>107.92500000000001</v>
      </c>
      <c r="AJ140" s="21">
        <v>100</v>
      </c>
      <c r="AK140" s="21" t="s">
        <v>2055</v>
      </c>
      <c r="AL140" t="s">
        <v>70</v>
      </c>
      <c r="AM140" t="s">
        <v>2031</v>
      </c>
    </row>
    <row r="141" spans="1:39" ht="15" hidden="1" thickTop="1" x14ac:dyDescent="0.35">
      <c r="A141" t="s">
        <v>2642</v>
      </c>
      <c r="B141" t="s">
        <v>2640</v>
      </c>
      <c r="C141" t="s">
        <v>3376</v>
      </c>
      <c r="D141" t="s">
        <v>2641</v>
      </c>
      <c r="E141" t="s">
        <v>559</v>
      </c>
      <c r="F141">
        <v>1</v>
      </c>
      <c r="G141" t="s">
        <v>2050</v>
      </c>
      <c r="H141" t="s">
        <v>2051</v>
      </c>
      <c r="I141" t="s">
        <v>53</v>
      </c>
      <c r="J141" t="s">
        <v>67</v>
      </c>
      <c r="K141" t="s">
        <v>68</v>
      </c>
      <c r="L141" t="s">
        <v>2052</v>
      </c>
      <c r="M141" t="s">
        <v>2053</v>
      </c>
      <c r="N141">
        <v>0</v>
      </c>
      <c r="O141">
        <v>0</v>
      </c>
      <c r="P141">
        <v>0</v>
      </c>
      <c r="Q141">
        <v>1440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t="s">
        <v>230</v>
      </c>
      <c r="AH141" s="21" t="s">
        <v>3424</v>
      </c>
      <c r="AI141" s="21">
        <v>107.92500000000001</v>
      </c>
      <c r="AJ141" s="21">
        <v>100</v>
      </c>
      <c r="AK141" s="21" t="s">
        <v>2055</v>
      </c>
      <c r="AL141" t="s">
        <v>70</v>
      </c>
      <c r="AM141" t="s">
        <v>2031</v>
      </c>
    </row>
    <row r="142" spans="1:39" ht="15" hidden="1" thickTop="1" x14ac:dyDescent="0.35">
      <c r="A142" t="s">
        <v>2646</v>
      </c>
      <c r="B142" t="s">
        <v>2644</v>
      </c>
      <c r="C142" t="s">
        <v>3376</v>
      </c>
      <c r="D142" t="s">
        <v>2645</v>
      </c>
      <c r="E142" t="s">
        <v>559</v>
      </c>
      <c r="F142">
        <v>1</v>
      </c>
      <c r="G142" t="s">
        <v>2050</v>
      </c>
      <c r="H142" t="s">
        <v>2051</v>
      </c>
      <c r="I142" t="s">
        <v>53</v>
      </c>
      <c r="J142" t="s">
        <v>67</v>
      </c>
      <c r="K142" t="s">
        <v>68</v>
      </c>
      <c r="L142" t="s">
        <v>2052</v>
      </c>
      <c r="M142" t="s">
        <v>2053</v>
      </c>
      <c r="N142">
        <v>0</v>
      </c>
      <c r="O142">
        <v>0</v>
      </c>
      <c r="P142">
        <v>0</v>
      </c>
      <c r="Q142">
        <v>1440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231</v>
      </c>
      <c r="AH142" s="21" t="s">
        <v>3424</v>
      </c>
      <c r="AI142" s="21">
        <v>107.92500000000001</v>
      </c>
      <c r="AJ142" s="21">
        <v>100</v>
      </c>
      <c r="AK142" s="21" t="s">
        <v>2054</v>
      </c>
      <c r="AL142" t="s">
        <v>70</v>
      </c>
      <c r="AM142" t="s">
        <v>2027</v>
      </c>
    </row>
    <row r="143" spans="1:39" ht="15" hidden="1" thickTop="1" x14ac:dyDescent="0.35">
      <c r="A143" t="s">
        <v>2658</v>
      </c>
      <c r="B143" t="s">
        <v>2648</v>
      </c>
      <c r="C143" t="s">
        <v>102</v>
      </c>
      <c r="D143" t="s">
        <v>2649</v>
      </c>
      <c r="E143" t="s">
        <v>559</v>
      </c>
      <c r="F143">
        <v>1</v>
      </c>
      <c r="G143" t="s">
        <v>2050</v>
      </c>
      <c r="H143" t="s">
        <v>2051</v>
      </c>
      <c r="I143" t="s">
        <v>53</v>
      </c>
      <c r="J143" t="s">
        <v>67</v>
      </c>
      <c r="K143" t="s">
        <v>68</v>
      </c>
      <c r="L143" t="s">
        <v>2052</v>
      </c>
      <c r="M143" t="s">
        <v>2053</v>
      </c>
      <c r="N143">
        <v>0</v>
      </c>
      <c r="O143">
        <v>0</v>
      </c>
      <c r="P143">
        <v>0</v>
      </c>
      <c r="Q143">
        <v>1440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232</v>
      </c>
      <c r="AH143" s="21" t="s">
        <v>3424</v>
      </c>
      <c r="AI143" s="21">
        <v>107.92500000000001</v>
      </c>
      <c r="AJ143" s="21">
        <v>100</v>
      </c>
      <c r="AK143" s="21" t="s">
        <v>2054</v>
      </c>
      <c r="AL143" t="s">
        <v>70</v>
      </c>
      <c r="AM143" t="s">
        <v>2030</v>
      </c>
    </row>
    <row r="144" spans="1:39" ht="15" hidden="1" thickTop="1" x14ac:dyDescent="0.35">
      <c r="A144" t="s">
        <v>2659</v>
      </c>
      <c r="B144" t="s">
        <v>2650</v>
      </c>
      <c r="C144" t="s">
        <v>92</v>
      </c>
      <c r="D144" t="s">
        <v>2651</v>
      </c>
      <c r="E144" t="s">
        <v>559</v>
      </c>
      <c r="F144">
        <v>1</v>
      </c>
      <c r="G144" t="s">
        <v>2050</v>
      </c>
      <c r="H144" t="s">
        <v>2051</v>
      </c>
      <c r="I144" t="s">
        <v>53</v>
      </c>
      <c r="J144" t="s">
        <v>67</v>
      </c>
      <c r="K144" t="s">
        <v>68</v>
      </c>
      <c r="L144" t="s">
        <v>2052</v>
      </c>
      <c r="M144" t="s">
        <v>2053</v>
      </c>
      <c r="N144">
        <v>0</v>
      </c>
      <c r="O144">
        <v>0</v>
      </c>
      <c r="P144">
        <v>0</v>
      </c>
      <c r="Q144">
        <v>1440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t="s">
        <v>233</v>
      </c>
      <c r="AH144" s="21" t="s">
        <v>3424</v>
      </c>
      <c r="AI144" s="21">
        <v>107.92500000000001</v>
      </c>
      <c r="AJ144" s="21">
        <v>100</v>
      </c>
      <c r="AK144" s="21" t="s">
        <v>2054</v>
      </c>
      <c r="AL144" t="s">
        <v>70</v>
      </c>
      <c r="AM144" t="s">
        <v>2028</v>
      </c>
    </row>
    <row r="145" spans="1:39" ht="15" hidden="1" thickTop="1" x14ac:dyDescent="0.35">
      <c r="A145" t="s">
        <v>2508</v>
      </c>
      <c r="B145" t="s">
        <v>2652</v>
      </c>
      <c r="C145" t="s">
        <v>76</v>
      </c>
      <c r="D145" t="s">
        <v>2653</v>
      </c>
      <c r="E145" t="s">
        <v>119</v>
      </c>
      <c r="F145">
        <v>1</v>
      </c>
      <c r="G145" t="s">
        <v>2050</v>
      </c>
      <c r="H145" t="s">
        <v>2051</v>
      </c>
      <c r="I145" t="s">
        <v>53</v>
      </c>
      <c r="J145" t="s">
        <v>67</v>
      </c>
      <c r="K145" t="s">
        <v>68</v>
      </c>
      <c r="L145" t="s">
        <v>2052</v>
      </c>
      <c r="M145" t="s">
        <v>2053</v>
      </c>
      <c r="N145">
        <v>0</v>
      </c>
      <c r="O145">
        <v>0</v>
      </c>
      <c r="P145">
        <v>0</v>
      </c>
      <c r="Q145">
        <v>1440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234</v>
      </c>
      <c r="AH145" s="21" t="s">
        <v>3424</v>
      </c>
      <c r="AI145" s="21">
        <v>107.92500000000001</v>
      </c>
      <c r="AJ145" s="21">
        <v>100</v>
      </c>
      <c r="AK145" s="21" t="s">
        <v>2054</v>
      </c>
      <c r="AL145" t="s">
        <v>70</v>
      </c>
      <c r="AM145" t="s">
        <v>2028</v>
      </c>
    </row>
    <row r="146" spans="1:39" ht="15" hidden="1" thickTop="1" x14ac:dyDescent="0.35">
      <c r="A146" t="s">
        <v>2660</v>
      </c>
      <c r="B146" t="s">
        <v>2654</v>
      </c>
      <c r="C146" t="s">
        <v>3376</v>
      </c>
      <c r="D146" t="s">
        <v>2655</v>
      </c>
      <c r="E146" t="s">
        <v>559</v>
      </c>
      <c r="F146">
        <v>1</v>
      </c>
      <c r="G146" t="s">
        <v>2050</v>
      </c>
      <c r="H146" t="s">
        <v>2051</v>
      </c>
      <c r="I146" t="s">
        <v>53</v>
      </c>
      <c r="J146" t="s">
        <v>67</v>
      </c>
      <c r="K146" t="s">
        <v>68</v>
      </c>
      <c r="L146" t="s">
        <v>2052</v>
      </c>
      <c r="M146" t="s">
        <v>2053</v>
      </c>
      <c r="N146">
        <v>0</v>
      </c>
      <c r="O146">
        <v>0</v>
      </c>
      <c r="P146">
        <v>0</v>
      </c>
      <c r="Q146">
        <v>1440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235</v>
      </c>
      <c r="AH146" s="21" t="s">
        <v>3424</v>
      </c>
      <c r="AI146" s="21">
        <v>107.92500000000001</v>
      </c>
      <c r="AJ146" s="21">
        <v>100</v>
      </c>
      <c r="AK146" s="21" t="s">
        <v>2054</v>
      </c>
      <c r="AL146" t="s">
        <v>70</v>
      </c>
      <c r="AM146" t="s">
        <v>2028</v>
      </c>
    </row>
    <row r="147" spans="1:39" ht="15" hidden="1" thickTop="1" x14ac:dyDescent="0.35">
      <c r="A147" t="s">
        <v>2661</v>
      </c>
      <c r="B147" t="s">
        <v>2656</v>
      </c>
      <c r="C147" t="s">
        <v>3376</v>
      </c>
      <c r="D147" t="s">
        <v>2657</v>
      </c>
      <c r="E147" t="s">
        <v>559</v>
      </c>
      <c r="F147">
        <v>1</v>
      </c>
      <c r="G147" t="s">
        <v>2050</v>
      </c>
      <c r="H147" t="s">
        <v>2051</v>
      </c>
      <c r="I147" t="s">
        <v>53</v>
      </c>
      <c r="J147" t="s">
        <v>67</v>
      </c>
      <c r="K147" t="s">
        <v>68</v>
      </c>
      <c r="L147" t="s">
        <v>2052</v>
      </c>
      <c r="M147" t="s">
        <v>2053</v>
      </c>
      <c r="N147">
        <v>0</v>
      </c>
      <c r="O147">
        <v>0</v>
      </c>
      <c r="P147">
        <v>0</v>
      </c>
      <c r="Q147">
        <v>1440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236</v>
      </c>
      <c r="AH147" s="21" t="s">
        <v>3425</v>
      </c>
      <c r="AI147" s="21">
        <v>107.92500000000001</v>
      </c>
      <c r="AJ147" s="21">
        <v>100</v>
      </c>
      <c r="AK147" s="21" t="s">
        <v>2055</v>
      </c>
      <c r="AL147" t="s">
        <v>70</v>
      </c>
      <c r="AM147" t="s">
        <v>2030</v>
      </c>
    </row>
    <row r="148" spans="1:39" ht="15" hidden="1" thickTop="1" x14ac:dyDescent="0.35">
      <c r="A148" t="s">
        <v>2667</v>
      </c>
      <c r="B148" t="s">
        <v>2664</v>
      </c>
      <c r="C148" t="s">
        <v>820</v>
      </c>
      <c r="D148" t="s">
        <v>2665</v>
      </c>
      <c r="E148" t="s">
        <v>72</v>
      </c>
      <c r="F148">
        <v>1</v>
      </c>
      <c r="G148" t="s">
        <v>2050</v>
      </c>
      <c r="H148" t="s">
        <v>2051</v>
      </c>
      <c r="I148" t="s">
        <v>53</v>
      </c>
      <c r="J148" t="s">
        <v>424</v>
      </c>
      <c r="K148" t="s">
        <v>68</v>
      </c>
      <c r="L148" t="s">
        <v>2052</v>
      </c>
      <c r="M148" t="s">
        <v>2064</v>
      </c>
      <c r="N148">
        <v>0</v>
      </c>
      <c r="O148">
        <v>0</v>
      </c>
      <c r="P148">
        <v>0</v>
      </c>
      <c r="Q148">
        <v>900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238</v>
      </c>
      <c r="AH148" s="21" t="s">
        <v>3425</v>
      </c>
      <c r="AI148" s="21">
        <v>67.5</v>
      </c>
      <c r="AJ148" s="21">
        <v>100</v>
      </c>
      <c r="AK148" s="21" t="s">
        <v>2054</v>
      </c>
      <c r="AL148" t="s">
        <v>75</v>
      </c>
      <c r="AM148" t="s">
        <v>2027</v>
      </c>
    </row>
    <row r="149" spans="1:39" ht="15" hidden="1" thickTop="1" x14ac:dyDescent="0.35">
      <c r="A149" t="s">
        <v>2672</v>
      </c>
      <c r="B149" t="s">
        <v>2669</v>
      </c>
      <c r="C149" t="s">
        <v>100</v>
      </c>
      <c r="D149" t="s">
        <v>2670</v>
      </c>
      <c r="E149" t="s">
        <v>119</v>
      </c>
      <c r="F149">
        <v>1</v>
      </c>
      <c r="G149" t="s">
        <v>2050</v>
      </c>
      <c r="H149" t="s">
        <v>2051</v>
      </c>
      <c r="I149" t="s">
        <v>53</v>
      </c>
      <c r="J149" t="s">
        <v>67</v>
      </c>
      <c r="K149" t="s">
        <v>68</v>
      </c>
      <c r="L149" t="s">
        <v>3397</v>
      </c>
      <c r="M149" t="s">
        <v>2317</v>
      </c>
      <c r="N149">
        <v>0</v>
      </c>
      <c r="O149">
        <v>0</v>
      </c>
      <c r="P149">
        <v>0</v>
      </c>
      <c r="Q149">
        <v>540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239</v>
      </c>
      <c r="AH149" s="21" t="s">
        <v>3429</v>
      </c>
      <c r="AI149" s="21">
        <v>40.500000000000007</v>
      </c>
      <c r="AJ149" s="21">
        <v>100</v>
      </c>
      <c r="AK149" s="21" t="s">
        <v>2054</v>
      </c>
      <c r="AL149" t="s">
        <v>70</v>
      </c>
      <c r="AM149" t="s">
        <v>2027</v>
      </c>
    </row>
    <row r="150" spans="1:39" ht="15" hidden="1" thickTop="1" x14ac:dyDescent="0.35">
      <c r="A150" t="s">
        <v>2688</v>
      </c>
      <c r="B150" t="s">
        <v>2675</v>
      </c>
      <c r="C150" t="s">
        <v>78</v>
      </c>
      <c r="D150" t="s">
        <v>2676</v>
      </c>
      <c r="E150" t="s">
        <v>559</v>
      </c>
      <c r="F150">
        <v>1</v>
      </c>
      <c r="G150" t="s">
        <v>2050</v>
      </c>
      <c r="H150" t="s">
        <v>2051</v>
      </c>
      <c r="I150" t="s">
        <v>53</v>
      </c>
      <c r="J150" t="s">
        <v>67</v>
      </c>
      <c r="K150" t="s">
        <v>68</v>
      </c>
      <c r="L150" t="s">
        <v>2052</v>
      </c>
      <c r="M150" t="s">
        <v>2083</v>
      </c>
      <c r="N150">
        <v>0</v>
      </c>
      <c r="O150">
        <v>0</v>
      </c>
      <c r="P150">
        <v>0</v>
      </c>
      <c r="Q150">
        <v>960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t="s">
        <v>240</v>
      </c>
      <c r="AH150" s="21" t="s">
        <v>3424</v>
      </c>
      <c r="AI150" s="21">
        <v>72.000000000000014</v>
      </c>
      <c r="AJ150" s="21">
        <v>100</v>
      </c>
      <c r="AK150" s="21" t="s">
        <v>2054</v>
      </c>
      <c r="AL150" t="s">
        <v>70</v>
      </c>
      <c r="AM150" t="s">
        <v>2029</v>
      </c>
    </row>
    <row r="151" spans="1:39" ht="15" hidden="1" thickTop="1" x14ac:dyDescent="0.35">
      <c r="A151" t="s">
        <v>2689</v>
      </c>
      <c r="B151" t="s">
        <v>2677</v>
      </c>
      <c r="C151" t="s">
        <v>66</v>
      </c>
      <c r="D151" t="s">
        <v>2678</v>
      </c>
      <c r="E151" t="s">
        <v>559</v>
      </c>
      <c r="F151">
        <v>1</v>
      </c>
      <c r="G151" t="s">
        <v>2050</v>
      </c>
      <c r="H151" t="s">
        <v>2051</v>
      </c>
      <c r="I151" t="s">
        <v>53</v>
      </c>
      <c r="J151" t="s">
        <v>67</v>
      </c>
      <c r="K151" t="s">
        <v>68</v>
      </c>
      <c r="L151" t="s">
        <v>2052</v>
      </c>
      <c r="M151" t="s">
        <v>2064</v>
      </c>
      <c r="N151">
        <v>0</v>
      </c>
      <c r="O151">
        <v>0</v>
      </c>
      <c r="P151">
        <v>0</v>
      </c>
      <c r="Q151">
        <v>900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t="s">
        <v>241</v>
      </c>
      <c r="AH151" s="21" t="s">
        <v>3424</v>
      </c>
      <c r="AI151" s="21">
        <v>67.5</v>
      </c>
      <c r="AJ151" s="21">
        <v>100</v>
      </c>
      <c r="AK151" s="21" t="s">
        <v>2055</v>
      </c>
      <c r="AL151" t="s">
        <v>70</v>
      </c>
      <c r="AM151" t="s">
        <v>2028</v>
      </c>
    </row>
    <row r="152" spans="1:39" ht="15" hidden="1" thickTop="1" x14ac:dyDescent="0.35">
      <c r="A152" t="s">
        <v>2690</v>
      </c>
      <c r="B152" t="s">
        <v>2679</v>
      </c>
      <c r="C152" t="s">
        <v>100</v>
      </c>
      <c r="D152" t="s">
        <v>2680</v>
      </c>
      <c r="E152" t="s">
        <v>559</v>
      </c>
      <c r="F152">
        <v>1</v>
      </c>
      <c r="G152" t="s">
        <v>2050</v>
      </c>
      <c r="H152" t="s">
        <v>2051</v>
      </c>
      <c r="I152" t="s">
        <v>53</v>
      </c>
      <c r="J152" t="s">
        <v>67</v>
      </c>
      <c r="K152" t="s">
        <v>68</v>
      </c>
      <c r="L152" t="s">
        <v>2052</v>
      </c>
      <c r="M152" t="s">
        <v>2053</v>
      </c>
      <c r="N152">
        <v>0</v>
      </c>
      <c r="O152">
        <v>0</v>
      </c>
      <c r="P152">
        <v>0</v>
      </c>
      <c r="Q152">
        <v>1440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242</v>
      </c>
      <c r="AH152" s="21" t="s">
        <v>3424</v>
      </c>
      <c r="AI152" s="21">
        <v>107.92500000000001</v>
      </c>
      <c r="AJ152" s="21">
        <v>100</v>
      </c>
      <c r="AK152" s="21" t="s">
        <v>2054</v>
      </c>
      <c r="AL152" t="s">
        <v>70</v>
      </c>
      <c r="AM152" t="s">
        <v>2030</v>
      </c>
    </row>
    <row r="153" spans="1:39" ht="15" hidden="1" thickTop="1" x14ac:dyDescent="0.35">
      <c r="A153" t="s">
        <v>2691</v>
      </c>
      <c r="B153" t="s">
        <v>2681</v>
      </c>
      <c r="C153" t="s">
        <v>100</v>
      </c>
      <c r="D153" t="s">
        <v>2682</v>
      </c>
      <c r="E153" t="s">
        <v>559</v>
      </c>
      <c r="F153">
        <v>1</v>
      </c>
      <c r="G153" t="s">
        <v>2050</v>
      </c>
      <c r="H153" t="s">
        <v>2051</v>
      </c>
      <c r="I153" t="s">
        <v>53</v>
      </c>
      <c r="J153" t="s">
        <v>67</v>
      </c>
      <c r="K153" t="s">
        <v>68</v>
      </c>
      <c r="L153" t="s">
        <v>2052</v>
      </c>
      <c r="M153" t="s">
        <v>2053</v>
      </c>
      <c r="N153">
        <v>0</v>
      </c>
      <c r="O153">
        <v>0</v>
      </c>
      <c r="P153">
        <v>0</v>
      </c>
      <c r="Q153">
        <v>1440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t="s">
        <v>243</v>
      </c>
      <c r="AH153" s="21" t="s">
        <v>3424</v>
      </c>
      <c r="AI153" s="21">
        <v>107.92500000000001</v>
      </c>
      <c r="AJ153" s="21">
        <v>100</v>
      </c>
      <c r="AK153" s="21" t="s">
        <v>2055</v>
      </c>
      <c r="AL153" t="s">
        <v>70</v>
      </c>
      <c r="AM153" t="s">
        <v>2030</v>
      </c>
    </row>
    <row r="154" spans="1:39" ht="15" hidden="1" thickTop="1" x14ac:dyDescent="0.35">
      <c r="A154" t="s">
        <v>2692</v>
      </c>
      <c r="B154" t="s">
        <v>2683</v>
      </c>
      <c r="C154" t="s">
        <v>76</v>
      </c>
      <c r="D154" t="s">
        <v>2684</v>
      </c>
      <c r="E154" t="s">
        <v>559</v>
      </c>
      <c r="F154">
        <v>2</v>
      </c>
      <c r="G154" t="s">
        <v>2050</v>
      </c>
      <c r="H154" t="s">
        <v>2051</v>
      </c>
      <c r="I154" t="s">
        <v>53</v>
      </c>
      <c r="J154" t="s">
        <v>67</v>
      </c>
      <c r="K154" t="s">
        <v>68</v>
      </c>
      <c r="L154" t="s">
        <v>2052</v>
      </c>
      <c r="M154" t="s">
        <v>2064</v>
      </c>
      <c r="N154">
        <v>0</v>
      </c>
      <c r="O154">
        <v>0</v>
      </c>
      <c r="P154">
        <v>0</v>
      </c>
      <c r="Q154">
        <v>900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t="s">
        <v>244</v>
      </c>
      <c r="AH154" s="21" t="s">
        <v>3424</v>
      </c>
      <c r="AI154" s="21">
        <v>67.5</v>
      </c>
      <c r="AJ154" s="21">
        <v>100</v>
      </c>
      <c r="AK154" s="21" t="s">
        <v>2054</v>
      </c>
      <c r="AL154" t="s">
        <v>70</v>
      </c>
      <c r="AM154" t="s">
        <v>2029</v>
      </c>
    </row>
    <row r="155" spans="1:39" ht="15" hidden="1" thickTop="1" x14ac:dyDescent="0.35">
      <c r="A155" t="s">
        <v>2693</v>
      </c>
      <c r="B155" t="s">
        <v>2685</v>
      </c>
      <c r="C155" t="s">
        <v>78</v>
      </c>
      <c r="D155" t="s">
        <v>2686</v>
      </c>
      <c r="E155" t="s">
        <v>559</v>
      </c>
      <c r="F155">
        <v>1</v>
      </c>
      <c r="G155" t="s">
        <v>2050</v>
      </c>
      <c r="H155" t="s">
        <v>2051</v>
      </c>
      <c r="I155" t="s">
        <v>53</v>
      </c>
      <c r="J155" t="s">
        <v>67</v>
      </c>
      <c r="K155" t="s">
        <v>68</v>
      </c>
      <c r="L155" t="s">
        <v>2052</v>
      </c>
      <c r="M155" t="s">
        <v>2083</v>
      </c>
      <c r="N155">
        <v>0</v>
      </c>
      <c r="O155">
        <v>0</v>
      </c>
      <c r="P155">
        <v>0</v>
      </c>
      <c r="Q155">
        <v>960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245</v>
      </c>
      <c r="AH155" s="21" t="s">
        <v>3424</v>
      </c>
      <c r="AI155" s="21">
        <v>72.000000000000014</v>
      </c>
      <c r="AJ155" s="21">
        <v>100</v>
      </c>
      <c r="AK155" s="21" t="s">
        <v>2054</v>
      </c>
      <c r="AL155" t="s">
        <v>70</v>
      </c>
      <c r="AM155" t="s">
        <v>2030</v>
      </c>
    </row>
    <row r="156" spans="1:39" ht="15" hidden="1" thickTop="1" x14ac:dyDescent="0.35">
      <c r="A156" t="s">
        <v>2703</v>
      </c>
      <c r="B156" t="s">
        <v>2696</v>
      </c>
      <c r="C156" t="s">
        <v>3376</v>
      </c>
      <c r="D156" t="s">
        <v>2697</v>
      </c>
      <c r="E156" t="s">
        <v>559</v>
      </c>
      <c r="F156">
        <v>1</v>
      </c>
      <c r="G156" t="s">
        <v>2050</v>
      </c>
      <c r="H156" t="s">
        <v>2051</v>
      </c>
      <c r="I156" t="s">
        <v>53</v>
      </c>
      <c r="J156" t="s">
        <v>67</v>
      </c>
      <c r="K156" t="s">
        <v>68</v>
      </c>
      <c r="L156" t="s">
        <v>2052</v>
      </c>
      <c r="M156" t="s">
        <v>2053</v>
      </c>
      <c r="N156">
        <v>0</v>
      </c>
      <c r="O156">
        <v>0</v>
      </c>
      <c r="P156">
        <v>0</v>
      </c>
      <c r="Q156">
        <v>1440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246</v>
      </c>
      <c r="AH156" s="21" t="s">
        <v>3424</v>
      </c>
      <c r="AI156" s="21">
        <v>107.92500000000001</v>
      </c>
      <c r="AJ156" s="21">
        <v>100</v>
      </c>
      <c r="AK156" s="21" t="s">
        <v>2054</v>
      </c>
      <c r="AL156" t="s">
        <v>70</v>
      </c>
      <c r="AM156" t="s">
        <v>2029</v>
      </c>
    </row>
    <row r="157" spans="1:39" ht="15" hidden="1" thickTop="1" x14ac:dyDescent="0.35">
      <c r="A157" t="s">
        <v>2704</v>
      </c>
      <c r="B157" t="s">
        <v>2698</v>
      </c>
      <c r="C157" t="s">
        <v>66</v>
      </c>
      <c r="D157" t="s">
        <v>2699</v>
      </c>
      <c r="E157" t="s">
        <v>559</v>
      </c>
      <c r="F157">
        <v>1</v>
      </c>
      <c r="G157" t="s">
        <v>2050</v>
      </c>
      <c r="H157" t="s">
        <v>2051</v>
      </c>
      <c r="I157" t="s">
        <v>53</v>
      </c>
      <c r="J157" t="s">
        <v>67</v>
      </c>
      <c r="K157" t="s">
        <v>68</v>
      </c>
      <c r="L157" t="s">
        <v>2052</v>
      </c>
      <c r="M157" t="s">
        <v>2053</v>
      </c>
      <c r="N157">
        <v>0</v>
      </c>
      <c r="O157">
        <v>0</v>
      </c>
      <c r="P157">
        <v>0</v>
      </c>
      <c r="Q157">
        <v>1440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247</v>
      </c>
      <c r="AH157" s="21" t="s">
        <v>3424</v>
      </c>
      <c r="AI157" s="21">
        <v>107.92500000000001</v>
      </c>
      <c r="AJ157" s="21">
        <v>100</v>
      </c>
      <c r="AK157" s="21" t="s">
        <v>2054</v>
      </c>
      <c r="AL157" t="s">
        <v>70</v>
      </c>
      <c r="AM157" t="s">
        <v>2027</v>
      </c>
    </row>
    <row r="158" spans="1:39" ht="15" hidden="1" thickTop="1" x14ac:dyDescent="0.35">
      <c r="A158" t="s">
        <v>2705</v>
      </c>
      <c r="B158" t="s">
        <v>2700</v>
      </c>
      <c r="C158" t="s">
        <v>92</v>
      </c>
      <c r="D158" t="s">
        <v>2701</v>
      </c>
      <c r="E158" t="s">
        <v>119</v>
      </c>
      <c r="F158">
        <v>1</v>
      </c>
      <c r="G158" t="s">
        <v>2050</v>
      </c>
      <c r="H158" t="s">
        <v>2051</v>
      </c>
      <c r="I158" t="s">
        <v>53</v>
      </c>
      <c r="J158" t="s">
        <v>67</v>
      </c>
      <c r="K158" t="s">
        <v>68</v>
      </c>
      <c r="L158" t="s">
        <v>2052</v>
      </c>
      <c r="M158" t="s">
        <v>2053</v>
      </c>
      <c r="N158">
        <v>0</v>
      </c>
      <c r="O158">
        <v>0</v>
      </c>
      <c r="P158">
        <v>0</v>
      </c>
      <c r="Q158">
        <v>1440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248</v>
      </c>
      <c r="AH158" s="21" t="s">
        <v>3424</v>
      </c>
      <c r="AI158" s="21">
        <v>107.92500000000001</v>
      </c>
      <c r="AJ158" s="21">
        <v>100</v>
      </c>
      <c r="AK158" s="21" t="s">
        <v>2054</v>
      </c>
      <c r="AL158" t="s">
        <v>70</v>
      </c>
      <c r="AM158" t="s">
        <v>2029</v>
      </c>
    </row>
    <row r="159" spans="1:39" ht="15" hidden="1" thickTop="1" x14ac:dyDescent="0.35">
      <c r="A159" t="s">
        <v>2711</v>
      </c>
      <c r="B159" t="s">
        <v>2708</v>
      </c>
      <c r="C159" t="s">
        <v>100</v>
      </c>
      <c r="D159" t="s">
        <v>2709</v>
      </c>
      <c r="E159" t="s">
        <v>559</v>
      </c>
      <c r="F159">
        <v>1</v>
      </c>
      <c r="G159" t="s">
        <v>2050</v>
      </c>
      <c r="H159" t="s">
        <v>2051</v>
      </c>
      <c r="I159" t="s">
        <v>53</v>
      </c>
      <c r="J159" t="s">
        <v>67</v>
      </c>
      <c r="K159" t="s">
        <v>68</v>
      </c>
      <c r="L159" t="s">
        <v>2052</v>
      </c>
      <c r="M159" t="s">
        <v>2078</v>
      </c>
      <c r="N159">
        <v>0</v>
      </c>
      <c r="O159">
        <v>0</v>
      </c>
      <c r="P159">
        <v>0</v>
      </c>
      <c r="Q159">
        <v>960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249</v>
      </c>
      <c r="AH159" s="21" t="s">
        <v>3424</v>
      </c>
      <c r="AI159" s="21">
        <v>72</v>
      </c>
      <c r="AJ159" s="21">
        <v>100</v>
      </c>
      <c r="AK159" s="21" t="s">
        <v>2054</v>
      </c>
      <c r="AL159" t="s">
        <v>70</v>
      </c>
      <c r="AM159" t="s">
        <v>2029</v>
      </c>
    </row>
    <row r="160" spans="1:39" ht="15" hidden="1" thickTop="1" x14ac:dyDescent="0.35">
      <c r="A160" t="s">
        <v>2716</v>
      </c>
      <c r="B160" t="s">
        <v>2713</v>
      </c>
      <c r="C160" t="s">
        <v>78</v>
      </c>
      <c r="D160" t="s">
        <v>2714</v>
      </c>
      <c r="E160" t="s">
        <v>559</v>
      </c>
      <c r="F160">
        <v>1</v>
      </c>
      <c r="G160" t="s">
        <v>2050</v>
      </c>
      <c r="H160" t="s">
        <v>2051</v>
      </c>
      <c r="I160" t="s">
        <v>53</v>
      </c>
      <c r="J160" t="s">
        <v>67</v>
      </c>
      <c r="K160" t="s">
        <v>68</v>
      </c>
      <c r="L160" t="s">
        <v>2052</v>
      </c>
      <c r="M160" t="s">
        <v>2053</v>
      </c>
      <c r="N160">
        <v>0</v>
      </c>
      <c r="O160">
        <v>0</v>
      </c>
      <c r="P160">
        <v>0</v>
      </c>
      <c r="Q160">
        <v>1440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250</v>
      </c>
      <c r="AH160" s="21" t="s">
        <v>3424</v>
      </c>
      <c r="AI160" s="21">
        <v>107.92500000000001</v>
      </c>
      <c r="AJ160" s="21">
        <v>100</v>
      </c>
      <c r="AK160" s="21" t="s">
        <v>2054</v>
      </c>
      <c r="AL160" t="s">
        <v>70</v>
      </c>
      <c r="AM160" t="s">
        <v>2028</v>
      </c>
    </row>
    <row r="161" spans="1:39" ht="15" hidden="1" thickTop="1" x14ac:dyDescent="0.35">
      <c r="A161" t="s">
        <v>2725</v>
      </c>
      <c r="B161" t="s">
        <v>2718</v>
      </c>
      <c r="C161" t="s">
        <v>102</v>
      </c>
      <c r="D161" t="s">
        <v>2719</v>
      </c>
      <c r="E161" t="s">
        <v>559</v>
      </c>
      <c r="F161">
        <v>1</v>
      </c>
      <c r="G161" t="s">
        <v>2050</v>
      </c>
      <c r="H161" t="s">
        <v>2051</v>
      </c>
      <c r="I161" t="s">
        <v>53</v>
      </c>
      <c r="J161" t="s">
        <v>67</v>
      </c>
      <c r="K161" t="s">
        <v>68</v>
      </c>
      <c r="L161" t="s">
        <v>2052</v>
      </c>
      <c r="M161" t="s">
        <v>2053</v>
      </c>
      <c r="N161">
        <v>0</v>
      </c>
      <c r="O161">
        <v>0</v>
      </c>
      <c r="P161">
        <v>0</v>
      </c>
      <c r="Q161">
        <v>1440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251</v>
      </c>
      <c r="AH161" s="21" t="s">
        <v>3424</v>
      </c>
      <c r="AI161" s="21">
        <v>107.92500000000001</v>
      </c>
      <c r="AJ161" s="21">
        <v>100</v>
      </c>
      <c r="AK161" s="21" t="s">
        <v>2054</v>
      </c>
      <c r="AL161" t="s">
        <v>70</v>
      </c>
      <c r="AM161" t="s">
        <v>2031</v>
      </c>
    </row>
    <row r="162" spans="1:39" ht="15" hidden="1" thickTop="1" x14ac:dyDescent="0.35">
      <c r="A162" t="s">
        <v>2726</v>
      </c>
      <c r="B162" t="s">
        <v>2720</v>
      </c>
      <c r="C162" t="s">
        <v>102</v>
      </c>
      <c r="D162" t="s">
        <v>2721</v>
      </c>
      <c r="E162" t="s">
        <v>559</v>
      </c>
      <c r="F162">
        <v>1</v>
      </c>
      <c r="G162" t="s">
        <v>2050</v>
      </c>
      <c r="H162" t="s">
        <v>2051</v>
      </c>
      <c r="I162" t="s">
        <v>53</v>
      </c>
      <c r="J162" t="s">
        <v>67</v>
      </c>
      <c r="K162" t="s">
        <v>68</v>
      </c>
      <c r="L162" t="s">
        <v>2052</v>
      </c>
      <c r="M162" t="s">
        <v>2053</v>
      </c>
      <c r="N162">
        <v>0</v>
      </c>
      <c r="O162">
        <v>0</v>
      </c>
      <c r="P162">
        <v>0</v>
      </c>
      <c r="Q162">
        <v>1440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252</v>
      </c>
      <c r="AH162" s="21" t="s">
        <v>3424</v>
      </c>
      <c r="AI162" s="21">
        <v>107.92500000000001</v>
      </c>
      <c r="AJ162" s="21">
        <v>100</v>
      </c>
      <c r="AK162" s="21" t="s">
        <v>2054</v>
      </c>
      <c r="AL162" t="s">
        <v>70</v>
      </c>
      <c r="AM162" t="s">
        <v>2030</v>
      </c>
    </row>
    <row r="163" spans="1:39" ht="15" hidden="1" thickTop="1" x14ac:dyDescent="0.35">
      <c r="A163" t="s">
        <v>2727</v>
      </c>
      <c r="B163" t="s">
        <v>2722</v>
      </c>
      <c r="C163" t="s">
        <v>102</v>
      </c>
      <c r="D163" t="s">
        <v>2723</v>
      </c>
      <c r="E163" t="s">
        <v>559</v>
      </c>
      <c r="F163">
        <v>1</v>
      </c>
      <c r="G163" t="s">
        <v>2050</v>
      </c>
      <c r="H163" t="s">
        <v>2051</v>
      </c>
      <c r="I163" t="s">
        <v>53</v>
      </c>
      <c r="J163" t="s">
        <v>67</v>
      </c>
      <c r="K163" t="s">
        <v>68</v>
      </c>
      <c r="L163" t="s">
        <v>2052</v>
      </c>
      <c r="M163" t="s">
        <v>2053</v>
      </c>
      <c r="N163">
        <v>0</v>
      </c>
      <c r="O163">
        <v>0</v>
      </c>
      <c r="P163">
        <v>0</v>
      </c>
      <c r="Q163">
        <v>1440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253</v>
      </c>
      <c r="AH163" s="21" t="s">
        <v>3424</v>
      </c>
      <c r="AI163" s="21">
        <v>107.92500000000001</v>
      </c>
      <c r="AJ163" s="21">
        <v>100</v>
      </c>
      <c r="AK163" s="21" t="s">
        <v>2055</v>
      </c>
      <c r="AL163" t="s">
        <v>70</v>
      </c>
      <c r="AM163" t="s">
        <v>2031</v>
      </c>
    </row>
    <row r="164" spans="1:39" ht="15" hidden="1" thickTop="1" x14ac:dyDescent="0.35">
      <c r="A164" t="s">
        <v>2733</v>
      </c>
      <c r="B164" t="s">
        <v>2730</v>
      </c>
      <c r="C164" t="s">
        <v>92</v>
      </c>
      <c r="D164" t="s">
        <v>2731</v>
      </c>
      <c r="E164" t="s">
        <v>119</v>
      </c>
      <c r="F164">
        <v>1</v>
      </c>
      <c r="G164" t="s">
        <v>2050</v>
      </c>
      <c r="H164" t="s">
        <v>2051</v>
      </c>
      <c r="I164" t="s">
        <v>53</v>
      </c>
      <c r="J164" t="s">
        <v>67</v>
      </c>
      <c r="K164" t="s">
        <v>68</v>
      </c>
      <c r="L164" t="s">
        <v>2052</v>
      </c>
      <c r="M164" t="s">
        <v>2053</v>
      </c>
      <c r="N164">
        <v>0</v>
      </c>
      <c r="O164">
        <v>0</v>
      </c>
      <c r="P164">
        <v>0</v>
      </c>
      <c r="Q164">
        <v>1440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t="s">
        <v>254</v>
      </c>
      <c r="AH164" s="21" t="s">
        <v>3424</v>
      </c>
      <c r="AI164" s="21">
        <v>107.92500000000001</v>
      </c>
      <c r="AJ164" s="21">
        <v>100</v>
      </c>
      <c r="AK164" s="21" t="s">
        <v>2054</v>
      </c>
      <c r="AL164" t="s">
        <v>70</v>
      </c>
      <c r="AM164" t="s">
        <v>2029</v>
      </c>
    </row>
    <row r="165" spans="1:39" ht="15" hidden="1" thickTop="1" x14ac:dyDescent="0.35">
      <c r="A165" t="s">
        <v>2740</v>
      </c>
      <c r="B165" t="s">
        <v>2735</v>
      </c>
      <c r="C165" t="s">
        <v>81</v>
      </c>
      <c r="D165" t="s">
        <v>2736</v>
      </c>
      <c r="E165" t="s">
        <v>559</v>
      </c>
      <c r="F165">
        <v>1</v>
      </c>
      <c r="G165" t="s">
        <v>2050</v>
      </c>
      <c r="H165" t="s">
        <v>2051</v>
      </c>
      <c r="I165" t="s">
        <v>53</v>
      </c>
      <c r="J165" t="s">
        <v>82</v>
      </c>
      <c r="K165" t="s">
        <v>68</v>
      </c>
      <c r="L165" t="s">
        <v>2052</v>
      </c>
      <c r="M165" t="s">
        <v>2053</v>
      </c>
      <c r="N165">
        <v>0</v>
      </c>
      <c r="O165">
        <v>0</v>
      </c>
      <c r="P165">
        <v>0</v>
      </c>
      <c r="Q165">
        <v>1440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255</v>
      </c>
      <c r="AH165" s="21" t="s">
        <v>3428</v>
      </c>
      <c r="AI165" s="21">
        <v>107.92500000000001</v>
      </c>
      <c r="AJ165" s="21">
        <v>100</v>
      </c>
      <c r="AK165" s="21" t="s">
        <v>2054</v>
      </c>
      <c r="AL165" t="s">
        <v>70</v>
      </c>
      <c r="AM165" t="s">
        <v>2029</v>
      </c>
    </row>
    <row r="166" spans="1:39" ht="15" hidden="1" thickTop="1" x14ac:dyDescent="0.35">
      <c r="A166" t="s">
        <v>2742</v>
      </c>
      <c r="B166" t="s">
        <v>2738</v>
      </c>
      <c r="C166" t="s">
        <v>92</v>
      </c>
      <c r="D166" t="s">
        <v>2739</v>
      </c>
      <c r="E166" t="s">
        <v>119</v>
      </c>
      <c r="F166">
        <v>1</v>
      </c>
      <c r="G166" t="s">
        <v>2050</v>
      </c>
      <c r="H166" t="s">
        <v>2051</v>
      </c>
      <c r="I166" t="s">
        <v>53</v>
      </c>
      <c r="J166" t="s">
        <v>67</v>
      </c>
      <c r="K166" t="s">
        <v>68</v>
      </c>
      <c r="L166" t="s">
        <v>2052</v>
      </c>
      <c r="M166" t="s">
        <v>2053</v>
      </c>
      <c r="N166">
        <v>1</v>
      </c>
      <c r="O166">
        <v>32</v>
      </c>
      <c r="P166">
        <v>2.2200000000000002</v>
      </c>
      <c r="Q166">
        <v>1440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32</v>
      </c>
      <c r="Z166">
        <v>2.2200000000000002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t="s">
        <v>256</v>
      </c>
      <c r="AH166" s="21" t="s">
        <v>3424</v>
      </c>
      <c r="AI166" s="21">
        <v>107.92500000000001</v>
      </c>
      <c r="AJ166" s="21">
        <v>97.777777777777771</v>
      </c>
      <c r="AK166" s="21" t="s">
        <v>2055</v>
      </c>
      <c r="AL166" t="s">
        <v>70</v>
      </c>
      <c r="AM166" t="s">
        <v>2030</v>
      </c>
    </row>
    <row r="167" spans="1:39" ht="15" hidden="1" thickTop="1" x14ac:dyDescent="0.35">
      <c r="A167" t="s">
        <v>2754</v>
      </c>
      <c r="B167" t="s">
        <v>2744</v>
      </c>
      <c r="C167" t="s">
        <v>66</v>
      </c>
      <c r="D167" t="s">
        <v>2745</v>
      </c>
      <c r="E167" t="s">
        <v>559</v>
      </c>
      <c r="F167">
        <v>1</v>
      </c>
      <c r="G167" t="s">
        <v>2050</v>
      </c>
      <c r="H167" t="s">
        <v>2051</v>
      </c>
      <c r="I167" t="s">
        <v>53</v>
      </c>
      <c r="J167" t="s">
        <v>67</v>
      </c>
      <c r="K167" t="s">
        <v>68</v>
      </c>
      <c r="L167" t="s">
        <v>2052</v>
      </c>
      <c r="M167" t="s">
        <v>2053</v>
      </c>
      <c r="N167">
        <v>0</v>
      </c>
      <c r="O167">
        <v>0</v>
      </c>
      <c r="P167">
        <v>0</v>
      </c>
      <c r="Q167">
        <v>1440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 t="s">
        <v>257</v>
      </c>
      <c r="AH167" s="21" t="s">
        <v>3424</v>
      </c>
      <c r="AI167" s="21">
        <v>107.92500000000001</v>
      </c>
      <c r="AJ167" s="21">
        <v>100</v>
      </c>
      <c r="AK167" s="21" t="s">
        <v>2055</v>
      </c>
      <c r="AL167" t="s">
        <v>70</v>
      </c>
      <c r="AM167" t="s">
        <v>2029</v>
      </c>
    </row>
    <row r="168" spans="1:39" ht="15" hidden="1" thickTop="1" x14ac:dyDescent="0.35">
      <c r="A168" t="s">
        <v>2755</v>
      </c>
      <c r="B168" t="s">
        <v>2746</v>
      </c>
      <c r="C168" t="s">
        <v>117</v>
      </c>
      <c r="D168" t="s">
        <v>2747</v>
      </c>
      <c r="E168" t="s">
        <v>559</v>
      </c>
      <c r="F168">
        <v>1</v>
      </c>
      <c r="G168" t="s">
        <v>2050</v>
      </c>
      <c r="H168" t="s">
        <v>2051</v>
      </c>
      <c r="I168" t="s">
        <v>53</v>
      </c>
      <c r="J168" t="s">
        <v>67</v>
      </c>
      <c r="K168" t="s">
        <v>68</v>
      </c>
      <c r="L168" t="s">
        <v>2052</v>
      </c>
      <c r="M168" t="s">
        <v>2053</v>
      </c>
      <c r="N168">
        <v>0</v>
      </c>
      <c r="O168">
        <v>0</v>
      </c>
      <c r="P168">
        <v>0</v>
      </c>
      <c r="Q168">
        <v>1440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t="s">
        <v>258</v>
      </c>
      <c r="AH168" s="21" t="s">
        <v>3424</v>
      </c>
      <c r="AI168" s="21">
        <v>107.92500000000001</v>
      </c>
      <c r="AJ168" s="21">
        <v>100</v>
      </c>
      <c r="AK168" s="21" t="s">
        <v>2054</v>
      </c>
      <c r="AL168" t="s">
        <v>70</v>
      </c>
      <c r="AM168" t="s">
        <v>2029</v>
      </c>
    </row>
    <row r="169" spans="1:39" ht="15" hidden="1" thickTop="1" x14ac:dyDescent="0.35">
      <c r="A169" t="s">
        <v>2756</v>
      </c>
      <c r="B169" t="s">
        <v>2748</v>
      </c>
      <c r="C169" t="s">
        <v>66</v>
      </c>
      <c r="D169" t="s">
        <v>2749</v>
      </c>
      <c r="E169" t="s">
        <v>559</v>
      </c>
      <c r="F169">
        <v>1</v>
      </c>
      <c r="G169" t="s">
        <v>2050</v>
      </c>
      <c r="H169" t="s">
        <v>2051</v>
      </c>
      <c r="I169" t="s">
        <v>53</v>
      </c>
      <c r="J169" t="s">
        <v>67</v>
      </c>
      <c r="K169" t="s">
        <v>68</v>
      </c>
      <c r="L169" t="s">
        <v>2052</v>
      </c>
      <c r="M169" t="s">
        <v>2053</v>
      </c>
      <c r="N169">
        <v>0</v>
      </c>
      <c r="O169">
        <v>0</v>
      </c>
      <c r="P169">
        <v>0</v>
      </c>
      <c r="Q169">
        <v>1440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t="s">
        <v>259</v>
      </c>
      <c r="AH169" s="21" t="s">
        <v>3427</v>
      </c>
      <c r="AI169" s="21">
        <v>107.92500000000001</v>
      </c>
      <c r="AJ169" s="21">
        <v>100</v>
      </c>
      <c r="AK169" s="21" t="s">
        <v>2054</v>
      </c>
      <c r="AL169" t="s">
        <v>70</v>
      </c>
      <c r="AM169" t="s">
        <v>2027</v>
      </c>
    </row>
    <row r="170" spans="1:39" ht="15" hidden="1" thickTop="1" x14ac:dyDescent="0.35">
      <c r="A170" t="s">
        <v>2760</v>
      </c>
      <c r="B170" t="s">
        <v>2750</v>
      </c>
      <c r="C170" t="s">
        <v>3376</v>
      </c>
      <c r="D170" t="s">
        <v>2751</v>
      </c>
      <c r="E170" t="s">
        <v>559</v>
      </c>
      <c r="F170">
        <v>1</v>
      </c>
      <c r="G170" t="s">
        <v>2050</v>
      </c>
      <c r="H170" t="s">
        <v>2051</v>
      </c>
      <c r="I170" t="s">
        <v>53</v>
      </c>
      <c r="J170" t="s">
        <v>67</v>
      </c>
      <c r="K170" t="s">
        <v>68</v>
      </c>
      <c r="L170" t="s">
        <v>2052</v>
      </c>
      <c r="M170" t="s">
        <v>2053</v>
      </c>
      <c r="N170">
        <v>0</v>
      </c>
      <c r="O170">
        <v>0</v>
      </c>
      <c r="P170">
        <v>0</v>
      </c>
      <c r="Q170">
        <v>1440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260</v>
      </c>
      <c r="AH170" s="21" t="s">
        <v>3424</v>
      </c>
      <c r="AI170" s="21">
        <v>107.92500000000001</v>
      </c>
      <c r="AJ170" s="21">
        <v>100</v>
      </c>
      <c r="AK170" s="21" t="s">
        <v>2055</v>
      </c>
      <c r="AL170" t="s">
        <v>70</v>
      </c>
      <c r="AM170" t="s">
        <v>2031</v>
      </c>
    </row>
    <row r="171" spans="1:39" ht="15" hidden="1" thickTop="1" x14ac:dyDescent="0.35">
      <c r="A171" t="s">
        <v>2766</v>
      </c>
      <c r="B171" t="s">
        <v>2758</v>
      </c>
      <c r="C171" t="s">
        <v>102</v>
      </c>
      <c r="D171" t="s">
        <v>2759</v>
      </c>
      <c r="E171" t="s">
        <v>559</v>
      </c>
      <c r="F171">
        <v>1</v>
      </c>
      <c r="G171" t="s">
        <v>2050</v>
      </c>
      <c r="H171" t="s">
        <v>2051</v>
      </c>
      <c r="I171" t="s">
        <v>53</v>
      </c>
      <c r="J171" t="s">
        <v>67</v>
      </c>
      <c r="K171" t="s">
        <v>68</v>
      </c>
      <c r="L171" t="s">
        <v>2052</v>
      </c>
      <c r="M171" t="s">
        <v>2053</v>
      </c>
      <c r="N171">
        <v>0</v>
      </c>
      <c r="O171">
        <v>0</v>
      </c>
      <c r="P171">
        <v>0</v>
      </c>
      <c r="Q171">
        <v>1440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261</v>
      </c>
      <c r="AH171" s="21" t="s">
        <v>3425</v>
      </c>
      <c r="AI171" s="21">
        <v>107.92500000000001</v>
      </c>
      <c r="AJ171" s="21">
        <v>100</v>
      </c>
      <c r="AK171" s="21" t="s">
        <v>2055</v>
      </c>
      <c r="AL171" t="s">
        <v>70</v>
      </c>
      <c r="AM171" t="s">
        <v>2030</v>
      </c>
    </row>
    <row r="172" spans="1:39" ht="15" hidden="1" thickTop="1" x14ac:dyDescent="0.35">
      <c r="A172" t="s">
        <v>2767</v>
      </c>
      <c r="B172" t="s">
        <v>2761</v>
      </c>
      <c r="C172" t="s">
        <v>111</v>
      </c>
      <c r="D172" t="s">
        <v>2762</v>
      </c>
      <c r="E172" t="s">
        <v>112</v>
      </c>
      <c r="F172">
        <v>1</v>
      </c>
      <c r="G172" t="s">
        <v>2050</v>
      </c>
      <c r="H172" t="s">
        <v>2051</v>
      </c>
      <c r="I172" t="s">
        <v>53</v>
      </c>
      <c r="J172" t="s">
        <v>113</v>
      </c>
      <c r="K172" t="s">
        <v>68</v>
      </c>
      <c r="L172" t="s">
        <v>2052</v>
      </c>
      <c r="M172" t="s">
        <v>2053</v>
      </c>
      <c r="N172">
        <v>0</v>
      </c>
      <c r="O172">
        <v>0</v>
      </c>
      <c r="P172">
        <v>0</v>
      </c>
      <c r="Q172">
        <v>1440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262</v>
      </c>
      <c r="AH172" s="21" t="s">
        <v>3425</v>
      </c>
      <c r="AI172" s="21">
        <v>107.92500000000001</v>
      </c>
      <c r="AJ172" s="21">
        <v>100</v>
      </c>
      <c r="AK172" s="21" t="s">
        <v>2054</v>
      </c>
      <c r="AL172" t="s">
        <v>115</v>
      </c>
      <c r="AM172" t="s">
        <v>2027</v>
      </c>
    </row>
    <row r="173" spans="1:39" ht="15" hidden="1" thickTop="1" x14ac:dyDescent="0.35">
      <c r="A173" t="s">
        <v>2775</v>
      </c>
      <c r="B173" t="s">
        <v>2769</v>
      </c>
      <c r="C173" t="s">
        <v>102</v>
      </c>
      <c r="D173" t="s">
        <v>2770</v>
      </c>
      <c r="E173" t="s">
        <v>559</v>
      </c>
      <c r="F173">
        <v>1</v>
      </c>
      <c r="G173" t="s">
        <v>2050</v>
      </c>
      <c r="H173" t="s">
        <v>2051</v>
      </c>
      <c r="I173" t="s">
        <v>53</v>
      </c>
      <c r="J173" t="s">
        <v>67</v>
      </c>
      <c r="K173" t="s">
        <v>68</v>
      </c>
      <c r="L173" t="s">
        <v>2052</v>
      </c>
      <c r="M173" t="s">
        <v>2053</v>
      </c>
      <c r="N173">
        <v>0</v>
      </c>
      <c r="O173">
        <v>0</v>
      </c>
      <c r="P173">
        <v>0</v>
      </c>
      <c r="Q173">
        <v>1440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263</v>
      </c>
      <c r="AH173" s="21" t="s">
        <v>3425</v>
      </c>
      <c r="AI173" s="21">
        <v>107.92500000000001</v>
      </c>
      <c r="AJ173" s="21">
        <v>100</v>
      </c>
      <c r="AK173" s="21" t="s">
        <v>2054</v>
      </c>
      <c r="AL173" t="s">
        <v>70</v>
      </c>
      <c r="AM173" t="s">
        <v>2029</v>
      </c>
    </row>
    <row r="174" spans="1:39" ht="15" hidden="1" thickTop="1" x14ac:dyDescent="0.35">
      <c r="A174" t="s">
        <v>2776</v>
      </c>
      <c r="B174" t="s">
        <v>2771</v>
      </c>
      <c r="C174" t="s">
        <v>565</v>
      </c>
      <c r="D174" t="s">
        <v>2772</v>
      </c>
      <c r="E174" t="s">
        <v>559</v>
      </c>
      <c r="F174">
        <v>2</v>
      </c>
      <c r="G174" t="s">
        <v>2050</v>
      </c>
      <c r="H174" t="s">
        <v>2051</v>
      </c>
      <c r="I174" t="s">
        <v>53</v>
      </c>
      <c r="J174" t="s">
        <v>427</v>
      </c>
      <c r="K174" t="s">
        <v>68</v>
      </c>
      <c r="L174" t="s">
        <v>2052</v>
      </c>
      <c r="M174" t="s">
        <v>2053</v>
      </c>
      <c r="N174">
        <v>0</v>
      </c>
      <c r="O174">
        <v>0</v>
      </c>
      <c r="P174">
        <v>0</v>
      </c>
      <c r="Q174">
        <v>1440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 t="s">
        <v>264</v>
      </c>
      <c r="AH174" s="21" t="s">
        <v>3427</v>
      </c>
      <c r="AI174" s="21">
        <v>107.92500000000001</v>
      </c>
      <c r="AJ174" s="21">
        <v>100</v>
      </c>
      <c r="AK174" s="21" t="s">
        <v>2054</v>
      </c>
      <c r="AL174" t="s">
        <v>70</v>
      </c>
      <c r="AM174" t="s">
        <v>2029</v>
      </c>
    </row>
    <row r="175" spans="1:39" ht="15" hidden="1" thickTop="1" x14ac:dyDescent="0.35">
      <c r="A175" t="s">
        <v>2781</v>
      </c>
      <c r="B175" t="s">
        <v>2778</v>
      </c>
      <c r="C175" t="s">
        <v>66</v>
      </c>
      <c r="D175" t="s">
        <v>2779</v>
      </c>
      <c r="E175" t="s">
        <v>119</v>
      </c>
      <c r="F175">
        <v>1</v>
      </c>
      <c r="G175" t="s">
        <v>2050</v>
      </c>
      <c r="H175" t="s">
        <v>2051</v>
      </c>
      <c r="I175" t="s">
        <v>53</v>
      </c>
      <c r="J175" t="s">
        <v>67</v>
      </c>
      <c r="K175" t="s">
        <v>68</v>
      </c>
      <c r="L175" t="s">
        <v>2052</v>
      </c>
      <c r="M175" t="s">
        <v>2063</v>
      </c>
      <c r="N175">
        <v>0</v>
      </c>
      <c r="O175">
        <v>0</v>
      </c>
      <c r="P175">
        <v>0</v>
      </c>
      <c r="Q175">
        <v>1020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265</v>
      </c>
      <c r="AH175" s="21" t="s">
        <v>3425</v>
      </c>
      <c r="AI175" s="21">
        <v>76.500000000000014</v>
      </c>
      <c r="AJ175" s="21">
        <v>100</v>
      </c>
      <c r="AK175" s="21" t="s">
        <v>2054</v>
      </c>
      <c r="AL175" t="s">
        <v>70</v>
      </c>
      <c r="AM175" t="s">
        <v>2028</v>
      </c>
    </row>
    <row r="176" spans="1:39" ht="15" hidden="1" thickTop="1" x14ac:dyDescent="0.35">
      <c r="A176" t="s">
        <v>2789</v>
      </c>
      <c r="B176" t="s">
        <v>2783</v>
      </c>
      <c r="C176" t="s">
        <v>78</v>
      </c>
      <c r="D176" t="s">
        <v>2784</v>
      </c>
      <c r="E176" t="s">
        <v>559</v>
      </c>
      <c r="F176">
        <v>1</v>
      </c>
      <c r="G176" t="s">
        <v>2050</v>
      </c>
      <c r="H176" t="s">
        <v>2051</v>
      </c>
      <c r="I176" t="s">
        <v>53</v>
      </c>
      <c r="J176" t="s">
        <v>67</v>
      </c>
      <c r="K176" t="s">
        <v>68</v>
      </c>
      <c r="L176" t="s">
        <v>2052</v>
      </c>
      <c r="M176" t="s">
        <v>2063</v>
      </c>
      <c r="N176">
        <v>0</v>
      </c>
      <c r="O176">
        <v>0</v>
      </c>
      <c r="P176">
        <v>0</v>
      </c>
      <c r="Q176">
        <v>1020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266</v>
      </c>
      <c r="AH176" s="21" t="s">
        <v>3425</v>
      </c>
      <c r="AI176" s="21">
        <v>76.500000000000014</v>
      </c>
      <c r="AJ176" s="21">
        <v>100</v>
      </c>
      <c r="AK176" s="21" t="s">
        <v>2055</v>
      </c>
      <c r="AL176" t="s">
        <v>70</v>
      </c>
      <c r="AM176" t="s">
        <v>2031</v>
      </c>
    </row>
    <row r="177" spans="1:39" ht="15" hidden="1" thickTop="1" x14ac:dyDescent="0.35">
      <c r="A177" t="s">
        <v>2793</v>
      </c>
      <c r="B177" t="s">
        <v>2787</v>
      </c>
      <c r="C177" t="s">
        <v>100</v>
      </c>
      <c r="D177" t="s">
        <v>2788</v>
      </c>
      <c r="E177" t="s">
        <v>559</v>
      </c>
      <c r="F177">
        <v>1</v>
      </c>
      <c r="G177" t="s">
        <v>2050</v>
      </c>
      <c r="H177" t="s">
        <v>2051</v>
      </c>
      <c r="I177" t="s">
        <v>53</v>
      </c>
      <c r="J177" t="s">
        <v>67</v>
      </c>
      <c r="K177" t="s">
        <v>68</v>
      </c>
      <c r="L177" t="s">
        <v>2052</v>
      </c>
      <c r="M177" t="s">
        <v>2083</v>
      </c>
      <c r="N177">
        <v>0</v>
      </c>
      <c r="O177">
        <v>0</v>
      </c>
      <c r="P177">
        <v>0</v>
      </c>
      <c r="Q177">
        <v>960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268</v>
      </c>
      <c r="AH177" s="21" t="s">
        <v>3427</v>
      </c>
      <c r="AI177" s="21">
        <v>72.000000000000014</v>
      </c>
      <c r="AJ177" s="21">
        <v>100</v>
      </c>
      <c r="AK177" s="21" t="s">
        <v>2055</v>
      </c>
      <c r="AL177" t="s">
        <v>70</v>
      </c>
      <c r="AM177" t="s">
        <v>2029</v>
      </c>
    </row>
    <row r="178" spans="1:39" ht="15" hidden="1" thickTop="1" x14ac:dyDescent="0.35">
      <c r="A178" t="s">
        <v>2798</v>
      </c>
      <c r="B178" t="s">
        <v>2794</v>
      </c>
      <c r="C178" t="s">
        <v>820</v>
      </c>
      <c r="D178" t="s">
        <v>2795</v>
      </c>
      <c r="E178" t="s">
        <v>72</v>
      </c>
      <c r="F178">
        <v>1</v>
      </c>
      <c r="G178" t="s">
        <v>2050</v>
      </c>
      <c r="H178" t="s">
        <v>2051</v>
      </c>
      <c r="I178" t="s">
        <v>53</v>
      </c>
      <c r="J178" t="s">
        <v>424</v>
      </c>
      <c r="K178" t="s">
        <v>68</v>
      </c>
      <c r="L178" t="s">
        <v>2052</v>
      </c>
      <c r="M178" t="s">
        <v>2053</v>
      </c>
      <c r="N178">
        <v>0</v>
      </c>
      <c r="O178">
        <v>0</v>
      </c>
      <c r="P178">
        <v>0</v>
      </c>
      <c r="Q178">
        <v>1440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 t="s">
        <v>269</v>
      </c>
      <c r="AH178" s="21" t="s">
        <v>3428</v>
      </c>
      <c r="AI178" s="21">
        <v>107.92500000000001</v>
      </c>
      <c r="AJ178" s="21">
        <v>100</v>
      </c>
      <c r="AK178" s="21" t="s">
        <v>2054</v>
      </c>
      <c r="AL178" t="s">
        <v>75</v>
      </c>
      <c r="AM178" t="s">
        <v>2027</v>
      </c>
    </row>
    <row r="179" spans="1:39" ht="15" hidden="1" thickTop="1" x14ac:dyDescent="0.35">
      <c r="A179" t="s">
        <v>2804</v>
      </c>
      <c r="B179" t="s">
        <v>2800</v>
      </c>
      <c r="C179" t="s">
        <v>102</v>
      </c>
      <c r="D179" t="s">
        <v>2801</v>
      </c>
      <c r="E179" t="s">
        <v>559</v>
      </c>
      <c r="F179">
        <v>1</v>
      </c>
      <c r="G179" t="s">
        <v>2050</v>
      </c>
      <c r="H179" t="s">
        <v>2051</v>
      </c>
      <c r="I179" t="s">
        <v>53</v>
      </c>
      <c r="J179" t="s">
        <v>67</v>
      </c>
      <c r="K179" t="s">
        <v>68</v>
      </c>
      <c r="L179" t="s">
        <v>2052</v>
      </c>
      <c r="M179" t="s">
        <v>2053</v>
      </c>
      <c r="N179">
        <v>0</v>
      </c>
      <c r="O179">
        <v>0</v>
      </c>
      <c r="P179">
        <v>0</v>
      </c>
      <c r="Q179">
        <v>1440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270</v>
      </c>
      <c r="AH179" s="21" t="s">
        <v>3425</v>
      </c>
      <c r="AI179" s="21">
        <v>107.92500000000001</v>
      </c>
      <c r="AJ179" s="21">
        <v>100</v>
      </c>
      <c r="AK179" s="21" t="s">
        <v>2054</v>
      </c>
      <c r="AL179" t="s">
        <v>70</v>
      </c>
      <c r="AM179" t="s">
        <v>2030</v>
      </c>
    </row>
    <row r="180" spans="1:39" ht="15" hidden="1" thickTop="1" x14ac:dyDescent="0.35">
      <c r="A180" t="s">
        <v>2810</v>
      </c>
      <c r="B180" t="s">
        <v>2805</v>
      </c>
      <c r="C180" t="s">
        <v>92</v>
      </c>
      <c r="D180" t="s">
        <v>2806</v>
      </c>
      <c r="E180" t="s">
        <v>559</v>
      </c>
      <c r="F180">
        <v>1</v>
      </c>
      <c r="G180" t="s">
        <v>2050</v>
      </c>
      <c r="H180" t="s">
        <v>2051</v>
      </c>
      <c r="I180" t="s">
        <v>53</v>
      </c>
      <c r="J180" t="s">
        <v>67</v>
      </c>
      <c r="K180" t="s">
        <v>68</v>
      </c>
      <c r="L180" t="s">
        <v>2052</v>
      </c>
      <c r="M180" t="s">
        <v>2053</v>
      </c>
      <c r="N180">
        <v>0</v>
      </c>
      <c r="O180">
        <v>0</v>
      </c>
      <c r="P180">
        <v>0</v>
      </c>
      <c r="Q180">
        <v>1440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271</v>
      </c>
      <c r="AH180" s="21" t="s">
        <v>3425</v>
      </c>
      <c r="AI180" s="21">
        <v>107.92500000000001</v>
      </c>
      <c r="AJ180" s="21">
        <v>100</v>
      </c>
      <c r="AK180" s="21" t="s">
        <v>2054</v>
      </c>
      <c r="AL180" t="s">
        <v>70</v>
      </c>
      <c r="AM180" t="s">
        <v>2029</v>
      </c>
    </row>
    <row r="181" spans="1:39" ht="15" hidden="1" thickTop="1" x14ac:dyDescent="0.35">
      <c r="A181" t="s">
        <v>2820</v>
      </c>
      <c r="B181" t="s">
        <v>2812</v>
      </c>
      <c r="C181" t="s">
        <v>111</v>
      </c>
      <c r="D181" t="s">
        <v>2813</v>
      </c>
      <c r="E181" t="s">
        <v>112</v>
      </c>
      <c r="F181">
        <v>1</v>
      </c>
      <c r="G181" t="s">
        <v>2050</v>
      </c>
      <c r="H181" t="s">
        <v>2051</v>
      </c>
      <c r="I181" t="s">
        <v>53</v>
      </c>
      <c r="J181" t="s">
        <v>113</v>
      </c>
      <c r="K181" t="s">
        <v>68</v>
      </c>
      <c r="L181" t="s">
        <v>2052</v>
      </c>
      <c r="M181" t="s">
        <v>2053</v>
      </c>
      <c r="N181">
        <v>0</v>
      </c>
      <c r="O181">
        <v>0</v>
      </c>
      <c r="P181">
        <v>0</v>
      </c>
      <c r="Q181">
        <v>1440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 t="s">
        <v>273</v>
      </c>
      <c r="AH181" s="21" t="s">
        <v>3424</v>
      </c>
      <c r="AI181" s="21">
        <v>107.92500000000001</v>
      </c>
      <c r="AJ181" s="21">
        <v>100</v>
      </c>
      <c r="AK181" s="21" t="s">
        <v>2054</v>
      </c>
      <c r="AL181" t="s">
        <v>115</v>
      </c>
      <c r="AM181" t="s">
        <v>2029</v>
      </c>
    </row>
    <row r="182" spans="1:39" ht="15" hidden="1" thickTop="1" x14ac:dyDescent="0.35">
      <c r="A182" t="s">
        <v>2823</v>
      </c>
      <c r="B182" t="s">
        <v>2814</v>
      </c>
      <c r="C182" t="s">
        <v>102</v>
      </c>
      <c r="D182" t="s">
        <v>2815</v>
      </c>
      <c r="E182" t="s">
        <v>559</v>
      </c>
      <c r="F182">
        <v>1</v>
      </c>
      <c r="G182" t="s">
        <v>2050</v>
      </c>
      <c r="H182" t="s">
        <v>2051</v>
      </c>
      <c r="I182" t="s">
        <v>53</v>
      </c>
      <c r="J182" t="s">
        <v>67</v>
      </c>
      <c r="K182" t="s">
        <v>68</v>
      </c>
      <c r="L182" t="s">
        <v>2052</v>
      </c>
      <c r="M182" t="s">
        <v>2064</v>
      </c>
      <c r="N182">
        <v>0</v>
      </c>
      <c r="O182">
        <v>0</v>
      </c>
      <c r="P182">
        <v>0</v>
      </c>
      <c r="Q182">
        <v>900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274</v>
      </c>
      <c r="AH182" s="21" t="s">
        <v>3429</v>
      </c>
      <c r="AI182" s="21">
        <v>67.5</v>
      </c>
      <c r="AJ182" s="21">
        <v>100</v>
      </c>
      <c r="AK182" s="21" t="s">
        <v>2054</v>
      </c>
      <c r="AL182" t="s">
        <v>70</v>
      </c>
      <c r="AM182" t="s">
        <v>2027</v>
      </c>
    </row>
    <row r="183" spans="1:39" ht="15" hidden="1" thickTop="1" x14ac:dyDescent="0.35">
      <c r="A183" t="s">
        <v>2535</v>
      </c>
      <c r="B183" t="s">
        <v>2817</v>
      </c>
      <c r="C183" t="s">
        <v>820</v>
      </c>
      <c r="D183" t="s">
        <v>2818</v>
      </c>
      <c r="E183" t="s">
        <v>72</v>
      </c>
      <c r="F183">
        <v>1</v>
      </c>
      <c r="G183" t="s">
        <v>2050</v>
      </c>
      <c r="H183" t="s">
        <v>2051</v>
      </c>
      <c r="I183" t="s">
        <v>53</v>
      </c>
      <c r="J183" t="s">
        <v>424</v>
      </c>
      <c r="K183" t="s">
        <v>68</v>
      </c>
      <c r="L183" t="s">
        <v>2052</v>
      </c>
      <c r="M183" t="s">
        <v>2064</v>
      </c>
      <c r="N183">
        <v>0</v>
      </c>
      <c r="O183">
        <v>0</v>
      </c>
      <c r="P183">
        <v>0</v>
      </c>
      <c r="Q183">
        <v>900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275</v>
      </c>
      <c r="AH183" s="21" t="s">
        <v>3425</v>
      </c>
      <c r="AI183" s="21">
        <v>67.5</v>
      </c>
      <c r="AJ183" s="21">
        <v>100</v>
      </c>
      <c r="AK183" s="21" t="s">
        <v>2054</v>
      </c>
      <c r="AL183" t="s">
        <v>75</v>
      </c>
      <c r="AM183" t="s">
        <v>2029</v>
      </c>
    </row>
    <row r="184" spans="1:39" ht="15" hidden="1" thickTop="1" x14ac:dyDescent="0.35">
      <c r="A184" t="s">
        <v>2830</v>
      </c>
      <c r="B184" t="s">
        <v>2825</v>
      </c>
      <c r="C184" t="s">
        <v>92</v>
      </c>
      <c r="D184" t="s">
        <v>2826</v>
      </c>
      <c r="E184" t="s">
        <v>119</v>
      </c>
      <c r="F184">
        <v>1</v>
      </c>
      <c r="G184" t="s">
        <v>2050</v>
      </c>
      <c r="H184" t="s">
        <v>2051</v>
      </c>
      <c r="I184" t="s">
        <v>53</v>
      </c>
      <c r="J184" t="s">
        <v>67</v>
      </c>
      <c r="K184" t="s">
        <v>68</v>
      </c>
      <c r="L184" t="s">
        <v>2052</v>
      </c>
      <c r="M184" t="s">
        <v>2053</v>
      </c>
      <c r="N184">
        <v>0</v>
      </c>
      <c r="O184">
        <v>0</v>
      </c>
      <c r="P184">
        <v>0</v>
      </c>
      <c r="Q184">
        <v>1440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 t="s">
        <v>276</v>
      </c>
      <c r="AH184" s="21" t="s">
        <v>3425</v>
      </c>
      <c r="AI184" s="21">
        <v>107.92500000000001</v>
      </c>
      <c r="AJ184" s="21">
        <v>100</v>
      </c>
      <c r="AK184" s="21" t="s">
        <v>2054</v>
      </c>
      <c r="AL184" t="s">
        <v>70</v>
      </c>
      <c r="AM184" t="s">
        <v>2028</v>
      </c>
    </row>
    <row r="185" spans="1:39" ht="15" hidden="1" thickTop="1" x14ac:dyDescent="0.35">
      <c r="A185" t="s">
        <v>2834</v>
      </c>
      <c r="B185" t="s">
        <v>2828</v>
      </c>
      <c r="C185" t="s">
        <v>78</v>
      </c>
      <c r="D185" t="s">
        <v>2829</v>
      </c>
      <c r="E185" t="s">
        <v>559</v>
      </c>
      <c r="F185">
        <v>2</v>
      </c>
      <c r="G185" t="s">
        <v>2050</v>
      </c>
      <c r="H185" t="s">
        <v>2051</v>
      </c>
      <c r="I185" t="s">
        <v>53</v>
      </c>
      <c r="J185" t="s">
        <v>67</v>
      </c>
      <c r="K185" t="s">
        <v>68</v>
      </c>
      <c r="L185" t="s">
        <v>2052</v>
      </c>
      <c r="M185" t="s">
        <v>2053</v>
      </c>
      <c r="N185">
        <v>0</v>
      </c>
      <c r="O185">
        <v>0</v>
      </c>
      <c r="P185">
        <v>0</v>
      </c>
      <c r="Q185">
        <v>1440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t="s">
        <v>277</v>
      </c>
      <c r="AH185" s="21" t="s">
        <v>3424</v>
      </c>
      <c r="AI185" s="21">
        <v>107.92500000000001</v>
      </c>
      <c r="AJ185" s="21">
        <v>100</v>
      </c>
      <c r="AK185" s="21" t="s">
        <v>2054</v>
      </c>
      <c r="AL185" t="s">
        <v>70</v>
      </c>
      <c r="AM185" t="s">
        <v>2027</v>
      </c>
    </row>
    <row r="186" spans="1:39" ht="15" hidden="1" thickTop="1" x14ac:dyDescent="0.35">
      <c r="A186" t="s">
        <v>2844</v>
      </c>
      <c r="B186" t="s">
        <v>2836</v>
      </c>
      <c r="C186" t="s">
        <v>117</v>
      </c>
      <c r="D186" t="s">
        <v>2837</v>
      </c>
      <c r="E186" t="s">
        <v>559</v>
      </c>
      <c r="F186">
        <v>1</v>
      </c>
      <c r="G186" t="s">
        <v>2050</v>
      </c>
      <c r="H186" t="s">
        <v>2051</v>
      </c>
      <c r="I186" t="s">
        <v>53</v>
      </c>
      <c r="J186" t="s">
        <v>67</v>
      </c>
      <c r="K186" t="s">
        <v>68</v>
      </c>
      <c r="L186" t="s">
        <v>2052</v>
      </c>
      <c r="M186" t="s">
        <v>2053</v>
      </c>
      <c r="N186">
        <v>0</v>
      </c>
      <c r="O186">
        <v>0</v>
      </c>
      <c r="P186">
        <v>0</v>
      </c>
      <c r="Q186">
        <v>1440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278</v>
      </c>
      <c r="AH186" s="21" t="s">
        <v>3425</v>
      </c>
      <c r="AI186" s="21">
        <v>107.92500000000001</v>
      </c>
      <c r="AJ186" s="21">
        <v>100</v>
      </c>
      <c r="AK186" s="21" t="s">
        <v>2054</v>
      </c>
      <c r="AL186" t="s">
        <v>70</v>
      </c>
      <c r="AM186" t="s">
        <v>2027</v>
      </c>
    </row>
    <row r="187" spans="1:39" ht="15" hidden="1" thickTop="1" x14ac:dyDescent="0.35">
      <c r="A187" t="s">
        <v>2845</v>
      </c>
      <c r="B187" t="s">
        <v>2838</v>
      </c>
      <c r="C187" t="s">
        <v>92</v>
      </c>
      <c r="D187" t="s">
        <v>2839</v>
      </c>
      <c r="E187" t="s">
        <v>119</v>
      </c>
      <c r="F187">
        <v>1</v>
      </c>
      <c r="G187" t="s">
        <v>2050</v>
      </c>
      <c r="H187" t="s">
        <v>2051</v>
      </c>
      <c r="I187" t="s">
        <v>53</v>
      </c>
      <c r="J187" t="s">
        <v>67</v>
      </c>
      <c r="K187" t="s">
        <v>68</v>
      </c>
      <c r="L187" t="s">
        <v>2052</v>
      </c>
      <c r="M187" t="s">
        <v>2053</v>
      </c>
      <c r="N187">
        <v>0</v>
      </c>
      <c r="O187">
        <v>0</v>
      </c>
      <c r="P187">
        <v>0</v>
      </c>
      <c r="Q187">
        <v>1440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279</v>
      </c>
      <c r="AH187" s="21" t="s">
        <v>3425</v>
      </c>
      <c r="AI187" s="21">
        <v>107.92500000000001</v>
      </c>
      <c r="AJ187" s="21">
        <v>100</v>
      </c>
      <c r="AK187" s="21" t="s">
        <v>2054</v>
      </c>
      <c r="AL187" t="s">
        <v>70</v>
      </c>
      <c r="AM187" t="s">
        <v>2029</v>
      </c>
    </row>
    <row r="188" spans="1:39" ht="15" hidden="1" thickTop="1" x14ac:dyDescent="0.35">
      <c r="A188" t="s">
        <v>2847</v>
      </c>
      <c r="B188" t="s">
        <v>2840</v>
      </c>
      <c r="C188" t="s">
        <v>92</v>
      </c>
      <c r="D188" t="s">
        <v>2841</v>
      </c>
      <c r="E188" t="s">
        <v>119</v>
      </c>
      <c r="F188">
        <v>1</v>
      </c>
      <c r="G188" t="s">
        <v>2050</v>
      </c>
      <c r="H188" t="s">
        <v>2051</v>
      </c>
      <c r="I188" t="s">
        <v>53</v>
      </c>
      <c r="J188" t="s">
        <v>67</v>
      </c>
      <c r="K188" t="s">
        <v>68</v>
      </c>
      <c r="L188" t="s">
        <v>2052</v>
      </c>
      <c r="M188" t="s">
        <v>2053</v>
      </c>
      <c r="N188">
        <v>0</v>
      </c>
      <c r="O188">
        <v>0</v>
      </c>
      <c r="P188">
        <v>0</v>
      </c>
      <c r="Q188">
        <v>1440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t="s">
        <v>280</v>
      </c>
      <c r="AH188" s="21" t="s">
        <v>3425</v>
      </c>
      <c r="AI188" s="21">
        <v>107.92500000000001</v>
      </c>
      <c r="AJ188" s="21">
        <v>100</v>
      </c>
      <c r="AK188" s="21" t="s">
        <v>2054</v>
      </c>
      <c r="AL188" t="s">
        <v>70</v>
      </c>
      <c r="AM188" t="s">
        <v>2029</v>
      </c>
    </row>
    <row r="189" spans="1:39" ht="15" hidden="1" thickTop="1" x14ac:dyDescent="0.35">
      <c r="A189" t="s">
        <v>286</v>
      </c>
      <c r="B189" t="s">
        <v>2849</v>
      </c>
      <c r="C189" t="s">
        <v>100</v>
      </c>
      <c r="D189" t="s">
        <v>2850</v>
      </c>
      <c r="E189" t="s">
        <v>559</v>
      </c>
      <c r="F189">
        <v>1</v>
      </c>
      <c r="G189" t="s">
        <v>2050</v>
      </c>
      <c r="H189" t="s">
        <v>2051</v>
      </c>
      <c r="I189" t="s">
        <v>53</v>
      </c>
      <c r="J189" t="s">
        <v>67</v>
      </c>
      <c r="K189" t="s">
        <v>68</v>
      </c>
      <c r="L189" t="s">
        <v>2052</v>
      </c>
      <c r="M189" t="s">
        <v>2053</v>
      </c>
      <c r="N189">
        <v>0</v>
      </c>
      <c r="O189">
        <v>0</v>
      </c>
      <c r="P189">
        <v>0</v>
      </c>
      <c r="Q189">
        <v>1440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281</v>
      </c>
      <c r="AH189" s="21" t="s">
        <v>3425</v>
      </c>
      <c r="AI189" s="21">
        <v>107.92500000000001</v>
      </c>
      <c r="AJ189" s="21">
        <v>100</v>
      </c>
      <c r="AK189" s="21" t="s">
        <v>2054</v>
      </c>
      <c r="AL189" t="s">
        <v>70</v>
      </c>
      <c r="AM189" t="s">
        <v>2029</v>
      </c>
    </row>
    <row r="190" spans="1:39" ht="15" hidden="1" thickTop="1" x14ac:dyDescent="0.35">
      <c r="A190" t="s">
        <v>2855</v>
      </c>
      <c r="B190" t="s">
        <v>2851</v>
      </c>
      <c r="C190" t="s">
        <v>71</v>
      </c>
      <c r="D190" t="s">
        <v>2852</v>
      </c>
      <c r="E190" t="s">
        <v>72</v>
      </c>
      <c r="F190">
        <v>1</v>
      </c>
      <c r="G190" t="s">
        <v>2050</v>
      </c>
      <c r="H190" t="s">
        <v>2051</v>
      </c>
      <c r="I190" t="s">
        <v>53</v>
      </c>
      <c r="J190" t="s">
        <v>73</v>
      </c>
      <c r="K190" t="s">
        <v>68</v>
      </c>
      <c r="L190" t="s">
        <v>2052</v>
      </c>
      <c r="M190" t="s">
        <v>2053</v>
      </c>
      <c r="N190">
        <v>0</v>
      </c>
      <c r="O190">
        <v>0</v>
      </c>
      <c r="P190">
        <v>0</v>
      </c>
      <c r="Q190">
        <v>1440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284</v>
      </c>
      <c r="AH190" s="21" t="s">
        <v>3428</v>
      </c>
      <c r="AI190" s="21">
        <v>107.92500000000001</v>
      </c>
      <c r="AJ190" s="21">
        <v>100</v>
      </c>
      <c r="AK190" s="21" t="s">
        <v>2054</v>
      </c>
      <c r="AL190" t="s">
        <v>75</v>
      </c>
      <c r="AM190" t="s">
        <v>2029</v>
      </c>
    </row>
    <row r="191" spans="1:39" ht="15" hidden="1" thickTop="1" x14ac:dyDescent="0.35">
      <c r="A191" t="s">
        <v>2861</v>
      </c>
      <c r="B191" t="s">
        <v>2857</v>
      </c>
      <c r="C191" t="s">
        <v>100</v>
      </c>
      <c r="D191" t="s">
        <v>2858</v>
      </c>
      <c r="E191" t="s">
        <v>559</v>
      </c>
      <c r="F191">
        <v>1</v>
      </c>
      <c r="G191" t="s">
        <v>2050</v>
      </c>
      <c r="H191" t="s">
        <v>2051</v>
      </c>
      <c r="I191" t="s">
        <v>53</v>
      </c>
      <c r="J191" t="s">
        <v>67</v>
      </c>
      <c r="K191" t="s">
        <v>68</v>
      </c>
      <c r="L191" t="s">
        <v>2052</v>
      </c>
      <c r="M191" t="s">
        <v>2053</v>
      </c>
      <c r="N191">
        <v>0</v>
      </c>
      <c r="O191">
        <v>0</v>
      </c>
      <c r="P191">
        <v>0</v>
      </c>
      <c r="Q191">
        <v>1440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289</v>
      </c>
      <c r="AH191" s="21" t="s">
        <v>3424</v>
      </c>
      <c r="AI191" s="21">
        <v>107.92500000000001</v>
      </c>
      <c r="AJ191" s="21">
        <v>100</v>
      </c>
      <c r="AK191" s="21" t="s">
        <v>2054</v>
      </c>
      <c r="AL191" t="s">
        <v>70</v>
      </c>
      <c r="AM191" t="s">
        <v>2028</v>
      </c>
    </row>
    <row r="192" spans="1:39" ht="15" hidden="1" thickTop="1" x14ac:dyDescent="0.35">
      <c r="A192" t="s">
        <v>2866</v>
      </c>
      <c r="B192" t="s">
        <v>2862</v>
      </c>
      <c r="C192" t="s">
        <v>81</v>
      </c>
      <c r="D192" t="s">
        <v>2863</v>
      </c>
      <c r="E192" t="s">
        <v>559</v>
      </c>
      <c r="F192">
        <v>1</v>
      </c>
      <c r="G192" t="s">
        <v>2050</v>
      </c>
      <c r="H192" t="s">
        <v>2051</v>
      </c>
      <c r="I192" t="s">
        <v>53</v>
      </c>
      <c r="J192" t="s">
        <v>82</v>
      </c>
      <c r="K192" t="s">
        <v>68</v>
      </c>
      <c r="L192" t="s">
        <v>2052</v>
      </c>
      <c r="M192" t="s">
        <v>2053</v>
      </c>
      <c r="N192">
        <v>0</v>
      </c>
      <c r="O192">
        <v>0</v>
      </c>
      <c r="P192">
        <v>0</v>
      </c>
      <c r="Q192">
        <v>1440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290</v>
      </c>
      <c r="AH192" s="21" t="s">
        <v>3424</v>
      </c>
      <c r="AI192" s="21">
        <v>107.92500000000001</v>
      </c>
      <c r="AJ192" s="21">
        <v>100</v>
      </c>
      <c r="AK192" s="21" t="s">
        <v>2054</v>
      </c>
      <c r="AL192" t="s">
        <v>70</v>
      </c>
      <c r="AM192" t="s">
        <v>2030</v>
      </c>
    </row>
    <row r="193" spans="1:39" ht="15" hidden="1" thickTop="1" x14ac:dyDescent="0.35">
      <c r="A193" t="s">
        <v>2872</v>
      </c>
      <c r="B193" t="s">
        <v>2868</v>
      </c>
      <c r="C193" t="s">
        <v>78</v>
      </c>
      <c r="D193" t="s">
        <v>2869</v>
      </c>
      <c r="E193" t="s">
        <v>559</v>
      </c>
      <c r="F193">
        <v>1</v>
      </c>
      <c r="G193" t="s">
        <v>2050</v>
      </c>
      <c r="H193" t="s">
        <v>2051</v>
      </c>
      <c r="I193" t="s">
        <v>53</v>
      </c>
      <c r="J193" t="s">
        <v>67</v>
      </c>
      <c r="K193" t="s">
        <v>68</v>
      </c>
      <c r="L193" t="s">
        <v>2052</v>
      </c>
      <c r="M193" t="s">
        <v>2064</v>
      </c>
      <c r="N193">
        <v>0</v>
      </c>
      <c r="O193">
        <v>0</v>
      </c>
      <c r="P193">
        <v>0</v>
      </c>
      <c r="Q193">
        <v>900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291</v>
      </c>
      <c r="AH193" s="21" t="s">
        <v>3424</v>
      </c>
      <c r="AI193" s="21">
        <v>67.5</v>
      </c>
      <c r="AJ193" s="21">
        <v>100</v>
      </c>
      <c r="AK193" s="21" t="s">
        <v>2054</v>
      </c>
      <c r="AL193" t="s">
        <v>70</v>
      </c>
      <c r="AM193" t="s">
        <v>2028</v>
      </c>
    </row>
    <row r="194" spans="1:39" ht="15" hidden="1" thickTop="1" x14ac:dyDescent="0.35">
      <c r="A194" t="s">
        <v>2879</v>
      </c>
      <c r="B194" t="s">
        <v>2876</v>
      </c>
      <c r="C194" t="s">
        <v>100</v>
      </c>
      <c r="D194" t="s">
        <v>2877</v>
      </c>
      <c r="E194" t="s">
        <v>559</v>
      </c>
      <c r="F194">
        <v>1</v>
      </c>
      <c r="G194" t="s">
        <v>2050</v>
      </c>
      <c r="H194" t="s">
        <v>2051</v>
      </c>
      <c r="I194" t="s">
        <v>53</v>
      </c>
      <c r="J194" t="s">
        <v>67</v>
      </c>
      <c r="K194" t="s">
        <v>68</v>
      </c>
      <c r="L194" t="s">
        <v>2052</v>
      </c>
      <c r="M194" t="s">
        <v>2053</v>
      </c>
      <c r="N194">
        <v>0</v>
      </c>
      <c r="O194">
        <v>0</v>
      </c>
      <c r="P194">
        <v>0</v>
      </c>
      <c r="Q194">
        <v>1440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 t="s">
        <v>292</v>
      </c>
      <c r="AH194" s="21" t="s">
        <v>3424</v>
      </c>
      <c r="AI194" s="21">
        <v>107.92500000000001</v>
      </c>
      <c r="AJ194" s="21">
        <v>100</v>
      </c>
      <c r="AK194" s="21" t="s">
        <v>2054</v>
      </c>
      <c r="AL194" t="s">
        <v>70</v>
      </c>
      <c r="AM194" t="s">
        <v>2028</v>
      </c>
    </row>
    <row r="195" spans="1:39" ht="15" hidden="1" thickTop="1" x14ac:dyDescent="0.35">
      <c r="A195" t="s">
        <v>2886</v>
      </c>
      <c r="B195" t="s">
        <v>2883</v>
      </c>
      <c r="C195" t="s">
        <v>92</v>
      </c>
      <c r="D195" t="s">
        <v>2884</v>
      </c>
      <c r="E195" t="s">
        <v>559</v>
      </c>
      <c r="F195">
        <v>1</v>
      </c>
      <c r="G195" t="s">
        <v>2050</v>
      </c>
      <c r="H195" t="s">
        <v>2051</v>
      </c>
      <c r="I195" t="s">
        <v>53</v>
      </c>
      <c r="J195" t="s">
        <v>67</v>
      </c>
      <c r="K195" t="s">
        <v>68</v>
      </c>
      <c r="L195" t="s">
        <v>2052</v>
      </c>
      <c r="M195" t="s">
        <v>2053</v>
      </c>
      <c r="N195">
        <v>0</v>
      </c>
      <c r="O195">
        <v>0</v>
      </c>
      <c r="P195">
        <v>0</v>
      </c>
      <c r="Q195">
        <v>1440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 t="s">
        <v>293</v>
      </c>
      <c r="AH195" s="21" t="s">
        <v>3424</v>
      </c>
      <c r="AI195" s="21">
        <v>107.92500000000001</v>
      </c>
      <c r="AJ195" s="21">
        <v>100</v>
      </c>
      <c r="AK195" s="21" t="s">
        <v>2055</v>
      </c>
      <c r="AL195" t="s">
        <v>70</v>
      </c>
      <c r="AM195" t="s">
        <v>2029</v>
      </c>
    </row>
    <row r="196" spans="1:39" ht="15" hidden="1" thickTop="1" x14ac:dyDescent="0.35">
      <c r="A196" t="s">
        <v>2893</v>
      </c>
      <c r="B196" t="s">
        <v>2890</v>
      </c>
      <c r="C196" t="s">
        <v>92</v>
      </c>
      <c r="D196" t="s">
        <v>2891</v>
      </c>
      <c r="E196" t="s">
        <v>119</v>
      </c>
      <c r="F196">
        <v>1</v>
      </c>
      <c r="G196" t="s">
        <v>2050</v>
      </c>
      <c r="H196" t="s">
        <v>2051</v>
      </c>
      <c r="I196" t="s">
        <v>53</v>
      </c>
      <c r="J196" t="s">
        <v>67</v>
      </c>
      <c r="K196" t="s">
        <v>68</v>
      </c>
      <c r="L196" t="s">
        <v>2052</v>
      </c>
      <c r="M196" t="s">
        <v>2064</v>
      </c>
      <c r="N196">
        <v>0</v>
      </c>
      <c r="O196">
        <v>0</v>
      </c>
      <c r="P196">
        <v>0</v>
      </c>
      <c r="Q196">
        <v>900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294</v>
      </c>
      <c r="AH196" s="21" t="s">
        <v>3425</v>
      </c>
      <c r="AI196" s="21">
        <v>67.5</v>
      </c>
      <c r="AJ196" s="21">
        <v>100</v>
      </c>
      <c r="AK196" s="21" t="s">
        <v>2054</v>
      </c>
      <c r="AL196" t="s">
        <v>70</v>
      </c>
      <c r="AM196" t="s">
        <v>2027</v>
      </c>
    </row>
    <row r="197" spans="1:39" ht="15" hidden="1" thickTop="1" x14ac:dyDescent="0.35">
      <c r="A197" t="s">
        <v>2898</v>
      </c>
      <c r="B197" t="s">
        <v>2900</v>
      </c>
      <c r="C197" t="s">
        <v>76</v>
      </c>
      <c r="D197" t="s">
        <v>2901</v>
      </c>
      <c r="E197" t="s">
        <v>559</v>
      </c>
      <c r="F197">
        <v>1</v>
      </c>
      <c r="G197" t="s">
        <v>2050</v>
      </c>
      <c r="H197" t="s">
        <v>2051</v>
      </c>
      <c r="I197" t="s">
        <v>53</v>
      </c>
      <c r="J197" t="s">
        <v>67</v>
      </c>
      <c r="K197" t="s">
        <v>68</v>
      </c>
      <c r="L197" t="s">
        <v>2052</v>
      </c>
      <c r="M197" t="s">
        <v>2053</v>
      </c>
      <c r="N197">
        <v>1</v>
      </c>
      <c r="O197">
        <v>40</v>
      </c>
      <c r="P197">
        <v>2.78</v>
      </c>
      <c r="Q197">
        <v>1440</v>
      </c>
      <c r="R197">
        <v>1</v>
      </c>
      <c r="S197">
        <v>40</v>
      </c>
      <c r="T197">
        <v>2.78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 t="s">
        <v>296</v>
      </c>
      <c r="AH197" s="21" t="s">
        <v>3427</v>
      </c>
      <c r="AI197" s="21">
        <v>107.92500000000001</v>
      </c>
      <c r="AJ197" s="21">
        <v>97.222222222222229</v>
      </c>
      <c r="AK197" s="21" t="s">
        <v>2055</v>
      </c>
      <c r="AL197" t="s">
        <v>70</v>
      </c>
      <c r="AM197" t="s">
        <v>2030</v>
      </c>
    </row>
    <row r="198" spans="1:39" ht="15" hidden="1" thickTop="1" x14ac:dyDescent="0.35">
      <c r="A198" t="s">
        <v>2904</v>
      </c>
      <c r="B198" t="s">
        <v>2906</v>
      </c>
      <c r="C198" t="s">
        <v>78</v>
      </c>
      <c r="D198" t="s">
        <v>2907</v>
      </c>
      <c r="E198" t="s">
        <v>559</v>
      </c>
      <c r="F198">
        <v>1</v>
      </c>
      <c r="G198" t="s">
        <v>2050</v>
      </c>
      <c r="H198" t="s">
        <v>2051</v>
      </c>
      <c r="I198" t="s">
        <v>53</v>
      </c>
      <c r="J198" t="s">
        <v>67</v>
      </c>
      <c r="K198" t="s">
        <v>68</v>
      </c>
      <c r="L198" t="s">
        <v>2052</v>
      </c>
      <c r="M198" t="s">
        <v>2053</v>
      </c>
      <c r="N198">
        <v>0</v>
      </c>
      <c r="O198">
        <v>0</v>
      </c>
      <c r="P198">
        <v>0</v>
      </c>
      <c r="Q198">
        <v>1440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t="s">
        <v>297</v>
      </c>
      <c r="AH198" s="21" t="s">
        <v>3427</v>
      </c>
      <c r="AI198" s="21">
        <v>107.92500000000001</v>
      </c>
      <c r="AJ198" s="21">
        <v>100</v>
      </c>
      <c r="AK198" s="21" t="s">
        <v>2054</v>
      </c>
      <c r="AL198" t="s">
        <v>70</v>
      </c>
      <c r="AM198" t="s">
        <v>2028</v>
      </c>
    </row>
    <row r="199" spans="1:39" ht="15" hidden="1" thickTop="1" x14ac:dyDescent="0.35">
      <c r="A199" t="s">
        <v>2911</v>
      </c>
      <c r="B199" t="s">
        <v>2913</v>
      </c>
      <c r="C199" t="s">
        <v>3376</v>
      </c>
      <c r="D199" t="s">
        <v>2914</v>
      </c>
      <c r="E199" t="s">
        <v>559</v>
      </c>
      <c r="F199">
        <v>1</v>
      </c>
      <c r="G199" t="s">
        <v>2050</v>
      </c>
      <c r="H199" t="s">
        <v>2051</v>
      </c>
      <c r="I199" t="s">
        <v>53</v>
      </c>
      <c r="J199" t="s">
        <v>67</v>
      </c>
      <c r="K199" t="s">
        <v>68</v>
      </c>
      <c r="L199" t="s">
        <v>2052</v>
      </c>
      <c r="M199" t="s">
        <v>2053</v>
      </c>
      <c r="N199">
        <v>0</v>
      </c>
      <c r="O199">
        <v>0</v>
      </c>
      <c r="P199">
        <v>0</v>
      </c>
      <c r="Q199">
        <v>1440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298</v>
      </c>
      <c r="AH199" s="21" t="s">
        <v>3427</v>
      </c>
      <c r="AI199" s="21">
        <v>107.92500000000001</v>
      </c>
      <c r="AJ199" s="21">
        <v>100</v>
      </c>
      <c r="AK199" s="21" t="s">
        <v>2054</v>
      </c>
      <c r="AL199" t="s">
        <v>70</v>
      </c>
      <c r="AM199" t="s">
        <v>2027</v>
      </c>
    </row>
    <row r="200" spans="1:39" ht="15" hidden="1" thickTop="1" x14ac:dyDescent="0.35">
      <c r="A200" t="s">
        <v>2918</v>
      </c>
      <c r="B200" t="s">
        <v>2922</v>
      </c>
      <c r="C200" t="s">
        <v>66</v>
      </c>
      <c r="D200" t="s">
        <v>2923</v>
      </c>
      <c r="E200" t="s">
        <v>559</v>
      </c>
      <c r="F200">
        <v>1</v>
      </c>
      <c r="G200" t="s">
        <v>2050</v>
      </c>
      <c r="H200" t="s">
        <v>2051</v>
      </c>
      <c r="I200" t="s">
        <v>53</v>
      </c>
      <c r="J200" t="s">
        <v>67</v>
      </c>
      <c r="K200" t="s">
        <v>68</v>
      </c>
      <c r="L200" t="s">
        <v>2052</v>
      </c>
      <c r="M200" t="s">
        <v>2053</v>
      </c>
      <c r="N200">
        <v>0</v>
      </c>
      <c r="O200">
        <v>0</v>
      </c>
      <c r="P200">
        <v>0</v>
      </c>
      <c r="Q200">
        <v>1440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299</v>
      </c>
      <c r="AH200" s="21" t="s">
        <v>3424</v>
      </c>
      <c r="AI200" s="21">
        <v>107.92500000000001</v>
      </c>
      <c r="AJ200" s="21">
        <v>100</v>
      </c>
      <c r="AK200" s="21" t="s">
        <v>2054</v>
      </c>
      <c r="AL200" t="s">
        <v>70</v>
      </c>
      <c r="AM200" t="s">
        <v>2028</v>
      </c>
    </row>
    <row r="201" spans="1:39" ht="15" hidden="1" thickTop="1" x14ac:dyDescent="0.35">
      <c r="A201" t="s">
        <v>2921</v>
      </c>
      <c r="B201" t="s">
        <v>2925</v>
      </c>
      <c r="C201" t="s">
        <v>102</v>
      </c>
      <c r="D201" t="s">
        <v>2926</v>
      </c>
      <c r="E201" t="s">
        <v>559</v>
      </c>
      <c r="F201">
        <v>1</v>
      </c>
      <c r="G201" t="s">
        <v>2050</v>
      </c>
      <c r="H201" t="s">
        <v>2051</v>
      </c>
      <c r="I201" t="s">
        <v>53</v>
      </c>
      <c r="J201" t="s">
        <v>67</v>
      </c>
      <c r="K201" t="s">
        <v>68</v>
      </c>
      <c r="L201" t="s">
        <v>2052</v>
      </c>
      <c r="M201" t="s">
        <v>2053</v>
      </c>
      <c r="N201">
        <v>0</v>
      </c>
      <c r="O201">
        <v>0</v>
      </c>
      <c r="P201">
        <v>0</v>
      </c>
      <c r="Q201">
        <v>1440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300</v>
      </c>
      <c r="AH201" s="21" t="s">
        <v>3424</v>
      </c>
      <c r="AI201" s="21">
        <v>107.92500000000001</v>
      </c>
      <c r="AJ201" s="21">
        <v>100</v>
      </c>
      <c r="AK201" s="21" t="s">
        <v>2054</v>
      </c>
      <c r="AL201" t="s">
        <v>70</v>
      </c>
      <c r="AM201" t="s">
        <v>2028</v>
      </c>
    </row>
    <row r="202" spans="1:39" ht="15" hidden="1" thickTop="1" x14ac:dyDescent="0.35">
      <c r="A202" t="s">
        <v>2555</v>
      </c>
      <c r="B202" t="s">
        <v>2935</v>
      </c>
      <c r="C202" t="s">
        <v>76</v>
      </c>
      <c r="D202" t="s">
        <v>2936</v>
      </c>
      <c r="E202" t="s">
        <v>559</v>
      </c>
      <c r="F202">
        <v>1</v>
      </c>
      <c r="G202" t="s">
        <v>2050</v>
      </c>
      <c r="H202" t="s">
        <v>2051</v>
      </c>
      <c r="I202" t="s">
        <v>53</v>
      </c>
      <c r="J202" t="s">
        <v>67</v>
      </c>
      <c r="K202" t="s">
        <v>68</v>
      </c>
      <c r="L202" t="s">
        <v>2052</v>
      </c>
      <c r="M202" t="s">
        <v>2053</v>
      </c>
      <c r="N202">
        <v>0</v>
      </c>
      <c r="O202">
        <v>0</v>
      </c>
      <c r="P202">
        <v>0</v>
      </c>
      <c r="Q202">
        <v>1440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301</v>
      </c>
      <c r="AH202" s="21" t="s">
        <v>3424</v>
      </c>
      <c r="AI202" s="21">
        <v>107.92500000000001</v>
      </c>
      <c r="AJ202" s="21">
        <v>100</v>
      </c>
      <c r="AK202" s="21" t="s">
        <v>2055</v>
      </c>
      <c r="AL202" t="s">
        <v>70</v>
      </c>
      <c r="AM202" t="s">
        <v>2028</v>
      </c>
    </row>
    <row r="203" spans="1:39" ht="15" hidden="1" thickTop="1" x14ac:dyDescent="0.35">
      <c r="A203" t="s">
        <v>2930</v>
      </c>
      <c r="B203" t="s">
        <v>2938</v>
      </c>
      <c r="C203" t="s">
        <v>76</v>
      </c>
      <c r="D203" t="s">
        <v>2939</v>
      </c>
      <c r="E203" t="s">
        <v>119</v>
      </c>
      <c r="F203">
        <v>1</v>
      </c>
      <c r="G203" t="s">
        <v>2050</v>
      </c>
      <c r="H203" t="s">
        <v>2051</v>
      </c>
      <c r="I203" t="s">
        <v>53</v>
      </c>
      <c r="J203" t="s">
        <v>67</v>
      </c>
      <c r="K203" t="s">
        <v>68</v>
      </c>
      <c r="L203" t="s">
        <v>2052</v>
      </c>
      <c r="M203" t="s">
        <v>2053</v>
      </c>
      <c r="N203">
        <v>0</v>
      </c>
      <c r="O203">
        <v>0</v>
      </c>
      <c r="P203">
        <v>0</v>
      </c>
      <c r="Q203">
        <v>1440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302</v>
      </c>
      <c r="AH203" s="21" t="s">
        <v>3424</v>
      </c>
      <c r="AI203" s="21">
        <v>107.92500000000001</v>
      </c>
      <c r="AJ203" s="21">
        <v>100</v>
      </c>
      <c r="AK203" s="21" t="s">
        <v>2055</v>
      </c>
      <c r="AL203" t="s">
        <v>70</v>
      </c>
      <c r="AM203" t="s">
        <v>2029</v>
      </c>
    </row>
    <row r="204" spans="1:39" ht="15" hidden="1" thickTop="1" x14ac:dyDescent="0.35">
      <c r="A204" t="s">
        <v>2932</v>
      </c>
      <c r="B204" t="s">
        <v>2942</v>
      </c>
      <c r="C204" t="s">
        <v>128</v>
      </c>
      <c r="D204" t="s">
        <v>2943</v>
      </c>
      <c r="E204" t="s">
        <v>112</v>
      </c>
      <c r="F204">
        <v>1</v>
      </c>
      <c r="G204" t="s">
        <v>2050</v>
      </c>
      <c r="H204" t="s">
        <v>2051</v>
      </c>
      <c r="I204" t="s">
        <v>53</v>
      </c>
      <c r="J204" t="s">
        <v>113</v>
      </c>
      <c r="K204" t="s">
        <v>68</v>
      </c>
      <c r="L204" t="s">
        <v>2052</v>
      </c>
      <c r="M204" t="s">
        <v>2053</v>
      </c>
      <c r="N204">
        <v>0</v>
      </c>
      <c r="O204">
        <v>0</v>
      </c>
      <c r="P204">
        <v>0</v>
      </c>
      <c r="Q204">
        <v>1440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t="s">
        <v>303</v>
      </c>
      <c r="AH204" s="21" t="s">
        <v>3427</v>
      </c>
      <c r="AI204" s="21">
        <v>107.92500000000001</v>
      </c>
      <c r="AJ204" s="21">
        <v>100</v>
      </c>
      <c r="AK204" s="21" t="s">
        <v>2054</v>
      </c>
      <c r="AL204" t="s">
        <v>115</v>
      </c>
      <c r="AM204" t="s">
        <v>2027</v>
      </c>
    </row>
    <row r="205" spans="1:39" ht="15" hidden="1" thickTop="1" x14ac:dyDescent="0.35">
      <c r="A205" t="s">
        <v>2940</v>
      </c>
      <c r="B205" t="s">
        <v>2944</v>
      </c>
      <c r="C205" t="s">
        <v>237</v>
      </c>
      <c r="D205" t="s">
        <v>2945</v>
      </c>
      <c r="E205" t="s">
        <v>72</v>
      </c>
      <c r="F205">
        <v>1</v>
      </c>
      <c r="G205" t="s">
        <v>2050</v>
      </c>
      <c r="H205" t="s">
        <v>2051</v>
      </c>
      <c r="I205" t="s">
        <v>53</v>
      </c>
      <c r="J205" t="s">
        <v>73</v>
      </c>
      <c r="K205" t="s">
        <v>68</v>
      </c>
      <c r="L205" t="s">
        <v>2052</v>
      </c>
      <c r="M205" t="s">
        <v>2053</v>
      </c>
      <c r="N205">
        <v>0</v>
      </c>
      <c r="O205">
        <v>0</v>
      </c>
      <c r="P205">
        <v>0</v>
      </c>
      <c r="Q205">
        <v>1440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304</v>
      </c>
      <c r="AH205" s="21" t="s">
        <v>3427</v>
      </c>
      <c r="AI205" s="21">
        <v>107.92500000000001</v>
      </c>
      <c r="AJ205" s="21">
        <v>100</v>
      </c>
      <c r="AK205" s="21" t="s">
        <v>2054</v>
      </c>
      <c r="AL205" t="s">
        <v>75</v>
      </c>
      <c r="AM205" t="s">
        <v>2027</v>
      </c>
    </row>
    <row r="206" spans="1:39" ht="15" hidden="1" thickTop="1" x14ac:dyDescent="0.35">
      <c r="A206" t="s">
        <v>2949</v>
      </c>
      <c r="B206" t="s">
        <v>2953</v>
      </c>
      <c r="C206" t="s">
        <v>81</v>
      </c>
      <c r="D206" t="s">
        <v>2954</v>
      </c>
      <c r="E206" t="s">
        <v>559</v>
      </c>
      <c r="F206">
        <v>2</v>
      </c>
      <c r="G206" t="s">
        <v>2050</v>
      </c>
      <c r="H206" t="s">
        <v>2051</v>
      </c>
      <c r="I206" t="s">
        <v>53</v>
      </c>
      <c r="J206" t="s">
        <v>82</v>
      </c>
      <c r="K206" t="s">
        <v>68</v>
      </c>
      <c r="L206" t="s">
        <v>2052</v>
      </c>
      <c r="M206" t="s">
        <v>2083</v>
      </c>
      <c r="N206">
        <v>0</v>
      </c>
      <c r="O206">
        <v>0</v>
      </c>
      <c r="P206">
        <v>0</v>
      </c>
      <c r="Q206">
        <v>960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305</v>
      </c>
      <c r="AH206" s="21" t="s">
        <v>3427</v>
      </c>
      <c r="AI206" s="21">
        <v>72.000000000000014</v>
      </c>
      <c r="AJ206" s="21">
        <v>100</v>
      </c>
      <c r="AK206" s="21" t="s">
        <v>2054</v>
      </c>
      <c r="AL206" t="s">
        <v>70</v>
      </c>
      <c r="AM206" t="s">
        <v>2029</v>
      </c>
    </row>
    <row r="207" spans="1:39" ht="15" hidden="1" thickTop="1" x14ac:dyDescent="0.35">
      <c r="A207" t="s">
        <v>2950</v>
      </c>
      <c r="B207" t="s">
        <v>2955</v>
      </c>
      <c r="C207" t="s">
        <v>92</v>
      </c>
      <c r="D207" t="s">
        <v>2956</v>
      </c>
      <c r="E207" t="s">
        <v>559</v>
      </c>
      <c r="F207">
        <v>1</v>
      </c>
      <c r="G207" t="s">
        <v>2050</v>
      </c>
      <c r="H207" t="s">
        <v>2051</v>
      </c>
      <c r="I207" t="s">
        <v>53</v>
      </c>
      <c r="J207" t="s">
        <v>67</v>
      </c>
      <c r="K207" t="s">
        <v>68</v>
      </c>
      <c r="L207" t="s">
        <v>2052</v>
      </c>
      <c r="M207" t="s">
        <v>2053</v>
      </c>
      <c r="N207">
        <v>0</v>
      </c>
      <c r="O207">
        <v>0</v>
      </c>
      <c r="P207">
        <v>0</v>
      </c>
      <c r="Q207">
        <v>1440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306</v>
      </c>
      <c r="AH207" s="21" t="s">
        <v>3424</v>
      </c>
      <c r="AI207" s="21">
        <v>107.92500000000001</v>
      </c>
      <c r="AJ207" s="21">
        <v>100</v>
      </c>
      <c r="AK207" s="21" t="s">
        <v>2054</v>
      </c>
      <c r="AL207" t="s">
        <v>70</v>
      </c>
      <c r="AM207" t="s">
        <v>2027</v>
      </c>
    </row>
    <row r="208" spans="1:39" ht="15" hidden="1" thickTop="1" x14ac:dyDescent="0.35">
      <c r="A208" t="s">
        <v>2951</v>
      </c>
      <c r="B208" t="s">
        <v>2957</v>
      </c>
      <c r="C208" t="s">
        <v>66</v>
      </c>
      <c r="D208" t="s">
        <v>2958</v>
      </c>
      <c r="E208" t="s">
        <v>559</v>
      </c>
      <c r="F208">
        <v>1</v>
      </c>
      <c r="G208" t="s">
        <v>2050</v>
      </c>
      <c r="H208" t="s">
        <v>2051</v>
      </c>
      <c r="I208" t="s">
        <v>53</v>
      </c>
      <c r="J208" t="s">
        <v>67</v>
      </c>
      <c r="K208" t="s">
        <v>68</v>
      </c>
      <c r="L208" t="s">
        <v>2052</v>
      </c>
      <c r="M208" t="s">
        <v>2053</v>
      </c>
      <c r="N208">
        <v>0</v>
      </c>
      <c r="O208">
        <v>0</v>
      </c>
      <c r="P208">
        <v>0</v>
      </c>
      <c r="Q208">
        <v>1440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307</v>
      </c>
      <c r="AH208" s="21" t="s">
        <v>3424</v>
      </c>
      <c r="AI208" s="21">
        <v>107.92500000000001</v>
      </c>
      <c r="AJ208" s="21">
        <v>100</v>
      </c>
      <c r="AK208" s="21" t="s">
        <v>2054</v>
      </c>
      <c r="AL208" t="s">
        <v>70</v>
      </c>
      <c r="AM208" t="s">
        <v>2028</v>
      </c>
    </row>
    <row r="209" spans="1:39" ht="15" hidden="1" thickTop="1" x14ac:dyDescent="0.35">
      <c r="A209" t="s">
        <v>2961</v>
      </c>
      <c r="B209" t="s">
        <v>2968</v>
      </c>
      <c r="C209" t="s">
        <v>92</v>
      </c>
      <c r="D209" t="s">
        <v>2969</v>
      </c>
      <c r="E209" t="s">
        <v>119</v>
      </c>
      <c r="F209">
        <v>1</v>
      </c>
      <c r="G209" t="s">
        <v>2050</v>
      </c>
      <c r="H209" t="s">
        <v>2051</v>
      </c>
      <c r="I209" t="s">
        <v>53</v>
      </c>
      <c r="J209" t="s">
        <v>67</v>
      </c>
      <c r="K209" t="s">
        <v>68</v>
      </c>
      <c r="L209" t="s">
        <v>2052</v>
      </c>
      <c r="M209" t="s">
        <v>2053</v>
      </c>
      <c r="N209">
        <v>0</v>
      </c>
      <c r="O209">
        <v>0</v>
      </c>
      <c r="P209">
        <v>0</v>
      </c>
      <c r="Q209">
        <v>1440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 t="s">
        <v>308</v>
      </c>
      <c r="AH209" s="21" t="s">
        <v>3424</v>
      </c>
      <c r="AI209" s="21">
        <v>107.92500000000001</v>
      </c>
      <c r="AJ209" s="21">
        <v>100</v>
      </c>
      <c r="AK209" s="21" t="s">
        <v>2054</v>
      </c>
      <c r="AL209" t="s">
        <v>70</v>
      </c>
      <c r="AM209" t="s">
        <v>2028</v>
      </c>
    </row>
    <row r="210" spans="1:39" ht="15" hidden="1" thickTop="1" x14ac:dyDescent="0.35">
      <c r="A210" t="s">
        <v>2966</v>
      </c>
      <c r="B210" t="s">
        <v>2970</v>
      </c>
      <c r="C210" t="s">
        <v>86</v>
      </c>
      <c r="D210" t="s">
        <v>2971</v>
      </c>
      <c r="E210" t="s">
        <v>72</v>
      </c>
      <c r="F210">
        <v>1</v>
      </c>
      <c r="G210" t="s">
        <v>2050</v>
      </c>
      <c r="H210" t="s">
        <v>2051</v>
      </c>
      <c r="I210" t="s">
        <v>53</v>
      </c>
      <c r="J210" t="s">
        <v>73</v>
      </c>
      <c r="K210" t="s">
        <v>68</v>
      </c>
      <c r="L210" t="s">
        <v>2052</v>
      </c>
      <c r="M210" t="s">
        <v>2053</v>
      </c>
      <c r="N210">
        <v>0</v>
      </c>
      <c r="O210">
        <v>0</v>
      </c>
      <c r="P210">
        <v>0</v>
      </c>
      <c r="Q210">
        <v>1440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309</v>
      </c>
      <c r="AH210" s="21" t="s">
        <v>3424</v>
      </c>
      <c r="AI210" s="21">
        <v>107.92500000000001</v>
      </c>
      <c r="AJ210" s="21">
        <v>100</v>
      </c>
      <c r="AK210" s="21" t="s">
        <v>2054</v>
      </c>
      <c r="AL210" t="s">
        <v>75</v>
      </c>
      <c r="AM210" t="s">
        <v>2027</v>
      </c>
    </row>
    <row r="211" spans="1:39" ht="15" hidden="1" thickTop="1" x14ac:dyDescent="0.35">
      <c r="A211" t="s">
        <v>2975</v>
      </c>
      <c r="B211" t="s">
        <v>2977</v>
      </c>
      <c r="C211" t="s">
        <v>66</v>
      </c>
      <c r="D211" t="s">
        <v>2978</v>
      </c>
      <c r="E211" t="s">
        <v>559</v>
      </c>
      <c r="F211">
        <v>1</v>
      </c>
      <c r="G211" t="s">
        <v>2050</v>
      </c>
      <c r="H211" t="s">
        <v>2051</v>
      </c>
      <c r="I211" t="s">
        <v>53</v>
      </c>
      <c r="J211" t="s">
        <v>67</v>
      </c>
      <c r="K211" t="s">
        <v>68</v>
      </c>
      <c r="L211" t="s">
        <v>2052</v>
      </c>
      <c r="M211" t="s">
        <v>2064</v>
      </c>
      <c r="N211">
        <v>0</v>
      </c>
      <c r="O211">
        <v>0</v>
      </c>
      <c r="P211">
        <v>0</v>
      </c>
      <c r="Q211">
        <v>900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t="s">
        <v>310</v>
      </c>
      <c r="AH211" s="21" t="s">
        <v>3424</v>
      </c>
      <c r="AI211" s="21">
        <v>67.5</v>
      </c>
      <c r="AJ211" s="21">
        <v>100</v>
      </c>
      <c r="AK211" s="21" t="s">
        <v>2054</v>
      </c>
      <c r="AL211" t="s">
        <v>70</v>
      </c>
      <c r="AM211" t="s">
        <v>2029</v>
      </c>
    </row>
    <row r="212" spans="1:39" ht="15" hidden="1" thickTop="1" x14ac:dyDescent="0.35">
      <c r="A212" t="s">
        <v>2982</v>
      </c>
      <c r="B212" t="s">
        <v>2984</v>
      </c>
      <c r="C212" t="s">
        <v>76</v>
      </c>
      <c r="D212" t="s">
        <v>2985</v>
      </c>
      <c r="E212" t="s">
        <v>119</v>
      </c>
      <c r="F212">
        <v>1</v>
      </c>
      <c r="G212" t="s">
        <v>2050</v>
      </c>
      <c r="H212" t="s">
        <v>2051</v>
      </c>
      <c r="I212" t="s">
        <v>53</v>
      </c>
      <c r="J212" t="s">
        <v>67</v>
      </c>
      <c r="K212" t="s">
        <v>68</v>
      </c>
      <c r="L212" t="s">
        <v>2052</v>
      </c>
      <c r="M212" t="s">
        <v>2053</v>
      </c>
      <c r="N212">
        <v>0</v>
      </c>
      <c r="O212">
        <v>0</v>
      </c>
      <c r="P212">
        <v>0</v>
      </c>
      <c r="Q212">
        <v>1440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t="s">
        <v>311</v>
      </c>
      <c r="AH212" s="21" t="s">
        <v>3429</v>
      </c>
      <c r="AI212" s="21">
        <v>107.92500000000001</v>
      </c>
      <c r="AJ212" s="21">
        <v>100</v>
      </c>
      <c r="AK212" s="21" t="s">
        <v>2054</v>
      </c>
      <c r="AL212" t="s">
        <v>70</v>
      </c>
      <c r="AM212" t="s">
        <v>2029</v>
      </c>
    </row>
    <row r="213" spans="1:39" ht="15" hidden="1" thickTop="1" x14ac:dyDescent="0.35">
      <c r="A213" t="s">
        <v>2989</v>
      </c>
      <c r="B213" t="s">
        <v>2996</v>
      </c>
      <c r="C213" t="s">
        <v>71</v>
      </c>
      <c r="D213" t="s">
        <v>2997</v>
      </c>
      <c r="E213" t="s">
        <v>72</v>
      </c>
      <c r="F213">
        <v>2</v>
      </c>
      <c r="G213" t="s">
        <v>2050</v>
      </c>
      <c r="H213" t="s">
        <v>2051</v>
      </c>
      <c r="I213" t="s">
        <v>53</v>
      </c>
      <c r="J213" t="s">
        <v>73</v>
      </c>
      <c r="K213" t="s">
        <v>68</v>
      </c>
      <c r="L213" t="s">
        <v>2052</v>
      </c>
      <c r="M213" t="s">
        <v>2053</v>
      </c>
      <c r="N213">
        <v>0</v>
      </c>
      <c r="O213">
        <v>0</v>
      </c>
      <c r="P213">
        <v>0</v>
      </c>
      <c r="Q213">
        <v>1440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t="s">
        <v>312</v>
      </c>
      <c r="AH213" s="21" t="s">
        <v>3424</v>
      </c>
      <c r="AI213" s="21">
        <v>107.92500000000001</v>
      </c>
      <c r="AJ213" s="21">
        <v>100</v>
      </c>
      <c r="AK213" s="21" t="s">
        <v>2054</v>
      </c>
      <c r="AL213" t="s">
        <v>75</v>
      </c>
      <c r="AM213" t="s">
        <v>2028</v>
      </c>
    </row>
    <row r="214" spans="1:39" ht="15" hidden="1" thickTop="1" x14ac:dyDescent="0.35">
      <c r="A214" t="s">
        <v>2990</v>
      </c>
      <c r="B214" t="s">
        <v>2999</v>
      </c>
      <c r="C214" t="s">
        <v>86</v>
      </c>
      <c r="D214" t="s">
        <v>3000</v>
      </c>
      <c r="E214" t="s">
        <v>72</v>
      </c>
      <c r="F214">
        <v>2</v>
      </c>
      <c r="G214" t="s">
        <v>2050</v>
      </c>
      <c r="H214" t="s">
        <v>2051</v>
      </c>
      <c r="I214" t="s">
        <v>53</v>
      </c>
      <c r="J214" t="s">
        <v>73</v>
      </c>
      <c r="K214" t="s">
        <v>68</v>
      </c>
      <c r="L214" t="s">
        <v>2052</v>
      </c>
      <c r="M214" t="s">
        <v>2053</v>
      </c>
      <c r="N214">
        <v>0</v>
      </c>
      <c r="O214">
        <v>0</v>
      </c>
      <c r="P214">
        <v>0</v>
      </c>
      <c r="Q214">
        <v>1440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t="s">
        <v>313</v>
      </c>
      <c r="AH214" s="21" t="s">
        <v>3427</v>
      </c>
      <c r="AI214" s="21">
        <v>107.92500000000001</v>
      </c>
      <c r="AJ214" s="21">
        <v>100</v>
      </c>
      <c r="AK214" s="21" t="s">
        <v>2055</v>
      </c>
      <c r="AL214" t="s">
        <v>75</v>
      </c>
      <c r="AM214" t="s">
        <v>2029</v>
      </c>
    </row>
    <row r="215" spans="1:39" ht="15" hidden="1" thickTop="1" x14ac:dyDescent="0.35">
      <c r="A215" t="s">
        <v>2995</v>
      </c>
      <c r="B215" t="s">
        <v>3007</v>
      </c>
      <c r="C215" t="s">
        <v>102</v>
      </c>
      <c r="D215" t="s">
        <v>3008</v>
      </c>
      <c r="E215" t="s">
        <v>559</v>
      </c>
      <c r="F215">
        <v>1</v>
      </c>
      <c r="G215" t="s">
        <v>2050</v>
      </c>
      <c r="H215" t="s">
        <v>2051</v>
      </c>
      <c r="I215" t="s">
        <v>53</v>
      </c>
      <c r="J215" t="s">
        <v>67</v>
      </c>
      <c r="K215" t="s">
        <v>68</v>
      </c>
      <c r="L215" t="s">
        <v>2052</v>
      </c>
      <c r="M215" t="s">
        <v>2064</v>
      </c>
      <c r="N215">
        <v>0</v>
      </c>
      <c r="O215">
        <v>0</v>
      </c>
      <c r="P215">
        <v>0</v>
      </c>
      <c r="Q215">
        <v>900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314</v>
      </c>
      <c r="AH215" s="21" t="s">
        <v>3424</v>
      </c>
      <c r="AI215" s="21">
        <v>67.5</v>
      </c>
      <c r="AJ215" s="21">
        <v>100</v>
      </c>
      <c r="AK215" s="21" t="s">
        <v>2055</v>
      </c>
      <c r="AL215" t="s">
        <v>70</v>
      </c>
      <c r="AM215" t="s">
        <v>2029</v>
      </c>
    </row>
    <row r="216" spans="1:39" ht="15" hidden="1" thickTop="1" x14ac:dyDescent="0.35">
      <c r="A216" t="s">
        <v>2998</v>
      </c>
      <c r="B216" t="s">
        <v>3009</v>
      </c>
      <c r="C216" t="s">
        <v>66</v>
      </c>
      <c r="D216" t="s">
        <v>3010</v>
      </c>
      <c r="E216" t="s">
        <v>559</v>
      </c>
      <c r="F216">
        <v>1</v>
      </c>
      <c r="G216" t="s">
        <v>2050</v>
      </c>
      <c r="H216" t="s">
        <v>2051</v>
      </c>
      <c r="I216" t="s">
        <v>53</v>
      </c>
      <c r="J216" t="s">
        <v>67</v>
      </c>
      <c r="K216" t="s">
        <v>68</v>
      </c>
      <c r="L216" t="s">
        <v>2052</v>
      </c>
      <c r="M216" t="s">
        <v>2053</v>
      </c>
      <c r="N216">
        <v>0</v>
      </c>
      <c r="O216">
        <v>0</v>
      </c>
      <c r="P216">
        <v>0</v>
      </c>
      <c r="Q216">
        <v>1440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315</v>
      </c>
      <c r="AH216" s="21" t="s">
        <v>3428</v>
      </c>
      <c r="AI216" s="21">
        <v>107.92500000000001</v>
      </c>
      <c r="AJ216" s="21">
        <v>100</v>
      </c>
      <c r="AK216" s="21" t="s">
        <v>2055</v>
      </c>
      <c r="AL216" t="s">
        <v>70</v>
      </c>
      <c r="AM216" t="s">
        <v>2028</v>
      </c>
    </row>
    <row r="217" spans="1:39" ht="15" hidden="1" thickTop="1" x14ac:dyDescent="0.35">
      <c r="A217" t="s">
        <v>3005</v>
      </c>
      <c r="B217" t="s">
        <v>3015</v>
      </c>
      <c r="C217" t="s">
        <v>66</v>
      </c>
      <c r="D217" t="s">
        <v>3016</v>
      </c>
      <c r="E217" t="s">
        <v>119</v>
      </c>
      <c r="F217">
        <v>1</v>
      </c>
      <c r="G217" t="s">
        <v>2050</v>
      </c>
      <c r="H217" t="s">
        <v>2051</v>
      </c>
      <c r="I217" t="s">
        <v>53</v>
      </c>
      <c r="J217" t="s">
        <v>67</v>
      </c>
      <c r="K217" t="s">
        <v>68</v>
      </c>
      <c r="L217" t="s">
        <v>2052</v>
      </c>
      <c r="M217" t="s">
        <v>2053</v>
      </c>
      <c r="N217">
        <v>0</v>
      </c>
      <c r="O217">
        <v>0</v>
      </c>
      <c r="P217">
        <v>0</v>
      </c>
      <c r="Q217">
        <v>1440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316</v>
      </c>
      <c r="AH217" s="21" t="s">
        <v>3425</v>
      </c>
      <c r="AI217" s="21">
        <v>107.92500000000001</v>
      </c>
      <c r="AJ217" s="21">
        <v>100</v>
      </c>
      <c r="AK217" s="21" t="s">
        <v>2054</v>
      </c>
      <c r="AL217" t="s">
        <v>70</v>
      </c>
      <c r="AM217" t="s">
        <v>2027</v>
      </c>
    </row>
    <row r="218" spans="1:39" ht="15" hidden="1" thickTop="1" x14ac:dyDescent="0.35">
      <c r="A218" t="s">
        <v>3013</v>
      </c>
      <c r="B218" t="s">
        <v>3020</v>
      </c>
      <c r="C218" t="s">
        <v>66</v>
      </c>
      <c r="D218" t="s">
        <v>3021</v>
      </c>
      <c r="E218" t="s">
        <v>559</v>
      </c>
      <c r="F218">
        <v>1</v>
      </c>
      <c r="G218" t="s">
        <v>2050</v>
      </c>
      <c r="H218" t="s">
        <v>2051</v>
      </c>
      <c r="I218" t="s">
        <v>53</v>
      </c>
      <c r="J218" t="s">
        <v>67</v>
      </c>
      <c r="K218" t="s">
        <v>68</v>
      </c>
      <c r="L218" t="s">
        <v>2052</v>
      </c>
      <c r="M218" t="s">
        <v>2064</v>
      </c>
      <c r="N218">
        <v>0</v>
      </c>
      <c r="O218">
        <v>0</v>
      </c>
      <c r="P218">
        <v>0</v>
      </c>
      <c r="Q218">
        <v>900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317</v>
      </c>
      <c r="AH218" s="21" t="s">
        <v>3425</v>
      </c>
      <c r="AI218" s="21">
        <v>67.5</v>
      </c>
      <c r="AJ218" s="21">
        <v>100</v>
      </c>
      <c r="AK218" s="21" t="s">
        <v>2054</v>
      </c>
      <c r="AL218" t="s">
        <v>70</v>
      </c>
      <c r="AM218" t="s">
        <v>2029</v>
      </c>
    </row>
    <row r="219" spans="1:39" ht="15" hidden="1" thickTop="1" x14ac:dyDescent="0.35">
      <c r="A219" t="s">
        <v>3022</v>
      </c>
      <c r="B219" t="s">
        <v>3030</v>
      </c>
      <c r="C219" t="s">
        <v>3376</v>
      </c>
      <c r="D219" t="s">
        <v>3031</v>
      </c>
      <c r="E219" t="s">
        <v>559</v>
      </c>
      <c r="F219">
        <v>1</v>
      </c>
      <c r="G219" t="s">
        <v>2050</v>
      </c>
      <c r="H219" t="s">
        <v>2051</v>
      </c>
      <c r="I219" t="s">
        <v>53</v>
      </c>
      <c r="J219" t="s">
        <v>67</v>
      </c>
      <c r="K219" t="s">
        <v>68</v>
      </c>
      <c r="L219" t="s">
        <v>2052</v>
      </c>
      <c r="M219" t="s">
        <v>2053</v>
      </c>
      <c r="N219">
        <v>0</v>
      </c>
      <c r="O219">
        <v>0</v>
      </c>
      <c r="P219">
        <v>0</v>
      </c>
      <c r="Q219">
        <v>1440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t="s">
        <v>318</v>
      </c>
      <c r="AH219" s="21" t="s">
        <v>3424</v>
      </c>
      <c r="AI219" s="21">
        <v>107.92500000000001</v>
      </c>
      <c r="AJ219" s="21">
        <v>100</v>
      </c>
      <c r="AK219" s="21" t="s">
        <v>2054</v>
      </c>
      <c r="AL219" t="s">
        <v>70</v>
      </c>
      <c r="AM219" t="s">
        <v>2027</v>
      </c>
    </row>
    <row r="220" spans="1:39" ht="15" hidden="1" thickTop="1" x14ac:dyDescent="0.35">
      <c r="A220" t="s">
        <v>3025</v>
      </c>
      <c r="B220" t="s">
        <v>3032</v>
      </c>
      <c r="C220" t="s">
        <v>111</v>
      </c>
      <c r="D220" t="s">
        <v>3033</v>
      </c>
      <c r="E220" t="s">
        <v>112</v>
      </c>
      <c r="F220">
        <v>1</v>
      </c>
      <c r="G220" t="s">
        <v>2050</v>
      </c>
      <c r="H220" t="s">
        <v>2051</v>
      </c>
      <c r="I220" t="s">
        <v>53</v>
      </c>
      <c r="J220" t="s">
        <v>113</v>
      </c>
      <c r="K220" t="s">
        <v>68</v>
      </c>
      <c r="L220" t="s">
        <v>2052</v>
      </c>
      <c r="M220" t="s">
        <v>2053</v>
      </c>
      <c r="N220">
        <v>0</v>
      </c>
      <c r="O220">
        <v>0</v>
      </c>
      <c r="P220">
        <v>0</v>
      </c>
      <c r="Q220">
        <v>1440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319</v>
      </c>
      <c r="AH220" s="21" t="s">
        <v>3424</v>
      </c>
      <c r="AI220" s="21">
        <v>107.92500000000001</v>
      </c>
      <c r="AJ220" s="21">
        <v>100</v>
      </c>
      <c r="AK220" s="21" t="s">
        <v>2054</v>
      </c>
      <c r="AL220" t="s">
        <v>115</v>
      </c>
      <c r="AM220" t="s">
        <v>2029</v>
      </c>
    </row>
    <row r="221" spans="1:39" ht="15" hidden="1" thickTop="1" x14ac:dyDescent="0.35">
      <c r="A221" t="s">
        <v>3028</v>
      </c>
      <c r="B221" t="s">
        <v>3034</v>
      </c>
      <c r="C221" t="s">
        <v>78</v>
      </c>
      <c r="D221" t="s">
        <v>3035</v>
      </c>
      <c r="E221" t="s">
        <v>559</v>
      </c>
      <c r="F221">
        <v>1</v>
      </c>
      <c r="G221" t="s">
        <v>2050</v>
      </c>
      <c r="H221" t="s">
        <v>2051</v>
      </c>
      <c r="I221" t="s">
        <v>53</v>
      </c>
      <c r="J221" t="s">
        <v>67</v>
      </c>
      <c r="K221" t="s">
        <v>68</v>
      </c>
      <c r="L221" t="s">
        <v>2052</v>
      </c>
      <c r="M221" t="s">
        <v>2064</v>
      </c>
      <c r="N221">
        <v>0</v>
      </c>
      <c r="O221">
        <v>0</v>
      </c>
      <c r="P221">
        <v>0</v>
      </c>
      <c r="Q221">
        <v>900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320</v>
      </c>
      <c r="AH221" s="21" t="s">
        <v>3425</v>
      </c>
      <c r="AI221" s="21">
        <v>67.5</v>
      </c>
      <c r="AJ221" s="21">
        <v>100</v>
      </c>
      <c r="AK221" s="21" t="s">
        <v>2054</v>
      </c>
      <c r="AL221" t="s">
        <v>70</v>
      </c>
      <c r="AM221" t="s">
        <v>2029</v>
      </c>
    </row>
    <row r="222" spans="1:39" ht="15" hidden="1" thickTop="1" x14ac:dyDescent="0.35">
      <c r="A222" t="s">
        <v>3038</v>
      </c>
      <c r="B222" t="s">
        <v>3046</v>
      </c>
      <c r="C222" t="s">
        <v>237</v>
      </c>
      <c r="D222" t="s">
        <v>3047</v>
      </c>
      <c r="E222" t="s">
        <v>72</v>
      </c>
      <c r="F222">
        <v>1</v>
      </c>
      <c r="G222" t="s">
        <v>2050</v>
      </c>
      <c r="H222" t="s">
        <v>2051</v>
      </c>
      <c r="I222" t="s">
        <v>53</v>
      </c>
      <c r="J222" t="s">
        <v>73</v>
      </c>
      <c r="K222" t="s">
        <v>68</v>
      </c>
      <c r="L222" t="s">
        <v>2052</v>
      </c>
      <c r="M222" t="s">
        <v>2053</v>
      </c>
      <c r="N222">
        <v>0</v>
      </c>
      <c r="O222">
        <v>0</v>
      </c>
      <c r="P222">
        <v>0</v>
      </c>
      <c r="Q222">
        <v>1440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321</v>
      </c>
      <c r="AH222" s="21" t="s">
        <v>3428</v>
      </c>
      <c r="AI222" s="21">
        <v>107.92500000000001</v>
      </c>
      <c r="AJ222" s="21">
        <v>100</v>
      </c>
      <c r="AK222" s="21" t="s">
        <v>2054</v>
      </c>
      <c r="AL222" t="s">
        <v>75</v>
      </c>
      <c r="AM222" t="s">
        <v>2029</v>
      </c>
    </row>
    <row r="223" spans="1:39" ht="15" hidden="1" thickTop="1" x14ac:dyDescent="0.35">
      <c r="A223" t="s">
        <v>3042</v>
      </c>
      <c r="B223" t="s">
        <v>3050</v>
      </c>
      <c r="C223" t="s">
        <v>71</v>
      </c>
      <c r="D223" t="s">
        <v>3051</v>
      </c>
      <c r="E223" t="s">
        <v>72</v>
      </c>
      <c r="F223">
        <v>1</v>
      </c>
      <c r="G223" t="s">
        <v>2050</v>
      </c>
      <c r="H223" t="s">
        <v>2051</v>
      </c>
      <c r="I223" t="s">
        <v>53</v>
      </c>
      <c r="J223" t="s">
        <v>73</v>
      </c>
      <c r="K223" t="s">
        <v>68</v>
      </c>
      <c r="L223" t="s">
        <v>2052</v>
      </c>
      <c r="M223" t="s">
        <v>2053</v>
      </c>
      <c r="N223">
        <v>0</v>
      </c>
      <c r="O223">
        <v>0</v>
      </c>
      <c r="P223">
        <v>0</v>
      </c>
      <c r="Q223">
        <v>1440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 t="s">
        <v>322</v>
      </c>
      <c r="AH223" s="21" t="s">
        <v>3427</v>
      </c>
      <c r="AI223" s="21">
        <v>107.92500000000001</v>
      </c>
      <c r="AJ223" s="21">
        <v>100</v>
      </c>
      <c r="AK223" s="21" t="s">
        <v>2054</v>
      </c>
      <c r="AL223" t="s">
        <v>75</v>
      </c>
      <c r="AM223" t="s">
        <v>2029</v>
      </c>
    </row>
    <row r="224" spans="1:39" ht="15" hidden="1" thickTop="1" x14ac:dyDescent="0.35">
      <c r="A224" t="s">
        <v>3044</v>
      </c>
      <c r="B224" t="s">
        <v>3052</v>
      </c>
      <c r="C224" t="s">
        <v>237</v>
      </c>
      <c r="D224" t="s">
        <v>3053</v>
      </c>
      <c r="E224" t="s">
        <v>72</v>
      </c>
      <c r="F224">
        <v>1</v>
      </c>
      <c r="G224" t="s">
        <v>2050</v>
      </c>
      <c r="H224" t="s">
        <v>2051</v>
      </c>
      <c r="I224" t="s">
        <v>53</v>
      </c>
      <c r="J224" t="s">
        <v>73</v>
      </c>
      <c r="K224" t="s">
        <v>68</v>
      </c>
      <c r="L224" t="s">
        <v>2052</v>
      </c>
      <c r="M224" t="s">
        <v>2053</v>
      </c>
      <c r="N224">
        <v>0</v>
      </c>
      <c r="O224">
        <v>0</v>
      </c>
      <c r="P224">
        <v>0</v>
      </c>
      <c r="Q224">
        <v>1440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323</v>
      </c>
      <c r="AH224" s="21" t="s">
        <v>3424</v>
      </c>
      <c r="AI224" s="21">
        <v>107.92500000000001</v>
      </c>
      <c r="AJ224" s="21">
        <v>100</v>
      </c>
      <c r="AK224" s="21" t="s">
        <v>2054</v>
      </c>
      <c r="AL224" t="s">
        <v>75</v>
      </c>
      <c r="AM224" t="s">
        <v>2029</v>
      </c>
    </row>
    <row r="225" spans="1:39" ht="15" hidden="1" thickTop="1" x14ac:dyDescent="0.35">
      <c r="A225" t="s">
        <v>3048</v>
      </c>
      <c r="B225" t="s">
        <v>3054</v>
      </c>
      <c r="C225" t="s">
        <v>71</v>
      </c>
      <c r="D225" t="s">
        <v>3055</v>
      </c>
      <c r="E225" t="s">
        <v>72</v>
      </c>
      <c r="F225">
        <v>2</v>
      </c>
      <c r="G225" t="s">
        <v>2050</v>
      </c>
      <c r="H225" t="s">
        <v>2051</v>
      </c>
      <c r="I225" t="s">
        <v>53</v>
      </c>
      <c r="J225" t="s">
        <v>73</v>
      </c>
      <c r="K225" t="s">
        <v>68</v>
      </c>
      <c r="L225" t="s">
        <v>2052</v>
      </c>
      <c r="M225" t="s">
        <v>2053</v>
      </c>
      <c r="N225">
        <v>0</v>
      </c>
      <c r="O225">
        <v>0</v>
      </c>
      <c r="P225">
        <v>0</v>
      </c>
      <c r="Q225">
        <v>1440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 t="s">
        <v>324</v>
      </c>
      <c r="AH225" s="21" t="s">
        <v>3428</v>
      </c>
      <c r="AI225" s="21">
        <v>107.92500000000001</v>
      </c>
      <c r="AJ225" s="21">
        <v>100</v>
      </c>
      <c r="AK225" s="21" t="s">
        <v>2054</v>
      </c>
      <c r="AL225" t="s">
        <v>75</v>
      </c>
      <c r="AM225" t="s">
        <v>2029</v>
      </c>
    </row>
    <row r="226" spans="1:39" ht="15" hidden="1" thickTop="1" x14ac:dyDescent="0.35">
      <c r="A226" t="s">
        <v>3059</v>
      </c>
      <c r="B226" t="s">
        <v>3061</v>
      </c>
      <c r="C226" t="s">
        <v>76</v>
      </c>
      <c r="D226" t="s">
        <v>3062</v>
      </c>
      <c r="E226" t="s">
        <v>559</v>
      </c>
      <c r="F226">
        <v>1</v>
      </c>
      <c r="G226" t="s">
        <v>2050</v>
      </c>
      <c r="H226" t="s">
        <v>2051</v>
      </c>
      <c r="I226" t="s">
        <v>53</v>
      </c>
      <c r="J226" t="s">
        <v>67</v>
      </c>
      <c r="K226" t="s">
        <v>68</v>
      </c>
      <c r="L226" t="s">
        <v>2052</v>
      </c>
      <c r="M226" t="s">
        <v>2053</v>
      </c>
      <c r="N226">
        <v>0</v>
      </c>
      <c r="O226">
        <v>0</v>
      </c>
      <c r="P226">
        <v>0</v>
      </c>
      <c r="Q226">
        <v>1440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 t="s">
        <v>325</v>
      </c>
      <c r="AH226" s="21" t="s">
        <v>3424</v>
      </c>
      <c r="AI226" s="21">
        <v>107.92500000000001</v>
      </c>
      <c r="AJ226" s="21">
        <v>100</v>
      </c>
      <c r="AK226" s="21" t="s">
        <v>2055</v>
      </c>
      <c r="AL226" t="s">
        <v>70</v>
      </c>
      <c r="AM226" t="s">
        <v>2028</v>
      </c>
    </row>
    <row r="227" spans="1:39" ht="15" hidden="1" thickTop="1" x14ac:dyDescent="0.35">
      <c r="A227" t="s">
        <v>3066</v>
      </c>
      <c r="B227" t="s">
        <v>3068</v>
      </c>
      <c r="C227" t="s">
        <v>78</v>
      </c>
      <c r="D227" t="s">
        <v>3069</v>
      </c>
      <c r="E227" t="s">
        <v>559</v>
      </c>
      <c r="F227">
        <v>1</v>
      </c>
      <c r="G227" t="s">
        <v>2050</v>
      </c>
      <c r="H227" t="s">
        <v>2051</v>
      </c>
      <c r="I227" t="s">
        <v>53</v>
      </c>
      <c r="J227" t="s">
        <v>67</v>
      </c>
      <c r="K227" t="s">
        <v>68</v>
      </c>
      <c r="L227" t="s">
        <v>2052</v>
      </c>
      <c r="M227" t="s">
        <v>2053</v>
      </c>
      <c r="N227">
        <v>0</v>
      </c>
      <c r="O227">
        <v>0</v>
      </c>
      <c r="P227">
        <v>0</v>
      </c>
      <c r="Q227">
        <v>1440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326</v>
      </c>
      <c r="AH227" s="21" t="s">
        <v>3425</v>
      </c>
      <c r="AI227" s="21">
        <v>107.92500000000001</v>
      </c>
      <c r="AJ227" s="21">
        <v>100</v>
      </c>
      <c r="AK227" s="21" t="s">
        <v>2054</v>
      </c>
      <c r="AL227" t="s">
        <v>70</v>
      </c>
      <c r="AM227" t="s">
        <v>2029</v>
      </c>
    </row>
    <row r="228" spans="1:39" ht="15" hidden="1" thickTop="1" x14ac:dyDescent="0.35">
      <c r="A228" t="s">
        <v>3073</v>
      </c>
      <c r="B228" t="s">
        <v>3086</v>
      </c>
      <c r="C228" t="s">
        <v>92</v>
      </c>
      <c r="D228" t="s">
        <v>3087</v>
      </c>
      <c r="E228" t="s">
        <v>119</v>
      </c>
      <c r="F228">
        <v>1</v>
      </c>
      <c r="G228" t="s">
        <v>2050</v>
      </c>
      <c r="H228" t="s">
        <v>2051</v>
      </c>
      <c r="I228" t="s">
        <v>53</v>
      </c>
      <c r="J228" t="s">
        <v>67</v>
      </c>
      <c r="K228" t="s">
        <v>68</v>
      </c>
      <c r="L228" t="s">
        <v>2052</v>
      </c>
      <c r="M228" t="s">
        <v>2064</v>
      </c>
      <c r="N228">
        <v>0</v>
      </c>
      <c r="O228">
        <v>0</v>
      </c>
      <c r="P228">
        <v>0</v>
      </c>
      <c r="Q228">
        <v>900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t="s">
        <v>327</v>
      </c>
      <c r="AH228" s="21" t="s">
        <v>3425</v>
      </c>
      <c r="AI228" s="21">
        <v>67.5</v>
      </c>
      <c r="AJ228" s="21">
        <v>100</v>
      </c>
      <c r="AK228" s="21" t="s">
        <v>2054</v>
      </c>
      <c r="AL228" t="s">
        <v>70</v>
      </c>
      <c r="AM228" t="s">
        <v>2029</v>
      </c>
    </row>
    <row r="229" spans="1:39" ht="15" hidden="1" thickTop="1" x14ac:dyDescent="0.35">
      <c r="A229" t="s">
        <v>3078</v>
      </c>
      <c r="B229" t="s">
        <v>3094</v>
      </c>
      <c r="C229" t="s">
        <v>76</v>
      </c>
      <c r="D229" t="s">
        <v>3095</v>
      </c>
      <c r="E229" t="s">
        <v>119</v>
      </c>
      <c r="F229">
        <v>1</v>
      </c>
      <c r="G229" t="s">
        <v>2050</v>
      </c>
      <c r="H229" t="s">
        <v>2051</v>
      </c>
      <c r="I229" t="s">
        <v>53</v>
      </c>
      <c r="J229" t="s">
        <v>67</v>
      </c>
      <c r="K229" t="s">
        <v>68</v>
      </c>
      <c r="L229" t="s">
        <v>2052</v>
      </c>
      <c r="M229" t="s">
        <v>2053</v>
      </c>
      <c r="N229">
        <v>0</v>
      </c>
      <c r="O229">
        <v>0</v>
      </c>
      <c r="P229">
        <v>0</v>
      </c>
      <c r="Q229">
        <v>1440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328</v>
      </c>
      <c r="AH229" s="21" t="s">
        <v>3425</v>
      </c>
      <c r="AI229" s="21">
        <v>107.92500000000001</v>
      </c>
      <c r="AJ229" s="21">
        <v>100</v>
      </c>
      <c r="AK229" s="21" t="s">
        <v>2054</v>
      </c>
      <c r="AL229" t="s">
        <v>70</v>
      </c>
      <c r="AM229" t="s">
        <v>2028</v>
      </c>
    </row>
    <row r="230" spans="1:39" ht="15" hidden="1" thickTop="1" x14ac:dyDescent="0.35">
      <c r="A230" t="s">
        <v>3082</v>
      </c>
      <c r="B230" t="s">
        <v>3100</v>
      </c>
      <c r="C230" t="s">
        <v>100</v>
      </c>
      <c r="D230" t="s">
        <v>3101</v>
      </c>
      <c r="E230" t="s">
        <v>559</v>
      </c>
      <c r="F230">
        <v>1</v>
      </c>
      <c r="G230" t="s">
        <v>2050</v>
      </c>
      <c r="H230" t="s">
        <v>2051</v>
      </c>
      <c r="I230" t="s">
        <v>53</v>
      </c>
      <c r="J230" t="s">
        <v>67</v>
      </c>
      <c r="K230" t="s">
        <v>68</v>
      </c>
      <c r="L230" t="s">
        <v>2052</v>
      </c>
      <c r="M230" t="s">
        <v>2053</v>
      </c>
      <c r="N230">
        <v>0</v>
      </c>
      <c r="O230">
        <v>0</v>
      </c>
      <c r="P230">
        <v>0</v>
      </c>
      <c r="Q230">
        <v>1440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t="s">
        <v>329</v>
      </c>
      <c r="AH230" s="21" t="s">
        <v>3427</v>
      </c>
      <c r="AI230" s="21">
        <v>107.92500000000001</v>
      </c>
      <c r="AJ230" s="21">
        <v>100</v>
      </c>
      <c r="AK230" s="21" t="s">
        <v>2054</v>
      </c>
      <c r="AL230" t="s">
        <v>70</v>
      </c>
      <c r="AM230" t="s">
        <v>2030</v>
      </c>
    </row>
    <row r="231" spans="1:39" ht="15" hidden="1" thickTop="1" x14ac:dyDescent="0.35">
      <c r="A231" t="s">
        <v>3088</v>
      </c>
      <c r="B231" t="s">
        <v>3106</v>
      </c>
      <c r="C231" t="s">
        <v>66</v>
      </c>
      <c r="D231" t="s">
        <v>3107</v>
      </c>
      <c r="E231" t="s">
        <v>559</v>
      </c>
      <c r="F231">
        <v>1</v>
      </c>
      <c r="G231" t="s">
        <v>2050</v>
      </c>
      <c r="H231" t="s">
        <v>2051</v>
      </c>
      <c r="I231" t="s">
        <v>53</v>
      </c>
      <c r="J231" t="s">
        <v>67</v>
      </c>
      <c r="K231" t="s">
        <v>68</v>
      </c>
      <c r="L231" t="s">
        <v>2052</v>
      </c>
      <c r="M231" t="s">
        <v>2053</v>
      </c>
      <c r="N231">
        <v>0</v>
      </c>
      <c r="O231">
        <v>0</v>
      </c>
      <c r="P231">
        <v>0</v>
      </c>
      <c r="Q231">
        <v>1440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330</v>
      </c>
      <c r="AH231" s="21" t="s">
        <v>3424</v>
      </c>
      <c r="AI231" s="21">
        <v>107.92500000000001</v>
      </c>
      <c r="AJ231" s="21">
        <v>100</v>
      </c>
      <c r="AK231" s="21" t="s">
        <v>2054</v>
      </c>
      <c r="AL231" t="s">
        <v>70</v>
      </c>
      <c r="AM231" t="s">
        <v>2028</v>
      </c>
    </row>
    <row r="232" spans="1:39" ht="15" hidden="1" thickTop="1" x14ac:dyDescent="0.35">
      <c r="A232" t="s">
        <v>3089</v>
      </c>
      <c r="B232" t="s">
        <v>3109</v>
      </c>
      <c r="C232" t="s">
        <v>100</v>
      </c>
      <c r="D232" t="s">
        <v>3110</v>
      </c>
      <c r="E232" t="s">
        <v>559</v>
      </c>
      <c r="F232">
        <v>1</v>
      </c>
      <c r="G232" t="s">
        <v>2050</v>
      </c>
      <c r="H232" t="s">
        <v>2051</v>
      </c>
      <c r="I232" t="s">
        <v>53</v>
      </c>
      <c r="J232" t="s">
        <v>67</v>
      </c>
      <c r="K232" t="s">
        <v>68</v>
      </c>
      <c r="L232" t="s">
        <v>2052</v>
      </c>
      <c r="M232" t="s">
        <v>2053</v>
      </c>
      <c r="N232">
        <v>0</v>
      </c>
      <c r="O232">
        <v>0</v>
      </c>
      <c r="P232">
        <v>0</v>
      </c>
      <c r="Q232">
        <v>1440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331</v>
      </c>
      <c r="AH232" s="21" t="s">
        <v>3424</v>
      </c>
      <c r="AI232" s="21">
        <v>107.92500000000001</v>
      </c>
      <c r="AJ232" s="21">
        <v>100</v>
      </c>
      <c r="AK232" s="21" t="s">
        <v>2054</v>
      </c>
      <c r="AL232" t="s">
        <v>70</v>
      </c>
      <c r="AM232" t="s">
        <v>2029</v>
      </c>
    </row>
    <row r="233" spans="1:39" ht="15" hidden="1" thickTop="1" x14ac:dyDescent="0.35">
      <c r="A233" t="s">
        <v>3090</v>
      </c>
      <c r="B233" t="s">
        <v>3112</v>
      </c>
      <c r="C233" t="s">
        <v>66</v>
      </c>
      <c r="D233" t="s">
        <v>3113</v>
      </c>
      <c r="E233" t="s">
        <v>559</v>
      </c>
      <c r="F233">
        <v>1</v>
      </c>
      <c r="G233" t="s">
        <v>2050</v>
      </c>
      <c r="H233" t="s">
        <v>2051</v>
      </c>
      <c r="I233" t="s">
        <v>53</v>
      </c>
      <c r="J233" t="s">
        <v>67</v>
      </c>
      <c r="K233" t="s">
        <v>68</v>
      </c>
      <c r="L233" t="s">
        <v>2052</v>
      </c>
      <c r="M233" t="s">
        <v>2053</v>
      </c>
      <c r="N233">
        <v>0</v>
      </c>
      <c r="O233">
        <v>0</v>
      </c>
      <c r="P233">
        <v>0</v>
      </c>
      <c r="Q233">
        <v>1440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t="s">
        <v>332</v>
      </c>
      <c r="AH233" s="21" t="s">
        <v>3424</v>
      </c>
      <c r="AI233" s="21">
        <v>107.92500000000001</v>
      </c>
      <c r="AJ233" s="21">
        <v>100</v>
      </c>
      <c r="AK233" s="21" t="s">
        <v>2054</v>
      </c>
      <c r="AL233" t="s">
        <v>70</v>
      </c>
      <c r="AM233" t="s">
        <v>2029</v>
      </c>
    </row>
    <row r="234" spans="1:39" ht="15" hidden="1" thickTop="1" x14ac:dyDescent="0.35">
      <c r="A234" t="s">
        <v>3091</v>
      </c>
      <c r="B234" t="s">
        <v>3114</v>
      </c>
      <c r="C234" t="s">
        <v>76</v>
      </c>
      <c r="D234" t="s">
        <v>3115</v>
      </c>
      <c r="E234" t="s">
        <v>559</v>
      </c>
      <c r="F234">
        <v>1</v>
      </c>
      <c r="G234" t="s">
        <v>2050</v>
      </c>
      <c r="H234" t="s">
        <v>2051</v>
      </c>
      <c r="I234" t="s">
        <v>53</v>
      </c>
      <c r="J234" t="s">
        <v>67</v>
      </c>
      <c r="K234" t="s">
        <v>68</v>
      </c>
      <c r="L234" t="s">
        <v>2052</v>
      </c>
      <c r="M234" t="s">
        <v>2053</v>
      </c>
      <c r="N234">
        <v>0</v>
      </c>
      <c r="O234">
        <v>0</v>
      </c>
      <c r="P234">
        <v>0</v>
      </c>
      <c r="Q234">
        <v>1440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333</v>
      </c>
      <c r="AH234" s="21" t="s">
        <v>3429</v>
      </c>
      <c r="AI234" s="21">
        <v>107.92500000000001</v>
      </c>
      <c r="AJ234" s="21">
        <v>100</v>
      </c>
      <c r="AK234" s="21" t="s">
        <v>2054</v>
      </c>
      <c r="AL234" t="s">
        <v>70</v>
      </c>
      <c r="AM234" t="s">
        <v>2027</v>
      </c>
    </row>
    <row r="235" spans="1:39" ht="15" hidden="1" thickTop="1" x14ac:dyDescent="0.35">
      <c r="A235" t="s">
        <v>3093</v>
      </c>
      <c r="B235" t="s">
        <v>3116</v>
      </c>
      <c r="C235" t="s">
        <v>66</v>
      </c>
      <c r="D235" t="s">
        <v>3117</v>
      </c>
      <c r="E235" t="s">
        <v>559</v>
      </c>
      <c r="F235">
        <v>1</v>
      </c>
      <c r="G235" t="s">
        <v>2050</v>
      </c>
      <c r="H235" t="s">
        <v>2051</v>
      </c>
      <c r="I235" t="s">
        <v>53</v>
      </c>
      <c r="J235" t="s">
        <v>67</v>
      </c>
      <c r="K235" t="s">
        <v>68</v>
      </c>
      <c r="L235" t="s">
        <v>2052</v>
      </c>
      <c r="M235" t="s">
        <v>2053</v>
      </c>
      <c r="N235">
        <v>0</v>
      </c>
      <c r="O235">
        <v>0</v>
      </c>
      <c r="P235">
        <v>0</v>
      </c>
      <c r="Q235">
        <v>1440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334</v>
      </c>
      <c r="AH235" s="21" t="s">
        <v>3424</v>
      </c>
      <c r="AI235" s="21">
        <v>107.92500000000001</v>
      </c>
      <c r="AJ235" s="21">
        <v>100</v>
      </c>
      <c r="AK235" s="21" t="s">
        <v>2054</v>
      </c>
      <c r="AL235" t="s">
        <v>70</v>
      </c>
      <c r="AM235" t="s">
        <v>2029</v>
      </c>
    </row>
    <row r="236" spans="1:39" ht="15" hidden="1" thickTop="1" x14ac:dyDescent="0.35">
      <c r="A236" t="s">
        <v>3099</v>
      </c>
      <c r="B236" t="s">
        <v>3119</v>
      </c>
      <c r="C236" t="s">
        <v>102</v>
      </c>
      <c r="D236" t="s">
        <v>3120</v>
      </c>
      <c r="E236" t="s">
        <v>559</v>
      </c>
      <c r="F236">
        <v>1</v>
      </c>
      <c r="G236" t="s">
        <v>2050</v>
      </c>
      <c r="H236" t="s">
        <v>2051</v>
      </c>
      <c r="I236" t="s">
        <v>53</v>
      </c>
      <c r="J236" t="s">
        <v>67</v>
      </c>
      <c r="K236" t="s">
        <v>68</v>
      </c>
      <c r="L236" t="s">
        <v>2052</v>
      </c>
      <c r="M236" t="s">
        <v>2053</v>
      </c>
      <c r="N236">
        <v>0</v>
      </c>
      <c r="O236">
        <v>0</v>
      </c>
      <c r="P236">
        <v>0</v>
      </c>
      <c r="Q236">
        <v>1440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335</v>
      </c>
      <c r="AH236" s="21" t="s">
        <v>3424</v>
      </c>
      <c r="AI236" s="21">
        <v>107.92500000000001</v>
      </c>
      <c r="AJ236" s="21">
        <v>100</v>
      </c>
      <c r="AK236" s="21" t="s">
        <v>2054</v>
      </c>
      <c r="AL236" t="s">
        <v>70</v>
      </c>
      <c r="AM236" t="s">
        <v>2028</v>
      </c>
    </row>
    <row r="237" spans="1:39" ht="15" hidden="1" thickTop="1" x14ac:dyDescent="0.35">
      <c r="A237" t="s">
        <v>3102</v>
      </c>
      <c r="B237" t="s">
        <v>3122</v>
      </c>
      <c r="C237" t="s">
        <v>100</v>
      </c>
      <c r="D237" t="s">
        <v>3123</v>
      </c>
      <c r="E237" t="s">
        <v>559</v>
      </c>
      <c r="F237">
        <v>1</v>
      </c>
      <c r="G237" t="s">
        <v>2050</v>
      </c>
      <c r="H237" t="s">
        <v>2051</v>
      </c>
      <c r="I237" t="s">
        <v>53</v>
      </c>
      <c r="J237" t="s">
        <v>67</v>
      </c>
      <c r="K237" t="s">
        <v>68</v>
      </c>
      <c r="L237" t="s">
        <v>2052</v>
      </c>
      <c r="M237" t="s">
        <v>2064</v>
      </c>
      <c r="N237">
        <v>0</v>
      </c>
      <c r="O237">
        <v>0</v>
      </c>
      <c r="P237">
        <v>0</v>
      </c>
      <c r="Q237">
        <v>900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336</v>
      </c>
      <c r="AH237" s="21" t="s">
        <v>3424</v>
      </c>
      <c r="AI237" s="21">
        <v>67.5</v>
      </c>
      <c r="AJ237" s="21">
        <v>100</v>
      </c>
      <c r="AK237" s="21" t="s">
        <v>2054</v>
      </c>
      <c r="AL237" t="s">
        <v>70</v>
      </c>
      <c r="AM237" t="s">
        <v>2027</v>
      </c>
    </row>
    <row r="238" spans="1:39" ht="15" hidden="1" thickTop="1" x14ac:dyDescent="0.35">
      <c r="A238" t="s">
        <v>3108</v>
      </c>
      <c r="B238" t="s">
        <v>3128</v>
      </c>
      <c r="C238" t="s">
        <v>92</v>
      </c>
      <c r="D238" t="s">
        <v>3129</v>
      </c>
      <c r="E238" t="s">
        <v>119</v>
      </c>
      <c r="F238">
        <v>1</v>
      </c>
      <c r="G238" t="s">
        <v>2050</v>
      </c>
      <c r="H238" t="s">
        <v>2051</v>
      </c>
      <c r="I238" t="s">
        <v>53</v>
      </c>
      <c r="J238" t="s">
        <v>67</v>
      </c>
      <c r="K238" t="s">
        <v>68</v>
      </c>
      <c r="L238" t="s">
        <v>2052</v>
      </c>
      <c r="M238" t="s">
        <v>2064</v>
      </c>
      <c r="N238">
        <v>0</v>
      </c>
      <c r="O238">
        <v>0</v>
      </c>
      <c r="P238">
        <v>0</v>
      </c>
      <c r="Q238">
        <v>900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337</v>
      </c>
      <c r="AH238" s="21" t="s">
        <v>3425</v>
      </c>
      <c r="AI238" s="21">
        <v>67.5</v>
      </c>
      <c r="AJ238" s="21">
        <v>100</v>
      </c>
      <c r="AK238" s="21" t="s">
        <v>2054</v>
      </c>
      <c r="AL238" t="s">
        <v>70</v>
      </c>
      <c r="AM238" t="s">
        <v>2029</v>
      </c>
    </row>
    <row r="239" spans="1:39" ht="15" hidden="1" thickTop="1" x14ac:dyDescent="0.35">
      <c r="A239" t="s">
        <v>3125</v>
      </c>
      <c r="B239" t="s">
        <v>3131</v>
      </c>
      <c r="C239" t="s">
        <v>71</v>
      </c>
      <c r="D239" t="s">
        <v>3132</v>
      </c>
      <c r="E239" t="s">
        <v>72</v>
      </c>
      <c r="F239">
        <v>1</v>
      </c>
      <c r="G239" t="s">
        <v>2050</v>
      </c>
      <c r="H239" t="s">
        <v>2051</v>
      </c>
      <c r="I239" t="s">
        <v>53</v>
      </c>
      <c r="J239" t="s">
        <v>73</v>
      </c>
      <c r="K239" t="s">
        <v>68</v>
      </c>
      <c r="L239" t="s">
        <v>2052</v>
      </c>
      <c r="M239" t="s">
        <v>2082</v>
      </c>
      <c r="N239">
        <v>0</v>
      </c>
      <c r="O239">
        <v>0</v>
      </c>
      <c r="P239">
        <v>0</v>
      </c>
      <c r="Q239">
        <v>780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t="s">
        <v>339</v>
      </c>
      <c r="AH239" s="21" t="s">
        <v>3424</v>
      </c>
      <c r="AI239" s="21">
        <v>58.500000000000014</v>
      </c>
      <c r="AJ239" s="21">
        <v>100</v>
      </c>
      <c r="AK239" s="21" t="s">
        <v>2054</v>
      </c>
      <c r="AL239" t="s">
        <v>75</v>
      </c>
      <c r="AM239" t="s">
        <v>2027</v>
      </c>
    </row>
    <row r="240" spans="1:39" ht="15" hidden="1" thickTop="1" x14ac:dyDescent="0.35">
      <c r="A240" t="s">
        <v>3126</v>
      </c>
      <c r="B240" t="s">
        <v>3133</v>
      </c>
      <c r="C240" t="s">
        <v>135</v>
      </c>
      <c r="D240" t="s">
        <v>3134</v>
      </c>
      <c r="E240" t="s">
        <v>136</v>
      </c>
      <c r="F240">
        <v>4</v>
      </c>
      <c r="G240" t="s">
        <v>2050</v>
      </c>
      <c r="H240" t="s">
        <v>2051</v>
      </c>
      <c r="I240" t="s">
        <v>53</v>
      </c>
      <c r="J240" t="s">
        <v>137</v>
      </c>
      <c r="K240" t="s">
        <v>68</v>
      </c>
      <c r="L240" t="s">
        <v>2052</v>
      </c>
      <c r="M240" t="s">
        <v>2053</v>
      </c>
      <c r="N240">
        <v>0</v>
      </c>
      <c r="O240">
        <v>0</v>
      </c>
      <c r="P240">
        <v>0</v>
      </c>
      <c r="Q240">
        <v>1440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t="s">
        <v>340</v>
      </c>
      <c r="AH240" s="21" t="s">
        <v>3430</v>
      </c>
      <c r="AI240" s="21">
        <v>107.92500000000001</v>
      </c>
      <c r="AJ240" s="21">
        <v>100</v>
      </c>
      <c r="AK240" s="21" t="s">
        <v>2055</v>
      </c>
      <c r="AL240" t="s">
        <v>115</v>
      </c>
      <c r="AM240" t="s">
        <v>2029</v>
      </c>
    </row>
    <row r="241" spans="1:39" ht="15" hidden="1" thickTop="1" x14ac:dyDescent="0.35">
      <c r="A241" t="s">
        <v>3127</v>
      </c>
      <c r="B241" t="s">
        <v>3135</v>
      </c>
      <c r="C241" t="s">
        <v>820</v>
      </c>
      <c r="D241" t="s">
        <v>3136</v>
      </c>
      <c r="E241" t="s">
        <v>72</v>
      </c>
      <c r="F241">
        <v>1</v>
      </c>
      <c r="G241" t="s">
        <v>2050</v>
      </c>
      <c r="H241" t="s">
        <v>2051</v>
      </c>
      <c r="I241" t="s">
        <v>53</v>
      </c>
      <c r="J241" t="s">
        <v>424</v>
      </c>
      <c r="K241" t="s">
        <v>68</v>
      </c>
      <c r="L241" t="s">
        <v>2052</v>
      </c>
      <c r="M241" t="s">
        <v>2053</v>
      </c>
      <c r="N241">
        <v>0</v>
      </c>
      <c r="O241">
        <v>0</v>
      </c>
      <c r="P241">
        <v>0</v>
      </c>
      <c r="Q241">
        <v>1440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341</v>
      </c>
      <c r="AH241" s="21" t="s">
        <v>3427</v>
      </c>
      <c r="AI241" s="21">
        <v>107.92500000000001</v>
      </c>
      <c r="AJ241" s="21">
        <v>100</v>
      </c>
      <c r="AK241" s="21" t="s">
        <v>2054</v>
      </c>
      <c r="AL241" t="s">
        <v>75</v>
      </c>
      <c r="AM241" t="s">
        <v>2027</v>
      </c>
    </row>
    <row r="242" spans="1:39" ht="15" hidden="1" thickTop="1" x14ac:dyDescent="0.35">
      <c r="A242" t="s">
        <v>2579</v>
      </c>
      <c r="B242" t="s">
        <v>3145</v>
      </c>
      <c r="C242" t="s">
        <v>117</v>
      </c>
      <c r="D242" t="s">
        <v>3146</v>
      </c>
      <c r="E242" t="s">
        <v>559</v>
      </c>
      <c r="F242">
        <v>1</v>
      </c>
      <c r="G242" t="s">
        <v>2050</v>
      </c>
      <c r="H242" t="s">
        <v>2051</v>
      </c>
      <c r="I242" t="s">
        <v>53</v>
      </c>
      <c r="J242" t="s">
        <v>67</v>
      </c>
      <c r="K242" t="s">
        <v>68</v>
      </c>
      <c r="L242" t="s">
        <v>2052</v>
      </c>
      <c r="M242" t="s">
        <v>2053</v>
      </c>
      <c r="N242">
        <v>0</v>
      </c>
      <c r="O242">
        <v>0</v>
      </c>
      <c r="P242">
        <v>0</v>
      </c>
      <c r="Q242">
        <v>1440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t="s">
        <v>342</v>
      </c>
      <c r="AH242" s="21" t="s">
        <v>3424</v>
      </c>
      <c r="AI242" s="21">
        <v>107.92500000000001</v>
      </c>
      <c r="AJ242" s="21">
        <v>100</v>
      </c>
      <c r="AK242" s="21" t="s">
        <v>2054</v>
      </c>
      <c r="AL242" t="s">
        <v>70</v>
      </c>
      <c r="AM242" t="s">
        <v>2029</v>
      </c>
    </row>
    <row r="243" spans="1:39" ht="15" hidden="1" thickTop="1" x14ac:dyDescent="0.35">
      <c r="A243" t="s">
        <v>3143</v>
      </c>
      <c r="B243" t="s">
        <v>3147</v>
      </c>
      <c r="C243" t="s">
        <v>102</v>
      </c>
      <c r="D243" t="s">
        <v>3148</v>
      </c>
      <c r="E243" t="s">
        <v>559</v>
      </c>
      <c r="F243">
        <v>1</v>
      </c>
      <c r="G243" t="s">
        <v>2050</v>
      </c>
      <c r="H243" t="s">
        <v>2051</v>
      </c>
      <c r="I243" t="s">
        <v>53</v>
      </c>
      <c r="J243" t="s">
        <v>67</v>
      </c>
      <c r="K243" t="s">
        <v>68</v>
      </c>
      <c r="L243" t="s">
        <v>2052</v>
      </c>
      <c r="M243" t="s">
        <v>2053</v>
      </c>
      <c r="N243">
        <v>0</v>
      </c>
      <c r="O243">
        <v>0</v>
      </c>
      <c r="P243">
        <v>0</v>
      </c>
      <c r="Q243">
        <v>1440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t="s">
        <v>343</v>
      </c>
      <c r="AH243" s="21" t="s">
        <v>3424</v>
      </c>
      <c r="AI243" s="21">
        <v>107.92500000000001</v>
      </c>
      <c r="AJ243" s="21">
        <v>100</v>
      </c>
      <c r="AK243" s="21" t="s">
        <v>2054</v>
      </c>
      <c r="AL243" t="s">
        <v>70</v>
      </c>
      <c r="AM243" t="s">
        <v>2027</v>
      </c>
    </row>
    <row r="244" spans="1:39" ht="15" hidden="1" thickTop="1" x14ac:dyDescent="0.35">
      <c r="A244" t="s">
        <v>2582</v>
      </c>
      <c r="B244" t="s">
        <v>3151</v>
      </c>
      <c r="C244" t="s">
        <v>76</v>
      </c>
      <c r="D244" t="s">
        <v>3152</v>
      </c>
      <c r="E244" t="s">
        <v>559</v>
      </c>
      <c r="F244">
        <v>1</v>
      </c>
      <c r="G244" t="s">
        <v>2050</v>
      </c>
      <c r="H244" t="s">
        <v>2051</v>
      </c>
      <c r="I244" t="s">
        <v>53</v>
      </c>
      <c r="J244" t="s">
        <v>67</v>
      </c>
      <c r="K244" t="s">
        <v>68</v>
      </c>
      <c r="L244" t="s">
        <v>2052</v>
      </c>
      <c r="M244" t="s">
        <v>2053</v>
      </c>
      <c r="N244">
        <v>0</v>
      </c>
      <c r="O244">
        <v>0</v>
      </c>
      <c r="P244">
        <v>0</v>
      </c>
      <c r="Q244">
        <v>1440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344</v>
      </c>
      <c r="AH244" s="21" t="s">
        <v>3427</v>
      </c>
      <c r="AI244" s="21">
        <v>107.92500000000001</v>
      </c>
      <c r="AJ244" s="21">
        <v>100</v>
      </c>
      <c r="AK244" s="21" t="s">
        <v>2054</v>
      </c>
      <c r="AL244" t="s">
        <v>70</v>
      </c>
      <c r="AM244" t="s">
        <v>2028</v>
      </c>
    </row>
    <row r="245" spans="1:39" ht="15" hidden="1" thickTop="1" x14ac:dyDescent="0.35">
      <c r="A245" t="s">
        <v>3156</v>
      </c>
      <c r="B245" t="s">
        <v>3165</v>
      </c>
      <c r="C245" t="s">
        <v>117</v>
      </c>
      <c r="D245" t="s">
        <v>3166</v>
      </c>
      <c r="E245" t="s">
        <v>559</v>
      </c>
      <c r="F245">
        <v>1</v>
      </c>
      <c r="G245" t="s">
        <v>2050</v>
      </c>
      <c r="H245" t="s">
        <v>2051</v>
      </c>
      <c r="I245" t="s">
        <v>53</v>
      </c>
      <c r="J245" t="s">
        <v>67</v>
      </c>
      <c r="K245" t="s">
        <v>68</v>
      </c>
      <c r="L245" t="s">
        <v>2052</v>
      </c>
      <c r="M245" t="s">
        <v>2053</v>
      </c>
      <c r="N245">
        <v>0</v>
      </c>
      <c r="O245">
        <v>0</v>
      </c>
      <c r="P245">
        <v>0</v>
      </c>
      <c r="Q245">
        <v>1440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345</v>
      </c>
      <c r="AH245" s="21" t="s">
        <v>3427</v>
      </c>
      <c r="AI245" s="21">
        <v>107.92500000000001</v>
      </c>
      <c r="AJ245" s="21">
        <v>100</v>
      </c>
      <c r="AK245" s="21" t="s">
        <v>2054</v>
      </c>
      <c r="AL245" t="s">
        <v>70</v>
      </c>
      <c r="AM245" t="s">
        <v>2029</v>
      </c>
    </row>
    <row r="246" spans="1:39" ht="15" hidden="1" thickTop="1" x14ac:dyDescent="0.35">
      <c r="A246" t="s">
        <v>3160</v>
      </c>
      <c r="B246" t="s">
        <v>3171</v>
      </c>
      <c r="C246" t="s">
        <v>66</v>
      </c>
      <c r="D246" t="s">
        <v>3010</v>
      </c>
      <c r="E246" t="s">
        <v>559</v>
      </c>
      <c r="F246">
        <v>1</v>
      </c>
      <c r="G246" t="s">
        <v>2050</v>
      </c>
      <c r="H246" t="s">
        <v>2051</v>
      </c>
      <c r="I246" t="s">
        <v>53</v>
      </c>
      <c r="J246" t="s">
        <v>67</v>
      </c>
      <c r="K246" t="s">
        <v>68</v>
      </c>
      <c r="L246" t="s">
        <v>2052</v>
      </c>
      <c r="M246" t="s">
        <v>2053</v>
      </c>
      <c r="N246">
        <v>0</v>
      </c>
      <c r="O246">
        <v>0</v>
      </c>
      <c r="P246">
        <v>0</v>
      </c>
      <c r="Q246">
        <v>1440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346</v>
      </c>
      <c r="AH246" s="21" t="s">
        <v>3428</v>
      </c>
      <c r="AI246" s="21">
        <v>107.92500000000001</v>
      </c>
      <c r="AJ246" s="21">
        <v>100</v>
      </c>
      <c r="AK246" s="21" t="s">
        <v>2055</v>
      </c>
      <c r="AL246" t="s">
        <v>70</v>
      </c>
      <c r="AM246" t="s">
        <v>2030</v>
      </c>
    </row>
    <row r="247" spans="1:39" ht="15" hidden="1" thickTop="1" x14ac:dyDescent="0.35">
      <c r="A247" t="s">
        <v>3163</v>
      </c>
      <c r="B247" t="s">
        <v>3172</v>
      </c>
      <c r="C247" t="s">
        <v>66</v>
      </c>
      <c r="D247" t="s">
        <v>3173</v>
      </c>
      <c r="E247" t="s">
        <v>559</v>
      </c>
      <c r="F247">
        <v>1</v>
      </c>
      <c r="G247" t="s">
        <v>2050</v>
      </c>
      <c r="H247" t="s">
        <v>2051</v>
      </c>
      <c r="I247" t="s">
        <v>53</v>
      </c>
      <c r="J247" t="s">
        <v>67</v>
      </c>
      <c r="K247" t="s">
        <v>68</v>
      </c>
      <c r="L247" t="s">
        <v>2052</v>
      </c>
      <c r="M247" t="s">
        <v>2053</v>
      </c>
      <c r="N247">
        <v>0</v>
      </c>
      <c r="O247">
        <v>0</v>
      </c>
      <c r="P247">
        <v>0</v>
      </c>
      <c r="Q247">
        <v>1440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347</v>
      </c>
      <c r="AH247" s="21" t="s">
        <v>3427</v>
      </c>
      <c r="AI247" s="21">
        <v>107.92500000000001</v>
      </c>
      <c r="AJ247" s="21">
        <v>100</v>
      </c>
      <c r="AK247" s="21" t="s">
        <v>2055</v>
      </c>
      <c r="AL247" t="s">
        <v>70</v>
      </c>
      <c r="AM247" t="s">
        <v>2030</v>
      </c>
    </row>
    <row r="248" spans="1:39" ht="15" hidden="1" thickTop="1" x14ac:dyDescent="0.35">
      <c r="A248" t="s">
        <v>3169</v>
      </c>
      <c r="B248" t="s">
        <v>3174</v>
      </c>
      <c r="C248" t="s">
        <v>117</v>
      </c>
      <c r="D248" t="s">
        <v>3175</v>
      </c>
      <c r="E248" t="s">
        <v>559</v>
      </c>
      <c r="F248">
        <v>1</v>
      </c>
      <c r="G248" t="s">
        <v>2050</v>
      </c>
      <c r="H248" t="s">
        <v>2051</v>
      </c>
      <c r="I248" t="s">
        <v>53</v>
      </c>
      <c r="J248" t="s">
        <v>67</v>
      </c>
      <c r="K248" t="s">
        <v>68</v>
      </c>
      <c r="L248" t="s">
        <v>2052</v>
      </c>
      <c r="M248" t="s">
        <v>2053</v>
      </c>
      <c r="N248">
        <v>0</v>
      </c>
      <c r="O248">
        <v>0</v>
      </c>
      <c r="P248">
        <v>0</v>
      </c>
      <c r="Q248">
        <v>1440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348</v>
      </c>
      <c r="AH248" s="21" t="s">
        <v>3430</v>
      </c>
      <c r="AI248" s="21">
        <v>107.92500000000001</v>
      </c>
      <c r="AJ248" s="21">
        <v>100</v>
      </c>
      <c r="AK248" s="21" t="s">
        <v>2054</v>
      </c>
      <c r="AL248" t="s">
        <v>70</v>
      </c>
      <c r="AM248" t="s">
        <v>2030</v>
      </c>
    </row>
    <row r="249" spans="1:39" ht="15" hidden="1" thickTop="1" x14ac:dyDescent="0.35">
      <c r="A249" t="s">
        <v>3179</v>
      </c>
      <c r="B249" t="s">
        <v>3186</v>
      </c>
      <c r="C249" t="s">
        <v>117</v>
      </c>
      <c r="D249" t="s">
        <v>3187</v>
      </c>
      <c r="E249" t="s">
        <v>559</v>
      </c>
      <c r="F249">
        <v>1</v>
      </c>
      <c r="G249" t="s">
        <v>2050</v>
      </c>
      <c r="H249" t="s">
        <v>2051</v>
      </c>
      <c r="I249" t="s">
        <v>53</v>
      </c>
      <c r="J249" t="s">
        <v>67</v>
      </c>
      <c r="K249" t="s">
        <v>68</v>
      </c>
      <c r="L249" t="s">
        <v>2052</v>
      </c>
      <c r="M249" t="s">
        <v>2053</v>
      </c>
      <c r="N249">
        <v>0</v>
      </c>
      <c r="O249">
        <v>0</v>
      </c>
      <c r="P249">
        <v>0</v>
      </c>
      <c r="Q249">
        <v>1440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349</v>
      </c>
      <c r="AH249" s="21" t="s">
        <v>3427</v>
      </c>
      <c r="AI249" s="21">
        <v>107.92500000000001</v>
      </c>
      <c r="AJ249" s="21">
        <v>100</v>
      </c>
      <c r="AK249" s="21" t="s">
        <v>2054</v>
      </c>
      <c r="AL249" t="s">
        <v>70</v>
      </c>
      <c r="AM249" t="s">
        <v>2029</v>
      </c>
    </row>
    <row r="250" spans="1:39" ht="15" hidden="1" thickTop="1" x14ac:dyDescent="0.35">
      <c r="A250" t="s">
        <v>3180</v>
      </c>
      <c r="B250" t="s">
        <v>3188</v>
      </c>
      <c r="C250" t="s">
        <v>92</v>
      </c>
      <c r="D250" t="s">
        <v>3189</v>
      </c>
      <c r="E250" t="s">
        <v>119</v>
      </c>
      <c r="F250">
        <v>1</v>
      </c>
      <c r="G250" t="s">
        <v>2050</v>
      </c>
      <c r="H250" t="s">
        <v>2051</v>
      </c>
      <c r="I250" t="s">
        <v>53</v>
      </c>
      <c r="J250" t="s">
        <v>67</v>
      </c>
      <c r="K250" t="s">
        <v>68</v>
      </c>
      <c r="L250" t="s">
        <v>2052</v>
      </c>
      <c r="M250" t="s">
        <v>2053</v>
      </c>
      <c r="N250">
        <v>0</v>
      </c>
      <c r="O250">
        <v>0</v>
      </c>
      <c r="P250">
        <v>0</v>
      </c>
      <c r="Q250">
        <v>1440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350</v>
      </c>
      <c r="AH250" s="21" t="s">
        <v>3427</v>
      </c>
      <c r="AI250" s="21">
        <v>107.92500000000001</v>
      </c>
      <c r="AJ250" s="21">
        <v>100</v>
      </c>
      <c r="AK250" s="21" t="s">
        <v>2054</v>
      </c>
      <c r="AL250" t="s">
        <v>70</v>
      </c>
      <c r="AM250" t="s">
        <v>2027</v>
      </c>
    </row>
    <row r="251" spans="1:39" ht="15" hidden="1" thickTop="1" x14ac:dyDescent="0.35">
      <c r="A251" t="s">
        <v>3184</v>
      </c>
      <c r="B251" t="s">
        <v>3190</v>
      </c>
      <c r="C251" t="s">
        <v>71</v>
      </c>
      <c r="D251" t="s">
        <v>3191</v>
      </c>
      <c r="E251" t="s">
        <v>72</v>
      </c>
      <c r="F251">
        <v>1</v>
      </c>
      <c r="G251" t="s">
        <v>2050</v>
      </c>
      <c r="H251" t="s">
        <v>2051</v>
      </c>
      <c r="I251" t="s">
        <v>53</v>
      </c>
      <c r="J251" t="s">
        <v>73</v>
      </c>
      <c r="K251" t="s">
        <v>68</v>
      </c>
      <c r="L251" t="s">
        <v>2052</v>
      </c>
      <c r="M251" t="s">
        <v>2053</v>
      </c>
      <c r="N251">
        <v>0</v>
      </c>
      <c r="O251">
        <v>0</v>
      </c>
      <c r="P251">
        <v>0</v>
      </c>
      <c r="Q251">
        <v>1440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351</v>
      </c>
      <c r="AH251" s="21" t="s">
        <v>3427</v>
      </c>
      <c r="AI251" s="21">
        <v>107.92500000000001</v>
      </c>
      <c r="AJ251" s="21">
        <v>100</v>
      </c>
      <c r="AK251" s="21" t="s">
        <v>2054</v>
      </c>
      <c r="AL251" t="s">
        <v>75</v>
      </c>
      <c r="AM251" t="s">
        <v>2030</v>
      </c>
    </row>
    <row r="252" spans="1:39" ht="15" hidden="1" thickTop="1" x14ac:dyDescent="0.35">
      <c r="A252" t="s">
        <v>3194</v>
      </c>
      <c r="B252" t="s">
        <v>3201</v>
      </c>
      <c r="C252" t="s">
        <v>76</v>
      </c>
      <c r="D252" t="s">
        <v>3202</v>
      </c>
      <c r="E252" t="s">
        <v>559</v>
      </c>
      <c r="F252">
        <v>1</v>
      </c>
      <c r="G252" t="s">
        <v>2050</v>
      </c>
      <c r="H252" t="s">
        <v>2051</v>
      </c>
      <c r="I252" t="s">
        <v>53</v>
      </c>
      <c r="J252" t="s">
        <v>67</v>
      </c>
      <c r="K252" t="s">
        <v>68</v>
      </c>
      <c r="L252" t="s">
        <v>2052</v>
      </c>
      <c r="M252" t="s">
        <v>2064</v>
      </c>
      <c r="N252">
        <v>0</v>
      </c>
      <c r="O252">
        <v>0</v>
      </c>
      <c r="P252">
        <v>0</v>
      </c>
      <c r="Q252">
        <v>900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353</v>
      </c>
      <c r="AH252" s="21" t="s">
        <v>3425</v>
      </c>
      <c r="AI252" s="21">
        <v>67.5</v>
      </c>
      <c r="AJ252" s="21">
        <v>100</v>
      </c>
      <c r="AK252" s="21" t="s">
        <v>2055</v>
      </c>
      <c r="AL252" t="s">
        <v>70</v>
      </c>
      <c r="AM252" t="s">
        <v>2028</v>
      </c>
    </row>
    <row r="253" spans="1:39" ht="15" hidden="1" thickTop="1" x14ac:dyDescent="0.35">
      <c r="A253" t="s">
        <v>3195</v>
      </c>
      <c r="B253" t="s">
        <v>3204</v>
      </c>
      <c r="C253" t="s">
        <v>102</v>
      </c>
      <c r="D253" t="s">
        <v>3205</v>
      </c>
      <c r="E253" t="s">
        <v>559</v>
      </c>
      <c r="F253">
        <v>1</v>
      </c>
      <c r="G253" t="s">
        <v>2050</v>
      </c>
      <c r="H253" t="s">
        <v>2051</v>
      </c>
      <c r="I253" t="s">
        <v>53</v>
      </c>
      <c r="J253" t="s">
        <v>67</v>
      </c>
      <c r="K253" t="s">
        <v>68</v>
      </c>
      <c r="L253" t="s">
        <v>2052</v>
      </c>
      <c r="M253" t="s">
        <v>2053</v>
      </c>
      <c r="N253">
        <v>0</v>
      </c>
      <c r="O253">
        <v>0</v>
      </c>
      <c r="P253">
        <v>0</v>
      </c>
      <c r="Q253">
        <v>1440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t="s">
        <v>354</v>
      </c>
      <c r="AH253" s="21" t="s">
        <v>3425</v>
      </c>
      <c r="AI253" s="21">
        <v>107.92500000000001</v>
      </c>
      <c r="AJ253" s="21">
        <v>100</v>
      </c>
      <c r="AK253" s="21" t="s">
        <v>2054</v>
      </c>
      <c r="AL253" t="s">
        <v>70</v>
      </c>
      <c r="AM253" t="s">
        <v>2027</v>
      </c>
    </row>
    <row r="254" spans="1:39" ht="15" hidden="1" thickTop="1" x14ac:dyDescent="0.35">
      <c r="A254" t="s">
        <v>3199</v>
      </c>
      <c r="B254" t="s">
        <v>3216</v>
      </c>
      <c r="C254" t="s">
        <v>111</v>
      </c>
      <c r="D254" t="s">
        <v>3217</v>
      </c>
      <c r="E254" t="s">
        <v>112</v>
      </c>
      <c r="F254">
        <v>1</v>
      </c>
      <c r="G254" t="s">
        <v>2050</v>
      </c>
      <c r="H254" t="s">
        <v>2051</v>
      </c>
      <c r="I254" t="s">
        <v>53</v>
      </c>
      <c r="J254" t="s">
        <v>113</v>
      </c>
      <c r="K254" t="s">
        <v>68</v>
      </c>
      <c r="L254" t="s">
        <v>2052</v>
      </c>
      <c r="M254" t="s">
        <v>2053</v>
      </c>
      <c r="N254">
        <v>0</v>
      </c>
      <c r="O254">
        <v>0</v>
      </c>
      <c r="P254">
        <v>0</v>
      </c>
      <c r="Q254">
        <v>1440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355</v>
      </c>
      <c r="AH254" s="21" t="s">
        <v>3424</v>
      </c>
      <c r="AI254" s="21">
        <v>107.92500000000001</v>
      </c>
      <c r="AJ254" s="21">
        <v>100</v>
      </c>
      <c r="AK254" s="21" t="s">
        <v>2054</v>
      </c>
      <c r="AL254" t="s">
        <v>115</v>
      </c>
      <c r="AM254" t="s">
        <v>2029</v>
      </c>
    </row>
    <row r="255" spans="1:39" ht="15" hidden="1" thickTop="1" x14ac:dyDescent="0.35">
      <c r="A255" t="s">
        <v>3208</v>
      </c>
      <c r="B255" t="s">
        <v>3219</v>
      </c>
      <c r="C255" t="s">
        <v>92</v>
      </c>
      <c r="D255" t="s">
        <v>3220</v>
      </c>
      <c r="E255" t="s">
        <v>119</v>
      </c>
      <c r="F255">
        <v>1</v>
      </c>
      <c r="G255" t="s">
        <v>2050</v>
      </c>
      <c r="H255" t="s">
        <v>2051</v>
      </c>
      <c r="I255" t="s">
        <v>53</v>
      </c>
      <c r="J255" t="s">
        <v>67</v>
      </c>
      <c r="K255" t="s">
        <v>68</v>
      </c>
      <c r="L255" t="s">
        <v>2052</v>
      </c>
      <c r="M255" t="s">
        <v>2082</v>
      </c>
      <c r="N255">
        <v>0</v>
      </c>
      <c r="O255">
        <v>0</v>
      </c>
      <c r="P255">
        <v>0</v>
      </c>
      <c r="Q255">
        <v>780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t="s">
        <v>356</v>
      </c>
      <c r="AH255" s="21" t="s">
        <v>3424</v>
      </c>
      <c r="AI255" s="21">
        <v>58.500000000000014</v>
      </c>
      <c r="AJ255" s="21">
        <v>100</v>
      </c>
      <c r="AK255" s="21" t="s">
        <v>2054</v>
      </c>
      <c r="AL255" t="s">
        <v>70</v>
      </c>
      <c r="AM255" t="s">
        <v>2027</v>
      </c>
    </row>
    <row r="256" spans="1:39" ht="15" hidden="1" thickTop="1" x14ac:dyDescent="0.35">
      <c r="A256" t="s">
        <v>3212</v>
      </c>
      <c r="B256" t="s">
        <v>3230</v>
      </c>
      <c r="C256" t="s">
        <v>100</v>
      </c>
      <c r="D256" t="s">
        <v>3231</v>
      </c>
      <c r="E256" t="s">
        <v>559</v>
      </c>
      <c r="F256">
        <v>1</v>
      </c>
      <c r="G256" t="s">
        <v>2050</v>
      </c>
      <c r="H256" t="s">
        <v>2051</v>
      </c>
      <c r="I256" t="s">
        <v>53</v>
      </c>
      <c r="J256" t="s">
        <v>67</v>
      </c>
      <c r="K256" t="s">
        <v>68</v>
      </c>
      <c r="L256" t="s">
        <v>2052</v>
      </c>
      <c r="M256" t="s">
        <v>2064</v>
      </c>
      <c r="N256">
        <v>0</v>
      </c>
      <c r="O256">
        <v>0</v>
      </c>
      <c r="P256">
        <v>0</v>
      </c>
      <c r="Q256">
        <v>900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t="s">
        <v>358</v>
      </c>
      <c r="AH256" s="21" t="s">
        <v>3424</v>
      </c>
      <c r="AI256" s="21">
        <v>67.5</v>
      </c>
      <c r="AJ256" s="21">
        <v>100</v>
      </c>
      <c r="AK256" s="21" t="s">
        <v>2054</v>
      </c>
      <c r="AL256" t="s">
        <v>70</v>
      </c>
      <c r="AM256" t="s">
        <v>2028</v>
      </c>
    </row>
    <row r="257" spans="1:39" ht="15" hidden="1" thickTop="1" x14ac:dyDescent="0.35">
      <c r="A257" t="s">
        <v>3214</v>
      </c>
      <c r="B257" t="s">
        <v>3234</v>
      </c>
      <c r="C257" t="s">
        <v>102</v>
      </c>
      <c r="D257" t="s">
        <v>3235</v>
      </c>
      <c r="E257" t="s">
        <v>559</v>
      </c>
      <c r="F257">
        <v>1</v>
      </c>
      <c r="G257" t="s">
        <v>2050</v>
      </c>
      <c r="H257" t="s">
        <v>2051</v>
      </c>
      <c r="I257" t="s">
        <v>53</v>
      </c>
      <c r="J257" t="s">
        <v>67</v>
      </c>
      <c r="K257" t="s">
        <v>68</v>
      </c>
      <c r="L257" t="s">
        <v>2052</v>
      </c>
      <c r="M257" t="s">
        <v>2053</v>
      </c>
      <c r="N257">
        <v>0</v>
      </c>
      <c r="O257">
        <v>0</v>
      </c>
      <c r="P257">
        <v>0</v>
      </c>
      <c r="Q257">
        <v>1440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 t="s">
        <v>359</v>
      </c>
      <c r="AH257" s="21" t="s">
        <v>3424</v>
      </c>
      <c r="AI257" s="21">
        <v>107.92500000000001</v>
      </c>
      <c r="AJ257" s="21">
        <v>100</v>
      </c>
      <c r="AK257" s="21" t="s">
        <v>2054</v>
      </c>
      <c r="AL257" t="s">
        <v>70</v>
      </c>
      <c r="AM257" t="s">
        <v>2029</v>
      </c>
    </row>
    <row r="258" spans="1:39" ht="15" hidden="1" thickTop="1" x14ac:dyDescent="0.35">
      <c r="A258" t="s">
        <v>3223</v>
      </c>
      <c r="B258" t="s">
        <v>3243</v>
      </c>
      <c r="C258" t="s">
        <v>81</v>
      </c>
      <c r="D258" t="s">
        <v>3244</v>
      </c>
      <c r="E258" t="s">
        <v>559</v>
      </c>
      <c r="F258">
        <v>2</v>
      </c>
      <c r="G258" t="s">
        <v>2050</v>
      </c>
      <c r="H258" t="s">
        <v>2051</v>
      </c>
      <c r="I258" t="s">
        <v>53</v>
      </c>
      <c r="J258" t="s">
        <v>82</v>
      </c>
      <c r="K258" t="s">
        <v>68</v>
      </c>
      <c r="L258" t="s">
        <v>2052</v>
      </c>
      <c r="M258" t="s">
        <v>2078</v>
      </c>
      <c r="N258">
        <v>0</v>
      </c>
      <c r="O258">
        <v>0</v>
      </c>
      <c r="P258">
        <v>0</v>
      </c>
      <c r="Q258">
        <v>960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 t="s">
        <v>360</v>
      </c>
      <c r="AH258" s="21" t="s">
        <v>3424</v>
      </c>
      <c r="AI258" s="21">
        <v>72</v>
      </c>
      <c r="AJ258" s="21">
        <v>100</v>
      </c>
      <c r="AK258" s="21" t="s">
        <v>2054</v>
      </c>
      <c r="AL258" t="s">
        <v>70</v>
      </c>
      <c r="AM258" t="s">
        <v>2030</v>
      </c>
    </row>
    <row r="259" spans="1:39" ht="15" hidden="1" thickTop="1" x14ac:dyDescent="0.35">
      <c r="A259" t="s">
        <v>3225</v>
      </c>
      <c r="B259" t="s">
        <v>3247</v>
      </c>
      <c r="C259" t="s">
        <v>78</v>
      </c>
      <c r="D259" t="s">
        <v>3248</v>
      </c>
      <c r="E259" t="s">
        <v>559</v>
      </c>
      <c r="F259">
        <v>1</v>
      </c>
      <c r="G259" t="s">
        <v>2050</v>
      </c>
      <c r="H259" t="s">
        <v>2051</v>
      </c>
      <c r="I259" t="s">
        <v>53</v>
      </c>
      <c r="J259" t="s">
        <v>67</v>
      </c>
      <c r="K259" t="s">
        <v>68</v>
      </c>
      <c r="L259" t="s">
        <v>2052</v>
      </c>
      <c r="M259" t="s">
        <v>2053</v>
      </c>
      <c r="N259">
        <v>0</v>
      </c>
      <c r="O259">
        <v>0</v>
      </c>
      <c r="P259">
        <v>0</v>
      </c>
      <c r="Q259">
        <v>1440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361</v>
      </c>
      <c r="AH259" s="21" t="s">
        <v>3429</v>
      </c>
      <c r="AI259" s="21">
        <v>107.92500000000001</v>
      </c>
      <c r="AJ259" s="21">
        <v>100</v>
      </c>
      <c r="AK259" s="21" t="s">
        <v>2054</v>
      </c>
      <c r="AL259" t="s">
        <v>70</v>
      </c>
      <c r="AM259" t="s">
        <v>2029</v>
      </c>
    </row>
    <row r="260" spans="1:39" ht="15" hidden="1" thickTop="1" x14ac:dyDescent="0.35">
      <c r="A260" t="s">
        <v>3226</v>
      </c>
      <c r="B260" t="s">
        <v>3251</v>
      </c>
      <c r="C260" t="s">
        <v>66</v>
      </c>
      <c r="D260" t="s">
        <v>3252</v>
      </c>
      <c r="E260" t="s">
        <v>559</v>
      </c>
      <c r="F260">
        <v>1</v>
      </c>
      <c r="G260" t="s">
        <v>2050</v>
      </c>
      <c r="H260" t="s">
        <v>2051</v>
      </c>
      <c r="I260" t="s">
        <v>53</v>
      </c>
      <c r="J260" t="s">
        <v>67</v>
      </c>
      <c r="K260" t="s">
        <v>68</v>
      </c>
      <c r="L260" t="s">
        <v>2052</v>
      </c>
      <c r="M260" t="s">
        <v>2064</v>
      </c>
      <c r="N260">
        <v>0</v>
      </c>
      <c r="O260">
        <v>0</v>
      </c>
      <c r="P260">
        <v>0</v>
      </c>
      <c r="Q260">
        <v>900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362</v>
      </c>
      <c r="AH260" s="21" t="s">
        <v>3425</v>
      </c>
      <c r="AI260" s="21">
        <v>67.5</v>
      </c>
      <c r="AJ260" s="21">
        <v>100</v>
      </c>
      <c r="AK260" s="21" t="s">
        <v>2054</v>
      </c>
      <c r="AL260" t="s">
        <v>70</v>
      </c>
      <c r="AM260" t="s">
        <v>2031</v>
      </c>
    </row>
    <row r="261" spans="1:39" ht="15" hidden="1" thickTop="1" x14ac:dyDescent="0.35">
      <c r="A261" t="s">
        <v>3229</v>
      </c>
      <c r="B261" t="s">
        <v>3256</v>
      </c>
      <c r="C261" t="s">
        <v>3376</v>
      </c>
      <c r="D261" t="s">
        <v>3257</v>
      </c>
      <c r="E261" t="s">
        <v>559</v>
      </c>
      <c r="F261">
        <v>1</v>
      </c>
      <c r="G261" t="s">
        <v>2050</v>
      </c>
      <c r="H261" t="s">
        <v>2051</v>
      </c>
      <c r="I261" t="s">
        <v>53</v>
      </c>
      <c r="J261" t="s">
        <v>67</v>
      </c>
      <c r="K261" t="s">
        <v>68</v>
      </c>
      <c r="L261" t="s">
        <v>2052</v>
      </c>
      <c r="M261" t="s">
        <v>2053</v>
      </c>
      <c r="N261">
        <v>0</v>
      </c>
      <c r="O261">
        <v>0</v>
      </c>
      <c r="P261">
        <v>0</v>
      </c>
      <c r="Q261">
        <v>1440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363</v>
      </c>
      <c r="AH261" s="21" t="s">
        <v>3424</v>
      </c>
      <c r="AI261" s="21">
        <v>107.92500000000001</v>
      </c>
      <c r="AJ261" s="21">
        <v>100</v>
      </c>
      <c r="AK261" s="21" t="s">
        <v>2054</v>
      </c>
      <c r="AL261" t="s">
        <v>70</v>
      </c>
      <c r="AM261" t="s">
        <v>2027</v>
      </c>
    </row>
    <row r="262" spans="1:39" ht="15" hidden="1" thickTop="1" x14ac:dyDescent="0.35">
      <c r="A262" t="s">
        <v>3233</v>
      </c>
      <c r="B262" t="s">
        <v>3260</v>
      </c>
      <c r="C262" t="s">
        <v>92</v>
      </c>
      <c r="D262" t="s">
        <v>3261</v>
      </c>
      <c r="E262" t="s">
        <v>119</v>
      </c>
      <c r="F262">
        <v>1</v>
      </c>
      <c r="G262" t="s">
        <v>2050</v>
      </c>
      <c r="H262" t="s">
        <v>2051</v>
      </c>
      <c r="I262" t="s">
        <v>53</v>
      </c>
      <c r="J262" t="s">
        <v>67</v>
      </c>
      <c r="K262" t="s">
        <v>68</v>
      </c>
      <c r="L262" t="s">
        <v>2052</v>
      </c>
      <c r="M262" t="s">
        <v>2053</v>
      </c>
      <c r="N262">
        <v>0</v>
      </c>
      <c r="O262">
        <v>0</v>
      </c>
      <c r="P262">
        <v>0</v>
      </c>
      <c r="Q262">
        <v>1440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364</v>
      </c>
      <c r="AH262" s="21" t="s">
        <v>3425</v>
      </c>
      <c r="AI262" s="21">
        <v>107.92500000000001</v>
      </c>
      <c r="AJ262" s="21">
        <v>100</v>
      </c>
      <c r="AK262" s="21" t="s">
        <v>2054</v>
      </c>
      <c r="AL262" t="s">
        <v>70</v>
      </c>
      <c r="AM262" t="s">
        <v>2028</v>
      </c>
    </row>
    <row r="263" spans="1:39" ht="15" hidden="1" thickTop="1" x14ac:dyDescent="0.35">
      <c r="A263" t="s">
        <v>3236</v>
      </c>
      <c r="B263" t="s">
        <v>3263</v>
      </c>
      <c r="C263" t="s">
        <v>128</v>
      </c>
      <c r="D263" t="s">
        <v>3264</v>
      </c>
      <c r="E263" t="s">
        <v>112</v>
      </c>
      <c r="F263">
        <v>1</v>
      </c>
      <c r="G263" t="s">
        <v>2050</v>
      </c>
      <c r="H263" t="s">
        <v>2051</v>
      </c>
      <c r="I263" t="s">
        <v>53</v>
      </c>
      <c r="J263" t="s">
        <v>113</v>
      </c>
      <c r="K263" t="s">
        <v>68</v>
      </c>
      <c r="L263" t="s">
        <v>2052</v>
      </c>
      <c r="M263" t="s">
        <v>2053</v>
      </c>
      <c r="N263">
        <v>0</v>
      </c>
      <c r="O263">
        <v>0</v>
      </c>
      <c r="P263">
        <v>0</v>
      </c>
      <c r="Q263">
        <v>1440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365</v>
      </c>
      <c r="AH263" s="21" t="s">
        <v>3427</v>
      </c>
      <c r="AI263" s="21">
        <v>107.92500000000001</v>
      </c>
      <c r="AJ263" s="21">
        <v>100</v>
      </c>
      <c r="AK263" s="21" t="s">
        <v>2054</v>
      </c>
      <c r="AL263" t="s">
        <v>115</v>
      </c>
      <c r="AM263" t="s">
        <v>2029</v>
      </c>
    </row>
    <row r="264" spans="1:39" ht="15" hidden="1" thickTop="1" x14ac:dyDescent="0.35">
      <c r="A264" t="s">
        <v>3241</v>
      </c>
      <c r="B264" t="s">
        <v>3270</v>
      </c>
      <c r="C264" t="s">
        <v>76</v>
      </c>
      <c r="D264" t="s">
        <v>3271</v>
      </c>
      <c r="E264" t="s">
        <v>559</v>
      </c>
      <c r="F264">
        <v>1</v>
      </c>
      <c r="G264" t="s">
        <v>2050</v>
      </c>
      <c r="H264" t="s">
        <v>2051</v>
      </c>
      <c r="I264" t="s">
        <v>53</v>
      </c>
      <c r="J264" t="s">
        <v>67</v>
      </c>
      <c r="K264" t="s">
        <v>68</v>
      </c>
      <c r="L264" t="s">
        <v>2052</v>
      </c>
      <c r="M264" t="s">
        <v>2053</v>
      </c>
      <c r="N264">
        <v>0</v>
      </c>
      <c r="O264">
        <v>0</v>
      </c>
      <c r="P264">
        <v>0</v>
      </c>
      <c r="Q264">
        <v>1440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366</v>
      </c>
      <c r="AH264" s="21" t="s">
        <v>3424</v>
      </c>
      <c r="AI264" s="21">
        <v>107.92500000000001</v>
      </c>
      <c r="AJ264" s="21">
        <v>100</v>
      </c>
      <c r="AK264" s="21" t="s">
        <v>2055</v>
      </c>
      <c r="AL264" t="s">
        <v>70</v>
      </c>
      <c r="AM264" t="s">
        <v>2029</v>
      </c>
    </row>
    <row r="265" spans="1:39" ht="15" hidden="1" thickTop="1" x14ac:dyDescent="0.35">
      <c r="A265" t="s">
        <v>3250</v>
      </c>
      <c r="B265" t="s">
        <v>3277</v>
      </c>
      <c r="C265" t="s">
        <v>76</v>
      </c>
      <c r="D265" t="s">
        <v>3278</v>
      </c>
      <c r="E265" t="s">
        <v>559</v>
      </c>
      <c r="F265">
        <v>1</v>
      </c>
      <c r="G265" t="s">
        <v>2050</v>
      </c>
      <c r="H265" t="s">
        <v>2051</v>
      </c>
      <c r="I265" t="s">
        <v>53</v>
      </c>
      <c r="J265" t="s">
        <v>67</v>
      </c>
      <c r="K265" t="s">
        <v>68</v>
      </c>
      <c r="L265" t="s">
        <v>2052</v>
      </c>
      <c r="M265" t="s">
        <v>2064</v>
      </c>
      <c r="N265">
        <v>0</v>
      </c>
      <c r="O265">
        <v>0</v>
      </c>
      <c r="P265">
        <v>0</v>
      </c>
      <c r="Q265">
        <v>900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367</v>
      </c>
      <c r="AH265" s="21" t="s">
        <v>3427</v>
      </c>
      <c r="AI265" s="21">
        <v>67.5</v>
      </c>
      <c r="AJ265" s="21">
        <v>100</v>
      </c>
      <c r="AK265" s="21" t="s">
        <v>2055</v>
      </c>
      <c r="AL265" t="s">
        <v>70</v>
      </c>
      <c r="AM265" t="s">
        <v>2030</v>
      </c>
    </row>
    <row r="266" spans="1:39" ht="15" hidden="1" thickTop="1" x14ac:dyDescent="0.35">
      <c r="A266" t="s">
        <v>3258</v>
      </c>
      <c r="B266" t="s">
        <v>3283</v>
      </c>
      <c r="C266" t="s">
        <v>78</v>
      </c>
      <c r="D266" t="s">
        <v>3284</v>
      </c>
      <c r="E266" t="s">
        <v>559</v>
      </c>
      <c r="F266">
        <v>1</v>
      </c>
      <c r="G266" t="s">
        <v>2050</v>
      </c>
      <c r="H266" t="s">
        <v>2051</v>
      </c>
      <c r="I266" t="s">
        <v>53</v>
      </c>
      <c r="J266" t="s">
        <v>67</v>
      </c>
      <c r="K266" t="s">
        <v>68</v>
      </c>
      <c r="L266" t="s">
        <v>2052</v>
      </c>
      <c r="M266" t="s">
        <v>2053</v>
      </c>
      <c r="N266">
        <v>0</v>
      </c>
      <c r="O266">
        <v>0</v>
      </c>
      <c r="P266">
        <v>0</v>
      </c>
      <c r="Q266">
        <v>1440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368</v>
      </c>
      <c r="AH266" s="21" t="s">
        <v>3427</v>
      </c>
      <c r="AI266" s="21">
        <v>107.92500000000001</v>
      </c>
      <c r="AJ266" s="21">
        <v>100</v>
      </c>
      <c r="AK266" s="21" t="s">
        <v>2055</v>
      </c>
      <c r="AL266" t="s">
        <v>70</v>
      </c>
      <c r="AM266" t="s">
        <v>2031</v>
      </c>
    </row>
    <row r="267" spans="1:39" ht="15" hidden="1" thickTop="1" x14ac:dyDescent="0.35">
      <c r="A267" t="s">
        <v>3259</v>
      </c>
      <c r="B267" t="s">
        <v>3286</v>
      </c>
      <c r="C267" t="s">
        <v>66</v>
      </c>
      <c r="D267" t="s">
        <v>3287</v>
      </c>
      <c r="E267" t="s">
        <v>559</v>
      </c>
      <c r="F267">
        <v>1</v>
      </c>
      <c r="G267" t="s">
        <v>2050</v>
      </c>
      <c r="H267" t="s">
        <v>2051</v>
      </c>
      <c r="I267" t="s">
        <v>53</v>
      </c>
      <c r="J267" t="s">
        <v>67</v>
      </c>
      <c r="K267" t="s">
        <v>68</v>
      </c>
      <c r="L267" t="s">
        <v>2052</v>
      </c>
      <c r="M267" t="s">
        <v>2064</v>
      </c>
      <c r="N267">
        <v>1</v>
      </c>
      <c r="O267">
        <v>40</v>
      </c>
      <c r="P267">
        <v>4.4400000000000004</v>
      </c>
      <c r="Q267">
        <v>900</v>
      </c>
      <c r="R267">
        <v>1</v>
      </c>
      <c r="S267">
        <v>40</v>
      </c>
      <c r="T267">
        <v>4.4400000000000004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 t="s">
        <v>369</v>
      </c>
      <c r="AH267" s="21" t="s">
        <v>3424</v>
      </c>
      <c r="AI267" s="21">
        <v>67.5</v>
      </c>
      <c r="AJ267" s="21">
        <v>95.555555555555557</v>
      </c>
      <c r="AK267" s="21" t="s">
        <v>2055</v>
      </c>
      <c r="AL267" t="s">
        <v>70</v>
      </c>
      <c r="AM267" t="s">
        <v>2029</v>
      </c>
    </row>
    <row r="268" spans="1:39" ht="15" hidden="1" thickTop="1" x14ac:dyDescent="0.35">
      <c r="A268" t="s">
        <v>3265</v>
      </c>
      <c r="B268" t="s">
        <v>3290</v>
      </c>
      <c r="C268" t="s">
        <v>92</v>
      </c>
      <c r="D268" t="s">
        <v>3291</v>
      </c>
      <c r="E268" t="s">
        <v>119</v>
      </c>
      <c r="F268">
        <v>1</v>
      </c>
      <c r="G268" t="s">
        <v>2050</v>
      </c>
      <c r="H268" t="s">
        <v>2051</v>
      </c>
      <c r="I268" t="s">
        <v>53</v>
      </c>
      <c r="J268" t="s">
        <v>67</v>
      </c>
      <c r="K268" t="s">
        <v>68</v>
      </c>
      <c r="L268" t="s">
        <v>2052</v>
      </c>
      <c r="M268" t="s">
        <v>2063</v>
      </c>
      <c r="N268">
        <v>0</v>
      </c>
      <c r="O268">
        <v>0</v>
      </c>
      <c r="P268">
        <v>0</v>
      </c>
      <c r="Q268">
        <v>1020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370</v>
      </c>
      <c r="AH268" s="21" t="s">
        <v>3424</v>
      </c>
      <c r="AI268" s="21">
        <v>76.500000000000014</v>
      </c>
      <c r="AJ268" s="21">
        <v>100</v>
      </c>
      <c r="AK268" s="21" t="s">
        <v>2054</v>
      </c>
      <c r="AL268" t="s">
        <v>70</v>
      </c>
      <c r="AM268" t="s">
        <v>2027</v>
      </c>
    </row>
    <row r="269" spans="1:39" ht="15" hidden="1" thickTop="1" x14ac:dyDescent="0.35">
      <c r="A269" t="s">
        <v>3267</v>
      </c>
      <c r="B269" t="s">
        <v>3292</v>
      </c>
      <c r="C269" t="s">
        <v>86</v>
      </c>
      <c r="D269" t="s">
        <v>3293</v>
      </c>
      <c r="E269" t="s">
        <v>72</v>
      </c>
      <c r="F269">
        <v>1</v>
      </c>
      <c r="G269" t="s">
        <v>2050</v>
      </c>
      <c r="H269" t="s">
        <v>2051</v>
      </c>
      <c r="I269" t="s">
        <v>53</v>
      </c>
      <c r="J269" t="s">
        <v>73</v>
      </c>
      <c r="K269" t="s">
        <v>68</v>
      </c>
      <c r="L269" t="s">
        <v>2052</v>
      </c>
      <c r="M269" t="s">
        <v>2083</v>
      </c>
      <c r="N269">
        <v>0</v>
      </c>
      <c r="O269">
        <v>0</v>
      </c>
      <c r="P269">
        <v>0</v>
      </c>
      <c r="Q269">
        <v>960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t="s">
        <v>371</v>
      </c>
      <c r="AH269" s="21" t="s">
        <v>3424</v>
      </c>
      <c r="AI269" s="21">
        <v>72.000000000000014</v>
      </c>
      <c r="AJ269" s="21">
        <v>100</v>
      </c>
      <c r="AK269" s="21" t="s">
        <v>2054</v>
      </c>
      <c r="AL269" t="s">
        <v>75</v>
      </c>
      <c r="AM269" t="s">
        <v>2029</v>
      </c>
    </row>
    <row r="270" spans="1:39" ht="15" hidden="1" thickTop="1" x14ac:dyDescent="0.35">
      <c r="A270" t="s">
        <v>3268</v>
      </c>
      <c r="B270" t="s">
        <v>3294</v>
      </c>
      <c r="C270" t="s">
        <v>66</v>
      </c>
      <c r="D270" t="s">
        <v>3295</v>
      </c>
      <c r="E270" t="s">
        <v>559</v>
      </c>
      <c r="F270">
        <v>1</v>
      </c>
      <c r="G270" t="s">
        <v>2050</v>
      </c>
      <c r="H270" t="s">
        <v>2051</v>
      </c>
      <c r="I270" t="s">
        <v>53</v>
      </c>
      <c r="J270" t="s">
        <v>67</v>
      </c>
      <c r="K270" t="s">
        <v>68</v>
      </c>
      <c r="L270" t="s">
        <v>2052</v>
      </c>
      <c r="M270" t="s">
        <v>2064</v>
      </c>
      <c r="N270">
        <v>0</v>
      </c>
      <c r="O270">
        <v>0</v>
      </c>
      <c r="P270">
        <v>0</v>
      </c>
      <c r="Q270">
        <v>900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t="s">
        <v>372</v>
      </c>
      <c r="AH270" s="21" t="s">
        <v>3424</v>
      </c>
      <c r="AI270" s="21">
        <v>67.5</v>
      </c>
      <c r="AJ270" s="21">
        <v>100</v>
      </c>
      <c r="AK270" s="21" t="s">
        <v>2054</v>
      </c>
      <c r="AL270" t="s">
        <v>70</v>
      </c>
      <c r="AM270" t="s">
        <v>2030</v>
      </c>
    </row>
    <row r="271" spans="1:39" ht="15" hidden="1" thickTop="1" x14ac:dyDescent="0.35">
      <c r="A271" t="s">
        <v>3275</v>
      </c>
      <c r="B271" t="s">
        <v>3303</v>
      </c>
      <c r="C271" t="s">
        <v>92</v>
      </c>
      <c r="D271" t="s">
        <v>3304</v>
      </c>
      <c r="E271" t="s">
        <v>559</v>
      </c>
      <c r="F271">
        <v>1</v>
      </c>
      <c r="G271" t="s">
        <v>2050</v>
      </c>
      <c r="H271" t="s">
        <v>2051</v>
      </c>
      <c r="I271" t="s">
        <v>53</v>
      </c>
      <c r="J271" t="s">
        <v>67</v>
      </c>
      <c r="K271" t="s">
        <v>68</v>
      </c>
      <c r="L271" t="s">
        <v>2052</v>
      </c>
      <c r="M271" t="s">
        <v>2053</v>
      </c>
      <c r="N271">
        <v>0</v>
      </c>
      <c r="O271">
        <v>0</v>
      </c>
      <c r="P271">
        <v>0</v>
      </c>
      <c r="Q271">
        <v>1440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373</v>
      </c>
      <c r="AH271" s="21" t="s">
        <v>3424</v>
      </c>
      <c r="AI271" s="21">
        <v>107.92500000000001</v>
      </c>
      <c r="AJ271" s="21">
        <v>100</v>
      </c>
      <c r="AK271" s="21" t="s">
        <v>2054</v>
      </c>
      <c r="AL271" t="s">
        <v>70</v>
      </c>
      <c r="AM271" t="s">
        <v>2031</v>
      </c>
    </row>
    <row r="272" spans="1:39" ht="15" hidden="1" thickTop="1" x14ac:dyDescent="0.35">
      <c r="A272" t="s">
        <v>3280</v>
      </c>
      <c r="B272" t="s">
        <v>3308</v>
      </c>
      <c r="C272" t="s">
        <v>78</v>
      </c>
      <c r="D272" t="s">
        <v>3309</v>
      </c>
      <c r="E272" t="s">
        <v>559</v>
      </c>
      <c r="F272">
        <v>1</v>
      </c>
      <c r="G272" t="s">
        <v>2050</v>
      </c>
      <c r="H272" t="s">
        <v>2051</v>
      </c>
      <c r="I272" t="s">
        <v>53</v>
      </c>
      <c r="J272" t="s">
        <v>67</v>
      </c>
      <c r="K272" t="s">
        <v>68</v>
      </c>
      <c r="L272" t="s">
        <v>2052</v>
      </c>
      <c r="M272" t="s">
        <v>2053</v>
      </c>
      <c r="N272">
        <v>0</v>
      </c>
      <c r="O272">
        <v>0</v>
      </c>
      <c r="P272">
        <v>0</v>
      </c>
      <c r="Q272">
        <v>1440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374</v>
      </c>
      <c r="AH272" s="21" t="s">
        <v>3427</v>
      </c>
      <c r="AI272" s="21">
        <v>107.92500000000001</v>
      </c>
      <c r="AJ272" s="21">
        <v>100</v>
      </c>
      <c r="AK272" s="21" t="s">
        <v>2055</v>
      </c>
      <c r="AL272" t="s">
        <v>70</v>
      </c>
      <c r="AM272" t="s">
        <v>2028</v>
      </c>
    </row>
    <row r="273" spans="1:39" ht="15" hidden="1" thickTop="1" x14ac:dyDescent="0.35">
      <c r="A273" t="s">
        <v>3288</v>
      </c>
      <c r="B273" t="s">
        <v>3314</v>
      </c>
      <c r="C273" t="s">
        <v>76</v>
      </c>
      <c r="D273" t="s">
        <v>3315</v>
      </c>
      <c r="E273" t="s">
        <v>119</v>
      </c>
      <c r="F273">
        <v>1</v>
      </c>
      <c r="G273" t="s">
        <v>2050</v>
      </c>
      <c r="H273" t="s">
        <v>2051</v>
      </c>
      <c r="I273" t="s">
        <v>53</v>
      </c>
      <c r="J273" t="s">
        <v>67</v>
      </c>
      <c r="K273" t="s">
        <v>68</v>
      </c>
      <c r="L273" t="s">
        <v>2052</v>
      </c>
      <c r="M273" t="s">
        <v>2064</v>
      </c>
      <c r="N273">
        <v>0</v>
      </c>
      <c r="O273">
        <v>0</v>
      </c>
      <c r="P273">
        <v>0</v>
      </c>
      <c r="Q273">
        <v>900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375</v>
      </c>
      <c r="AH273" s="21" t="s">
        <v>3427</v>
      </c>
      <c r="AI273" s="21">
        <v>67.5</v>
      </c>
      <c r="AJ273" s="21">
        <v>100</v>
      </c>
      <c r="AK273" s="21" t="s">
        <v>2054</v>
      </c>
      <c r="AL273" t="s">
        <v>70</v>
      </c>
      <c r="AM273" t="s">
        <v>2028</v>
      </c>
    </row>
    <row r="274" spans="1:39" ht="15" hidden="1" thickTop="1" x14ac:dyDescent="0.35">
      <c r="A274" t="s">
        <v>3299</v>
      </c>
      <c r="B274" t="s">
        <v>3324</v>
      </c>
      <c r="C274" t="s">
        <v>76</v>
      </c>
      <c r="D274" t="s">
        <v>3325</v>
      </c>
      <c r="E274" t="s">
        <v>559</v>
      </c>
      <c r="F274">
        <v>1</v>
      </c>
      <c r="G274" t="s">
        <v>2050</v>
      </c>
      <c r="H274" t="s">
        <v>2051</v>
      </c>
      <c r="I274" t="s">
        <v>53</v>
      </c>
      <c r="J274" t="s">
        <v>67</v>
      </c>
      <c r="K274" t="s">
        <v>68</v>
      </c>
      <c r="L274" t="s">
        <v>2052</v>
      </c>
      <c r="M274" t="s">
        <v>2053</v>
      </c>
      <c r="N274">
        <v>0</v>
      </c>
      <c r="O274">
        <v>0</v>
      </c>
      <c r="P274">
        <v>0</v>
      </c>
      <c r="Q274">
        <v>1440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376</v>
      </c>
      <c r="AH274" s="21" t="s">
        <v>3425</v>
      </c>
      <c r="AI274" s="21">
        <v>107.92500000000001</v>
      </c>
      <c r="AJ274" s="21">
        <v>100</v>
      </c>
      <c r="AK274" s="21" t="s">
        <v>2054</v>
      </c>
      <c r="AL274" t="s">
        <v>70</v>
      </c>
      <c r="AM274" t="s">
        <v>2028</v>
      </c>
    </row>
    <row r="275" spans="1:39" ht="15" hidden="1" thickTop="1" x14ac:dyDescent="0.35">
      <c r="A275" t="s">
        <v>3300</v>
      </c>
      <c r="B275" t="s">
        <v>3326</v>
      </c>
      <c r="C275" t="s">
        <v>86</v>
      </c>
      <c r="D275" t="s">
        <v>3327</v>
      </c>
      <c r="E275" t="s">
        <v>72</v>
      </c>
      <c r="F275">
        <v>2</v>
      </c>
      <c r="G275" t="s">
        <v>2050</v>
      </c>
      <c r="H275" t="s">
        <v>2051</v>
      </c>
      <c r="I275" t="s">
        <v>53</v>
      </c>
      <c r="J275" t="s">
        <v>73</v>
      </c>
      <c r="K275" t="s">
        <v>68</v>
      </c>
      <c r="L275" t="s">
        <v>2052</v>
      </c>
      <c r="M275" t="s">
        <v>2053</v>
      </c>
      <c r="N275">
        <v>0</v>
      </c>
      <c r="O275">
        <v>0</v>
      </c>
      <c r="P275">
        <v>0</v>
      </c>
      <c r="Q275">
        <v>1440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377</v>
      </c>
      <c r="AH275" s="21" t="s">
        <v>3424</v>
      </c>
      <c r="AI275" s="21">
        <v>107.92500000000001</v>
      </c>
      <c r="AJ275" s="21">
        <v>100</v>
      </c>
      <c r="AK275" s="21" t="s">
        <v>2054</v>
      </c>
      <c r="AL275" t="s">
        <v>75</v>
      </c>
      <c r="AM275" t="s">
        <v>2029</v>
      </c>
    </row>
    <row r="276" spans="1:39" ht="15" hidden="1" thickTop="1" x14ac:dyDescent="0.35">
      <c r="A276" t="s">
        <v>3307</v>
      </c>
      <c r="B276" t="s">
        <v>3336</v>
      </c>
      <c r="C276" t="s">
        <v>76</v>
      </c>
      <c r="D276" t="s">
        <v>3337</v>
      </c>
      <c r="E276" t="s">
        <v>559</v>
      </c>
      <c r="F276">
        <v>1</v>
      </c>
      <c r="G276" t="s">
        <v>2050</v>
      </c>
      <c r="H276" t="s">
        <v>2051</v>
      </c>
      <c r="I276" t="s">
        <v>53</v>
      </c>
      <c r="J276" t="s">
        <v>67</v>
      </c>
      <c r="K276" t="s">
        <v>68</v>
      </c>
      <c r="L276" t="s">
        <v>2052</v>
      </c>
      <c r="M276" t="s">
        <v>2053</v>
      </c>
      <c r="N276">
        <v>0</v>
      </c>
      <c r="O276">
        <v>0</v>
      </c>
      <c r="P276">
        <v>0</v>
      </c>
      <c r="Q276">
        <v>1440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378</v>
      </c>
      <c r="AH276" s="21" t="s">
        <v>3424</v>
      </c>
      <c r="AI276" s="21">
        <v>107.92500000000001</v>
      </c>
      <c r="AJ276" s="21">
        <v>100</v>
      </c>
      <c r="AK276" s="21" t="s">
        <v>2054</v>
      </c>
      <c r="AL276" t="s">
        <v>70</v>
      </c>
      <c r="AM276" t="s">
        <v>2029</v>
      </c>
    </row>
    <row r="277" spans="1:39" ht="15" hidden="1" thickTop="1" x14ac:dyDescent="0.35">
      <c r="A277" t="s">
        <v>3316</v>
      </c>
      <c r="B277" t="s">
        <v>3338</v>
      </c>
      <c r="C277" t="s">
        <v>102</v>
      </c>
      <c r="D277" t="s">
        <v>3339</v>
      </c>
      <c r="E277" t="s">
        <v>559</v>
      </c>
      <c r="F277">
        <v>1</v>
      </c>
      <c r="G277" t="s">
        <v>2050</v>
      </c>
      <c r="H277" t="s">
        <v>2051</v>
      </c>
      <c r="I277" t="s">
        <v>53</v>
      </c>
      <c r="J277" t="s">
        <v>67</v>
      </c>
      <c r="K277" t="s">
        <v>68</v>
      </c>
      <c r="L277" t="s">
        <v>2052</v>
      </c>
      <c r="M277" t="s">
        <v>2053</v>
      </c>
      <c r="N277">
        <v>0</v>
      </c>
      <c r="O277">
        <v>0</v>
      </c>
      <c r="P277">
        <v>0</v>
      </c>
      <c r="Q277">
        <v>1440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379</v>
      </c>
      <c r="AH277" s="21" t="s">
        <v>3424</v>
      </c>
      <c r="AI277" s="21">
        <v>107.92500000000001</v>
      </c>
      <c r="AJ277" s="21">
        <v>100</v>
      </c>
      <c r="AK277" s="21" t="s">
        <v>2054</v>
      </c>
      <c r="AL277" t="s">
        <v>70</v>
      </c>
      <c r="AM277" t="s">
        <v>2027</v>
      </c>
    </row>
    <row r="278" spans="1:39" ht="15" hidden="1" thickTop="1" x14ac:dyDescent="0.35">
      <c r="A278" t="s">
        <v>3317</v>
      </c>
      <c r="B278" t="s">
        <v>3340</v>
      </c>
      <c r="C278" t="s">
        <v>102</v>
      </c>
      <c r="D278" t="s">
        <v>3341</v>
      </c>
      <c r="E278" t="s">
        <v>559</v>
      </c>
      <c r="F278">
        <v>1</v>
      </c>
      <c r="G278" t="s">
        <v>2050</v>
      </c>
      <c r="H278" t="s">
        <v>2051</v>
      </c>
      <c r="I278" t="s">
        <v>53</v>
      </c>
      <c r="J278" t="s">
        <v>67</v>
      </c>
      <c r="K278" t="s">
        <v>68</v>
      </c>
      <c r="L278" t="s">
        <v>2052</v>
      </c>
      <c r="M278" t="s">
        <v>2053</v>
      </c>
      <c r="N278">
        <v>0</v>
      </c>
      <c r="O278">
        <v>0</v>
      </c>
      <c r="P278">
        <v>0</v>
      </c>
      <c r="Q278">
        <v>1440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380</v>
      </c>
      <c r="AH278" s="21" t="s">
        <v>3425</v>
      </c>
      <c r="AI278" s="21">
        <v>107.92500000000001</v>
      </c>
      <c r="AJ278" s="21">
        <v>100</v>
      </c>
      <c r="AK278" s="21" t="s">
        <v>2054</v>
      </c>
      <c r="AL278" t="s">
        <v>70</v>
      </c>
      <c r="AM278" t="s">
        <v>2028</v>
      </c>
    </row>
    <row r="279" spans="1:39" ht="15" hidden="1" thickTop="1" x14ac:dyDescent="0.35">
      <c r="A279" t="s">
        <v>3318</v>
      </c>
      <c r="B279" t="s">
        <v>3342</v>
      </c>
      <c r="C279" t="s">
        <v>66</v>
      </c>
      <c r="D279" t="s">
        <v>3343</v>
      </c>
      <c r="E279" t="s">
        <v>559</v>
      </c>
      <c r="F279">
        <v>2</v>
      </c>
      <c r="G279" t="s">
        <v>2050</v>
      </c>
      <c r="H279" t="s">
        <v>2051</v>
      </c>
      <c r="I279" t="s">
        <v>53</v>
      </c>
      <c r="J279" t="s">
        <v>67</v>
      </c>
      <c r="K279" t="s">
        <v>68</v>
      </c>
      <c r="L279" t="s">
        <v>2052</v>
      </c>
      <c r="M279" t="s">
        <v>2053</v>
      </c>
      <c r="N279">
        <v>0</v>
      </c>
      <c r="O279">
        <v>0</v>
      </c>
      <c r="P279">
        <v>0</v>
      </c>
      <c r="Q279">
        <v>1440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381</v>
      </c>
      <c r="AH279" s="21" t="s">
        <v>3425</v>
      </c>
      <c r="AI279" s="21">
        <v>107.92500000000001</v>
      </c>
      <c r="AJ279" s="21">
        <v>100</v>
      </c>
      <c r="AK279" s="21" t="s">
        <v>2054</v>
      </c>
      <c r="AL279" t="s">
        <v>70</v>
      </c>
      <c r="AM279" t="s">
        <v>2028</v>
      </c>
    </row>
    <row r="280" spans="1:39" ht="15" hidden="1" thickTop="1" x14ac:dyDescent="0.35">
      <c r="A280" t="s">
        <v>2620</v>
      </c>
      <c r="B280" t="s">
        <v>3344</v>
      </c>
      <c r="C280" t="s">
        <v>78</v>
      </c>
      <c r="D280" t="s">
        <v>3345</v>
      </c>
      <c r="E280" t="s">
        <v>559</v>
      </c>
      <c r="F280">
        <v>1</v>
      </c>
      <c r="G280" t="s">
        <v>2050</v>
      </c>
      <c r="H280" t="s">
        <v>2051</v>
      </c>
      <c r="I280" t="s">
        <v>53</v>
      </c>
      <c r="J280" t="s">
        <v>67</v>
      </c>
      <c r="K280" t="s">
        <v>68</v>
      </c>
      <c r="L280" t="s">
        <v>2052</v>
      </c>
      <c r="M280" t="s">
        <v>2064</v>
      </c>
      <c r="N280">
        <v>0</v>
      </c>
      <c r="O280">
        <v>0</v>
      </c>
      <c r="P280">
        <v>0</v>
      </c>
      <c r="Q280">
        <v>900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382</v>
      </c>
      <c r="AH280" s="21" t="s">
        <v>3424</v>
      </c>
      <c r="AI280" s="21">
        <v>67.5</v>
      </c>
      <c r="AJ280" s="21">
        <v>100</v>
      </c>
      <c r="AK280" s="21" t="s">
        <v>2055</v>
      </c>
      <c r="AL280" t="s">
        <v>70</v>
      </c>
      <c r="AM280" t="s">
        <v>2028</v>
      </c>
    </row>
    <row r="281" spans="1:39" ht="15" hidden="1" thickTop="1" x14ac:dyDescent="0.35">
      <c r="A281" t="s">
        <v>3319</v>
      </c>
      <c r="B281" t="s">
        <v>3347</v>
      </c>
      <c r="C281" t="s">
        <v>78</v>
      </c>
      <c r="D281" t="s">
        <v>3348</v>
      </c>
      <c r="E281" t="s">
        <v>559</v>
      </c>
      <c r="F281">
        <v>2</v>
      </c>
      <c r="G281" t="s">
        <v>2050</v>
      </c>
      <c r="H281" t="s">
        <v>2051</v>
      </c>
      <c r="I281" t="s">
        <v>53</v>
      </c>
      <c r="J281" t="s">
        <v>67</v>
      </c>
      <c r="K281" t="s">
        <v>68</v>
      </c>
      <c r="L281" t="s">
        <v>2052</v>
      </c>
      <c r="M281" t="s">
        <v>2053</v>
      </c>
      <c r="N281">
        <v>0</v>
      </c>
      <c r="O281">
        <v>0</v>
      </c>
      <c r="P281">
        <v>0</v>
      </c>
      <c r="Q281">
        <v>1440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383</v>
      </c>
      <c r="AH281" s="21" t="s">
        <v>3425</v>
      </c>
      <c r="AI281" s="21">
        <v>107.92500000000001</v>
      </c>
      <c r="AJ281" s="21">
        <v>100</v>
      </c>
      <c r="AK281" s="21" t="s">
        <v>2054</v>
      </c>
      <c r="AL281" t="s">
        <v>70</v>
      </c>
      <c r="AM281" t="s">
        <v>2028</v>
      </c>
    </row>
    <row r="282" spans="1:39" ht="15" hidden="1" thickTop="1" x14ac:dyDescent="0.35">
      <c r="A282" t="s">
        <v>3323</v>
      </c>
      <c r="B282" t="s">
        <v>3352</v>
      </c>
      <c r="C282" t="s">
        <v>100</v>
      </c>
      <c r="D282" t="s">
        <v>3353</v>
      </c>
      <c r="E282" t="s">
        <v>559</v>
      </c>
      <c r="F282">
        <v>1</v>
      </c>
      <c r="G282" t="s">
        <v>2050</v>
      </c>
      <c r="H282" t="s">
        <v>2051</v>
      </c>
      <c r="I282" t="s">
        <v>53</v>
      </c>
      <c r="J282" t="s">
        <v>67</v>
      </c>
      <c r="K282" t="s">
        <v>68</v>
      </c>
      <c r="L282" t="s">
        <v>2052</v>
      </c>
      <c r="M282" t="s">
        <v>2053</v>
      </c>
      <c r="N282">
        <v>0</v>
      </c>
      <c r="O282">
        <v>0</v>
      </c>
      <c r="P282">
        <v>0</v>
      </c>
      <c r="Q282">
        <v>1440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384</v>
      </c>
      <c r="AH282" s="21" t="s">
        <v>3425</v>
      </c>
      <c r="AI282" s="21">
        <v>107.92500000000001</v>
      </c>
      <c r="AJ282" s="21">
        <v>100</v>
      </c>
      <c r="AK282" s="21" t="s">
        <v>2054</v>
      </c>
      <c r="AL282" t="s">
        <v>70</v>
      </c>
      <c r="AM282" t="s">
        <v>2031</v>
      </c>
    </row>
    <row r="283" spans="1:39" ht="15" hidden="1" thickTop="1" x14ac:dyDescent="0.35">
      <c r="A283" t="s">
        <v>2623</v>
      </c>
      <c r="B283" t="s">
        <v>3354</v>
      </c>
      <c r="C283" t="s">
        <v>86</v>
      </c>
      <c r="D283" t="s">
        <v>3355</v>
      </c>
      <c r="E283" t="s">
        <v>72</v>
      </c>
      <c r="F283">
        <v>1</v>
      </c>
      <c r="G283" t="s">
        <v>2050</v>
      </c>
      <c r="H283" t="s">
        <v>2051</v>
      </c>
      <c r="I283" t="s">
        <v>53</v>
      </c>
      <c r="J283" t="s">
        <v>73</v>
      </c>
      <c r="K283" t="s">
        <v>68</v>
      </c>
      <c r="L283" t="s">
        <v>2052</v>
      </c>
      <c r="M283" t="s">
        <v>2053</v>
      </c>
      <c r="N283">
        <v>0</v>
      </c>
      <c r="O283">
        <v>0</v>
      </c>
      <c r="P283">
        <v>0</v>
      </c>
      <c r="Q283">
        <v>1440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t="s">
        <v>385</v>
      </c>
      <c r="AH283" s="21" t="s">
        <v>3427</v>
      </c>
      <c r="AI283" s="21">
        <v>107.92500000000001</v>
      </c>
      <c r="AJ283" s="21">
        <v>100</v>
      </c>
      <c r="AK283" s="21" t="s">
        <v>2054</v>
      </c>
      <c r="AL283" t="s">
        <v>75</v>
      </c>
      <c r="AM283" t="s">
        <v>2027</v>
      </c>
    </row>
    <row r="284" spans="1:39" ht="15" hidden="1" thickTop="1" x14ac:dyDescent="0.35">
      <c r="A284" t="s">
        <v>3328</v>
      </c>
      <c r="B284" t="s">
        <v>3356</v>
      </c>
      <c r="C284" t="s">
        <v>71</v>
      </c>
      <c r="D284" t="s">
        <v>3357</v>
      </c>
      <c r="E284" t="s">
        <v>72</v>
      </c>
      <c r="F284">
        <v>1</v>
      </c>
      <c r="G284" t="s">
        <v>2050</v>
      </c>
      <c r="H284" t="s">
        <v>2051</v>
      </c>
      <c r="I284" t="s">
        <v>53</v>
      </c>
      <c r="J284" t="s">
        <v>73</v>
      </c>
      <c r="K284" t="s">
        <v>68</v>
      </c>
      <c r="L284" t="s">
        <v>2052</v>
      </c>
      <c r="M284" t="s">
        <v>2053</v>
      </c>
      <c r="N284">
        <v>0</v>
      </c>
      <c r="O284">
        <v>0</v>
      </c>
      <c r="P284">
        <v>0</v>
      </c>
      <c r="Q284">
        <v>1440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t="s">
        <v>386</v>
      </c>
      <c r="AH284" s="21" t="s">
        <v>3424</v>
      </c>
      <c r="AI284" s="21">
        <v>107.92500000000001</v>
      </c>
      <c r="AJ284" s="21">
        <v>100</v>
      </c>
      <c r="AK284" s="21" t="s">
        <v>2054</v>
      </c>
      <c r="AL284" t="s">
        <v>75</v>
      </c>
      <c r="AM284" t="s">
        <v>2028</v>
      </c>
    </row>
    <row r="285" spans="1:39" ht="15" hidden="1" thickTop="1" x14ac:dyDescent="0.35">
      <c r="A285" t="s">
        <v>3329</v>
      </c>
      <c r="B285" t="s">
        <v>3358</v>
      </c>
      <c r="C285" t="s">
        <v>66</v>
      </c>
      <c r="D285" t="s">
        <v>3359</v>
      </c>
      <c r="E285" t="s">
        <v>559</v>
      </c>
      <c r="F285">
        <v>1</v>
      </c>
      <c r="G285" t="s">
        <v>2050</v>
      </c>
      <c r="H285" t="s">
        <v>2051</v>
      </c>
      <c r="I285" t="s">
        <v>53</v>
      </c>
      <c r="J285" t="s">
        <v>67</v>
      </c>
      <c r="K285" t="s">
        <v>68</v>
      </c>
      <c r="L285" t="s">
        <v>2052</v>
      </c>
      <c r="M285" t="s">
        <v>2053</v>
      </c>
      <c r="N285">
        <v>0</v>
      </c>
      <c r="O285">
        <v>0</v>
      </c>
      <c r="P285">
        <v>0</v>
      </c>
      <c r="Q285">
        <v>1440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387</v>
      </c>
      <c r="AH285" s="21" t="s">
        <v>3425</v>
      </c>
      <c r="AI285" s="21">
        <v>107.92500000000001</v>
      </c>
      <c r="AJ285" s="21">
        <v>100</v>
      </c>
      <c r="AK285" s="21" t="s">
        <v>2054</v>
      </c>
      <c r="AL285" t="s">
        <v>70</v>
      </c>
      <c r="AM285" t="s">
        <v>2028</v>
      </c>
    </row>
    <row r="286" spans="1:39" ht="15" hidden="1" thickTop="1" x14ac:dyDescent="0.35">
      <c r="A286" t="s">
        <v>3334</v>
      </c>
      <c r="B286" t="s">
        <v>3361</v>
      </c>
      <c r="C286" t="s">
        <v>76</v>
      </c>
      <c r="D286" t="s">
        <v>3362</v>
      </c>
      <c r="E286" t="s">
        <v>559</v>
      </c>
      <c r="F286">
        <v>2</v>
      </c>
      <c r="G286" t="s">
        <v>2050</v>
      </c>
      <c r="H286" t="s">
        <v>2051</v>
      </c>
      <c r="I286" t="s">
        <v>53</v>
      </c>
      <c r="J286" t="s">
        <v>67</v>
      </c>
      <c r="K286" t="s">
        <v>68</v>
      </c>
      <c r="L286" t="s">
        <v>2052</v>
      </c>
      <c r="M286" t="s">
        <v>2064</v>
      </c>
      <c r="N286">
        <v>0</v>
      </c>
      <c r="O286">
        <v>0</v>
      </c>
      <c r="P286">
        <v>0</v>
      </c>
      <c r="Q286">
        <v>900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t="s">
        <v>388</v>
      </c>
      <c r="AH286" s="21" t="s">
        <v>3424</v>
      </c>
      <c r="AI286" s="21">
        <v>67.5</v>
      </c>
      <c r="AJ286" s="21">
        <v>100</v>
      </c>
      <c r="AK286" s="21" t="s">
        <v>2055</v>
      </c>
      <c r="AL286" t="s">
        <v>70</v>
      </c>
      <c r="AM286" t="s">
        <v>2029</v>
      </c>
    </row>
    <row r="287" spans="1:39" ht="15" hidden="1" thickTop="1" x14ac:dyDescent="0.35">
      <c r="A287" t="s">
        <v>3350</v>
      </c>
      <c r="B287" t="s">
        <v>3369</v>
      </c>
      <c r="C287" t="s">
        <v>100</v>
      </c>
      <c r="D287" t="s">
        <v>3370</v>
      </c>
      <c r="E287" t="s">
        <v>559</v>
      </c>
      <c r="F287">
        <v>1</v>
      </c>
      <c r="G287" t="s">
        <v>2050</v>
      </c>
      <c r="H287" t="s">
        <v>2051</v>
      </c>
      <c r="I287" t="s">
        <v>53</v>
      </c>
      <c r="J287" t="s">
        <v>67</v>
      </c>
      <c r="K287" t="s">
        <v>68</v>
      </c>
      <c r="L287" t="s">
        <v>2052</v>
      </c>
      <c r="M287" t="s">
        <v>2053</v>
      </c>
      <c r="N287">
        <v>0</v>
      </c>
      <c r="O287">
        <v>0</v>
      </c>
      <c r="P287">
        <v>0</v>
      </c>
      <c r="Q287">
        <v>1440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389</v>
      </c>
      <c r="AH287" s="21" t="s">
        <v>3427</v>
      </c>
      <c r="AI287" s="21">
        <v>107.92500000000001</v>
      </c>
      <c r="AJ287" s="21">
        <v>100</v>
      </c>
      <c r="AK287" s="21" t="s">
        <v>2054</v>
      </c>
      <c r="AL287" t="s">
        <v>70</v>
      </c>
      <c r="AM287" t="s">
        <v>2031</v>
      </c>
    </row>
    <row r="288" spans="1:39" ht="15" hidden="1" thickTop="1" x14ac:dyDescent="0.35">
      <c r="A288" t="s">
        <v>3366</v>
      </c>
      <c r="B288" t="s">
        <v>3371</v>
      </c>
      <c r="C288" t="s">
        <v>100</v>
      </c>
      <c r="D288" t="s">
        <v>3372</v>
      </c>
      <c r="E288" t="s">
        <v>559</v>
      </c>
      <c r="F288">
        <v>1</v>
      </c>
      <c r="G288" t="s">
        <v>2050</v>
      </c>
      <c r="H288" t="s">
        <v>2051</v>
      </c>
      <c r="I288" t="s">
        <v>53</v>
      </c>
      <c r="J288" t="s">
        <v>67</v>
      </c>
      <c r="K288" t="s">
        <v>68</v>
      </c>
      <c r="L288" t="s">
        <v>2052</v>
      </c>
      <c r="M288" t="s">
        <v>2064</v>
      </c>
      <c r="N288">
        <v>0</v>
      </c>
      <c r="O288">
        <v>0</v>
      </c>
      <c r="P288">
        <v>0</v>
      </c>
      <c r="Q288">
        <v>900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390</v>
      </c>
      <c r="AH288" s="21" t="s">
        <v>3424</v>
      </c>
      <c r="AI288" s="21">
        <v>67.5</v>
      </c>
      <c r="AJ288" s="21">
        <v>100</v>
      </c>
      <c r="AK288" s="21" t="s">
        <v>2054</v>
      </c>
      <c r="AL288" t="s">
        <v>70</v>
      </c>
      <c r="AM288" t="s">
        <v>2028</v>
      </c>
    </row>
    <row r="289" spans="1:39" ht="15" hidden="1" thickTop="1" x14ac:dyDescent="0.35">
      <c r="A289" t="s">
        <v>3367</v>
      </c>
      <c r="B289" t="s">
        <v>3373</v>
      </c>
      <c r="C289" t="s">
        <v>92</v>
      </c>
      <c r="D289" t="s">
        <v>3374</v>
      </c>
      <c r="E289" t="s">
        <v>119</v>
      </c>
      <c r="F289">
        <v>1</v>
      </c>
      <c r="G289" t="s">
        <v>2050</v>
      </c>
      <c r="H289" t="s">
        <v>2051</v>
      </c>
      <c r="I289" t="s">
        <v>53</v>
      </c>
      <c r="J289" t="s">
        <v>67</v>
      </c>
      <c r="K289" t="s">
        <v>68</v>
      </c>
      <c r="L289" t="s">
        <v>2052</v>
      </c>
      <c r="M289" t="s">
        <v>2064</v>
      </c>
      <c r="N289">
        <v>0</v>
      </c>
      <c r="O289">
        <v>0</v>
      </c>
      <c r="P289">
        <v>0</v>
      </c>
      <c r="Q289">
        <v>900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391</v>
      </c>
      <c r="AH289" s="21" t="s">
        <v>3425</v>
      </c>
      <c r="AI289" s="21">
        <v>67.5</v>
      </c>
      <c r="AJ289" s="21">
        <v>100</v>
      </c>
      <c r="AK289" s="21" t="s">
        <v>2054</v>
      </c>
      <c r="AL289" t="s">
        <v>70</v>
      </c>
      <c r="AM289" t="s">
        <v>2030</v>
      </c>
    </row>
    <row r="290" spans="1:39" ht="15" thickTop="1" x14ac:dyDescent="0.35">
      <c r="AH290" s="21"/>
      <c r="AI290" s="21"/>
      <c r="AJ290" s="21"/>
      <c r="AK290" s="21"/>
    </row>
    <row r="291" spans="1:39" x14ac:dyDescent="0.35">
      <c r="AH291" s="21"/>
      <c r="AI291" s="21"/>
      <c r="AJ291" s="21"/>
      <c r="AK291" s="21"/>
    </row>
    <row r="292" spans="1:39" x14ac:dyDescent="0.35">
      <c r="AH292" s="21"/>
      <c r="AI292" s="21"/>
      <c r="AJ292" s="21"/>
      <c r="AK292" s="21"/>
    </row>
    <row r="293" spans="1:39" x14ac:dyDescent="0.35">
      <c r="AH293" s="21"/>
      <c r="AI293" s="21"/>
      <c r="AJ293" s="21"/>
      <c r="AK293" s="21"/>
    </row>
    <row r="294" spans="1:39" x14ac:dyDescent="0.35">
      <c r="AH294" s="21"/>
      <c r="AI294" s="21"/>
      <c r="AJ294" s="21"/>
      <c r="AK294" s="21"/>
    </row>
    <row r="295" spans="1:39" x14ac:dyDescent="0.35">
      <c r="AH295" s="21"/>
      <c r="AI295" s="21"/>
      <c r="AJ295" s="21"/>
      <c r="AK295" s="21"/>
    </row>
    <row r="296" spans="1:39" x14ac:dyDescent="0.35">
      <c r="AH296" s="21"/>
      <c r="AI296" s="21"/>
      <c r="AJ296" s="21"/>
      <c r="AK296" s="21"/>
    </row>
    <row r="297" spans="1:39" x14ac:dyDescent="0.35">
      <c r="AH297" s="21"/>
      <c r="AI297" s="21"/>
      <c r="AJ297" s="21"/>
      <c r="AK297" s="21"/>
    </row>
    <row r="298" spans="1:39" x14ac:dyDescent="0.35">
      <c r="AH298" s="21"/>
      <c r="AI298" s="21"/>
      <c r="AJ298" s="21"/>
      <c r="AK298" s="21"/>
    </row>
    <row r="299" spans="1:39" x14ac:dyDescent="0.35">
      <c r="AH299" s="21"/>
      <c r="AI299" s="21"/>
      <c r="AJ299" s="21"/>
      <c r="AK299" s="21"/>
    </row>
    <row r="300" spans="1:39" x14ac:dyDescent="0.35">
      <c r="AH300" s="21"/>
      <c r="AI300" s="21"/>
      <c r="AJ300" s="21"/>
      <c r="AK300" s="21"/>
    </row>
    <row r="301" spans="1:39" x14ac:dyDescent="0.35">
      <c r="AH301" s="21"/>
      <c r="AI301" s="21"/>
      <c r="AJ301" s="21"/>
      <c r="AK301" s="21"/>
    </row>
    <row r="302" spans="1:39" x14ac:dyDescent="0.35">
      <c r="AH302" s="21"/>
      <c r="AI302" s="21"/>
      <c r="AJ302" s="21"/>
      <c r="AK302" s="21"/>
    </row>
    <row r="303" spans="1:39" x14ac:dyDescent="0.35">
      <c r="AH303" s="21"/>
      <c r="AI303" s="21"/>
      <c r="AJ303" s="21"/>
      <c r="AK303" s="21"/>
    </row>
    <row r="304" spans="1:39" x14ac:dyDescent="0.35">
      <c r="AH304" s="21"/>
      <c r="AI304" s="21"/>
      <c r="AJ304" s="21"/>
      <c r="AK304" s="21"/>
    </row>
    <row r="305" spans="34:37" x14ac:dyDescent="0.35">
      <c r="AH305" s="21"/>
      <c r="AI305" s="21"/>
      <c r="AJ305" s="21"/>
      <c r="AK305" s="21"/>
    </row>
    <row r="306" spans="34:37" x14ac:dyDescent="0.35">
      <c r="AH306" s="21"/>
      <c r="AI306" s="21"/>
      <c r="AJ306" s="21"/>
      <c r="AK306" s="21"/>
    </row>
    <row r="307" spans="34:37" x14ac:dyDescent="0.35">
      <c r="AH307" s="21"/>
      <c r="AI307" s="21"/>
      <c r="AJ307" s="21"/>
      <c r="AK307" s="21"/>
    </row>
    <row r="308" spans="34:37" x14ac:dyDescent="0.35">
      <c r="AH308" s="21"/>
      <c r="AI308" s="21"/>
      <c r="AJ308" s="21"/>
      <c r="AK308" s="21"/>
    </row>
    <row r="309" spans="34:37" x14ac:dyDescent="0.35">
      <c r="AH309" s="21"/>
      <c r="AI309" s="21"/>
      <c r="AJ309" s="21"/>
      <c r="AK309" s="21"/>
    </row>
    <row r="310" spans="34:37" x14ac:dyDescent="0.35">
      <c r="AH310" s="21"/>
      <c r="AI310" s="21"/>
      <c r="AJ310" s="21"/>
      <c r="AK310" s="21"/>
    </row>
    <row r="311" spans="34:37" x14ac:dyDescent="0.35">
      <c r="AH311" s="21"/>
      <c r="AI311" s="21"/>
      <c r="AJ311" s="21"/>
      <c r="AK311" s="21"/>
    </row>
    <row r="312" spans="34:37" x14ac:dyDescent="0.35">
      <c r="AH312" s="21"/>
      <c r="AI312" s="21"/>
      <c r="AJ312" s="21"/>
      <c r="AK312" s="21"/>
    </row>
    <row r="313" spans="34:37" x14ac:dyDescent="0.35">
      <c r="AH313" s="21"/>
      <c r="AI313" s="21"/>
      <c r="AJ313" s="21"/>
      <c r="AK313" s="21"/>
    </row>
    <row r="314" spans="34:37" x14ac:dyDescent="0.35">
      <c r="AH314" s="21"/>
      <c r="AI314" s="21"/>
      <c r="AJ314" s="21"/>
      <c r="AK314" s="21"/>
    </row>
    <row r="315" spans="34:37" x14ac:dyDescent="0.35">
      <c r="AH315" s="21"/>
      <c r="AI315" s="21"/>
      <c r="AJ315" s="21"/>
      <c r="AK315" s="21"/>
    </row>
    <row r="316" spans="34:37" x14ac:dyDescent="0.35">
      <c r="AH316" s="21"/>
      <c r="AI316" s="21"/>
      <c r="AJ316" s="21"/>
      <c r="AK316" s="21"/>
    </row>
    <row r="317" spans="34:37" x14ac:dyDescent="0.35">
      <c r="AH317" s="21"/>
      <c r="AI317" s="21"/>
      <c r="AJ317" s="21"/>
      <c r="AK317" s="21"/>
    </row>
    <row r="318" spans="34:37" x14ac:dyDescent="0.35">
      <c r="AH318" s="21"/>
      <c r="AI318" s="21"/>
      <c r="AJ318" s="21"/>
      <c r="AK318" s="21"/>
    </row>
    <row r="319" spans="34:37" x14ac:dyDescent="0.35">
      <c r="AH319" s="21"/>
      <c r="AI319" s="21"/>
      <c r="AJ319" s="21"/>
      <c r="AK319" s="21"/>
    </row>
    <row r="320" spans="34:37" x14ac:dyDescent="0.35">
      <c r="AH320" s="21"/>
      <c r="AI320" s="21"/>
      <c r="AJ320" s="21"/>
      <c r="AK320" s="21"/>
    </row>
    <row r="321" spans="34:37" x14ac:dyDescent="0.35">
      <c r="AH321" s="21"/>
      <c r="AI321" s="21"/>
      <c r="AJ321" s="21"/>
      <c r="AK321" s="21"/>
    </row>
    <row r="322" spans="34:37" x14ac:dyDescent="0.35">
      <c r="AH322" s="21"/>
      <c r="AI322" s="21"/>
      <c r="AJ322" s="21"/>
      <c r="AK322" s="21"/>
    </row>
    <row r="323" spans="34:37" x14ac:dyDescent="0.35">
      <c r="AH323" s="21"/>
      <c r="AI323" s="21"/>
      <c r="AJ323" s="21"/>
      <c r="AK323" s="21"/>
    </row>
    <row r="324" spans="34:37" x14ac:dyDescent="0.35">
      <c r="AH324" s="21"/>
      <c r="AI324" s="21"/>
      <c r="AJ324" s="21"/>
      <c r="AK324" s="21"/>
    </row>
    <row r="325" spans="34:37" x14ac:dyDescent="0.35">
      <c r="AH325" s="21"/>
      <c r="AI325" s="21"/>
      <c r="AJ325" s="21"/>
      <c r="AK325" s="21"/>
    </row>
    <row r="326" spans="34:37" x14ac:dyDescent="0.35">
      <c r="AH326" s="21"/>
      <c r="AI326" s="21"/>
      <c r="AJ326" s="21"/>
      <c r="AK326" s="21"/>
    </row>
    <row r="327" spans="34:37" x14ac:dyDescent="0.35">
      <c r="AH327" s="21"/>
      <c r="AI327" s="21"/>
      <c r="AJ327" s="21"/>
      <c r="AK327" s="21"/>
    </row>
    <row r="328" spans="34:37" x14ac:dyDescent="0.35">
      <c r="AH328" s="21"/>
      <c r="AI328" s="21"/>
      <c r="AJ328" s="21"/>
      <c r="AK328" s="21"/>
    </row>
    <row r="329" spans="34:37" x14ac:dyDescent="0.35">
      <c r="AH329" s="21"/>
      <c r="AI329" s="21"/>
      <c r="AJ329" s="21"/>
      <c r="AK329" s="21"/>
    </row>
    <row r="330" spans="34:37" x14ac:dyDescent="0.35">
      <c r="AH330" s="21"/>
      <c r="AI330" s="21"/>
      <c r="AJ330" s="21"/>
      <c r="AK330" s="21"/>
    </row>
    <row r="331" spans="34:37" x14ac:dyDescent="0.35">
      <c r="AH331" s="21"/>
      <c r="AI331" s="21"/>
      <c r="AJ331" s="21"/>
      <c r="AK331" s="21"/>
    </row>
    <row r="332" spans="34:37" x14ac:dyDescent="0.35">
      <c r="AH332" s="21"/>
      <c r="AI332" s="21"/>
      <c r="AJ332" s="21"/>
      <c r="AK332" s="21"/>
    </row>
    <row r="333" spans="34:37" x14ac:dyDescent="0.35">
      <c r="AH333" s="21"/>
      <c r="AI333" s="21"/>
      <c r="AJ333" s="21"/>
      <c r="AK333" s="21"/>
    </row>
    <row r="334" spans="34:37" x14ac:dyDescent="0.35">
      <c r="AH334" s="21"/>
      <c r="AI334" s="21"/>
      <c r="AJ334" s="21"/>
      <c r="AK334" s="21"/>
    </row>
    <row r="335" spans="34:37" x14ac:dyDescent="0.35">
      <c r="AH335" s="21"/>
      <c r="AI335" s="21"/>
      <c r="AJ335" s="21"/>
      <c r="AK335" s="21"/>
    </row>
    <row r="336" spans="34:37" x14ac:dyDescent="0.35">
      <c r="AH336" s="21"/>
      <c r="AI336" s="21"/>
      <c r="AJ336" s="21"/>
      <c r="AK336" s="21"/>
    </row>
    <row r="337" spans="34:37" x14ac:dyDescent="0.35">
      <c r="AH337" s="21"/>
      <c r="AI337" s="21"/>
      <c r="AJ337" s="21"/>
      <c r="AK337" s="21"/>
    </row>
    <row r="338" spans="34:37" x14ac:dyDescent="0.35">
      <c r="AH338" s="21"/>
      <c r="AI338" s="21"/>
      <c r="AJ338" s="21"/>
      <c r="AK338" s="21"/>
    </row>
    <row r="339" spans="34:37" x14ac:dyDescent="0.35">
      <c r="AH339" s="21"/>
      <c r="AI339" s="21"/>
      <c r="AJ339" s="21"/>
      <c r="AK339" s="21"/>
    </row>
    <row r="340" spans="34:37" x14ac:dyDescent="0.35">
      <c r="AH340" s="21"/>
      <c r="AI340" s="21"/>
      <c r="AJ340" s="21"/>
      <c r="AK340" s="21"/>
    </row>
    <row r="341" spans="34:37" x14ac:dyDescent="0.35">
      <c r="AH341" s="21"/>
      <c r="AI341" s="21"/>
      <c r="AJ341" s="21"/>
      <c r="AK341" s="21"/>
    </row>
    <row r="342" spans="34:37" x14ac:dyDescent="0.35">
      <c r="AH342" s="21"/>
      <c r="AI342" s="21"/>
      <c r="AJ342" s="21"/>
      <c r="AK342" s="21"/>
    </row>
    <row r="343" spans="34:37" x14ac:dyDescent="0.35">
      <c r="AH343" s="21"/>
      <c r="AI343" s="21"/>
      <c r="AJ343" s="21"/>
      <c r="AK343" s="21"/>
    </row>
    <row r="344" spans="34:37" x14ac:dyDescent="0.35">
      <c r="AH344" s="21"/>
      <c r="AI344" s="21"/>
      <c r="AJ344" s="21"/>
      <c r="AK344" s="21"/>
    </row>
    <row r="345" spans="34:37" x14ac:dyDescent="0.35">
      <c r="AH345" s="21"/>
      <c r="AI345" s="21"/>
      <c r="AJ345" s="21"/>
      <c r="AK345" s="21"/>
    </row>
    <row r="346" spans="34:37" x14ac:dyDescent="0.35">
      <c r="AH346" s="21"/>
      <c r="AI346" s="21"/>
      <c r="AJ346" s="21"/>
      <c r="AK346" s="21"/>
    </row>
    <row r="347" spans="34:37" x14ac:dyDescent="0.35">
      <c r="AH347" s="21"/>
      <c r="AI347" s="21"/>
      <c r="AJ347" s="21"/>
      <c r="AK347" s="21"/>
    </row>
    <row r="348" spans="34:37" x14ac:dyDescent="0.35">
      <c r="AH348" s="21"/>
      <c r="AI348" s="21"/>
      <c r="AJ348" s="21"/>
      <c r="AK348" s="21"/>
    </row>
    <row r="349" spans="34:37" x14ac:dyDescent="0.35">
      <c r="AH349" s="21"/>
      <c r="AI349" s="21"/>
      <c r="AJ349" s="21"/>
      <c r="AK349" s="21"/>
    </row>
    <row r="350" spans="34:37" x14ac:dyDescent="0.35">
      <c r="AH350" s="21"/>
      <c r="AI350" s="21"/>
      <c r="AJ350" s="21"/>
      <c r="AK350" s="21"/>
    </row>
    <row r="351" spans="34:37" x14ac:dyDescent="0.35">
      <c r="AH351" s="21"/>
      <c r="AI351" s="21"/>
      <c r="AJ351" s="21"/>
      <c r="AK351" s="21"/>
    </row>
    <row r="352" spans="34:37" x14ac:dyDescent="0.35">
      <c r="AH352" s="21"/>
      <c r="AI352" s="21"/>
      <c r="AJ352" s="21"/>
      <c r="AK352" s="21"/>
    </row>
    <row r="353" spans="34:37" x14ac:dyDescent="0.35">
      <c r="AH353" s="21"/>
      <c r="AI353" s="21"/>
      <c r="AJ353" s="21"/>
      <c r="AK353" s="21"/>
    </row>
    <row r="354" spans="34:37" x14ac:dyDescent="0.35">
      <c r="AH354" s="21"/>
      <c r="AI354" s="21"/>
      <c r="AJ354" s="21"/>
      <c r="AK354" s="21"/>
    </row>
    <row r="355" spans="34:37" x14ac:dyDescent="0.35">
      <c r="AH355" s="21"/>
      <c r="AI355" s="21"/>
      <c r="AJ355" s="21"/>
      <c r="AK355" s="21"/>
    </row>
    <row r="356" spans="34:37" x14ac:dyDescent="0.35">
      <c r="AH356" s="21"/>
      <c r="AI356" s="21"/>
      <c r="AJ356" s="21"/>
      <c r="AK356" s="21"/>
    </row>
    <row r="357" spans="34:37" x14ac:dyDescent="0.35">
      <c r="AH357" s="21"/>
      <c r="AI357" s="21"/>
      <c r="AJ357" s="21"/>
      <c r="AK357" s="21"/>
    </row>
    <row r="358" spans="34:37" x14ac:dyDescent="0.35">
      <c r="AH358" s="21"/>
      <c r="AI358" s="21"/>
      <c r="AJ358" s="21"/>
      <c r="AK358" s="21"/>
    </row>
    <row r="359" spans="34:37" x14ac:dyDescent="0.35">
      <c r="AH359" s="21"/>
      <c r="AI359" s="21"/>
      <c r="AJ359" s="21"/>
      <c r="AK359" s="21"/>
    </row>
    <row r="360" spans="34:37" x14ac:dyDescent="0.35">
      <c r="AH360" s="21"/>
      <c r="AI360" s="21"/>
      <c r="AJ360" s="21"/>
      <c r="AK360" s="21"/>
    </row>
    <row r="361" spans="34:37" x14ac:dyDescent="0.35">
      <c r="AH361" s="21"/>
      <c r="AI361" s="21"/>
      <c r="AJ361" s="21"/>
      <c r="AK361" s="21"/>
    </row>
    <row r="362" spans="34:37" x14ac:dyDescent="0.35">
      <c r="AH362" s="21"/>
      <c r="AI362" s="21"/>
      <c r="AJ362" s="21"/>
      <c r="AK362" s="21"/>
    </row>
    <row r="363" spans="34:37" x14ac:dyDescent="0.35">
      <c r="AH363" s="21"/>
      <c r="AI363" s="21"/>
      <c r="AJ363" s="21"/>
      <c r="AK363" s="21"/>
    </row>
    <row r="364" spans="34:37" x14ac:dyDescent="0.35">
      <c r="AH364" s="21"/>
      <c r="AI364" s="21"/>
      <c r="AJ364" s="21"/>
      <c r="AK364" s="21"/>
    </row>
    <row r="365" spans="34:37" x14ac:dyDescent="0.35">
      <c r="AH365" s="21"/>
      <c r="AI365" s="21"/>
      <c r="AJ365" s="21"/>
      <c r="AK365" s="21"/>
    </row>
    <row r="366" spans="34:37" x14ac:dyDescent="0.35">
      <c r="AH366" s="21"/>
      <c r="AI366" s="21"/>
      <c r="AJ366" s="21"/>
      <c r="AK366" s="21"/>
    </row>
    <row r="367" spans="34:37" x14ac:dyDescent="0.35">
      <c r="AH367" s="21"/>
      <c r="AI367" s="21"/>
      <c r="AJ367" s="21"/>
      <c r="AK367" s="21"/>
    </row>
    <row r="368" spans="34:37" x14ac:dyDescent="0.35">
      <c r="AH368" s="21"/>
      <c r="AI368" s="21"/>
      <c r="AJ368" s="21"/>
      <c r="AK368" s="21"/>
    </row>
    <row r="369" spans="34:37" x14ac:dyDescent="0.35">
      <c r="AH369" s="21"/>
      <c r="AI369" s="21"/>
      <c r="AJ369" s="21"/>
      <c r="AK369" s="21"/>
    </row>
    <row r="370" spans="34:37" x14ac:dyDescent="0.35">
      <c r="AH370" s="21"/>
      <c r="AI370" s="21"/>
      <c r="AJ370" s="21"/>
      <c r="AK370" s="21"/>
    </row>
    <row r="371" spans="34:37" x14ac:dyDescent="0.35">
      <c r="AH371" s="21"/>
      <c r="AI371" s="21"/>
      <c r="AJ371" s="21"/>
      <c r="AK371" s="21"/>
    </row>
    <row r="372" spans="34:37" x14ac:dyDescent="0.35">
      <c r="AH372" s="21"/>
      <c r="AI372" s="21"/>
      <c r="AJ372" s="21"/>
      <c r="AK372" s="21"/>
    </row>
    <row r="373" spans="34:37" x14ac:dyDescent="0.35">
      <c r="AH373" s="21"/>
      <c r="AI373" s="21"/>
      <c r="AJ373" s="21"/>
      <c r="AK373" s="21"/>
    </row>
    <row r="374" spans="34:37" x14ac:dyDescent="0.35">
      <c r="AH374" s="21"/>
      <c r="AI374" s="21"/>
      <c r="AJ374" s="21"/>
      <c r="AK374" s="21"/>
    </row>
    <row r="375" spans="34:37" x14ac:dyDescent="0.35">
      <c r="AH375" s="21"/>
      <c r="AI375" s="21"/>
      <c r="AJ375" s="21"/>
      <c r="AK375" s="21"/>
    </row>
    <row r="376" spans="34:37" x14ac:dyDescent="0.35">
      <c r="AH376" s="21"/>
      <c r="AI376" s="21"/>
      <c r="AJ376" s="21"/>
      <c r="AK376" s="21"/>
    </row>
    <row r="377" spans="34:37" x14ac:dyDescent="0.35">
      <c r="AH377" s="21"/>
      <c r="AI377" s="21"/>
      <c r="AJ377" s="21"/>
      <c r="AK377" s="21"/>
    </row>
    <row r="378" spans="34:37" x14ac:dyDescent="0.35">
      <c r="AH378" s="21"/>
      <c r="AI378" s="21"/>
      <c r="AJ378" s="21"/>
      <c r="AK378" s="21"/>
    </row>
    <row r="379" spans="34:37" x14ac:dyDescent="0.35">
      <c r="AH379" s="21"/>
      <c r="AI379" s="21"/>
      <c r="AJ379" s="21"/>
      <c r="AK379" s="21"/>
    </row>
    <row r="380" spans="34:37" x14ac:dyDescent="0.35">
      <c r="AH380" s="21"/>
      <c r="AI380" s="21"/>
      <c r="AJ380" s="21"/>
      <c r="AK380" s="21"/>
    </row>
    <row r="381" spans="34:37" x14ac:dyDescent="0.35">
      <c r="AH381" s="21"/>
      <c r="AI381" s="21"/>
      <c r="AJ381" s="21"/>
      <c r="AK381" s="21"/>
    </row>
    <row r="382" spans="34:37" x14ac:dyDescent="0.35">
      <c r="AH382" s="21"/>
      <c r="AI382" s="21"/>
      <c r="AJ382" s="21"/>
      <c r="AK382" s="21"/>
    </row>
    <row r="383" spans="34:37" x14ac:dyDescent="0.35">
      <c r="AH383" s="21"/>
      <c r="AI383" s="21"/>
      <c r="AJ383" s="21"/>
      <c r="AK383" s="21"/>
    </row>
    <row r="384" spans="34:37" x14ac:dyDescent="0.35">
      <c r="AH384" s="21"/>
      <c r="AI384" s="21"/>
      <c r="AJ384" s="21"/>
      <c r="AK384" s="21"/>
    </row>
    <row r="385" spans="34:37" x14ac:dyDescent="0.35">
      <c r="AH385" s="21"/>
      <c r="AI385" s="21"/>
      <c r="AJ385" s="21"/>
      <c r="AK385" s="21"/>
    </row>
    <row r="386" spans="34:37" x14ac:dyDescent="0.35">
      <c r="AH386" s="21"/>
      <c r="AI386" s="21"/>
      <c r="AJ386" s="21"/>
      <c r="AK386" s="21"/>
    </row>
    <row r="387" spans="34:37" x14ac:dyDescent="0.35">
      <c r="AH387" s="21"/>
      <c r="AI387" s="21"/>
      <c r="AJ387" s="21"/>
      <c r="AK387" s="21"/>
    </row>
    <row r="388" spans="34:37" x14ac:dyDescent="0.35">
      <c r="AH388" s="21"/>
      <c r="AI388" s="21"/>
      <c r="AJ388" s="21"/>
      <c r="AK388" s="21"/>
    </row>
    <row r="389" spans="34:37" x14ac:dyDescent="0.35">
      <c r="AH389" s="21"/>
      <c r="AI389" s="21"/>
      <c r="AJ389" s="21"/>
      <c r="AK389" s="21"/>
    </row>
    <row r="390" spans="34:37" x14ac:dyDescent="0.35">
      <c r="AH390" s="21"/>
      <c r="AI390" s="21"/>
      <c r="AJ390" s="21"/>
      <c r="AK390" s="21"/>
    </row>
    <row r="391" spans="34:37" x14ac:dyDescent="0.35">
      <c r="AH391" s="21"/>
      <c r="AI391" s="21"/>
      <c r="AJ391" s="21"/>
      <c r="AK391" s="21"/>
    </row>
    <row r="392" spans="34:37" x14ac:dyDescent="0.35">
      <c r="AH392" s="21"/>
      <c r="AI392" s="21"/>
      <c r="AJ392" s="21"/>
      <c r="AK392" s="21"/>
    </row>
    <row r="393" spans="34:37" x14ac:dyDescent="0.35">
      <c r="AH393" s="21"/>
      <c r="AI393" s="21"/>
      <c r="AJ393" s="21"/>
      <c r="AK393" s="21"/>
    </row>
    <row r="394" spans="34:37" x14ac:dyDescent="0.35">
      <c r="AH394" s="21"/>
      <c r="AI394" s="21"/>
      <c r="AJ394" s="21"/>
      <c r="AK394" s="21"/>
    </row>
    <row r="395" spans="34:37" x14ac:dyDescent="0.35">
      <c r="AH395" s="21"/>
      <c r="AI395" s="21"/>
      <c r="AJ395" s="21"/>
      <c r="AK395" s="21"/>
    </row>
    <row r="396" spans="34:37" x14ac:dyDescent="0.35">
      <c r="AH396" s="21"/>
      <c r="AI396" s="21"/>
      <c r="AJ396" s="21"/>
      <c r="AK396" s="21"/>
    </row>
    <row r="397" spans="34:37" x14ac:dyDescent="0.35">
      <c r="AH397" s="21"/>
      <c r="AI397" s="21"/>
      <c r="AJ397" s="21"/>
      <c r="AK397" s="21"/>
    </row>
    <row r="398" spans="34:37" x14ac:dyDescent="0.35">
      <c r="AH398" s="21"/>
      <c r="AI398" s="21"/>
      <c r="AJ398" s="21"/>
      <c r="AK398" s="21"/>
    </row>
    <row r="399" spans="34:37" x14ac:dyDescent="0.35">
      <c r="AH399" s="21"/>
      <c r="AI399" s="21"/>
      <c r="AJ399" s="21"/>
      <c r="AK399" s="21"/>
    </row>
    <row r="400" spans="34:37" x14ac:dyDescent="0.35">
      <c r="AH400" s="21"/>
      <c r="AI400" s="21"/>
      <c r="AJ400" s="21"/>
      <c r="AK400" s="21"/>
    </row>
    <row r="401" spans="34:37" x14ac:dyDescent="0.35">
      <c r="AH401" s="21"/>
      <c r="AI401" s="21"/>
      <c r="AJ401" s="21"/>
      <c r="AK401" s="21"/>
    </row>
    <row r="402" spans="34:37" x14ac:dyDescent="0.35">
      <c r="AH402" s="21"/>
      <c r="AI402" s="21"/>
      <c r="AJ402" s="21"/>
      <c r="AK402" s="21"/>
    </row>
    <row r="403" spans="34:37" x14ac:dyDescent="0.35">
      <c r="AH403" s="21"/>
      <c r="AI403" s="21"/>
      <c r="AJ403" s="21"/>
      <c r="AK403" s="21"/>
    </row>
    <row r="404" spans="34:37" x14ac:dyDescent="0.35">
      <c r="AH404" s="21"/>
      <c r="AI404" s="21"/>
      <c r="AJ404" s="21"/>
      <c r="AK404" s="21"/>
    </row>
    <row r="405" spans="34:37" x14ac:dyDescent="0.35">
      <c r="AH405" s="21"/>
      <c r="AI405" s="21"/>
      <c r="AJ405" s="21"/>
      <c r="AK405" s="21"/>
    </row>
    <row r="406" spans="34:37" x14ac:dyDescent="0.35">
      <c r="AH406" s="21"/>
      <c r="AI406" s="21"/>
      <c r="AJ406" s="21"/>
      <c r="AK406" s="21"/>
    </row>
    <row r="407" spans="34:37" x14ac:dyDescent="0.35">
      <c r="AH407" s="21"/>
      <c r="AI407" s="21"/>
      <c r="AJ407" s="21"/>
      <c r="AK407" s="21"/>
    </row>
    <row r="408" spans="34:37" x14ac:dyDescent="0.35">
      <c r="AH408" s="21"/>
      <c r="AI408" s="21"/>
      <c r="AJ408" s="21"/>
      <c r="AK408" s="21"/>
    </row>
    <row r="409" spans="34:37" x14ac:dyDescent="0.35">
      <c r="AH409" s="21"/>
      <c r="AI409" s="21"/>
      <c r="AJ409" s="21"/>
      <c r="AK409" s="21"/>
    </row>
    <row r="410" spans="34:37" x14ac:dyDescent="0.35">
      <c r="AH410" s="21"/>
      <c r="AI410" s="21"/>
      <c r="AJ410" s="21"/>
      <c r="AK410" s="21"/>
    </row>
    <row r="411" spans="34:37" x14ac:dyDescent="0.35">
      <c r="AH411" s="21"/>
      <c r="AI411" s="21"/>
      <c r="AJ411" s="21"/>
      <c r="AK411" s="21"/>
    </row>
    <row r="412" spans="34:37" x14ac:dyDescent="0.35">
      <c r="AH412" s="21"/>
      <c r="AI412" s="21"/>
      <c r="AJ412" s="21"/>
      <c r="AK412" s="21"/>
    </row>
    <row r="413" spans="34:37" x14ac:dyDescent="0.35">
      <c r="AH413" s="21"/>
      <c r="AI413" s="21"/>
      <c r="AJ413" s="21"/>
      <c r="AK413" s="21"/>
    </row>
    <row r="414" spans="34:37" x14ac:dyDescent="0.35">
      <c r="AH414" s="21"/>
      <c r="AI414" s="21"/>
      <c r="AJ414" s="21"/>
      <c r="AK414" s="21"/>
    </row>
    <row r="415" spans="34:37" x14ac:dyDescent="0.35">
      <c r="AH415" s="21"/>
      <c r="AI415" s="21"/>
      <c r="AJ415" s="21"/>
      <c r="AK415" s="21"/>
    </row>
    <row r="416" spans="34:37" x14ac:dyDescent="0.35">
      <c r="AH416" s="21"/>
      <c r="AI416" s="21"/>
      <c r="AJ416" s="21"/>
      <c r="AK416" s="21"/>
    </row>
    <row r="417" spans="34:37" x14ac:dyDescent="0.35">
      <c r="AH417" s="21"/>
      <c r="AI417" s="21"/>
      <c r="AJ417" s="21"/>
      <c r="AK417" s="21"/>
    </row>
    <row r="418" spans="34:37" x14ac:dyDescent="0.35">
      <c r="AH418" s="21"/>
      <c r="AI418" s="21"/>
      <c r="AJ418" s="21"/>
      <c r="AK418" s="21"/>
    </row>
    <row r="419" spans="34:37" x14ac:dyDescent="0.35">
      <c r="AH419" s="21"/>
      <c r="AI419" s="21"/>
      <c r="AJ419" s="21"/>
      <c r="AK419" s="21"/>
    </row>
    <row r="420" spans="34:37" x14ac:dyDescent="0.35">
      <c r="AH420" s="21"/>
      <c r="AI420" s="21"/>
      <c r="AJ420" s="21"/>
      <c r="AK420" s="21"/>
    </row>
    <row r="421" spans="34:37" x14ac:dyDescent="0.35">
      <c r="AH421" s="21"/>
      <c r="AI421" s="21"/>
      <c r="AJ421" s="21"/>
      <c r="AK421" s="21"/>
    </row>
    <row r="422" spans="34:37" x14ac:dyDescent="0.35">
      <c r="AH422" s="21"/>
      <c r="AI422" s="21"/>
      <c r="AJ422" s="21"/>
      <c r="AK422" s="21"/>
    </row>
    <row r="423" spans="34:37" x14ac:dyDescent="0.35">
      <c r="AH423" s="21"/>
      <c r="AI423" s="21"/>
      <c r="AJ423" s="21"/>
      <c r="AK423" s="21"/>
    </row>
    <row r="424" spans="34:37" x14ac:dyDescent="0.35">
      <c r="AH424" s="21"/>
      <c r="AI424" s="21"/>
      <c r="AJ424" s="21"/>
      <c r="AK424" s="21"/>
    </row>
    <row r="425" spans="34:37" x14ac:dyDescent="0.35">
      <c r="AH425" s="21"/>
      <c r="AI425" s="21"/>
      <c r="AJ425" s="21"/>
      <c r="AK425" s="21"/>
    </row>
    <row r="426" spans="34:37" x14ac:dyDescent="0.35">
      <c r="AH426" s="21"/>
      <c r="AI426" s="21"/>
      <c r="AJ426" s="21"/>
      <c r="AK426" s="21"/>
    </row>
    <row r="427" spans="34:37" x14ac:dyDescent="0.35">
      <c r="AH427" s="21"/>
      <c r="AI427" s="21"/>
      <c r="AJ427" s="21"/>
      <c r="AK427" s="21"/>
    </row>
    <row r="428" spans="34:37" x14ac:dyDescent="0.35">
      <c r="AH428" s="21"/>
      <c r="AI428" s="21"/>
      <c r="AJ428" s="21"/>
      <c r="AK428" s="21"/>
    </row>
    <row r="429" spans="34:37" x14ac:dyDescent="0.35">
      <c r="AH429" s="21"/>
      <c r="AI429" s="21"/>
      <c r="AJ429" s="21"/>
      <c r="AK429" s="21"/>
    </row>
    <row r="430" spans="34:37" x14ac:dyDescent="0.35">
      <c r="AH430" s="21"/>
      <c r="AI430" s="21"/>
      <c r="AJ430" s="21"/>
      <c r="AK430" s="21"/>
    </row>
    <row r="431" spans="34:37" x14ac:dyDescent="0.35">
      <c r="AH431" s="21"/>
      <c r="AI431" s="21"/>
      <c r="AJ431" s="21"/>
      <c r="AK431" s="21"/>
    </row>
    <row r="432" spans="34:37" x14ac:dyDescent="0.35">
      <c r="AH432" s="21"/>
      <c r="AI432" s="21"/>
      <c r="AJ432" s="21"/>
      <c r="AK432" s="21"/>
    </row>
    <row r="433" spans="34:37" x14ac:dyDescent="0.35">
      <c r="AH433" s="21"/>
      <c r="AI433" s="21"/>
      <c r="AJ433" s="21"/>
      <c r="AK433" s="21"/>
    </row>
    <row r="434" spans="34:37" x14ac:dyDescent="0.35">
      <c r="AH434" s="21"/>
      <c r="AI434" s="21"/>
      <c r="AJ434" s="21"/>
      <c r="AK434" s="21"/>
    </row>
    <row r="435" spans="34:37" x14ac:dyDescent="0.35">
      <c r="AH435" s="21"/>
      <c r="AI435" s="21"/>
      <c r="AJ435" s="21"/>
      <c r="AK435" s="21"/>
    </row>
    <row r="436" spans="34:37" x14ac:dyDescent="0.35">
      <c r="AH436" s="21"/>
      <c r="AI436" s="21"/>
      <c r="AJ436" s="21"/>
      <c r="AK436" s="21"/>
    </row>
    <row r="437" spans="34:37" x14ac:dyDescent="0.35">
      <c r="AH437" s="21"/>
      <c r="AI437" s="21"/>
      <c r="AJ437" s="21"/>
      <c r="AK437" s="21"/>
    </row>
    <row r="438" spans="34:37" x14ac:dyDescent="0.35">
      <c r="AH438" s="21"/>
      <c r="AI438" s="21"/>
      <c r="AJ438" s="21"/>
      <c r="AK438" s="21"/>
    </row>
    <row r="439" spans="34:37" x14ac:dyDescent="0.35">
      <c r="AH439" s="21"/>
      <c r="AI439" s="21"/>
      <c r="AJ439" s="21"/>
      <c r="AK439" s="21"/>
    </row>
    <row r="440" spans="34:37" x14ac:dyDescent="0.35">
      <c r="AH440" s="21"/>
      <c r="AI440" s="21"/>
      <c r="AJ440" s="21"/>
      <c r="AK440" s="21"/>
    </row>
    <row r="441" spans="34:37" x14ac:dyDescent="0.35">
      <c r="AH441" s="21"/>
      <c r="AI441" s="21"/>
      <c r="AJ441" s="21"/>
      <c r="AK441" s="21"/>
    </row>
    <row r="442" spans="34:37" x14ac:dyDescent="0.35">
      <c r="AH442" s="21"/>
      <c r="AI442" s="21"/>
      <c r="AJ442" s="21"/>
      <c r="AK442" s="21"/>
    </row>
    <row r="443" spans="34:37" x14ac:dyDescent="0.35">
      <c r="AH443" s="21"/>
      <c r="AI443" s="21"/>
      <c r="AJ443" s="21"/>
      <c r="AK443" s="21"/>
    </row>
    <row r="444" spans="34:37" x14ac:dyDescent="0.35">
      <c r="AH444" s="21"/>
      <c r="AI444" s="21"/>
      <c r="AJ444" s="21"/>
      <c r="AK444" s="21"/>
    </row>
    <row r="445" spans="34:37" x14ac:dyDescent="0.35">
      <c r="AH445" s="21"/>
      <c r="AI445" s="21"/>
      <c r="AJ445" s="21"/>
      <c r="AK445" s="21"/>
    </row>
    <row r="446" spans="34:37" x14ac:dyDescent="0.35">
      <c r="AH446" s="21"/>
      <c r="AI446" s="21"/>
      <c r="AJ446" s="21"/>
      <c r="AK446" s="21"/>
    </row>
    <row r="447" spans="34:37" x14ac:dyDescent="0.35">
      <c r="AH447" s="21"/>
      <c r="AI447" s="21"/>
      <c r="AJ447" s="21"/>
      <c r="AK447" s="21"/>
    </row>
    <row r="448" spans="34:37" x14ac:dyDescent="0.35">
      <c r="AH448" s="21"/>
      <c r="AI448" s="21"/>
      <c r="AJ448" s="21"/>
      <c r="AK448" s="21"/>
    </row>
    <row r="449" spans="34:37" x14ac:dyDescent="0.35">
      <c r="AH449" s="21"/>
      <c r="AI449" s="21"/>
      <c r="AJ449" s="21"/>
      <c r="AK449" s="21"/>
    </row>
    <row r="450" spans="34:37" x14ac:dyDescent="0.35">
      <c r="AH450" s="21"/>
      <c r="AI450" s="21"/>
      <c r="AJ450" s="21"/>
      <c r="AK450" s="21"/>
    </row>
    <row r="451" spans="34:37" x14ac:dyDescent="0.35">
      <c r="AH451" s="21"/>
      <c r="AI451" s="21"/>
      <c r="AJ451" s="21"/>
      <c r="AK451" s="21"/>
    </row>
  </sheetData>
  <autoFilter ref="A6:AM451" xr:uid="{AD24F64C-8ACB-47E4-9E75-58CB4E764FBF}">
    <filterColumn colId="8">
      <filters>
        <filter val="CRM"/>
      </filters>
    </filterColumn>
  </autoFilter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4DAB-9D80-43FA-BB00-D0F8A0A8574E}">
  <sheetPr filterMode="1"/>
  <dimension ref="A1:AM451"/>
  <sheetViews>
    <sheetView workbookViewId="0">
      <selection activeCell="A290" sqref="A290:AM451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3431</v>
      </c>
      <c r="D2" s="8" t="s">
        <v>51</v>
      </c>
      <c r="G2" t="s">
        <v>3431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B=283,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hidden="1" thickTop="1" x14ac:dyDescent="0.35">
      <c r="A7" t="s">
        <v>2087</v>
      </c>
      <c r="B7" t="s">
        <v>2088</v>
      </c>
      <c r="C7" t="s">
        <v>66</v>
      </c>
      <c r="D7" t="s">
        <v>2089</v>
      </c>
      <c r="E7" t="s">
        <v>559</v>
      </c>
      <c r="F7">
        <v>1</v>
      </c>
      <c r="G7" t="s">
        <v>2050</v>
      </c>
      <c r="H7" t="s">
        <v>2051</v>
      </c>
      <c r="I7" t="s">
        <v>53</v>
      </c>
      <c r="J7" t="s">
        <v>67</v>
      </c>
      <c r="K7" t="s">
        <v>68</v>
      </c>
      <c r="L7" t="s">
        <v>2052</v>
      </c>
      <c r="M7" t="s">
        <v>2064</v>
      </c>
      <c r="N7">
        <v>0</v>
      </c>
      <c r="O7">
        <v>0</v>
      </c>
      <c r="P7">
        <v>0</v>
      </c>
      <c r="Q7">
        <v>900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69</v>
      </c>
      <c r="AH7" s="21" t="s">
        <v>3424</v>
      </c>
      <c r="AI7" s="21">
        <v>67.5</v>
      </c>
      <c r="AJ7" s="21">
        <v>100</v>
      </c>
      <c r="AK7" s="21" t="s">
        <v>2054</v>
      </c>
      <c r="AL7" t="s">
        <v>70</v>
      </c>
      <c r="AM7" t="s">
        <v>2029</v>
      </c>
    </row>
    <row r="8" spans="1:39" ht="15" hidden="1" thickTop="1" x14ac:dyDescent="0.35">
      <c r="A8" t="s">
        <v>2090</v>
      </c>
      <c r="B8" t="s">
        <v>2091</v>
      </c>
      <c r="C8" t="s">
        <v>71</v>
      </c>
      <c r="D8" t="s">
        <v>2092</v>
      </c>
      <c r="E8" t="s">
        <v>72</v>
      </c>
      <c r="F8">
        <v>2</v>
      </c>
      <c r="G8" t="s">
        <v>2050</v>
      </c>
      <c r="H8" t="s">
        <v>2051</v>
      </c>
      <c r="I8" t="s">
        <v>53</v>
      </c>
      <c r="J8" t="s">
        <v>73</v>
      </c>
      <c r="K8" t="s">
        <v>68</v>
      </c>
      <c r="L8" t="s">
        <v>2052</v>
      </c>
      <c r="M8" t="s">
        <v>2093</v>
      </c>
      <c r="N8">
        <v>0</v>
      </c>
      <c r="O8">
        <v>0</v>
      </c>
      <c r="P8">
        <v>0</v>
      </c>
      <c r="Q8">
        <v>840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74</v>
      </c>
      <c r="AH8" s="21" t="s">
        <v>3424</v>
      </c>
      <c r="AI8" s="21">
        <v>63</v>
      </c>
      <c r="AJ8" s="21">
        <v>100</v>
      </c>
      <c r="AK8" s="21" t="s">
        <v>2055</v>
      </c>
      <c r="AL8" t="s">
        <v>75</v>
      </c>
      <c r="AM8" t="s">
        <v>2027</v>
      </c>
    </row>
    <row r="9" spans="1:39" ht="15" hidden="1" thickTop="1" x14ac:dyDescent="0.35">
      <c r="A9" t="s">
        <v>2056</v>
      </c>
      <c r="B9" t="s">
        <v>2095</v>
      </c>
      <c r="C9" t="s">
        <v>76</v>
      </c>
      <c r="D9" t="s">
        <v>2096</v>
      </c>
      <c r="E9" t="s">
        <v>559</v>
      </c>
      <c r="F9">
        <v>3</v>
      </c>
      <c r="G9" t="s">
        <v>2050</v>
      </c>
      <c r="H9" t="s">
        <v>2051</v>
      </c>
      <c r="I9" t="s">
        <v>53</v>
      </c>
      <c r="J9" t="s">
        <v>67</v>
      </c>
      <c r="K9" t="s">
        <v>68</v>
      </c>
      <c r="L9" t="s">
        <v>2052</v>
      </c>
      <c r="M9" t="s">
        <v>2064</v>
      </c>
      <c r="N9">
        <v>0</v>
      </c>
      <c r="O9">
        <v>0</v>
      </c>
      <c r="P9">
        <v>0</v>
      </c>
      <c r="Q9">
        <v>900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77</v>
      </c>
      <c r="AH9" s="21" t="s">
        <v>3424</v>
      </c>
      <c r="AI9" s="21">
        <v>67.5</v>
      </c>
      <c r="AJ9" s="21">
        <v>100</v>
      </c>
      <c r="AK9" s="21" t="s">
        <v>2055</v>
      </c>
      <c r="AL9" t="s">
        <v>70</v>
      </c>
      <c r="AM9" t="s">
        <v>2028</v>
      </c>
    </row>
    <row r="10" spans="1:39" ht="15" hidden="1" thickTop="1" x14ac:dyDescent="0.35">
      <c r="A10" t="s">
        <v>2057</v>
      </c>
      <c r="B10" t="s">
        <v>2098</v>
      </c>
      <c r="C10" t="s">
        <v>78</v>
      </c>
      <c r="D10" t="s">
        <v>2099</v>
      </c>
      <c r="E10" t="s">
        <v>559</v>
      </c>
      <c r="F10">
        <v>2</v>
      </c>
      <c r="G10" t="s">
        <v>2050</v>
      </c>
      <c r="H10" t="s">
        <v>2051</v>
      </c>
      <c r="I10" t="s">
        <v>53</v>
      </c>
      <c r="J10" t="s">
        <v>67</v>
      </c>
      <c r="K10" t="s">
        <v>68</v>
      </c>
      <c r="L10" t="s">
        <v>2052</v>
      </c>
      <c r="M10" t="s">
        <v>2064</v>
      </c>
      <c r="N10">
        <v>0</v>
      </c>
      <c r="O10">
        <v>0</v>
      </c>
      <c r="P10">
        <v>0</v>
      </c>
      <c r="Q10">
        <v>900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80</v>
      </c>
      <c r="AH10" s="21" t="s">
        <v>3424</v>
      </c>
      <c r="AI10" s="21">
        <v>67.5</v>
      </c>
      <c r="AJ10" s="21">
        <v>100</v>
      </c>
      <c r="AK10" s="21" t="s">
        <v>2055</v>
      </c>
      <c r="AL10" t="s">
        <v>70</v>
      </c>
      <c r="AM10" t="s">
        <v>2029</v>
      </c>
    </row>
    <row r="11" spans="1:39" ht="15" hidden="1" thickTop="1" x14ac:dyDescent="0.35">
      <c r="A11" t="s">
        <v>2058</v>
      </c>
      <c r="B11" t="s">
        <v>2101</v>
      </c>
      <c r="C11" t="s">
        <v>565</v>
      </c>
      <c r="D11" t="s">
        <v>2102</v>
      </c>
      <c r="E11" t="s">
        <v>559</v>
      </c>
      <c r="F11">
        <v>1</v>
      </c>
      <c r="G11" t="s">
        <v>2050</v>
      </c>
      <c r="H11" t="s">
        <v>2051</v>
      </c>
      <c r="I11" t="s">
        <v>53</v>
      </c>
      <c r="J11" t="s">
        <v>427</v>
      </c>
      <c r="K11" t="s">
        <v>68</v>
      </c>
      <c r="L11" t="s">
        <v>2052</v>
      </c>
      <c r="M11" t="s">
        <v>2053</v>
      </c>
      <c r="N11">
        <v>0</v>
      </c>
      <c r="O11">
        <v>0</v>
      </c>
      <c r="P11">
        <v>0</v>
      </c>
      <c r="Q11">
        <v>1440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83</v>
      </c>
      <c r="AH11" s="21" t="s">
        <v>3425</v>
      </c>
      <c r="AI11" s="21">
        <v>107.92500000000001</v>
      </c>
      <c r="AJ11" s="21">
        <v>100</v>
      </c>
      <c r="AK11" s="21" t="s">
        <v>2054</v>
      </c>
      <c r="AL11" t="s">
        <v>70</v>
      </c>
      <c r="AM11" t="s">
        <v>2029</v>
      </c>
    </row>
    <row r="12" spans="1:39" ht="15" hidden="1" thickTop="1" x14ac:dyDescent="0.35">
      <c r="A12" t="s">
        <v>2059</v>
      </c>
      <c r="B12" t="s">
        <v>2103</v>
      </c>
      <c r="C12" t="s">
        <v>565</v>
      </c>
      <c r="D12" t="s">
        <v>2104</v>
      </c>
      <c r="E12" t="s">
        <v>559</v>
      </c>
      <c r="F12">
        <v>2</v>
      </c>
      <c r="G12" t="s">
        <v>2050</v>
      </c>
      <c r="H12" t="s">
        <v>2051</v>
      </c>
      <c r="I12" t="s">
        <v>53</v>
      </c>
      <c r="J12" t="s">
        <v>427</v>
      </c>
      <c r="K12" t="s">
        <v>68</v>
      </c>
      <c r="L12" t="s">
        <v>2052</v>
      </c>
      <c r="M12" t="s">
        <v>2063</v>
      </c>
      <c r="N12">
        <v>0</v>
      </c>
      <c r="O12">
        <v>0</v>
      </c>
      <c r="P12">
        <v>0</v>
      </c>
      <c r="Q12">
        <v>1020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84</v>
      </c>
      <c r="AH12" s="21" t="s">
        <v>3425</v>
      </c>
      <c r="AI12" s="21">
        <v>76.500000000000014</v>
      </c>
      <c r="AJ12" s="21">
        <v>100</v>
      </c>
      <c r="AK12" s="21" t="s">
        <v>2054</v>
      </c>
      <c r="AL12" t="s">
        <v>70</v>
      </c>
      <c r="AM12" t="s">
        <v>2027</v>
      </c>
    </row>
    <row r="13" spans="1:39" ht="15" hidden="1" thickTop="1" x14ac:dyDescent="0.35">
      <c r="A13" t="s">
        <v>2105</v>
      </c>
      <c r="B13" t="s">
        <v>2107</v>
      </c>
      <c r="C13" t="s">
        <v>81</v>
      </c>
      <c r="D13" t="s">
        <v>2108</v>
      </c>
      <c r="E13" t="s">
        <v>559</v>
      </c>
      <c r="F13">
        <v>1</v>
      </c>
      <c r="G13" t="s">
        <v>2050</v>
      </c>
      <c r="H13" t="s">
        <v>2051</v>
      </c>
      <c r="I13" t="s">
        <v>53</v>
      </c>
      <c r="J13" t="s">
        <v>82</v>
      </c>
      <c r="K13" t="s">
        <v>68</v>
      </c>
      <c r="L13" t="s">
        <v>2052</v>
      </c>
      <c r="M13" t="s">
        <v>2100</v>
      </c>
      <c r="N13">
        <v>0</v>
      </c>
      <c r="O13">
        <v>0</v>
      </c>
      <c r="P13">
        <v>0</v>
      </c>
      <c r="Q13">
        <v>840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85</v>
      </c>
      <c r="AH13" s="21" t="s">
        <v>3425</v>
      </c>
      <c r="AI13" s="21">
        <v>62.999999999999986</v>
      </c>
      <c r="AJ13" s="21">
        <v>100</v>
      </c>
      <c r="AK13" s="21" t="s">
        <v>2055</v>
      </c>
      <c r="AL13" t="s">
        <v>70</v>
      </c>
      <c r="AM13" t="s">
        <v>2030</v>
      </c>
    </row>
    <row r="14" spans="1:39" ht="15" hidden="1" thickTop="1" x14ac:dyDescent="0.35">
      <c r="A14" t="s">
        <v>2106</v>
      </c>
      <c r="B14" t="s">
        <v>2109</v>
      </c>
      <c r="C14" t="s">
        <v>820</v>
      </c>
      <c r="D14" t="s">
        <v>2110</v>
      </c>
      <c r="E14" t="s">
        <v>72</v>
      </c>
      <c r="F14">
        <v>2</v>
      </c>
      <c r="G14" t="s">
        <v>2050</v>
      </c>
      <c r="H14" t="s">
        <v>2051</v>
      </c>
      <c r="I14" t="s">
        <v>53</v>
      </c>
      <c r="J14" t="s">
        <v>424</v>
      </c>
      <c r="K14" t="s">
        <v>68</v>
      </c>
      <c r="L14" t="s">
        <v>2052</v>
      </c>
      <c r="M14" t="s">
        <v>2053</v>
      </c>
      <c r="N14">
        <v>0</v>
      </c>
      <c r="O14">
        <v>0</v>
      </c>
      <c r="P14">
        <v>0</v>
      </c>
      <c r="Q14">
        <v>1440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87</v>
      </c>
      <c r="AH14" s="21" t="s">
        <v>3425</v>
      </c>
      <c r="AI14" s="21">
        <v>107.92500000000001</v>
      </c>
      <c r="AJ14" s="21">
        <v>100</v>
      </c>
      <c r="AK14" s="21" t="s">
        <v>2054</v>
      </c>
      <c r="AL14" t="s">
        <v>75</v>
      </c>
      <c r="AM14" t="s">
        <v>2027</v>
      </c>
    </row>
    <row r="15" spans="1:39" ht="15" hidden="1" thickTop="1" x14ac:dyDescent="0.35">
      <c r="A15" t="s">
        <v>2111</v>
      </c>
      <c r="B15" t="s">
        <v>2112</v>
      </c>
      <c r="C15" t="s">
        <v>78</v>
      </c>
      <c r="D15" t="s">
        <v>2113</v>
      </c>
      <c r="E15" t="s">
        <v>559</v>
      </c>
      <c r="F15">
        <v>1</v>
      </c>
      <c r="G15" t="s">
        <v>2050</v>
      </c>
      <c r="H15" t="s">
        <v>2051</v>
      </c>
      <c r="I15" t="s">
        <v>53</v>
      </c>
      <c r="J15" t="s">
        <v>67</v>
      </c>
      <c r="K15" t="s">
        <v>68</v>
      </c>
      <c r="L15" t="s">
        <v>2052</v>
      </c>
      <c r="M15" t="s">
        <v>2053</v>
      </c>
      <c r="N15">
        <v>0</v>
      </c>
      <c r="O15">
        <v>0</v>
      </c>
      <c r="P15">
        <v>0</v>
      </c>
      <c r="Q15">
        <v>1440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89</v>
      </c>
      <c r="AH15" s="21" t="s">
        <v>3425</v>
      </c>
      <c r="AI15" s="21">
        <v>107.92500000000001</v>
      </c>
      <c r="AJ15" s="21">
        <v>100</v>
      </c>
      <c r="AK15" s="21" t="s">
        <v>2054</v>
      </c>
      <c r="AL15" t="s">
        <v>70</v>
      </c>
      <c r="AM15" t="s">
        <v>2030</v>
      </c>
    </row>
    <row r="16" spans="1:39" ht="15" hidden="1" thickTop="1" x14ac:dyDescent="0.35">
      <c r="A16" t="s">
        <v>2114</v>
      </c>
      <c r="B16" t="s">
        <v>2116</v>
      </c>
      <c r="C16" t="s">
        <v>71</v>
      </c>
      <c r="D16" t="s">
        <v>2117</v>
      </c>
      <c r="E16" t="s">
        <v>72</v>
      </c>
      <c r="F16">
        <v>1</v>
      </c>
      <c r="G16" t="s">
        <v>2050</v>
      </c>
      <c r="H16" t="s">
        <v>2051</v>
      </c>
      <c r="I16" t="s">
        <v>53</v>
      </c>
      <c r="J16" t="s">
        <v>73</v>
      </c>
      <c r="K16" t="s">
        <v>68</v>
      </c>
      <c r="L16" t="s">
        <v>2052</v>
      </c>
      <c r="M16" t="s">
        <v>2053</v>
      </c>
      <c r="N16">
        <v>0</v>
      </c>
      <c r="O16">
        <v>0</v>
      </c>
      <c r="P16">
        <v>0</v>
      </c>
      <c r="Q16">
        <v>1440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90</v>
      </c>
      <c r="AH16" s="21" t="s">
        <v>3426</v>
      </c>
      <c r="AI16" s="21">
        <v>107.92500000000001</v>
      </c>
      <c r="AJ16" s="21">
        <v>100</v>
      </c>
      <c r="AK16" s="21" t="s">
        <v>2055</v>
      </c>
      <c r="AL16" t="s">
        <v>75</v>
      </c>
      <c r="AM16" t="s">
        <v>2028</v>
      </c>
    </row>
    <row r="17" spans="1:39" ht="15" hidden="1" thickTop="1" x14ac:dyDescent="0.35">
      <c r="A17" t="s">
        <v>2115</v>
      </c>
      <c r="B17" t="s">
        <v>2118</v>
      </c>
      <c r="C17" t="s">
        <v>66</v>
      </c>
      <c r="D17" t="s">
        <v>2119</v>
      </c>
      <c r="E17" t="s">
        <v>559</v>
      </c>
      <c r="F17">
        <v>2</v>
      </c>
      <c r="G17" t="s">
        <v>2050</v>
      </c>
      <c r="H17" t="s">
        <v>2051</v>
      </c>
      <c r="I17" t="s">
        <v>53</v>
      </c>
      <c r="J17" t="s">
        <v>67</v>
      </c>
      <c r="K17" t="s">
        <v>68</v>
      </c>
      <c r="L17" t="s">
        <v>2052</v>
      </c>
      <c r="M17" t="s">
        <v>2064</v>
      </c>
      <c r="N17">
        <v>0</v>
      </c>
      <c r="O17">
        <v>0</v>
      </c>
      <c r="P17">
        <v>0</v>
      </c>
      <c r="Q17">
        <v>900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91</v>
      </c>
      <c r="AH17" s="21" t="s">
        <v>3427</v>
      </c>
      <c r="AI17" s="21">
        <v>67.5</v>
      </c>
      <c r="AJ17" s="21">
        <v>100</v>
      </c>
      <c r="AK17" s="21" t="s">
        <v>2055</v>
      </c>
      <c r="AL17" t="s">
        <v>70</v>
      </c>
      <c r="AM17" t="s">
        <v>2029</v>
      </c>
    </row>
    <row r="18" spans="1:39" ht="15" hidden="1" thickTop="1" x14ac:dyDescent="0.35">
      <c r="A18" t="s">
        <v>2120</v>
      </c>
      <c r="B18" t="s">
        <v>2123</v>
      </c>
      <c r="C18" t="s">
        <v>66</v>
      </c>
      <c r="D18" t="s">
        <v>2124</v>
      </c>
      <c r="E18" t="s">
        <v>559</v>
      </c>
      <c r="F18">
        <v>1</v>
      </c>
      <c r="G18" t="s">
        <v>2050</v>
      </c>
      <c r="H18" t="s">
        <v>2051</v>
      </c>
      <c r="I18" t="s">
        <v>53</v>
      </c>
      <c r="J18" t="s">
        <v>67</v>
      </c>
      <c r="K18" t="s">
        <v>68</v>
      </c>
      <c r="L18" t="s">
        <v>2052</v>
      </c>
      <c r="M18" t="s">
        <v>2053</v>
      </c>
      <c r="N18">
        <v>0</v>
      </c>
      <c r="O18">
        <v>0</v>
      </c>
      <c r="P18">
        <v>0</v>
      </c>
      <c r="Q18">
        <v>1440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93</v>
      </c>
      <c r="AH18" s="21" t="s">
        <v>3427</v>
      </c>
      <c r="AI18" s="21">
        <v>107.92500000000001</v>
      </c>
      <c r="AJ18" s="21">
        <v>100</v>
      </c>
      <c r="AK18" s="21" t="s">
        <v>2054</v>
      </c>
      <c r="AL18" t="s">
        <v>70</v>
      </c>
      <c r="AM18" t="s">
        <v>2031</v>
      </c>
    </row>
    <row r="19" spans="1:39" ht="15" hidden="1" thickTop="1" x14ac:dyDescent="0.35">
      <c r="A19" t="s">
        <v>2121</v>
      </c>
      <c r="B19" t="s">
        <v>2125</v>
      </c>
      <c r="C19" t="s">
        <v>1515</v>
      </c>
      <c r="D19" t="s">
        <v>2126</v>
      </c>
      <c r="E19" t="s">
        <v>95</v>
      </c>
      <c r="F19">
        <v>1</v>
      </c>
      <c r="G19" t="s">
        <v>2050</v>
      </c>
      <c r="H19" t="s">
        <v>2051</v>
      </c>
      <c r="I19" t="s">
        <v>53</v>
      </c>
      <c r="J19" t="s">
        <v>1516</v>
      </c>
      <c r="K19" t="s">
        <v>68</v>
      </c>
      <c r="L19" t="s">
        <v>2052</v>
      </c>
      <c r="M19" t="s">
        <v>2053</v>
      </c>
      <c r="N19">
        <v>0</v>
      </c>
      <c r="O19">
        <v>0</v>
      </c>
      <c r="P19">
        <v>0</v>
      </c>
      <c r="Q19">
        <v>1440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97</v>
      </c>
      <c r="AH19" s="21" t="s">
        <v>3427</v>
      </c>
      <c r="AI19" s="21">
        <v>107.92500000000001</v>
      </c>
      <c r="AJ19" s="21">
        <v>100</v>
      </c>
      <c r="AK19" s="21" t="s">
        <v>2055</v>
      </c>
      <c r="AL19" t="s">
        <v>75</v>
      </c>
      <c r="AM19" t="s">
        <v>2027</v>
      </c>
    </row>
    <row r="20" spans="1:39" ht="15" hidden="1" thickTop="1" x14ac:dyDescent="0.35">
      <c r="A20" t="s">
        <v>2122</v>
      </c>
      <c r="B20" t="s">
        <v>2127</v>
      </c>
      <c r="C20" t="s">
        <v>71</v>
      </c>
      <c r="D20" t="s">
        <v>2128</v>
      </c>
      <c r="E20" t="s">
        <v>72</v>
      </c>
      <c r="F20">
        <v>1</v>
      </c>
      <c r="G20" t="s">
        <v>2050</v>
      </c>
      <c r="H20" t="s">
        <v>2051</v>
      </c>
      <c r="I20" t="s">
        <v>53</v>
      </c>
      <c r="J20" t="s">
        <v>73</v>
      </c>
      <c r="K20" t="s">
        <v>68</v>
      </c>
      <c r="L20" t="s">
        <v>2052</v>
      </c>
      <c r="M20" t="s">
        <v>2053</v>
      </c>
      <c r="N20">
        <v>0</v>
      </c>
      <c r="O20">
        <v>0</v>
      </c>
      <c r="P20">
        <v>0</v>
      </c>
      <c r="Q20">
        <v>1440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98</v>
      </c>
      <c r="AH20" s="21" t="s">
        <v>3427</v>
      </c>
      <c r="AI20" s="21">
        <v>107.92500000000001</v>
      </c>
      <c r="AJ20" s="21">
        <v>100</v>
      </c>
      <c r="AK20" s="21" t="s">
        <v>2054</v>
      </c>
      <c r="AL20" t="s">
        <v>75</v>
      </c>
      <c r="AM20" t="s">
        <v>2028</v>
      </c>
    </row>
    <row r="21" spans="1:39" ht="15" hidden="1" thickTop="1" x14ac:dyDescent="0.35">
      <c r="A21" t="s">
        <v>2129</v>
      </c>
      <c r="B21" t="s">
        <v>2132</v>
      </c>
      <c r="C21" t="s">
        <v>78</v>
      </c>
      <c r="D21" t="s">
        <v>2133</v>
      </c>
      <c r="E21" t="s">
        <v>559</v>
      </c>
      <c r="F21">
        <v>1</v>
      </c>
      <c r="G21" t="s">
        <v>2050</v>
      </c>
      <c r="H21" t="s">
        <v>2051</v>
      </c>
      <c r="I21" t="s">
        <v>53</v>
      </c>
      <c r="J21" t="s">
        <v>67</v>
      </c>
      <c r="K21" t="s">
        <v>68</v>
      </c>
      <c r="L21" t="s">
        <v>2052</v>
      </c>
      <c r="M21" t="s">
        <v>2053</v>
      </c>
      <c r="N21">
        <v>0</v>
      </c>
      <c r="O21">
        <v>0</v>
      </c>
      <c r="P21">
        <v>0</v>
      </c>
      <c r="Q21">
        <v>1440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99</v>
      </c>
      <c r="AH21" s="21" t="s">
        <v>3427</v>
      </c>
      <c r="AI21" s="21">
        <v>107.92500000000001</v>
      </c>
      <c r="AJ21" s="21">
        <v>100</v>
      </c>
      <c r="AK21" s="21" t="s">
        <v>2054</v>
      </c>
      <c r="AL21" t="s">
        <v>70</v>
      </c>
      <c r="AM21" t="s">
        <v>2027</v>
      </c>
    </row>
    <row r="22" spans="1:39" ht="15" hidden="1" thickTop="1" x14ac:dyDescent="0.35">
      <c r="A22" t="s">
        <v>2130</v>
      </c>
      <c r="B22" t="s">
        <v>2134</v>
      </c>
      <c r="C22" t="s">
        <v>100</v>
      </c>
      <c r="D22" t="s">
        <v>2135</v>
      </c>
      <c r="E22" t="s">
        <v>559</v>
      </c>
      <c r="F22">
        <v>1</v>
      </c>
      <c r="G22" t="s">
        <v>2050</v>
      </c>
      <c r="H22" t="s">
        <v>2051</v>
      </c>
      <c r="I22" t="s">
        <v>53</v>
      </c>
      <c r="J22" t="s">
        <v>67</v>
      </c>
      <c r="K22" t="s">
        <v>68</v>
      </c>
      <c r="L22" t="s">
        <v>2052</v>
      </c>
      <c r="M22" t="s">
        <v>2053</v>
      </c>
      <c r="N22">
        <v>0</v>
      </c>
      <c r="O22">
        <v>0</v>
      </c>
      <c r="P22">
        <v>0</v>
      </c>
      <c r="Q22">
        <v>1440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101</v>
      </c>
      <c r="AH22" s="21" t="s">
        <v>3424</v>
      </c>
      <c r="AI22" s="21">
        <v>107.92500000000001</v>
      </c>
      <c r="AJ22" s="21">
        <v>100</v>
      </c>
      <c r="AK22" s="21" t="s">
        <v>2054</v>
      </c>
      <c r="AL22" t="s">
        <v>70</v>
      </c>
      <c r="AM22" t="s">
        <v>2028</v>
      </c>
    </row>
    <row r="23" spans="1:39" ht="15" hidden="1" thickTop="1" x14ac:dyDescent="0.35">
      <c r="A23" t="s">
        <v>2131</v>
      </c>
      <c r="B23" t="s">
        <v>2136</v>
      </c>
      <c r="C23" t="s">
        <v>102</v>
      </c>
      <c r="D23" t="s">
        <v>2137</v>
      </c>
      <c r="E23" t="s">
        <v>559</v>
      </c>
      <c r="F23">
        <v>1</v>
      </c>
      <c r="G23" t="s">
        <v>2050</v>
      </c>
      <c r="H23" t="s">
        <v>2051</v>
      </c>
      <c r="I23" t="s">
        <v>53</v>
      </c>
      <c r="J23" t="s">
        <v>67</v>
      </c>
      <c r="K23" t="s">
        <v>68</v>
      </c>
      <c r="L23" t="s">
        <v>2052</v>
      </c>
      <c r="M23" t="s">
        <v>2053</v>
      </c>
      <c r="N23">
        <v>0</v>
      </c>
      <c r="O23">
        <v>0</v>
      </c>
      <c r="P23">
        <v>0</v>
      </c>
      <c r="Q23">
        <v>1440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103</v>
      </c>
      <c r="AH23" s="21" t="s">
        <v>3425</v>
      </c>
      <c r="AI23" s="21">
        <v>107.92500000000001</v>
      </c>
      <c r="AJ23" s="21">
        <v>100</v>
      </c>
      <c r="AK23" s="21" t="s">
        <v>2054</v>
      </c>
      <c r="AL23" t="s">
        <v>70</v>
      </c>
      <c r="AM23" t="s">
        <v>2027</v>
      </c>
    </row>
    <row r="24" spans="1:39" ht="15" hidden="1" thickTop="1" x14ac:dyDescent="0.35">
      <c r="A24" t="s">
        <v>2139</v>
      </c>
      <c r="B24" t="s">
        <v>2140</v>
      </c>
      <c r="C24" t="s">
        <v>66</v>
      </c>
      <c r="D24" t="s">
        <v>2141</v>
      </c>
      <c r="E24" t="s">
        <v>559</v>
      </c>
      <c r="F24">
        <v>2</v>
      </c>
      <c r="G24" t="s">
        <v>2050</v>
      </c>
      <c r="H24" t="s">
        <v>2051</v>
      </c>
      <c r="I24" t="s">
        <v>53</v>
      </c>
      <c r="J24" t="s">
        <v>67</v>
      </c>
      <c r="K24" t="s">
        <v>68</v>
      </c>
      <c r="L24" t="s">
        <v>2052</v>
      </c>
      <c r="M24" t="s">
        <v>2053</v>
      </c>
      <c r="N24">
        <v>0</v>
      </c>
      <c r="O24">
        <v>0</v>
      </c>
      <c r="P24">
        <v>0</v>
      </c>
      <c r="Q24">
        <v>1440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104</v>
      </c>
      <c r="AH24" s="21" t="s">
        <v>3428</v>
      </c>
      <c r="AI24" s="21">
        <v>107.92500000000001</v>
      </c>
      <c r="AJ24" s="21">
        <v>100</v>
      </c>
      <c r="AK24" s="21" t="s">
        <v>2054</v>
      </c>
      <c r="AL24" t="s">
        <v>70</v>
      </c>
      <c r="AM24" t="s">
        <v>2028</v>
      </c>
    </row>
    <row r="25" spans="1:39" ht="15" hidden="1" thickTop="1" x14ac:dyDescent="0.35">
      <c r="A25" t="s">
        <v>2142</v>
      </c>
      <c r="B25" t="s">
        <v>2147</v>
      </c>
      <c r="C25" t="s">
        <v>76</v>
      </c>
      <c r="D25" t="s">
        <v>2148</v>
      </c>
      <c r="E25" t="s">
        <v>559</v>
      </c>
      <c r="F25">
        <v>1</v>
      </c>
      <c r="G25" t="s">
        <v>2050</v>
      </c>
      <c r="H25" t="s">
        <v>2051</v>
      </c>
      <c r="I25" t="s">
        <v>53</v>
      </c>
      <c r="J25" t="s">
        <v>67</v>
      </c>
      <c r="K25" t="s">
        <v>68</v>
      </c>
      <c r="L25" t="s">
        <v>2052</v>
      </c>
      <c r="M25" t="s">
        <v>2064</v>
      </c>
      <c r="N25">
        <v>0</v>
      </c>
      <c r="O25">
        <v>0</v>
      </c>
      <c r="P25">
        <v>0</v>
      </c>
      <c r="Q25">
        <v>900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105</v>
      </c>
      <c r="AH25" s="21" t="s">
        <v>3425</v>
      </c>
      <c r="AI25" s="21">
        <v>67.5</v>
      </c>
      <c r="AJ25" s="21">
        <v>100</v>
      </c>
      <c r="AK25" s="21" t="s">
        <v>2054</v>
      </c>
      <c r="AL25" t="s">
        <v>70</v>
      </c>
      <c r="AM25" t="s">
        <v>2029</v>
      </c>
    </row>
    <row r="26" spans="1:39" ht="15" hidden="1" thickTop="1" x14ac:dyDescent="0.35">
      <c r="A26" t="s">
        <v>2143</v>
      </c>
      <c r="B26" t="s">
        <v>2149</v>
      </c>
      <c r="C26" t="s">
        <v>76</v>
      </c>
      <c r="D26" t="s">
        <v>2150</v>
      </c>
      <c r="E26" t="s">
        <v>559</v>
      </c>
      <c r="F26">
        <v>1</v>
      </c>
      <c r="G26" t="s">
        <v>2050</v>
      </c>
      <c r="H26" t="s">
        <v>2051</v>
      </c>
      <c r="I26" t="s">
        <v>53</v>
      </c>
      <c r="J26" t="s">
        <v>67</v>
      </c>
      <c r="K26" t="s">
        <v>68</v>
      </c>
      <c r="L26" t="s">
        <v>2052</v>
      </c>
      <c r="M26" t="s">
        <v>2064</v>
      </c>
      <c r="N26">
        <v>0</v>
      </c>
      <c r="O26">
        <v>0</v>
      </c>
      <c r="P26">
        <v>0</v>
      </c>
      <c r="Q26">
        <v>900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106</v>
      </c>
      <c r="AH26" s="21" t="s">
        <v>3424</v>
      </c>
      <c r="AI26" s="21">
        <v>67.5</v>
      </c>
      <c r="AJ26" s="21">
        <v>100</v>
      </c>
      <c r="AK26" s="21" t="s">
        <v>2054</v>
      </c>
      <c r="AL26" t="s">
        <v>70</v>
      </c>
      <c r="AM26" t="s">
        <v>2028</v>
      </c>
    </row>
    <row r="27" spans="1:39" ht="15" hidden="1" thickTop="1" x14ac:dyDescent="0.35">
      <c r="A27" t="s">
        <v>2144</v>
      </c>
      <c r="B27" t="s">
        <v>2151</v>
      </c>
      <c r="C27" t="s">
        <v>86</v>
      </c>
      <c r="D27" t="s">
        <v>2152</v>
      </c>
      <c r="E27" t="s">
        <v>72</v>
      </c>
      <c r="F27">
        <v>1</v>
      </c>
      <c r="G27" t="s">
        <v>2050</v>
      </c>
      <c r="H27" t="s">
        <v>2051</v>
      </c>
      <c r="I27" t="s">
        <v>53</v>
      </c>
      <c r="J27" t="s">
        <v>73</v>
      </c>
      <c r="K27" t="s">
        <v>68</v>
      </c>
      <c r="L27" t="s">
        <v>2052</v>
      </c>
      <c r="M27" t="s">
        <v>2064</v>
      </c>
      <c r="N27">
        <v>0</v>
      </c>
      <c r="O27">
        <v>0</v>
      </c>
      <c r="P27">
        <v>0</v>
      </c>
      <c r="Q27">
        <v>900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107</v>
      </c>
      <c r="AH27" s="21" t="s">
        <v>3424</v>
      </c>
      <c r="AI27" s="21">
        <v>67.5</v>
      </c>
      <c r="AJ27" s="21">
        <v>100</v>
      </c>
      <c r="AK27" s="21" t="s">
        <v>2054</v>
      </c>
      <c r="AL27" t="s">
        <v>75</v>
      </c>
      <c r="AM27" t="s">
        <v>2029</v>
      </c>
    </row>
    <row r="28" spans="1:39" ht="15" hidden="1" thickTop="1" x14ac:dyDescent="0.35">
      <c r="A28" t="s">
        <v>2146</v>
      </c>
      <c r="B28" t="s">
        <v>2156</v>
      </c>
      <c r="C28" t="s">
        <v>102</v>
      </c>
      <c r="D28" t="s">
        <v>2157</v>
      </c>
      <c r="E28" t="s">
        <v>559</v>
      </c>
      <c r="F28">
        <v>1</v>
      </c>
      <c r="G28" t="s">
        <v>2050</v>
      </c>
      <c r="H28" t="s">
        <v>2051</v>
      </c>
      <c r="I28" t="s">
        <v>53</v>
      </c>
      <c r="J28" t="s">
        <v>67</v>
      </c>
      <c r="K28" t="s">
        <v>68</v>
      </c>
      <c r="L28" t="s">
        <v>2052</v>
      </c>
      <c r="M28" t="s">
        <v>2053</v>
      </c>
      <c r="N28">
        <v>0</v>
      </c>
      <c r="O28">
        <v>0</v>
      </c>
      <c r="P28">
        <v>0</v>
      </c>
      <c r="Q28">
        <v>1440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108</v>
      </c>
      <c r="AH28" s="21" t="s">
        <v>3425</v>
      </c>
      <c r="AI28" s="21">
        <v>107.92500000000001</v>
      </c>
      <c r="AJ28" s="21">
        <v>100</v>
      </c>
      <c r="AK28" s="21" t="s">
        <v>2054</v>
      </c>
      <c r="AL28" t="s">
        <v>70</v>
      </c>
      <c r="AM28" t="s">
        <v>2027</v>
      </c>
    </row>
    <row r="29" spans="1:39" ht="15" hidden="1" thickTop="1" x14ac:dyDescent="0.35">
      <c r="A29" t="s">
        <v>2154</v>
      </c>
      <c r="B29" t="s">
        <v>2160</v>
      </c>
      <c r="C29" t="s">
        <v>102</v>
      </c>
      <c r="D29" t="s">
        <v>2161</v>
      </c>
      <c r="E29" t="s">
        <v>559</v>
      </c>
      <c r="F29">
        <v>1</v>
      </c>
      <c r="G29" t="s">
        <v>2050</v>
      </c>
      <c r="H29" t="s">
        <v>2051</v>
      </c>
      <c r="I29" t="s">
        <v>53</v>
      </c>
      <c r="J29" t="s">
        <v>67</v>
      </c>
      <c r="K29" t="s">
        <v>68</v>
      </c>
      <c r="L29" t="s">
        <v>2052</v>
      </c>
      <c r="M29" t="s">
        <v>2053</v>
      </c>
      <c r="N29">
        <v>0</v>
      </c>
      <c r="O29">
        <v>0</v>
      </c>
      <c r="P29">
        <v>0</v>
      </c>
      <c r="Q29">
        <v>1440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109</v>
      </c>
      <c r="AH29" s="21" t="s">
        <v>3429</v>
      </c>
      <c r="AI29" s="21">
        <v>107.92500000000001</v>
      </c>
      <c r="AJ29" s="21">
        <v>100</v>
      </c>
      <c r="AK29" s="21" t="s">
        <v>2054</v>
      </c>
      <c r="AL29" t="s">
        <v>70</v>
      </c>
      <c r="AM29" t="s">
        <v>2028</v>
      </c>
    </row>
    <row r="30" spans="1:39" ht="15" hidden="1" thickTop="1" x14ac:dyDescent="0.35">
      <c r="A30" t="s">
        <v>2155</v>
      </c>
      <c r="B30" t="s">
        <v>2162</v>
      </c>
      <c r="C30" t="s">
        <v>78</v>
      </c>
      <c r="D30" t="s">
        <v>2163</v>
      </c>
      <c r="E30" t="s">
        <v>559</v>
      </c>
      <c r="F30">
        <v>1</v>
      </c>
      <c r="G30" t="s">
        <v>2050</v>
      </c>
      <c r="H30" t="s">
        <v>2051</v>
      </c>
      <c r="I30" t="s">
        <v>53</v>
      </c>
      <c r="J30" t="s">
        <v>67</v>
      </c>
      <c r="K30" t="s">
        <v>68</v>
      </c>
      <c r="L30" t="s">
        <v>2052</v>
      </c>
      <c r="M30" t="s">
        <v>2053</v>
      </c>
      <c r="N30">
        <v>0</v>
      </c>
      <c r="O30">
        <v>0</v>
      </c>
      <c r="P30">
        <v>0</v>
      </c>
      <c r="Q30">
        <v>1440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110</v>
      </c>
      <c r="AH30" s="21" t="s">
        <v>3424</v>
      </c>
      <c r="AI30" s="21">
        <v>107.92500000000001</v>
      </c>
      <c r="AJ30" s="21">
        <v>100</v>
      </c>
      <c r="AK30" s="21" t="s">
        <v>2054</v>
      </c>
      <c r="AL30" t="s">
        <v>70</v>
      </c>
      <c r="AM30" t="s">
        <v>2029</v>
      </c>
    </row>
    <row r="31" spans="1:39" ht="15" hidden="1" thickTop="1" x14ac:dyDescent="0.35">
      <c r="A31" t="s">
        <v>2159</v>
      </c>
      <c r="B31" t="s">
        <v>2164</v>
      </c>
      <c r="C31" t="s">
        <v>111</v>
      </c>
      <c r="D31" t="s">
        <v>2165</v>
      </c>
      <c r="E31" t="s">
        <v>112</v>
      </c>
      <c r="F31">
        <v>1</v>
      </c>
      <c r="G31" t="s">
        <v>2050</v>
      </c>
      <c r="H31" t="s">
        <v>2051</v>
      </c>
      <c r="I31" t="s">
        <v>53</v>
      </c>
      <c r="J31" t="s">
        <v>113</v>
      </c>
      <c r="K31" t="s">
        <v>68</v>
      </c>
      <c r="L31" t="s">
        <v>2052</v>
      </c>
      <c r="M31" t="s">
        <v>2053</v>
      </c>
      <c r="N31">
        <v>0</v>
      </c>
      <c r="O31">
        <v>0</v>
      </c>
      <c r="P31">
        <v>0</v>
      </c>
      <c r="Q31">
        <v>1440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114</v>
      </c>
      <c r="AH31" s="21" t="s">
        <v>3424</v>
      </c>
      <c r="AI31" s="21">
        <v>107.92500000000001</v>
      </c>
      <c r="AJ31" s="21">
        <v>100</v>
      </c>
      <c r="AK31" s="21" t="s">
        <v>2054</v>
      </c>
      <c r="AL31" t="s">
        <v>115</v>
      </c>
      <c r="AM31" t="s">
        <v>2027</v>
      </c>
    </row>
    <row r="32" spans="1:39" ht="15" hidden="1" thickTop="1" x14ac:dyDescent="0.35">
      <c r="A32" t="s">
        <v>2167</v>
      </c>
      <c r="B32" t="s">
        <v>2171</v>
      </c>
      <c r="C32" t="s">
        <v>117</v>
      </c>
      <c r="D32" t="s">
        <v>2172</v>
      </c>
      <c r="E32" t="s">
        <v>559</v>
      </c>
      <c r="F32">
        <v>1</v>
      </c>
      <c r="G32" t="s">
        <v>2050</v>
      </c>
      <c r="H32" t="s">
        <v>2051</v>
      </c>
      <c r="I32" t="s">
        <v>53</v>
      </c>
      <c r="J32" t="s">
        <v>67</v>
      </c>
      <c r="K32" t="s">
        <v>68</v>
      </c>
      <c r="L32" t="s">
        <v>2052</v>
      </c>
      <c r="M32" t="s">
        <v>2066</v>
      </c>
      <c r="N32">
        <v>0</v>
      </c>
      <c r="O32">
        <v>0</v>
      </c>
      <c r="P32">
        <v>0</v>
      </c>
      <c r="Q32">
        <v>780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118</v>
      </c>
      <c r="AH32" s="21" t="s">
        <v>3425</v>
      </c>
      <c r="AI32" s="21">
        <v>58.5</v>
      </c>
      <c r="AJ32" s="21">
        <v>100</v>
      </c>
      <c r="AK32" s="21" t="s">
        <v>2054</v>
      </c>
      <c r="AL32" t="s">
        <v>70</v>
      </c>
      <c r="AM32" t="s">
        <v>2029</v>
      </c>
    </row>
    <row r="33" spans="1:39" ht="15" hidden="1" thickTop="1" x14ac:dyDescent="0.35">
      <c r="A33" t="s">
        <v>2169</v>
      </c>
      <c r="B33" t="s">
        <v>2173</v>
      </c>
      <c r="C33" t="s">
        <v>76</v>
      </c>
      <c r="D33" t="s">
        <v>2174</v>
      </c>
      <c r="E33" t="s">
        <v>119</v>
      </c>
      <c r="F33">
        <v>1</v>
      </c>
      <c r="G33" t="s">
        <v>2050</v>
      </c>
      <c r="H33" t="s">
        <v>2051</v>
      </c>
      <c r="I33" t="s">
        <v>53</v>
      </c>
      <c r="J33" t="s">
        <v>67</v>
      </c>
      <c r="K33" t="s">
        <v>68</v>
      </c>
      <c r="L33" t="s">
        <v>2052</v>
      </c>
      <c r="M33" t="s">
        <v>2053</v>
      </c>
      <c r="N33">
        <v>0</v>
      </c>
      <c r="O33">
        <v>0</v>
      </c>
      <c r="P33">
        <v>0</v>
      </c>
      <c r="Q33">
        <v>1440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120</v>
      </c>
      <c r="AH33" s="21" t="s">
        <v>3425</v>
      </c>
      <c r="AI33" s="21">
        <v>107.92500000000001</v>
      </c>
      <c r="AJ33" s="21">
        <v>100</v>
      </c>
      <c r="AK33" s="21" t="s">
        <v>2054</v>
      </c>
      <c r="AL33" t="s">
        <v>70</v>
      </c>
      <c r="AM33" t="s">
        <v>2028</v>
      </c>
    </row>
    <row r="34" spans="1:39" ht="15" hidden="1" thickTop="1" x14ac:dyDescent="0.35">
      <c r="A34" t="s">
        <v>2170</v>
      </c>
      <c r="B34" t="s">
        <v>2175</v>
      </c>
      <c r="C34" t="s">
        <v>76</v>
      </c>
      <c r="D34" t="s">
        <v>2176</v>
      </c>
      <c r="E34" t="s">
        <v>559</v>
      </c>
      <c r="F34">
        <v>2</v>
      </c>
      <c r="G34" t="s">
        <v>2050</v>
      </c>
      <c r="H34" t="s">
        <v>2051</v>
      </c>
      <c r="I34" t="s">
        <v>53</v>
      </c>
      <c r="J34" t="s">
        <v>67</v>
      </c>
      <c r="K34" t="s">
        <v>68</v>
      </c>
      <c r="L34" t="s">
        <v>2052</v>
      </c>
      <c r="M34" t="s">
        <v>2053</v>
      </c>
      <c r="N34">
        <v>0</v>
      </c>
      <c r="O34">
        <v>0</v>
      </c>
      <c r="P34">
        <v>0</v>
      </c>
      <c r="Q34">
        <v>1440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121</v>
      </c>
      <c r="AH34" s="21" t="s">
        <v>3425</v>
      </c>
      <c r="AI34" s="21">
        <v>107.92500000000001</v>
      </c>
      <c r="AJ34" s="21">
        <v>100</v>
      </c>
      <c r="AK34" s="21" t="s">
        <v>2055</v>
      </c>
      <c r="AL34" t="s">
        <v>70</v>
      </c>
      <c r="AM34" t="s">
        <v>2030</v>
      </c>
    </row>
    <row r="35" spans="1:39" ht="15" hidden="1" thickTop="1" x14ac:dyDescent="0.35">
      <c r="A35" t="s">
        <v>2178</v>
      </c>
      <c r="B35" t="s">
        <v>2183</v>
      </c>
      <c r="C35" t="s">
        <v>76</v>
      </c>
      <c r="D35" t="s">
        <v>2184</v>
      </c>
      <c r="E35" t="s">
        <v>559</v>
      </c>
      <c r="F35">
        <v>2</v>
      </c>
      <c r="G35" t="s">
        <v>2050</v>
      </c>
      <c r="H35" t="s">
        <v>2051</v>
      </c>
      <c r="I35" t="s">
        <v>53</v>
      </c>
      <c r="J35" t="s">
        <v>67</v>
      </c>
      <c r="K35" t="s">
        <v>68</v>
      </c>
      <c r="L35" t="s">
        <v>2052</v>
      </c>
      <c r="M35" t="s">
        <v>2064</v>
      </c>
      <c r="N35">
        <v>3</v>
      </c>
      <c r="O35">
        <v>63</v>
      </c>
      <c r="P35">
        <v>7</v>
      </c>
      <c r="Q35">
        <v>900</v>
      </c>
      <c r="R35">
        <v>2</v>
      </c>
      <c r="S35">
        <v>46</v>
      </c>
      <c r="T35">
        <v>5.1100000000000003</v>
      </c>
      <c r="U35">
        <v>0</v>
      </c>
      <c r="V35">
        <v>0</v>
      </c>
      <c r="W35">
        <v>0</v>
      </c>
      <c r="X35">
        <v>1</v>
      </c>
      <c r="Y35">
        <v>17</v>
      </c>
      <c r="Z35">
        <v>1.89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122</v>
      </c>
      <c r="AH35" s="21" t="s">
        <v>3424</v>
      </c>
      <c r="AI35" s="21">
        <v>67.5</v>
      </c>
      <c r="AJ35" s="21">
        <v>93</v>
      </c>
      <c r="AK35" s="21" t="s">
        <v>2055</v>
      </c>
      <c r="AL35" t="s">
        <v>70</v>
      </c>
      <c r="AM35" t="s">
        <v>2029</v>
      </c>
    </row>
    <row r="36" spans="1:39" ht="15" hidden="1" thickTop="1" x14ac:dyDescent="0.35">
      <c r="A36" t="s">
        <v>2179</v>
      </c>
      <c r="B36" t="s">
        <v>2185</v>
      </c>
      <c r="C36" t="s">
        <v>81</v>
      </c>
      <c r="D36" t="s">
        <v>2186</v>
      </c>
      <c r="E36" t="s">
        <v>559</v>
      </c>
      <c r="F36">
        <v>2</v>
      </c>
      <c r="G36" t="s">
        <v>2050</v>
      </c>
      <c r="H36" t="s">
        <v>2051</v>
      </c>
      <c r="I36" t="s">
        <v>53</v>
      </c>
      <c r="J36" t="s">
        <v>82</v>
      </c>
      <c r="K36" t="s">
        <v>68</v>
      </c>
      <c r="L36" t="s">
        <v>2052</v>
      </c>
      <c r="M36" t="s">
        <v>2053</v>
      </c>
      <c r="N36">
        <v>0</v>
      </c>
      <c r="O36">
        <v>0</v>
      </c>
      <c r="P36">
        <v>0</v>
      </c>
      <c r="Q36">
        <v>1440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123</v>
      </c>
      <c r="AH36" s="21" t="s">
        <v>3425</v>
      </c>
      <c r="AI36" s="21">
        <v>107.92500000000001</v>
      </c>
      <c r="AJ36" s="21">
        <v>100</v>
      </c>
      <c r="AK36" s="21" t="s">
        <v>2054</v>
      </c>
      <c r="AL36" t="s">
        <v>70</v>
      </c>
      <c r="AM36" t="s">
        <v>2027</v>
      </c>
    </row>
    <row r="37" spans="1:39" ht="15" hidden="1" thickTop="1" x14ac:dyDescent="0.35">
      <c r="A37" t="s">
        <v>2180</v>
      </c>
      <c r="B37" t="s">
        <v>2187</v>
      </c>
      <c r="C37" t="s">
        <v>100</v>
      </c>
      <c r="D37" t="s">
        <v>2188</v>
      </c>
      <c r="E37" t="s">
        <v>559</v>
      </c>
      <c r="F37">
        <v>1</v>
      </c>
      <c r="G37" t="s">
        <v>2050</v>
      </c>
      <c r="H37" t="s">
        <v>2051</v>
      </c>
      <c r="I37" t="s">
        <v>53</v>
      </c>
      <c r="J37" t="s">
        <v>67</v>
      </c>
      <c r="K37" t="s">
        <v>68</v>
      </c>
      <c r="L37" t="s">
        <v>2052</v>
      </c>
      <c r="M37" t="s">
        <v>2053</v>
      </c>
      <c r="N37">
        <v>0</v>
      </c>
      <c r="O37">
        <v>0</v>
      </c>
      <c r="P37">
        <v>0</v>
      </c>
      <c r="Q37">
        <v>1440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124</v>
      </c>
      <c r="AH37" s="21" t="s">
        <v>3424</v>
      </c>
      <c r="AI37" s="21">
        <v>107.92500000000001</v>
      </c>
      <c r="AJ37" s="21">
        <v>100</v>
      </c>
      <c r="AK37" s="21" t="s">
        <v>2054</v>
      </c>
      <c r="AL37" t="s">
        <v>70</v>
      </c>
      <c r="AM37" t="s">
        <v>2031</v>
      </c>
    </row>
    <row r="38" spans="1:39" ht="15" hidden="1" thickTop="1" x14ac:dyDescent="0.35">
      <c r="A38" t="s">
        <v>2182</v>
      </c>
      <c r="B38" t="s">
        <v>2189</v>
      </c>
      <c r="C38" t="s">
        <v>76</v>
      </c>
      <c r="D38" t="s">
        <v>2190</v>
      </c>
      <c r="E38" t="s">
        <v>559</v>
      </c>
      <c r="F38">
        <v>2</v>
      </c>
      <c r="G38" t="s">
        <v>2050</v>
      </c>
      <c r="H38" t="s">
        <v>2051</v>
      </c>
      <c r="I38" t="s">
        <v>53</v>
      </c>
      <c r="J38" t="s">
        <v>67</v>
      </c>
      <c r="K38" t="s">
        <v>68</v>
      </c>
      <c r="L38" t="s">
        <v>2052</v>
      </c>
      <c r="M38" t="s">
        <v>2084</v>
      </c>
      <c r="N38">
        <v>0</v>
      </c>
      <c r="O38">
        <v>0</v>
      </c>
      <c r="P38">
        <v>0</v>
      </c>
      <c r="Q38">
        <v>840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125</v>
      </c>
      <c r="AH38" s="21" t="s">
        <v>3424</v>
      </c>
      <c r="AI38" s="21">
        <v>62.999999999999986</v>
      </c>
      <c r="AJ38" s="21">
        <v>100</v>
      </c>
      <c r="AK38" s="21" t="s">
        <v>2055</v>
      </c>
      <c r="AL38" t="s">
        <v>70</v>
      </c>
      <c r="AM38" t="s">
        <v>2027</v>
      </c>
    </row>
    <row r="39" spans="1:39" ht="15" hidden="1" thickTop="1" x14ac:dyDescent="0.35">
      <c r="A39" t="s">
        <v>2192</v>
      </c>
      <c r="B39" t="s">
        <v>2195</v>
      </c>
      <c r="C39" t="s">
        <v>565</v>
      </c>
      <c r="D39" t="s">
        <v>2196</v>
      </c>
      <c r="E39" t="s">
        <v>559</v>
      </c>
      <c r="F39">
        <v>2</v>
      </c>
      <c r="G39" t="s">
        <v>2050</v>
      </c>
      <c r="H39" t="s">
        <v>2051</v>
      </c>
      <c r="I39" t="s">
        <v>53</v>
      </c>
      <c r="J39" t="s">
        <v>427</v>
      </c>
      <c r="K39" t="s">
        <v>68</v>
      </c>
      <c r="L39" t="s">
        <v>2052</v>
      </c>
      <c r="M39" t="s">
        <v>2053</v>
      </c>
      <c r="N39">
        <v>0</v>
      </c>
      <c r="O39">
        <v>0</v>
      </c>
      <c r="P39">
        <v>0</v>
      </c>
      <c r="Q39">
        <v>1440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127</v>
      </c>
      <c r="AH39" s="21" t="s">
        <v>3425</v>
      </c>
      <c r="AI39" s="21">
        <v>107.92500000000001</v>
      </c>
      <c r="AJ39" s="21">
        <v>100</v>
      </c>
      <c r="AK39" s="21" t="s">
        <v>2055</v>
      </c>
      <c r="AL39" t="s">
        <v>70</v>
      </c>
      <c r="AM39" t="s">
        <v>2029</v>
      </c>
    </row>
    <row r="40" spans="1:39" ht="15" hidden="1" thickTop="1" x14ac:dyDescent="0.35">
      <c r="A40" t="s">
        <v>2194</v>
      </c>
      <c r="B40" t="s">
        <v>2197</v>
      </c>
      <c r="C40" t="s">
        <v>128</v>
      </c>
      <c r="D40" t="s">
        <v>2198</v>
      </c>
      <c r="E40" t="s">
        <v>112</v>
      </c>
      <c r="F40">
        <v>1</v>
      </c>
      <c r="G40" t="s">
        <v>2050</v>
      </c>
      <c r="H40" t="s">
        <v>2051</v>
      </c>
      <c r="I40" t="s">
        <v>53</v>
      </c>
      <c r="J40" t="s">
        <v>113</v>
      </c>
      <c r="K40" t="s">
        <v>68</v>
      </c>
      <c r="L40" t="s">
        <v>2052</v>
      </c>
      <c r="M40" t="s">
        <v>2053</v>
      </c>
      <c r="N40">
        <v>0</v>
      </c>
      <c r="O40">
        <v>0</v>
      </c>
      <c r="P40">
        <v>0</v>
      </c>
      <c r="Q40">
        <v>1440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129</v>
      </c>
      <c r="AH40" s="21" t="s">
        <v>3425</v>
      </c>
      <c r="AI40" s="21">
        <v>107.92500000000001</v>
      </c>
      <c r="AJ40" s="21">
        <v>100</v>
      </c>
      <c r="AK40" s="21" t="s">
        <v>2055</v>
      </c>
      <c r="AL40" t="s">
        <v>115</v>
      </c>
      <c r="AM40" t="s">
        <v>2027</v>
      </c>
    </row>
    <row r="41" spans="1:39" ht="15" hidden="1" thickTop="1" x14ac:dyDescent="0.35">
      <c r="A41" t="s">
        <v>2199</v>
      </c>
      <c r="B41" t="s">
        <v>2200</v>
      </c>
      <c r="C41" t="s">
        <v>117</v>
      </c>
      <c r="D41" t="s">
        <v>2201</v>
      </c>
      <c r="E41" t="s">
        <v>559</v>
      </c>
      <c r="F41">
        <v>1</v>
      </c>
      <c r="G41" t="s">
        <v>2050</v>
      </c>
      <c r="H41" t="s">
        <v>2051</v>
      </c>
      <c r="I41" t="s">
        <v>53</v>
      </c>
      <c r="J41" t="s">
        <v>67</v>
      </c>
      <c r="K41" t="s">
        <v>68</v>
      </c>
      <c r="L41" t="s">
        <v>2052</v>
      </c>
      <c r="M41" t="s">
        <v>2053</v>
      </c>
      <c r="N41">
        <v>0</v>
      </c>
      <c r="O41">
        <v>0</v>
      </c>
      <c r="P41">
        <v>0</v>
      </c>
      <c r="Q41">
        <v>1440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130</v>
      </c>
      <c r="AH41" s="21" t="s">
        <v>3424</v>
      </c>
      <c r="AI41" s="21">
        <v>107.92500000000001</v>
      </c>
      <c r="AJ41" s="21">
        <v>100</v>
      </c>
      <c r="AK41" s="21" t="s">
        <v>2054</v>
      </c>
      <c r="AL41" t="s">
        <v>70</v>
      </c>
      <c r="AM41" t="s">
        <v>2029</v>
      </c>
    </row>
    <row r="42" spans="1:39" ht="15" hidden="1" thickTop="1" x14ac:dyDescent="0.35">
      <c r="A42" t="s">
        <v>2203</v>
      </c>
      <c r="B42" t="s">
        <v>2207</v>
      </c>
      <c r="C42" t="s">
        <v>86</v>
      </c>
      <c r="D42" t="s">
        <v>2208</v>
      </c>
      <c r="E42" t="s">
        <v>72</v>
      </c>
      <c r="F42">
        <v>1</v>
      </c>
      <c r="G42" t="s">
        <v>2050</v>
      </c>
      <c r="H42" t="s">
        <v>2051</v>
      </c>
      <c r="I42" t="s">
        <v>53</v>
      </c>
      <c r="J42" t="s">
        <v>73</v>
      </c>
      <c r="K42" t="s">
        <v>68</v>
      </c>
      <c r="L42" t="s">
        <v>2052</v>
      </c>
      <c r="M42" t="s">
        <v>2063</v>
      </c>
      <c r="N42">
        <v>0</v>
      </c>
      <c r="O42">
        <v>0</v>
      </c>
      <c r="P42">
        <v>0</v>
      </c>
      <c r="Q42">
        <v>1020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131</v>
      </c>
      <c r="AH42" s="21" t="s">
        <v>3430</v>
      </c>
      <c r="AI42" s="21">
        <v>76.500000000000014</v>
      </c>
      <c r="AJ42" s="21">
        <v>100</v>
      </c>
      <c r="AK42" s="21" t="s">
        <v>2054</v>
      </c>
      <c r="AL42" t="s">
        <v>75</v>
      </c>
      <c r="AM42" t="s">
        <v>2027</v>
      </c>
    </row>
    <row r="43" spans="1:39" ht="15" hidden="1" thickTop="1" x14ac:dyDescent="0.35">
      <c r="A43" t="s">
        <v>2204</v>
      </c>
      <c r="B43" t="s">
        <v>2213</v>
      </c>
      <c r="C43" t="s">
        <v>820</v>
      </c>
      <c r="D43" t="s">
        <v>2214</v>
      </c>
      <c r="E43" t="s">
        <v>72</v>
      </c>
      <c r="F43">
        <v>1</v>
      </c>
      <c r="G43" t="s">
        <v>2050</v>
      </c>
      <c r="H43" t="s">
        <v>2051</v>
      </c>
      <c r="I43" t="s">
        <v>53</v>
      </c>
      <c r="J43" t="s">
        <v>424</v>
      </c>
      <c r="K43" t="s">
        <v>68</v>
      </c>
      <c r="L43" t="s">
        <v>2052</v>
      </c>
      <c r="M43" t="s">
        <v>2053</v>
      </c>
      <c r="N43">
        <v>0</v>
      </c>
      <c r="O43">
        <v>0</v>
      </c>
      <c r="P43">
        <v>0</v>
      </c>
      <c r="Q43">
        <v>1440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133</v>
      </c>
      <c r="AH43" s="21" t="s">
        <v>3425</v>
      </c>
      <c r="AI43" s="21">
        <v>107.92500000000001</v>
      </c>
      <c r="AJ43" s="21">
        <v>100</v>
      </c>
      <c r="AK43" s="21" t="s">
        <v>2054</v>
      </c>
      <c r="AL43" t="s">
        <v>75</v>
      </c>
      <c r="AM43" t="s">
        <v>2027</v>
      </c>
    </row>
    <row r="44" spans="1:39" ht="15" hidden="1" thickTop="1" x14ac:dyDescent="0.35">
      <c r="A44" t="s">
        <v>2206</v>
      </c>
      <c r="B44" t="s">
        <v>2215</v>
      </c>
      <c r="C44" t="s">
        <v>3376</v>
      </c>
      <c r="D44" t="s">
        <v>2216</v>
      </c>
      <c r="E44" t="s">
        <v>559</v>
      </c>
      <c r="F44">
        <v>1</v>
      </c>
      <c r="G44" t="s">
        <v>2050</v>
      </c>
      <c r="H44" t="s">
        <v>2051</v>
      </c>
      <c r="I44" t="s">
        <v>53</v>
      </c>
      <c r="J44" t="s">
        <v>67</v>
      </c>
      <c r="K44" t="s">
        <v>68</v>
      </c>
      <c r="L44" t="s">
        <v>2052</v>
      </c>
      <c r="M44" t="s">
        <v>2053</v>
      </c>
      <c r="N44">
        <v>0</v>
      </c>
      <c r="O44">
        <v>0</v>
      </c>
      <c r="P44">
        <v>0</v>
      </c>
      <c r="Q44">
        <v>1440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134</v>
      </c>
      <c r="AH44" s="21" t="s">
        <v>3425</v>
      </c>
      <c r="AI44" s="21">
        <v>107.92500000000001</v>
      </c>
      <c r="AJ44" s="21">
        <v>100</v>
      </c>
      <c r="AK44" s="21" t="s">
        <v>2054</v>
      </c>
      <c r="AL44" t="s">
        <v>70</v>
      </c>
      <c r="AM44" t="s">
        <v>2027</v>
      </c>
    </row>
    <row r="45" spans="1:39" ht="15" hidden="1" thickTop="1" x14ac:dyDescent="0.35">
      <c r="A45" t="s">
        <v>2210</v>
      </c>
      <c r="B45" t="s">
        <v>2220</v>
      </c>
      <c r="C45" t="s">
        <v>135</v>
      </c>
      <c r="D45" t="s">
        <v>2221</v>
      </c>
      <c r="E45" t="s">
        <v>136</v>
      </c>
      <c r="F45">
        <v>1</v>
      </c>
      <c r="G45" t="s">
        <v>2050</v>
      </c>
      <c r="H45" t="s">
        <v>2051</v>
      </c>
      <c r="I45" t="s">
        <v>53</v>
      </c>
      <c r="J45" t="s">
        <v>137</v>
      </c>
      <c r="K45" t="s">
        <v>68</v>
      </c>
      <c r="L45" t="s">
        <v>2052</v>
      </c>
      <c r="M45" t="s">
        <v>2053</v>
      </c>
      <c r="N45">
        <v>0</v>
      </c>
      <c r="O45">
        <v>0</v>
      </c>
      <c r="P45">
        <v>0</v>
      </c>
      <c r="Q45">
        <v>1440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138</v>
      </c>
      <c r="AH45" s="21" t="s">
        <v>3425</v>
      </c>
      <c r="AI45" s="21">
        <v>107.92500000000001</v>
      </c>
      <c r="AJ45" s="21">
        <v>100</v>
      </c>
      <c r="AK45" s="21" t="s">
        <v>2054</v>
      </c>
      <c r="AL45" t="s">
        <v>115</v>
      </c>
      <c r="AM45" t="s">
        <v>2027</v>
      </c>
    </row>
    <row r="46" spans="1:39" ht="15" hidden="1" thickTop="1" x14ac:dyDescent="0.35">
      <c r="A46" t="s">
        <v>2212</v>
      </c>
      <c r="B46" t="s">
        <v>2222</v>
      </c>
      <c r="C46" t="s">
        <v>3376</v>
      </c>
      <c r="D46" t="s">
        <v>2223</v>
      </c>
      <c r="E46" t="s">
        <v>559</v>
      </c>
      <c r="F46">
        <v>1</v>
      </c>
      <c r="G46" t="s">
        <v>2050</v>
      </c>
      <c r="H46" t="s">
        <v>2051</v>
      </c>
      <c r="I46" t="s">
        <v>53</v>
      </c>
      <c r="J46" t="s">
        <v>67</v>
      </c>
      <c r="K46" t="s">
        <v>68</v>
      </c>
      <c r="L46" t="s">
        <v>2052</v>
      </c>
      <c r="M46" t="s">
        <v>2053</v>
      </c>
      <c r="N46">
        <v>0</v>
      </c>
      <c r="O46">
        <v>0</v>
      </c>
      <c r="P46">
        <v>0</v>
      </c>
      <c r="Q46">
        <v>1440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139</v>
      </c>
      <c r="AH46" s="21" t="s">
        <v>3425</v>
      </c>
      <c r="AI46" s="21">
        <v>107.92500000000001</v>
      </c>
      <c r="AJ46" s="21">
        <v>100</v>
      </c>
      <c r="AK46" s="21" t="s">
        <v>2054</v>
      </c>
      <c r="AL46" t="s">
        <v>70</v>
      </c>
      <c r="AM46" t="s">
        <v>2027</v>
      </c>
    </row>
    <row r="47" spans="1:39" ht="15" hidden="1" thickTop="1" x14ac:dyDescent="0.35">
      <c r="A47" t="s">
        <v>2218</v>
      </c>
      <c r="B47" t="s">
        <v>2230</v>
      </c>
      <c r="C47" t="s">
        <v>78</v>
      </c>
      <c r="D47" t="s">
        <v>2231</v>
      </c>
      <c r="E47" t="s">
        <v>559</v>
      </c>
      <c r="F47">
        <v>1</v>
      </c>
      <c r="G47" t="s">
        <v>2050</v>
      </c>
      <c r="H47" t="s">
        <v>2051</v>
      </c>
      <c r="I47" t="s">
        <v>53</v>
      </c>
      <c r="J47" t="s">
        <v>67</v>
      </c>
      <c r="K47" t="s">
        <v>68</v>
      </c>
      <c r="L47" t="s">
        <v>2052</v>
      </c>
      <c r="M47" t="s">
        <v>2053</v>
      </c>
      <c r="N47">
        <v>0</v>
      </c>
      <c r="O47">
        <v>0</v>
      </c>
      <c r="P47">
        <v>0</v>
      </c>
      <c r="Q47">
        <v>1440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140</v>
      </c>
      <c r="AH47" s="21" t="s">
        <v>3425</v>
      </c>
      <c r="AI47" s="21">
        <v>107.92500000000001</v>
      </c>
      <c r="AJ47" s="21">
        <v>100</v>
      </c>
      <c r="AK47" s="21" t="s">
        <v>2054</v>
      </c>
      <c r="AL47" t="s">
        <v>70</v>
      </c>
      <c r="AM47" t="s">
        <v>2029</v>
      </c>
    </row>
    <row r="48" spans="1:39" ht="15" hidden="1" thickTop="1" x14ac:dyDescent="0.35">
      <c r="A48" t="s">
        <v>2219</v>
      </c>
      <c r="B48" t="s">
        <v>2232</v>
      </c>
      <c r="C48" t="s">
        <v>92</v>
      </c>
      <c r="D48" t="s">
        <v>2233</v>
      </c>
      <c r="E48" t="s">
        <v>119</v>
      </c>
      <c r="F48">
        <v>1</v>
      </c>
      <c r="G48" t="s">
        <v>2050</v>
      </c>
      <c r="H48" t="s">
        <v>2051</v>
      </c>
      <c r="I48" t="s">
        <v>53</v>
      </c>
      <c r="J48" t="s">
        <v>67</v>
      </c>
      <c r="K48" t="s">
        <v>68</v>
      </c>
      <c r="L48" t="s">
        <v>2052</v>
      </c>
      <c r="M48" t="s">
        <v>2053</v>
      </c>
      <c r="N48">
        <v>0</v>
      </c>
      <c r="O48">
        <v>0</v>
      </c>
      <c r="P48">
        <v>0</v>
      </c>
      <c r="Q48">
        <v>1440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141</v>
      </c>
      <c r="AH48" s="21" t="s">
        <v>3427</v>
      </c>
      <c r="AI48" s="21">
        <v>107.92500000000001</v>
      </c>
      <c r="AJ48" s="21">
        <v>100</v>
      </c>
      <c r="AK48" s="21" t="s">
        <v>2054</v>
      </c>
      <c r="AL48" t="s">
        <v>70</v>
      </c>
      <c r="AM48" t="s">
        <v>2027</v>
      </c>
    </row>
    <row r="49" spans="1:39" ht="15" hidden="1" thickTop="1" x14ac:dyDescent="0.35">
      <c r="A49" t="s">
        <v>2225</v>
      </c>
      <c r="B49" t="s">
        <v>2238</v>
      </c>
      <c r="C49" t="s">
        <v>81</v>
      </c>
      <c r="D49" t="s">
        <v>2239</v>
      </c>
      <c r="E49" t="s">
        <v>559</v>
      </c>
      <c r="F49">
        <v>1</v>
      </c>
      <c r="G49" t="s">
        <v>2050</v>
      </c>
      <c r="H49" t="s">
        <v>2051</v>
      </c>
      <c r="I49" t="s">
        <v>53</v>
      </c>
      <c r="J49" t="s">
        <v>82</v>
      </c>
      <c r="K49" t="s">
        <v>68</v>
      </c>
      <c r="L49" t="s">
        <v>2052</v>
      </c>
      <c r="M49" t="s">
        <v>2053</v>
      </c>
      <c r="N49">
        <v>0</v>
      </c>
      <c r="O49">
        <v>0</v>
      </c>
      <c r="P49">
        <v>0</v>
      </c>
      <c r="Q49">
        <v>1440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142</v>
      </c>
      <c r="AH49" s="21" t="s">
        <v>3425</v>
      </c>
      <c r="AI49" s="21">
        <v>107.92500000000001</v>
      </c>
      <c r="AJ49" s="21">
        <v>100</v>
      </c>
      <c r="AK49" s="21" t="s">
        <v>2054</v>
      </c>
      <c r="AL49" t="s">
        <v>70</v>
      </c>
      <c r="AM49" t="s">
        <v>2029</v>
      </c>
    </row>
    <row r="50" spans="1:39" ht="15" hidden="1" thickTop="1" x14ac:dyDescent="0.35">
      <c r="A50" t="s">
        <v>2226</v>
      </c>
      <c r="B50" t="s">
        <v>2240</v>
      </c>
      <c r="C50" t="s">
        <v>76</v>
      </c>
      <c r="D50" t="s">
        <v>2241</v>
      </c>
      <c r="E50" t="s">
        <v>119</v>
      </c>
      <c r="F50">
        <v>1</v>
      </c>
      <c r="G50" t="s">
        <v>2050</v>
      </c>
      <c r="H50" t="s">
        <v>2051</v>
      </c>
      <c r="I50" t="s">
        <v>53</v>
      </c>
      <c r="J50" t="s">
        <v>67</v>
      </c>
      <c r="K50" t="s">
        <v>68</v>
      </c>
      <c r="L50" t="s">
        <v>2052</v>
      </c>
      <c r="M50" t="s">
        <v>2053</v>
      </c>
      <c r="N50">
        <v>0</v>
      </c>
      <c r="O50">
        <v>0</v>
      </c>
      <c r="P50">
        <v>0</v>
      </c>
      <c r="Q50">
        <v>1440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143</v>
      </c>
      <c r="AH50" s="21" t="s">
        <v>3424</v>
      </c>
      <c r="AI50" s="21">
        <v>107.92500000000001</v>
      </c>
      <c r="AJ50" s="21">
        <v>100</v>
      </c>
      <c r="AK50" s="21" t="s">
        <v>2054</v>
      </c>
      <c r="AL50" t="s">
        <v>70</v>
      </c>
      <c r="AM50" t="s">
        <v>2029</v>
      </c>
    </row>
    <row r="51" spans="1:39" ht="15" hidden="1" thickTop="1" x14ac:dyDescent="0.35">
      <c r="A51" t="s">
        <v>2228</v>
      </c>
      <c r="B51" t="s">
        <v>2244</v>
      </c>
      <c r="C51" t="s">
        <v>78</v>
      </c>
      <c r="D51" t="s">
        <v>2245</v>
      </c>
      <c r="E51" t="s">
        <v>559</v>
      </c>
      <c r="F51">
        <v>1</v>
      </c>
      <c r="G51" t="s">
        <v>2050</v>
      </c>
      <c r="H51" t="s">
        <v>2051</v>
      </c>
      <c r="I51" t="s">
        <v>53</v>
      </c>
      <c r="J51" t="s">
        <v>67</v>
      </c>
      <c r="K51" t="s">
        <v>68</v>
      </c>
      <c r="L51" t="s">
        <v>2052</v>
      </c>
      <c r="M51" t="s">
        <v>2053</v>
      </c>
      <c r="N51">
        <v>0</v>
      </c>
      <c r="O51">
        <v>0</v>
      </c>
      <c r="P51">
        <v>0</v>
      </c>
      <c r="Q51">
        <v>1440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144</v>
      </c>
      <c r="AH51" s="21" t="s">
        <v>3425</v>
      </c>
      <c r="AI51" s="21">
        <v>107.92500000000001</v>
      </c>
      <c r="AJ51" s="21">
        <v>100</v>
      </c>
      <c r="AK51" s="21" t="s">
        <v>2054</v>
      </c>
      <c r="AL51" t="s">
        <v>70</v>
      </c>
      <c r="AM51" t="s">
        <v>2030</v>
      </c>
    </row>
    <row r="52" spans="1:39" ht="15" hidden="1" thickTop="1" x14ac:dyDescent="0.35">
      <c r="A52" t="s">
        <v>2229</v>
      </c>
      <c r="B52" t="s">
        <v>2247</v>
      </c>
      <c r="C52" t="s">
        <v>66</v>
      </c>
      <c r="D52" t="s">
        <v>2248</v>
      </c>
      <c r="E52" t="s">
        <v>559</v>
      </c>
      <c r="F52">
        <v>1</v>
      </c>
      <c r="G52" t="s">
        <v>2050</v>
      </c>
      <c r="H52" t="s">
        <v>2051</v>
      </c>
      <c r="I52" t="s">
        <v>53</v>
      </c>
      <c r="J52" t="s">
        <v>67</v>
      </c>
      <c r="K52" t="s">
        <v>68</v>
      </c>
      <c r="L52" t="s">
        <v>2052</v>
      </c>
      <c r="M52" t="s">
        <v>2084</v>
      </c>
      <c r="N52">
        <v>0</v>
      </c>
      <c r="O52">
        <v>0</v>
      </c>
      <c r="P52">
        <v>0</v>
      </c>
      <c r="Q52">
        <v>840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145</v>
      </c>
      <c r="AH52" s="21" t="s">
        <v>3427</v>
      </c>
      <c r="AI52" s="21">
        <v>62.999999999999986</v>
      </c>
      <c r="AJ52" s="21">
        <v>100</v>
      </c>
      <c r="AK52" s="21" t="s">
        <v>2055</v>
      </c>
      <c r="AL52" t="s">
        <v>70</v>
      </c>
      <c r="AM52" t="s">
        <v>2028</v>
      </c>
    </row>
    <row r="53" spans="1:39" ht="15" hidden="1" thickTop="1" x14ac:dyDescent="0.35">
      <c r="A53" t="s">
        <v>2235</v>
      </c>
      <c r="B53" t="s">
        <v>2251</v>
      </c>
      <c r="C53" t="s">
        <v>92</v>
      </c>
      <c r="D53" t="s">
        <v>2252</v>
      </c>
      <c r="E53" t="s">
        <v>119</v>
      </c>
      <c r="F53">
        <v>1</v>
      </c>
      <c r="G53" t="s">
        <v>2050</v>
      </c>
      <c r="H53" t="s">
        <v>2051</v>
      </c>
      <c r="I53" t="s">
        <v>53</v>
      </c>
      <c r="J53" t="s">
        <v>67</v>
      </c>
      <c r="K53" t="s">
        <v>68</v>
      </c>
      <c r="L53" t="s">
        <v>2052</v>
      </c>
      <c r="M53" t="s">
        <v>2053</v>
      </c>
      <c r="N53">
        <v>0</v>
      </c>
      <c r="O53">
        <v>0</v>
      </c>
      <c r="P53">
        <v>0</v>
      </c>
      <c r="Q53">
        <v>1440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147</v>
      </c>
      <c r="AH53" s="21" t="s">
        <v>3424</v>
      </c>
      <c r="AI53" s="21">
        <v>107.92500000000001</v>
      </c>
      <c r="AJ53" s="21">
        <v>100</v>
      </c>
      <c r="AK53" s="21" t="s">
        <v>2054</v>
      </c>
      <c r="AL53" t="s">
        <v>70</v>
      </c>
      <c r="AM53" t="s">
        <v>2029</v>
      </c>
    </row>
    <row r="54" spans="1:39" ht="15" hidden="1" thickTop="1" x14ac:dyDescent="0.35">
      <c r="A54" t="s">
        <v>2237</v>
      </c>
      <c r="B54" t="s">
        <v>2256</v>
      </c>
      <c r="C54" t="s">
        <v>102</v>
      </c>
      <c r="D54" t="s">
        <v>2257</v>
      </c>
      <c r="E54" t="s">
        <v>559</v>
      </c>
      <c r="F54">
        <v>1</v>
      </c>
      <c r="G54" t="s">
        <v>2050</v>
      </c>
      <c r="H54" t="s">
        <v>2051</v>
      </c>
      <c r="I54" t="s">
        <v>53</v>
      </c>
      <c r="J54" t="s">
        <v>67</v>
      </c>
      <c r="K54" t="s">
        <v>68</v>
      </c>
      <c r="L54" t="s">
        <v>2052</v>
      </c>
      <c r="M54" t="s">
        <v>2053</v>
      </c>
      <c r="N54">
        <v>0</v>
      </c>
      <c r="O54">
        <v>0</v>
      </c>
      <c r="P54">
        <v>0</v>
      </c>
      <c r="Q54">
        <v>1440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148</v>
      </c>
      <c r="AH54" s="21" t="s">
        <v>3425</v>
      </c>
      <c r="AI54" s="21">
        <v>107.92500000000001</v>
      </c>
      <c r="AJ54" s="21">
        <v>100</v>
      </c>
      <c r="AK54" s="21" t="s">
        <v>2054</v>
      </c>
      <c r="AL54" t="s">
        <v>70</v>
      </c>
      <c r="AM54" t="s">
        <v>2029</v>
      </c>
    </row>
    <row r="55" spans="1:39" ht="15" hidden="1" thickTop="1" x14ac:dyDescent="0.35">
      <c r="A55" t="s">
        <v>2243</v>
      </c>
      <c r="B55" t="s">
        <v>2262</v>
      </c>
      <c r="C55" t="s">
        <v>66</v>
      </c>
      <c r="D55" t="s">
        <v>2263</v>
      </c>
      <c r="E55" t="s">
        <v>559</v>
      </c>
      <c r="F55">
        <v>1</v>
      </c>
      <c r="G55" t="s">
        <v>2050</v>
      </c>
      <c r="H55" t="s">
        <v>2051</v>
      </c>
      <c r="I55" t="s">
        <v>53</v>
      </c>
      <c r="J55" t="s">
        <v>67</v>
      </c>
      <c r="K55" t="s">
        <v>68</v>
      </c>
      <c r="L55" t="s">
        <v>2052</v>
      </c>
      <c r="M55" t="s">
        <v>2063</v>
      </c>
      <c r="N55">
        <v>0</v>
      </c>
      <c r="O55">
        <v>0</v>
      </c>
      <c r="P55">
        <v>0</v>
      </c>
      <c r="Q55">
        <v>1020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150</v>
      </c>
      <c r="AH55" s="21" t="s">
        <v>3427</v>
      </c>
      <c r="AI55" s="21">
        <v>76.500000000000014</v>
      </c>
      <c r="AJ55" s="21">
        <v>100</v>
      </c>
      <c r="AK55" s="21" t="s">
        <v>2054</v>
      </c>
      <c r="AL55" t="s">
        <v>70</v>
      </c>
      <c r="AM55" t="s">
        <v>2029</v>
      </c>
    </row>
    <row r="56" spans="1:39" ht="15" hidden="1" thickTop="1" x14ac:dyDescent="0.35">
      <c r="A56" t="s">
        <v>2246</v>
      </c>
      <c r="B56" t="s">
        <v>2265</v>
      </c>
      <c r="C56" t="s">
        <v>66</v>
      </c>
      <c r="D56" t="s">
        <v>2266</v>
      </c>
      <c r="E56" t="s">
        <v>559</v>
      </c>
      <c r="F56">
        <v>1</v>
      </c>
      <c r="G56" t="s">
        <v>2050</v>
      </c>
      <c r="H56" t="s">
        <v>2051</v>
      </c>
      <c r="I56" t="s">
        <v>53</v>
      </c>
      <c r="J56" t="s">
        <v>67</v>
      </c>
      <c r="K56" t="s">
        <v>68</v>
      </c>
      <c r="L56" t="s">
        <v>2052</v>
      </c>
      <c r="M56" t="s">
        <v>2064</v>
      </c>
      <c r="N56">
        <v>0</v>
      </c>
      <c r="O56">
        <v>0</v>
      </c>
      <c r="P56">
        <v>0</v>
      </c>
      <c r="Q56">
        <v>900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151</v>
      </c>
      <c r="AH56" s="21" t="s">
        <v>3427</v>
      </c>
      <c r="AI56" s="21">
        <v>67.5</v>
      </c>
      <c r="AJ56" s="21">
        <v>100</v>
      </c>
      <c r="AK56" s="21" t="s">
        <v>2054</v>
      </c>
      <c r="AL56" t="s">
        <v>70</v>
      </c>
      <c r="AM56" t="s">
        <v>2029</v>
      </c>
    </row>
    <row r="57" spans="1:39" ht="15" hidden="1" thickTop="1" x14ac:dyDescent="0.35">
      <c r="A57" t="s">
        <v>2250</v>
      </c>
      <c r="B57" t="s">
        <v>2269</v>
      </c>
      <c r="C57" t="s">
        <v>565</v>
      </c>
      <c r="D57" t="s">
        <v>2270</v>
      </c>
      <c r="E57" t="s">
        <v>559</v>
      </c>
      <c r="F57">
        <v>1</v>
      </c>
      <c r="G57" t="s">
        <v>2050</v>
      </c>
      <c r="H57" t="s">
        <v>2051</v>
      </c>
      <c r="I57" t="s">
        <v>53</v>
      </c>
      <c r="J57" t="s">
        <v>427</v>
      </c>
      <c r="K57" t="s">
        <v>68</v>
      </c>
      <c r="L57" t="s">
        <v>2052</v>
      </c>
      <c r="M57" t="s">
        <v>2053</v>
      </c>
      <c r="N57">
        <v>0</v>
      </c>
      <c r="O57">
        <v>0</v>
      </c>
      <c r="P57">
        <v>0</v>
      </c>
      <c r="Q57">
        <v>1440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152</v>
      </c>
      <c r="AH57" s="21" t="s">
        <v>3425</v>
      </c>
      <c r="AI57" s="21">
        <v>107.92500000000001</v>
      </c>
      <c r="AJ57" s="21">
        <v>100</v>
      </c>
      <c r="AK57" s="21" t="s">
        <v>2054</v>
      </c>
      <c r="AL57" t="s">
        <v>70</v>
      </c>
      <c r="AM57" t="s">
        <v>2028</v>
      </c>
    </row>
    <row r="58" spans="1:39" ht="15" hidden="1" thickTop="1" x14ac:dyDescent="0.35">
      <c r="A58" t="s">
        <v>2254</v>
      </c>
      <c r="B58" t="s">
        <v>2273</v>
      </c>
      <c r="C58" t="s">
        <v>100</v>
      </c>
      <c r="D58" t="s">
        <v>2274</v>
      </c>
      <c r="E58" t="s">
        <v>559</v>
      </c>
      <c r="F58">
        <v>1</v>
      </c>
      <c r="G58" t="s">
        <v>2050</v>
      </c>
      <c r="H58" t="s">
        <v>2051</v>
      </c>
      <c r="I58" t="s">
        <v>53</v>
      </c>
      <c r="J58" t="s">
        <v>67</v>
      </c>
      <c r="K58" t="s">
        <v>68</v>
      </c>
      <c r="L58" t="s">
        <v>2052</v>
      </c>
      <c r="M58" t="s">
        <v>2053</v>
      </c>
      <c r="N58">
        <v>0</v>
      </c>
      <c r="O58">
        <v>0</v>
      </c>
      <c r="P58">
        <v>0</v>
      </c>
      <c r="Q58">
        <v>1440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153</v>
      </c>
      <c r="AH58" s="21" t="s">
        <v>3425</v>
      </c>
      <c r="AI58" s="21">
        <v>107.92500000000001</v>
      </c>
      <c r="AJ58" s="21">
        <v>100</v>
      </c>
      <c r="AK58" s="21" t="s">
        <v>2054</v>
      </c>
      <c r="AL58" t="s">
        <v>70</v>
      </c>
      <c r="AM58" t="s">
        <v>2028</v>
      </c>
    </row>
    <row r="59" spans="1:39" ht="15" hidden="1" thickTop="1" x14ac:dyDescent="0.35">
      <c r="A59" t="s">
        <v>2255</v>
      </c>
      <c r="B59" t="s">
        <v>2275</v>
      </c>
      <c r="C59" t="s">
        <v>66</v>
      </c>
      <c r="D59" t="s">
        <v>2276</v>
      </c>
      <c r="E59" t="s">
        <v>559</v>
      </c>
      <c r="F59">
        <v>1</v>
      </c>
      <c r="G59" t="s">
        <v>2050</v>
      </c>
      <c r="H59" t="s">
        <v>2051</v>
      </c>
      <c r="I59" t="s">
        <v>53</v>
      </c>
      <c r="J59" t="s">
        <v>67</v>
      </c>
      <c r="K59" t="s">
        <v>68</v>
      </c>
      <c r="L59" t="s">
        <v>2052</v>
      </c>
      <c r="M59" t="s">
        <v>2053</v>
      </c>
      <c r="N59">
        <v>0</v>
      </c>
      <c r="O59">
        <v>0</v>
      </c>
      <c r="P59">
        <v>0</v>
      </c>
      <c r="Q59">
        <v>1440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154</v>
      </c>
      <c r="AH59" s="21" t="s">
        <v>3424</v>
      </c>
      <c r="AI59" s="21">
        <v>107.92500000000001</v>
      </c>
      <c r="AJ59" s="21">
        <v>100</v>
      </c>
      <c r="AK59" s="21" t="s">
        <v>2054</v>
      </c>
      <c r="AL59" t="s">
        <v>70</v>
      </c>
      <c r="AM59" t="s">
        <v>2030</v>
      </c>
    </row>
    <row r="60" spans="1:39" ht="15" hidden="1" thickTop="1" x14ac:dyDescent="0.35">
      <c r="A60" t="s">
        <v>2259</v>
      </c>
      <c r="B60" t="s">
        <v>2277</v>
      </c>
      <c r="C60" t="s">
        <v>81</v>
      </c>
      <c r="D60" t="s">
        <v>2278</v>
      </c>
      <c r="E60" t="s">
        <v>559</v>
      </c>
      <c r="F60">
        <v>1</v>
      </c>
      <c r="G60" t="s">
        <v>2050</v>
      </c>
      <c r="H60" t="s">
        <v>2051</v>
      </c>
      <c r="I60" t="s">
        <v>53</v>
      </c>
      <c r="J60" t="s">
        <v>82</v>
      </c>
      <c r="K60" t="s">
        <v>68</v>
      </c>
      <c r="L60" t="s">
        <v>2052</v>
      </c>
      <c r="M60" t="s">
        <v>2053</v>
      </c>
      <c r="N60">
        <v>0</v>
      </c>
      <c r="O60">
        <v>0</v>
      </c>
      <c r="P60">
        <v>0</v>
      </c>
      <c r="Q60">
        <v>1440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155</v>
      </c>
      <c r="AH60" s="21" t="s">
        <v>3427</v>
      </c>
      <c r="AI60" s="21">
        <v>107.92500000000001</v>
      </c>
      <c r="AJ60" s="21">
        <v>100</v>
      </c>
      <c r="AK60" s="21" t="s">
        <v>2054</v>
      </c>
      <c r="AL60" t="s">
        <v>70</v>
      </c>
      <c r="AM60" t="s">
        <v>2030</v>
      </c>
    </row>
    <row r="61" spans="1:39" ht="15" hidden="1" thickTop="1" x14ac:dyDescent="0.35">
      <c r="A61" t="s">
        <v>2261</v>
      </c>
      <c r="B61" t="s">
        <v>2279</v>
      </c>
      <c r="C61" t="s">
        <v>102</v>
      </c>
      <c r="D61" t="s">
        <v>2280</v>
      </c>
      <c r="E61" t="s">
        <v>559</v>
      </c>
      <c r="F61">
        <v>1</v>
      </c>
      <c r="G61" t="s">
        <v>2050</v>
      </c>
      <c r="H61" t="s">
        <v>2051</v>
      </c>
      <c r="I61" t="s">
        <v>53</v>
      </c>
      <c r="J61" t="s">
        <v>67</v>
      </c>
      <c r="K61" t="s">
        <v>68</v>
      </c>
      <c r="L61" t="s">
        <v>2052</v>
      </c>
      <c r="M61" t="s">
        <v>2053</v>
      </c>
      <c r="N61">
        <v>0</v>
      </c>
      <c r="O61">
        <v>0</v>
      </c>
      <c r="P61">
        <v>0</v>
      </c>
      <c r="Q61">
        <v>1440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156</v>
      </c>
      <c r="AH61" s="21" t="s">
        <v>3427</v>
      </c>
      <c r="AI61" s="21">
        <v>107.92500000000001</v>
      </c>
      <c r="AJ61" s="21">
        <v>100</v>
      </c>
      <c r="AK61" s="21" t="s">
        <v>2055</v>
      </c>
      <c r="AL61" t="s">
        <v>70</v>
      </c>
      <c r="AM61" t="s">
        <v>2030</v>
      </c>
    </row>
    <row r="62" spans="1:39" ht="15" hidden="1" thickTop="1" x14ac:dyDescent="0.35">
      <c r="A62" t="s">
        <v>2264</v>
      </c>
      <c r="B62" t="s">
        <v>2281</v>
      </c>
      <c r="C62" t="s">
        <v>76</v>
      </c>
      <c r="D62" t="s">
        <v>2282</v>
      </c>
      <c r="E62" t="s">
        <v>559</v>
      </c>
      <c r="F62">
        <v>1</v>
      </c>
      <c r="G62" t="s">
        <v>2050</v>
      </c>
      <c r="H62" t="s">
        <v>2051</v>
      </c>
      <c r="I62" t="s">
        <v>53</v>
      </c>
      <c r="J62" t="s">
        <v>67</v>
      </c>
      <c r="K62" t="s">
        <v>68</v>
      </c>
      <c r="L62" t="s">
        <v>2052</v>
      </c>
      <c r="M62" t="s">
        <v>2053</v>
      </c>
      <c r="N62">
        <v>0</v>
      </c>
      <c r="O62">
        <v>0</v>
      </c>
      <c r="P62">
        <v>0</v>
      </c>
      <c r="Q62">
        <v>1440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157</v>
      </c>
      <c r="AH62" s="21" t="s">
        <v>3427</v>
      </c>
      <c r="AI62" s="21">
        <v>107.92500000000001</v>
      </c>
      <c r="AJ62" s="21">
        <v>100</v>
      </c>
      <c r="AK62" s="21" t="s">
        <v>2054</v>
      </c>
      <c r="AL62" t="s">
        <v>70</v>
      </c>
      <c r="AM62" t="s">
        <v>2029</v>
      </c>
    </row>
    <row r="63" spans="1:39" ht="15" hidden="1" thickTop="1" x14ac:dyDescent="0.35">
      <c r="A63" t="s">
        <v>2268</v>
      </c>
      <c r="B63" t="s">
        <v>2283</v>
      </c>
      <c r="C63" t="s">
        <v>3376</v>
      </c>
      <c r="D63" t="s">
        <v>2284</v>
      </c>
      <c r="E63" t="s">
        <v>559</v>
      </c>
      <c r="F63">
        <v>1</v>
      </c>
      <c r="G63" t="s">
        <v>2050</v>
      </c>
      <c r="H63" t="s">
        <v>2051</v>
      </c>
      <c r="I63" t="s">
        <v>53</v>
      </c>
      <c r="J63" t="s">
        <v>67</v>
      </c>
      <c r="K63" t="s">
        <v>68</v>
      </c>
      <c r="L63" t="s">
        <v>2052</v>
      </c>
      <c r="M63" t="s">
        <v>2053</v>
      </c>
      <c r="N63">
        <v>0</v>
      </c>
      <c r="O63">
        <v>0</v>
      </c>
      <c r="P63">
        <v>0</v>
      </c>
      <c r="Q63">
        <v>1440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158</v>
      </c>
      <c r="AH63" s="21" t="s">
        <v>3424</v>
      </c>
      <c r="AI63" s="21">
        <v>107.92500000000001</v>
      </c>
      <c r="AJ63" s="21">
        <v>100</v>
      </c>
      <c r="AK63" s="21" t="s">
        <v>2055</v>
      </c>
      <c r="AL63" t="s">
        <v>70</v>
      </c>
      <c r="AM63" t="s">
        <v>2029</v>
      </c>
    </row>
    <row r="64" spans="1:39" ht="15" hidden="1" thickTop="1" x14ac:dyDescent="0.35">
      <c r="A64" t="s">
        <v>2272</v>
      </c>
      <c r="B64" t="s">
        <v>2285</v>
      </c>
      <c r="C64" t="s">
        <v>117</v>
      </c>
      <c r="D64" t="s">
        <v>2286</v>
      </c>
      <c r="E64" t="s">
        <v>559</v>
      </c>
      <c r="F64">
        <v>1</v>
      </c>
      <c r="G64" t="s">
        <v>2050</v>
      </c>
      <c r="H64" t="s">
        <v>2051</v>
      </c>
      <c r="I64" t="s">
        <v>53</v>
      </c>
      <c r="J64" t="s">
        <v>67</v>
      </c>
      <c r="K64" t="s">
        <v>68</v>
      </c>
      <c r="L64" t="s">
        <v>2052</v>
      </c>
      <c r="M64" t="s">
        <v>2053</v>
      </c>
      <c r="N64">
        <v>0</v>
      </c>
      <c r="O64">
        <v>0</v>
      </c>
      <c r="P64">
        <v>0</v>
      </c>
      <c r="Q64">
        <v>1440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159</v>
      </c>
      <c r="AH64" s="21" t="s">
        <v>3424</v>
      </c>
      <c r="AI64" s="21">
        <v>107.92500000000001</v>
      </c>
      <c r="AJ64" s="21">
        <v>100</v>
      </c>
      <c r="AK64" s="21" t="s">
        <v>2054</v>
      </c>
      <c r="AL64" t="s">
        <v>70</v>
      </c>
      <c r="AM64" t="s">
        <v>2030</v>
      </c>
    </row>
    <row r="65" spans="1:39" ht="15" hidden="1" thickTop="1" x14ac:dyDescent="0.35">
      <c r="A65" t="s">
        <v>2288</v>
      </c>
      <c r="B65" t="s">
        <v>2291</v>
      </c>
      <c r="C65" t="s">
        <v>66</v>
      </c>
      <c r="D65" t="s">
        <v>2292</v>
      </c>
      <c r="E65" t="s">
        <v>559</v>
      </c>
      <c r="F65">
        <v>2</v>
      </c>
      <c r="G65" t="s">
        <v>2050</v>
      </c>
      <c r="H65" t="s">
        <v>2051</v>
      </c>
      <c r="I65" t="s">
        <v>53</v>
      </c>
      <c r="J65" t="s">
        <v>67</v>
      </c>
      <c r="K65" t="s">
        <v>68</v>
      </c>
      <c r="L65" t="s">
        <v>2052</v>
      </c>
      <c r="M65" t="s">
        <v>2053</v>
      </c>
      <c r="N65">
        <v>0</v>
      </c>
      <c r="O65">
        <v>0</v>
      </c>
      <c r="P65">
        <v>0</v>
      </c>
      <c r="Q65">
        <v>1440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160</v>
      </c>
      <c r="AH65" s="21" t="s">
        <v>3424</v>
      </c>
      <c r="AI65" s="21">
        <v>107.92500000000001</v>
      </c>
      <c r="AJ65" s="21">
        <v>100</v>
      </c>
      <c r="AK65" s="21" t="s">
        <v>2054</v>
      </c>
      <c r="AL65" t="s">
        <v>70</v>
      </c>
      <c r="AM65" t="s">
        <v>2029</v>
      </c>
    </row>
    <row r="66" spans="1:39" ht="15" hidden="1" thickTop="1" x14ac:dyDescent="0.35">
      <c r="A66" t="s">
        <v>2290</v>
      </c>
      <c r="B66" t="s">
        <v>2294</v>
      </c>
      <c r="C66" t="s">
        <v>66</v>
      </c>
      <c r="D66" t="s">
        <v>2295</v>
      </c>
      <c r="E66" t="s">
        <v>559</v>
      </c>
      <c r="F66">
        <v>1</v>
      </c>
      <c r="G66" t="s">
        <v>2050</v>
      </c>
      <c r="H66" t="s">
        <v>2051</v>
      </c>
      <c r="I66" t="s">
        <v>53</v>
      </c>
      <c r="J66" t="s">
        <v>67</v>
      </c>
      <c r="K66" t="s">
        <v>68</v>
      </c>
      <c r="L66" t="s">
        <v>2052</v>
      </c>
      <c r="M66" t="s">
        <v>2053</v>
      </c>
      <c r="N66">
        <v>0</v>
      </c>
      <c r="O66">
        <v>0</v>
      </c>
      <c r="P66">
        <v>0</v>
      </c>
      <c r="Q66">
        <v>1440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161</v>
      </c>
      <c r="AH66" s="21" t="s">
        <v>3424</v>
      </c>
      <c r="AI66" s="21">
        <v>107.92500000000001</v>
      </c>
      <c r="AJ66" s="21">
        <v>100</v>
      </c>
      <c r="AK66" s="21" t="s">
        <v>2054</v>
      </c>
      <c r="AL66" t="s">
        <v>70</v>
      </c>
      <c r="AM66" t="s">
        <v>2028</v>
      </c>
    </row>
    <row r="67" spans="1:39" ht="15" hidden="1" thickTop="1" x14ac:dyDescent="0.35">
      <c r="A67" t="s">
        <v>2293</v>
      </c>
      <c r="B67" t="s">
        <v>2296</v>
      </c>
      <c r="C67" t="s">
        <v>78</v>
      </c>
      <c r="D67" t="s">
        <v>2297</v>
      </c>
      <c r="E67" t="s">
        <v>559</v>
      </c>
      <c r="F67">
        <v>1</v>
      </c>
      <c r="G67" t="s">
        <v>2050</v>
      </c>
      <c r="H67" t="s">
        <v>2051</v>
      </c>
      <c r="I67" t="s">
        <v>53</v>
      </c>
      <c r="J67" t="s">
        <v>67</v>
      </c>
      <c r="K67" t="s">
        <v>68</v>
      </c>
      <c r="L67" t="s">
        <v>2052</v>
      </c>
      <c r="M67" t="s">
        <v>2053</v>
      </c>
      <c r="N67">
        <v>0</v>
      </c>
      <c r="O67">
        <v>0</v>
      </c>
      <c r="P67">
        <v>0</v>
      </c>
      <c r="Q67">
        <v>1440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162</v>
      </c>
      <c r="AH67" s="21" t="s">
        <v>3424</v>
      </c>
      <c r="AI67" s="21">
        <v>107.92500000000001</v>
      </c>
      <c r="AJ67" s="21">
        <v>100</v>
      </c>
      <c r="AK67" s="21" t="s">
        <v>2054</v>
      </c>
      <c r="AL67" t="s">
        <v>70</v>
      </c>
      <c r="AM67" t="s">
        <v>2028</v>
      </c>
    </row>
    <row r="68" spans="1:39" ht="15" hidden="1" thickTop="1" x14ac:dyDescent="0.35">
      <c r="A68" t="s">
        <v>2299</v>
      </c>
      <c r="B68" t="s">
        <v>2300</v>
      </c>
      <c r="C68" t="s">
        <v>78</v>
      </c>
      <c r="D68" t="s">
        <v>2301</v>
      </c>
      <c r="E68" t="s">
        <v>559</v>
      </c>
      <c r="F68">
        <v>1</v>
      </c>
      <c r="G68" t="s">
        <v>2050</v>
      </c>
      <c r="H68" t="s">
        <v>2051</v>
      </c>
      <c r="I68" t="s">
        <v>53</v>
      </c>
      <c r="J68" t="s">
        <v>67</v>
      </c>
      <c r="K68" t="s">
        <v>68</v>
      </c>
      <c r="L68" t="s">
        <v>2052</v>
      </c>
      <c r="M68" t="s">
        <v>2064</v>
      </c>
      <c r="N68">
        <v>0</v>
      </c>
      <c r="O68">
        <v>0</v>
      </c>
      <c r="P68">
        <v>0</v>
      </c>
      <c r="Q68">
        <v>900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163</v>
      </c>
      <c r="AH68" s="21" t="s">
        <v>3425</v>
      </c>
      <c r="AI68" s="21">
        <v>67.5</v>
      </c>
      <c r="AJ68" s="21">
        <v>100</v>
      </c>
      <c r="AK68" s="21" t="s">
        <v>2054</v>
      </c>
      <c r="AL68" t="s">
        <v>70</v>
      </c>
      <c r="AM68" t="s">
        <v>2029</v>
      </c>
    </row>
    <row r="69" spans="1:39" ht="15" hidden="1" thickTop="1" x14ac:dyDescent="0.35">
      <c r="A69" t="s">
        <v>2303</v>
      </c>
      <c r="B69" t="s">
        <v>2309</v>
      </c>
      <c r="C69" t="s">
        <v>117</v>
      </c>
      <c r="D69" t="s">
        <v>2310</v>
      </c>
      <c r="E69" t="s">
        <v>559</v>
      </c>
      <c r="F69">
        <v>1</v>
      </c>
      <c r="G69" t="s">
        <v>2050</v>
      </c>
      <c r="H69" t="s">
        <v>2051</v>
      </c>
      <c r="I69" t="s">
        <v>53</v>
      </c>
      <c r="J69" t="s">
        <v>67</v>
      </c>
      <c r="K69" t="s">
        <v>68</v>
      </c>
      <c r="L69" t="s">
        <v>2052</v>
      </c>
      <c r="M69" t="s">
        <v>2063</v>
      </c>
      <c r="N69">
        <v>0</v>
      </c>
      <c r="O69">
        <v>0</v>
      </c>
      <c r="P69">
        <v>0</v>
      </c>
      <c r="Q69">
        <v>1020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164</v>
      </c>
      <c r="AH69" s="21" t="s">
        <v>3425</v>
      </c>
      <c r="AI69" s="21">
        <v>76.500000000000014</v>
      </c>
      <c r="AJ69" s="21">
        <v>100</v>
      </c>
      <c r="AK69" s="21" t="s">
        <v>2054</v>
      </c>
      <c r="AL69" t="s">
        <v>70</v>
      </c>
      <c r="AM69" t="s">
        <v>2027</v>
      </c>
    </row>
    <row r="70" spans="1:39" ht="15" hidden="1" thickTop="1" x14ac:dyDescent="0.35">
      <c r="A70" t="s">
        <v>2305</v>
      </c>
      <c r="B70" t="s">
        <v>2311</v>
      </c>
      <c r="C70" t="s">
        <v>76</v>
      </c>
      <c r="D70" t="s">
        <v>2312</v>
      </c>
      <c r="E70" t="s">
        <v>559</v>
      </c>
      <c r="F70">
        <v>1</v>
      </c>
      <c r="G70" t="s">
        <v>2050</v>
      </c>
      <c r="H70" t="s">
        <v>2051</v>
      </c>
      <c r="I70" t="s">
        <v>53</v>
      </c>
      <c r="J70" t="s">
        <v>67</v>
      </c>
      <c r="K70" t="s">
        <v>68</v>
      </c>
      <c r="L70" t="s">
        <v>2052</v>
      </c>
      <c r="M70" t="s">
        <v>2068</v>
      </c>
      <c r="N70">
        <v>0</v>
      </c>
      <c r="O70">
        <v>0</v>
      </c>
      <c r="P70">
        <v>0</v>
      </c>
      <c r="Q70">
        <v>720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561</v>
      </c>
      <c r="AH70" s="21" t="s">
        <v>3425</v>
      </c>
      <c r="AI70" s="21">
        <v>54</v>
      </c>
      <c r="AJ70" s="21">
        <v>100</v>
      </c>
      <c r="AK70" s="21" t="s">
        <v>2054</v>
      </c>
      <c r="AL70" t="s">
        <v>70</v>
      </c>
      <c r="AM70" t="s">
        <v>2027</v>
      </c>
    </row>
    <row r="71" spans="1:39" ht="15" hidden="1" thickTop="1" x14ac:dyDescent="0.35">
      <c r="A71" t="s">
        <v>2306</v>
      </c>
      <c r="B71" t="s">
        <v>2313</v>
      </c>
      <c r="C71" t="s">
        <v>100</v>
      </c>
      <c r="D71" t="s">
        <v>2314</v>
      </c>
      <c r="E71" t="s">
        <v>559</v>
      </c>
      <c r="F71">
        <v>1</v>
      </c>
      <c r="G71" t="s">
        <v>2050</v>
      </c>
      <c r="H71" t="s">
        <v>2051</v>
      </c>
      <c r="I71" t="s">
        <v>53</v>
      </c>
      <c r="J71" t="s">
        <v>67</v>
      </c>
      <c r="K71" t="s">
        <v>68</v>
      </c>
      <c r="L71" t="s">
        <v>2052</v>
      </c>
      <c r="M71" t="s">
        <v>2053</v>
      </c>
      <c r="N71">
        <v>0</v>
      </c>
      <c r="O71">
        <v>0</v>
      </c>
      <c r="P71">
        <v>0</v>
      </c>
      <c r="Q71">
        <v>1440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165</v>
      </c>
      <c r="AH71" s="21" t="s">
        <v>3425</v>
      </c>
      <c r="AI71" s="21">
        <v>107.92500000000001</v>
      </c>
      <c r="AJ71" s="21">
        <v>100</v>
      </c>
      <c r="AK71" s="21" t="s">
        <v>2054</v>
      </c>
      <c r="AL71" t="s">
        <v>70</v>
      </c>
      <c r="AM71" t="s">
        <v>2029</v>
      </c>
    </row>
    <row r="72" spans="1:39" ht="15" hidden="1" thickTop="1" x14ac:dyDescent="0.35">
      <c r="A72" t="s">
        <v>2308</v>
      </c>
      <c r="B72" t="s">
        <v>2315</v>
      </c>
      <c r="C72" t="s">
        <v>78</v>
      </c>
      <c r="D72" t="s">
        <v>2316</v>
      </c>
      <c r="E72" t="s">
        <v>559</v>
      </c>
      <c r="F72">
        <v>1</v>
      </c>
      <c r="G72" t="s">
        <v>2050</v>
      </c>
      <c r="H72" t="s">
        <v>2051</v>
      </c>
      <c r="I72" t="s">
        <v>53</v>
      </c>
      <c r="J72" t="s">
        <v>67</v>
      </c>
      <c r="K72" t="s">
        <v>68</v>
      </c>
      <c r="L72" t="s">
        <v>2052</v>
      </c>
      <c r="M72" t="s">
        <v>2053</v>
      </c>
      <c r="N72">
        <v>0</v>
      </c>
      <c r="O72">
        <v>0</v>
      </c>
      <c r="P72">
        <v>0</v>
      </c>
      <c r="Q72">
        <v>1440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1514</v>
      </c>
      <c r="AH72" s="21" t="s">
        <v>3425</v>
      </c>
      <c r="AI72" s="21">
        <v>107.92500000000001</v>
      </c>
      <c r="AJ72" s="21">
        <v>100</v>
      </c>
      <c r="AK72" s="21" t="s">
        <v>2055</v>
      </c>
      <c r="AL72" t="s">
        <v>70</v>
      </c>
      <c r="AM72" t="s">
        <v>2029</v>
      </c>
    </row>
    <row r="73" spans="1:39" ht="15" hidden="1" thickTop="1" x14ac:dyDescent="0.35">
      <c r="A73" t="s">
        <v>2319</v>
      </c>
      <c r="B73" t="s">
        <v>2330</v>
      </c>
      <c r="C73" t="s">
        <v>102</v>
      </c>
      <c r="D73" t="s">
        <v>2331</v>
      </c>
      <c r="E73" t="s">
        <v>559</v>
      </c>
      <c r="F73">
        <v>1</v>
      </c>
      <c r="G73" t="s">
        <v>2050</v>
      </c>
      <c r="H73" t="s">
        <v>2051</v>
      </c>
      <c r="I73" t="s">
        <v>53</v>
      </c>
      <c r="J73" t="s">
        <v>67</v>
      </c>
      <c r="K73" t="s">
        <v>68</v>
      </c>
      <c r="L73" t="s">
        <v>2052</v>
      </c>
      <c r="M73" t="s">
        <v>2053</v>
      </c>
      <c r="N73">
        <v>0</v>
      </c>
      <c r="O73">
        <v>0</v>
      </c>
      <c r="P73">
        <v>0</v>
      </c>
      <c r="Q73">
        <v>1440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166</v>
      </c>
      <c r="AH73" s="21" t="s">
        <v>3430</v>
      </c>
      <c r="AI73" s="21">
        <v>107.92500000000001</v>
      </c>
      <c r="AJ73" s="21">
        <v>100</v>
      </c>
      <c r="AK73" s="21" t="s">
        <v>2054</v>
      </c>
      <c r="AL73" t="s">
        <v>70</v>
      </c>
      <c r="AM73" t="s">
        <v>2027</v>
      </c>
    </row>
    <row r="74" spans="1:39" ht="15" hidden="1" thickTop="1" x14ac:dyDescent="0.35">
      <c r="A74" t="s">
        <v>2321</v>
      </c>
      <c r="B74" t="s">
        <v>2332</v>
      </c>
      <c r="C74" t="s">
        <v>117</v>
      </c>
      <c r="D74" t="s">
        <v>2333</v>
      </c>
      <c r="E74" t="s">
        <v>559</v>
      </c>
      <c r="F74">
        <v>1</v>
      </c>
      <c r="G74" t="s">
        <v>2050</v>
      </c>
      <c r="H74" t="s">
        <v>2051</v>
      </c>
      <c r="I74" t="s">
        <v>53</v>
      </c>
      <c r="J74" t="s">
        <v>67</v>
      </c>
      <c r="K74" t="s">
        <v>68</v>
      </c>
      <c r="L74" t="s">
        <v>2052</v>
      </c>
      <c r="M74" t="s">
        <v>2053</v>
      </c>
      <c r="N74">
        <v>0</v>
      </c>
      <c r="O74">
        <v>0</v>
      </c>
      <c r="P74">
        <v>0</v>
      </c>
      <c r="Q74">
        <v>1440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167</v>
      </c>
      <c r="AH74" s="21" t="s">
        <v>3425</v>
      </c>
      <c r="AI74" s="21">
        <v>107.92500000000001</v>
      </c>
      <c r="AJ74" s="21">
        <v>100</v>
      </c>
      <c r="AK74" s="21" t="s">
        <v>2054</v>
      </c>
      <c r="AL74" t="s">
        <v>70</v>
      </c>
      <c r="AM74" t="s">
        <v>2027</v>
      </c>
    </row>
    <row r="75" spans="1:39" ht="15" hidden="1" thickTop="1" x14ac:dyDescent="0.35">
      <c r="A75" t="s">
        <v>2323</v>
      </c>
      <c r="B75" t="s">
        <v>2335</v>
      </c>
      <c r="C75" t="s">
        <v>100</v>
      </c>
      <c r="D75" t="s">
        <v>2336</v>
      </c>
      <c r="E75" t="s">
        <v>119</v>
      </c>
      <c r="F75">
        <v>1</v>
      </c>
      <c r="G75" t="s">
        <v>2050</v>
      </c>
      <c r="H75" t="s">
        <v>2051</v>
      </c>
      <c r="I75" t="s">
        <v>53</v>
      </c>
      <c r="J75" t="s">
        <v>67</v>
      </c>
      <c r="K75" t="s">
        <v>68</v>
      </c>
      <c r="L75" t="s">
        <v>2052</v>
      </c>
      <c r="M75" t="s">
        <v>2064</v>
      </c>
      <c r="N75">
        <v>0</v>
      </c>
      <c r="O75">
        <v>0</v>
      </c>
      <c r="P75">
        <v>0</v>
      </c>
      <c r="Q75">
        <v>900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168</v>
      </c>
      <c r="AH75" s="21" t="s">
        <v>3424</v>
      </c>
      <c r="AI75" s="21">
        <v>67.5</v>
      </c>
      <c r="AJ75" s="21">
        <v>100</v>
      </c>
      <c r="AK75" s="21" t="s">
        <v>2054</v>
      </c>
      <c r="AL75" t="s">
        <v>70</v>
      </c>
      <c r="AM75" t="s">
        <v>2029</v>
      </c>
    </row>
    <row r="76" spans="1:39" ht="15" hidden="1" thickTop="1" x14ac:dyDescent="0.35">
      <c r="A76" t="s">
        <v>2324</v>
      </c>
      <c r="B76" t="s">
        <v>2338</v>
      </c>
      <c r="C76" t="s">
        <v>76</v>
      </c>
      <c r="D76" t="s">
        <v>2339</v>
      </c>
      <c r="E76" t="s">
        <v>559</v>
      </c>
      <c r="F76">
        <v>1</v>
      </c>
      <c r="G76" t="s">
        <v>2050</v>
      </c>
      <c r="H76" t="s">
        <v>2051</v>
      </c>
      <c r="I76" t="s">
        <v>53</v>
      </c>
      <c r="J76" t="s">
        <v>67</v>
      </c>
      <c r="K76" t="s">
        <v>68</v>
      </c>
      <c r="L76" t="s">
        <v>2052</v>
      </c>
      <c r="M76" t="s">
        <v>2053</v>
      </c>
      <c r="N76">
        <v>0</v>
      </c>
      <c r="O76">
        <v>0</v>
      </c>
      <c r="P76">
        <v>0</v>
      </c>
      <c r="Q76">
        <v>1440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169</v>
      </c>
      <c r="AH76" s="21" t="s">
        <v>3425</v>
      </c>
      <c r="AI76" s="21">
        <v>107.92500000000001</v>
      </c>
      <c r="AJ76" s="21">
        <v>100</v>
      </c>
      <c r="AK76" s="21" t="s">
        <v>2054</v>
      </c>
      <c r="AL76" t="s">
        <v>70</v>
      </c>
      <c r="AM76" t="s">
        <v>2028</v>
      </c>
    </row>
    <row r="77" spans="1:39" ht="15" hidden="1" thickTop="1" x14ac:dyDescent="0.35">
      <c r="A77" t="s">
        <v>2325</v>
      </c>
      <c r="B77" t="s">
        <v>2340</v>
      </c>
      <c r="C77" t="s">
        <v>565</v>
      </c>
      <c r="D77" t="s">
        <v>2341</v>
      </c>
      <c r="E77" t="s">
        <v>559</v>
      </c>
      <c r="F77">
        <v>1</v>
      </c>
      <c r="G77" t="s">
        <v>2050</v>
      </c>
      <c r="H77" t="s">
        <v>2051</v>
      </c>
      <c r="I77" t="s">
        <v>53</v>
      </c>
      <c r="J77" t="s">
        <v>427</v>
      </c>
      <c r="K77" t="s">
        <v>68</v>
      </c>
      <c r="L77" t="s">
        <v>2052</v>
      </c>
      <c r="M77" t="s">
        <v>2053</v>
      </c>
      <c r="N77">
        <v>0</v>
      </c>
      <c r="O77">
        <v>0</v>
      </c>
      <c r="P77">
        <v>0</v>
      </c>
      <c r="Q77">
        <v>1440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170</v>
      </c>
      <c r="AH77" s="21" t="s">
        <v>3424</v>
      </c>
      <c r="AI77" s="21">
        <v>107.92500000000001</v>
      </c>
      <c r="AJ77" s="21">
        <v>100</v>
      </c>
      <c r="AK77" s="21" t="s">
        <v>2054</v>
      </c>
      <c r="AL77" t="s">
        <v>70</v>
      </c>
      <c r="AM77" t="s">
        <v>2029</v>
      </c>
    </row>
    <row r="78" spans="1:39" ht="15" hidden="1" thickTop="1" x14ac:dyDescent="0.35">
      <c r="A78" t="s">
        <v>2327</v>
      </c>
      <c r="B78" t="s">
        <v>2344</v>
      </c>
      <c r="C78" t="s">
        <v>100</v>
      </c>
      <c r="D78" t="s">
        <v>2345</v>
      </c>
      <c r="E78" t="s">
        <v>559</v>
      </c>
      <c r="F78">
        <v>1</v>
      </c>
      <c r="G78" t="s">
        <v>2050</v>
      </c>
      <c r="H78" t="s">
        <v>2051</v>
      </c>
      <c r="I78" t="s">
        <v>53</v>
      </c>
      <c r="J78" t="s">
        <v>67</v>
      </c>
      <c r="K78" t="s">
        <v>68</v>
      </c>
      <c r="L78" t="s">
        <v>2052</v>
      </c>
      <c r="M78" t="s">
        <v>2053</v>
      </c>
      <c r="N78">
        <v>0</v>
      </c>
      <c r="O78">
        <v>0</v>
      </c>
      <c r="P78">
        <v>0</v>
      </c>
      <c r="Q78">
        <v>1440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173</v>
      </c>
      <c r="AH78" s="21" t="s">
        <v>3425</v>
      </c>
      <c r="AI78" s="21">
        <v>107.92500000000001</v>
      </c>
      <c r="AJ78" s="21">
        <v>100</v>
      </c>
      <c r="AK78" s="21" t="s">
        <v>2054</v>
      </c>
      <c r="AL78" t="s">
        <v>70</v>
      </c>
      <c r="AM78" t="s">
        <v>2028</v>
      </c>
    </row>
    <row r="79" spans="1:39" ht="15" hidden="1" thickTop="1" x14ac:dyDescent="0.35">
      <c r="A79" t="s">
        <v>2328</v>
      </c>
      <c r="B79" t="s">
        <v>2346</v>
      </c>
      <c r="C79" t="s">
        <v>78</v>
      </c>
      <c r="D79" t="s">
        <v>2347</v>
      </c>
      <c r="E79" t="s">
        <v>559</v>
      </c>
      <c r="F79">
        <v>1</v>
      </c>
      <c r="G79" t="s">
        <v>2050</v>
      </c>
      <c r="H79" t="s">
        <v>2051</v>
      </c>
      <c r="I79" t="s">
        <v>53</v>
      </c>
      <c r="J79" t="s">
        <v>67</v>
      </c>
      <c r="K79" t="s">
        <v>68</v>
      </c>
      <c r="L79" t="s">
        <v>2052</v>
      </c>
      <c r="M79" t="s">
        <v>2064</v>
      </c>
      <c r="N79">
        <v>0</v>
      </c>
      <c r="O79">
        <v>0</v>
      </c>
      <c r="P79">
        <v>0</v>
      </c>
      <c r="Q79">
        <v>900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174</v>
      </c>
      <c r="AH79" s="21" t="s">
        <v>3425</v>
      </c>
      <c r="AI79" s="21">
        <v>67.5</v>
      </c>
      <c r="AJ79" s="21">
        <v>100</v>
      </c>
      <c r="AK79" s="21" t="s">
        <v>2054</v>
      </c>
      <c r="AL79" t="s">
        <v>70</v>
      </c>
      <c r="AM79" t="s">
        <v>2028</v>
      </c>
    </row>
    <row r="80" spans="1:39" ht="15" hidden="1" thickTop="1" x14ac:dyDescent="0.35">
      <c r="A80" t="s">
        <v>2329</v>
      </c>
      <c r="B80" t="s">
        <v>2348</v>
      </c>
      <c r="C80" t="s">
        <v>100</v>
      </c>
      <c r="D80" t="s">
        <v>2349</v>
      </c>
      <c r="E80" t="s">
        <v>559</v>
      </c>
      <c r="F80">
        <v>1</v>
      </c>
      <c r="G80" t="s">
        <v>2050</v>
      </c>
      <c r="H80" t="s">
        <v>2051</v>
      </c>
      <c r="I80" t="s">
        <v>53</v>
      </c>
      <c r="J80" t="s">
        <v>67</v>
      </c>
      <c r="K80" t="s">
        <v>68</v>
      </c>
      <c r="L80" t="s">
        <v>2052</v>
      </c>
      <c r="M80" t="s">
        <v>2053</v>
      </c>
      <c r="N80">
        <v>0</v>
      </c>
      <c r="O80">
        <v>0</v>
      </c>
      <c r="P80">
        <v>0</v>
      </c>
      <c r="Q80">
        <v>1440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175</v>
      </c>
      <c r="AH80" s="21" t="s">
        <v>3425</v>
      </c>
      <c r="AI80" s="21">
        <v>107.92500000000001</v>
      </c>
      <c r="AJ80" s="21">
        <v>100</v>
      </c>
      <c r="AK80" s="21" t="s">
        <v>2054</v>
      </c>
      <c r="AL80" t="s">
        <v>70</v>
      </c>
      <c r="AM80" t="s">
        <v>2030</v>
      </c>
    </row>
    <row r="81" spans="1:39" ht="15" hidden="1" thickTop="1" x14ac:dyDescent="0.35">
      <c r="A81" t="s">
        <v>2337</v>
      </c>
      <c r="B81" t="s">
        <v>2350</v>
      </c>
      <c r="C81" t="s">
        <v>565</v>
      </c>
      <c r="D81" t="s">
        <v>2351</v>
      </c>
      <c r="E81" t="s">
        <v>559</v>
      </c>
      <c r="F81">
        <v>2</v>
      </c>
      <c r="G81" t="s">
        <v>2050</v>
      </c>
      <c r="H81" t="s">
        <v>2051</v>
      </c>
      <c r="I81" t="s">
        <v>53</v>
      </c>
      <c r="J81" t="s">
        <v>427</v>
      </c>
      <c r="K81" t="s">
        <v>68</v>
      </c>
      <c r="L81" t="s">
        <v>2052</v>
      </c>
      <c r="M81" t="s">
        <v>2053</v>
      </c>
      <c r="N81">
        <v>1</v>
      </c>
      <c r="O81">
        <v>34</v>
      </c>
      <c r="P81">
        <v>2.36</v>
      </c>
      <c r="Q81">
        <v>1440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34</v>
      </c>
      <c r="Z81">
        <v>2.36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176</v>
      </c>
      <c r="AH81" s="21" t="s">
        <v>3428</v>
      </c>
      <c r="AI81" s="21">
        <v>107.92500000000001</v>
      </c>
      <c r="AJ81" s="21">
        <v>97.638888888888886</v>
      </c>
      <c r="AK81" s="21" t="s">
        <v>2054</v>
      </c>
      <c r="AL81" t="s">
        <v>70</v>
      </c>
      <c r="AM81" t="s">
        <v>2029</v>
      </c>
    </row>
    <row r="82" spans="1:39" ht="15" hidden="1" thickTop="1" x14ac:dyDescent="0.35">
      <c r="A82" t="s">
        <v>2343</v>
      </c>
      <c r="B82" t="s">
        <v>2352</v>
      </c>
      <c r="C82" t="s">
        <v>76</v>
      </c>
      <c r="D82" t="s">
        <v>2353</v>
      </c>
      <c r="E82" t="s">
        <v>559</v>
      </c>
      <c r="F82">
        <v>1</v>
      </c>
      <c r="G82" t="s">
        <v>2050</v>
      </c>
      <c r="H82" t="s">
        <v>2051</v>
      </c>
      <c r="I82" t="s">
        <v>53</v>
      </c>
      <c r="J82" t="s">
        <v>67</v>
      </c>
      <c r="K82" t="s">
        <v>68</v>
      </c>
      <c r="L82" t="s">
        <v>2052</v>
      </c>
      <c r="M82" t="s">
        <v>2064</v>
      </c>
      <c r="N82">
        <v>0</v>
      </c>
      <c r="O82">
        <v>0</v>
      </c>
      <c r="P82">
        <v>0</v>
      </c>
      <c r="Q82">
        <v>900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177</v>
      </c>
      <c r="AH82" s="21" t="s">
        <v>3424</v>
      </c>
      <c r="AI82" s="21">
        <v>67.5</v>
      </c>
      <c r="AJ82" s="21">
        <v>100</v>
      </c>
      <c r="AK82" s="21" t="s">
        <v>2054</v>
      </c>
      <c r="AL82" t="s">
        <v>70</v>
      </c>
      <c r="AM82" t="s">
        <v>2029</v>
      </c>
    </row>
    <row r="83" spans="1:39" ht="15" hidden="1" thickTop="1" x14ac:dyDescent="0.35">
      <c r="A83" t="s">
        <v>2355</v>
      </c>
      <c r="B83" t="s">
        <v>2358</v>
      </c>
      <c r="C83" t="s">
        <v>81</v>
      </c>
      <c r="D83" t="s">
        <v>2359</v>
      </c>
      <c r="E83" t="s">
        <v>559</v>
      </c>
      <c r="F83">
        <v>2</v>
      </c>
      <c r="G83" t="s">
        <v>2050</v>
      </c>
      <c r="H83" t="s">
        <v>2051</v>
      </c>
      <c r="I83" t="s">
        <v>53</v>
      </c>
      <c r="J83" t="s">
        <v>82</v>
      </c>
      <c r="K83" t="s">
        <v>68</v>
      </c>
      <c r="L83" t="s">
        <v>2052</v>
      </c>
      <c r="M83" t="s">
        <v>2053</v>
      </c>
      <c r="N83">
        <v>0</v>
      </c>
      <c r="O83">
        <v>0</v>
      </c>
      <c r="P83">
        <v>0</v>
      </c>
      <c r="Q83">
        <v>1440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272</v>
      </c>
      <c r="AH83" s="21" t="s">
        <v>3424</v>
      </c>
      <c r="AI83" s="21">
        <v>107.92500000000001</v>
      </c>
      <c r="AJ83" s="21">
        <v>100</v>
      </c>
      <c r="AK83" s="21" t="s">
        <v>2054</v>
      </c>
      <c r="AL83" t="s">
        <v>70</v>
      </c>
      <c r="AM83" t="s">
        <v>2029</v>
      </c>
    </row>
    <row r="84" spans="1:39" ht="15" hidden="1" thickTop="1" x14ac:dyDescent="0.35">
      <c r="A84" t="s">
        <v>2357</v>
      </c>
      <c r="B84" t="s">
        <v>2360</v>
      </c>
      <c r="C84" t="s">
        <v>92</v>
      </c>
      <c r="D84" t="s">
        <v>2361</v>
      </c>
      <c r="E84" t="s">
        <v>119</v>
      </c>
      <c r="F84">
        <v>1</v>
      </c>
      <c r="G84" t="s">
        <v>2050</v>
      </c>
      <c r="H84" t="s">
        <v>2051</v>
      </c>
      <c r="I84" t="s">
        <v>53</v>
      </c>
      <c r="J84" t="s">
        <v>67</v>
      </c>
      <c r="K84" t="s">
        <v>68</v>
      </c>
      <c r="L84" t="s">
        <v>2052</v>
      </c>
      <c r="M84" t="s">
        <v>2053</v>
      </c>
      <c r="N84">
        <v>0</v>
      </c>
      <c r="O84">
        <v>0</v>
      </c>
      <c r="P84">
        <v>0</v>
      </c>
      <c r="Q84">
        <v>1440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221</v>
      </c>
      <c r="AH84" s="21" t="s">
        <v>3424</v>
      </c>
      <c r="AI84" s="21">
        <v>107.92500000000001</v>
      </c>
      <c r="AJ84" s="21">
        <v>100</v>
      </c>
      <c r="AK84" s="21" t="s">
        <v>2055</v>
      </c>
      <c r="AL84" t="s">
        <v>70</v>
      </c>
      <c r="AM84" t="s">
        <v>2029</v>
      </c>
    </row>
    <row r="85" spans="1:39" ht="15" hidden="1" thickTop="1" x14ac:dyDescent="0.35">
      <c r="A85" t="s">
        <v>2363</v>
      </c>
      <c r="B85" t="s">
        <v>2365</v>
      </c>
      <c r="C85" t="s">
        <v>66</v>
      </c>
      <c r="D85" t="s">
        <v>2366</v>
      </c>
      <c r="E85" t="s">
        <v>559</v>
      </c>
      <c r="F85">
        <v>1</v>
      </c>
      <c r="G85" t="s">
        <v>2050</v>
      </c>
      <c r="H85" t="s">
        <v>2051</v>
      </c>
      <c r="I85" t="s">
        <v>53</v>
      </c>
      <c r="J85" t="s">
        <v>67</v>
      </c>
      <c r="K85" t="s">
        <v>68</v>
      </c>
      <c r="L85" t="s">
        <v>2052</v>
      </c>
      <c r="M85" t="s">
        <v>2053</v>
      </c>
      <c r="N85">
        <v>0</v>
      </c>
      <c r="O85">
        <v>0</v>
      </c>
      <c r="P85">
        <v>0</v>
      </c>
      <c r="Q85">
        <v>1440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267</v>
      </c>
      <c r="AH85" s="21" t="s">
        <v>3424</v>
      </c>
      <c r="AI85" s="21">
        <v>107.92500000000001</v>
      </c>
      <c r="AJ85" s="21">
        <v>100</v>
      </c>
      <c r="AK85" s="21" t="s">
        <v>2054</v>
      </c>
      <c r="AL85" t="s">
        <v>70</v>
      </c>
      <c r="AM85" t="s">
        <v>2028</v>
      </c>
    </row>
    <row r="86" spans="1:39" ht="15" hidden="1" thickTop="1" x14ac:dyDescent="0.35">
      <c r="A86" t="s">
        <v>2364</v>
      </c>
      <c r="B86" t="s">
        <v>2367</v>
      </c>
      <c r="C86" t="s">
        <v>76</v>
      </c>
      <c r="D86" t="s">
        <v>2368</v>
      </c>
      <c r="E86" t="s">
        <v>559</v>
      </c>
      <c r="F86">
        <v>2</v>
      </c>
      <c r="G86" t="s">
        <v>2050</v>
      </c>
      <c r="H86" t="s">
        <v>2051</v>
      </c>
      <c r="I86" t="s">
        <v>53</v>
      </c>
      <c r="J86" t="s">
        <v>67</v>
      </c>
      <c r="K86" t="s">
        <v>68</v>
      </c>
      <c r="L86" t="s">
        <v>2052</v>
      </c>
      <c r="M86" t="s">
        <v>2053</v>
      </c>
      <c r="N86">
        <v>1</v>
      </c>
      <c r="O86">
        <v>36</v>
      </c>
      <c r="P86">
        <v>2.5</v>
      </c>
      <c r="Q86">
        <v>1440</v>
      </c>
      <c r="R86">
        <v>1</v>
      </c>
      <c r="S86">
        <v>36</v>
      </c>
      <c r="T86">
        <v>2.5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352</v>
      </c>
      <c r="AH86" s="21" t="s">
        <v>3424</v>
      </c>
      <c r="AI86" s="21">
        <v>107.92500000000001</v>
      </c>
      <c r="AJ86" s="21">
        <v>97.5</v>
      </c>
      <c r="AK86" s="21" t="s">
        <v>2055</v>
      </c>
      <c r="AL86" t="s">
        <v>70</v>
      </c>
      <c r="AM86" t="s">
        <v>2030</v>
      </c>
    </row>
    <row r="87" spans="1:39" ht="15" hidden="1" thickTop="1" x14ac:dyDescent="0.35">
      <c r="A87" t="s">
        <v>2370</v>
      </c>
      <c r="B87" t="s">
        <v>2375</v>
      </c>
      <c r="C87" t="s">
        <v>92</v>
      </c>
      <c r="D87" t="s">
        <v>2376</v>
      </c>
      <c r="E87" t="s">
        <v>119</v>
      </c>
      <c r="F87">
        <v>1</v>
      </c>
      <c r="G87" t="s">
        <v>2050</v>
      </c>
      <c r="H87" t="s">
        <v>2051</v>
      </c>
      <c r="I87" t="s">
        <v>53</v>
      </c>
      <c r="J87" t="s">
        <v>67</v>
      </c>
      <c r="K87" t="s">
        <v>68</v>
      </c>
      <c r="L87" t="s">
        <v>2052</v>
      </c>
      <c r="M87" t="s">
        <v>2053</v>
      </c>
      <c r="N87">
        <v>0</v>
      </c>
      <c r="O87">
        <v>0</v>
      </c>
      <c r="P87">
        <v>0</v>
      </c>
      <c r="Q87">
        <v>1440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183</v>
      </c>
      <c r="AH87" s="21" t="s">
        <v>3425</v>
      </c>
      <c r="AI87" s="21">
        <v>107.92500000000001</v>
      </c>
      <c r="AJ87" s="21">
        <v>100</v>
      </c>
      <c r="AK87" s="21" t="s">
        <v>2054</v>
      </c>
      <c r="AL87" t="s">
        <v>70</v>
      </c>
      <c r="AM87" t="s">
        <v>2027</v>
      </c>
    </row>
    <row r="88" spans="1:39" ht="15" hidden="1" thickTop="1" x14ac:dyDescent="0.35">
      <c r="A88" t="s">
        <v>2372</v>
      </c>
      <c r="B88" t="s">
        <v>2377</v>
      </c>
      <c r="C88" t="s">
        <v>102</v>
      </c>
      <c r="D88" t="s">
        <v>2378</v>
      </c>
      <c r="E88" t="s">
        <v>559</v>
      </c>
      <c r="F88">
        <v>1</v>
      </c>
      <c r="G88" t="s">
        <v>2050</v>
      </c>
      <c r="H88" t="s">
        <v>2051</v>
      </c>
      <c r="I88" t="s">
        <v>53</v>
      </c>
      <c r="J88" t="s">
        <v>67</v>
      </c>
      <c r="K88" t="s">
        <v>68</v>
      </c>
      <c r="L88" t="s">
        <v>2052</v>
      </c>
      <c r="M88" t="s">
        <v>2053</v>
      </c>
      <c r="N88">
        <v>0</v>
      </c>
      <c r="O88">
        <v>0</v>
      </c>
      <c r="P88">
        <v>0</v>
      </c>
      <c r="Q88">
        <v>1440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195</v>
      </c>
      <c r="AH88" s="21" t="s">
        <v>3429</v>
      </c>
      <c r="AI88" s="21">
        <v>107.92500000000001</v>
      </c>
      <c r="AJ88" s="21">
        <v>100</v>
      </c>
      <c r="AK88" s="21" t="s">
        <v>2054</v>
      </c>
      <c r="AL88" t="s">
        <v>70</v>
      </c>
      <c r="AM88" t="s">
        <v>2027</v>
      </c>
    </row>
    <row r="89" spans="1:39" ht="15" hidden="1" thickTop="1" x14ac:dyDescent="0.35">
      <c r="A89" t="s">
        <v>2374</v>
      </c>
      <c r="B89" t="s">
        <v>2379</v>
      </c>
      <c r="C89" t="s">
        <v>100</v>
      </c>
      <c r="D89" t="s">
        <v>2380</v>
      </c>
      <c r="E89" t="s">
        <v>559</v>
      </c>
      <c r="F89">
        <v>1</v>
      </c>
      <c r="G89" t="s">
        <v>2050</v>
      </c>
      <c r="H89" t="s">
        <v>2051</v>
      </c>
      <c r="I89" t="s">
        <v>53</v>
      </c>
      <c r="J89" t="s">
        <v>67</v>
      </c>
      <c r="K89" t="s">
        <v>68</v>
      </c>
      <c r="L89" t="s">
        <v>2052</v>
      </c>
      <c r="M89" t="s">
        <v>2053</v>
      </c>
      <c r="N89">
        <v>1</v>
      </c>
      <c r="O89">
        <v>24</v>
      </c>
      <c r="P89">
        <v>1.67</v>
      </c>
      <c r="Q89">
        <v>1440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24</v>
      </c>
      <c r="Z89">
        <v>1.67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171</v>
      </c>
      <c r="AH89" s="21" t="s">
        <v>3424</v>
      </c>
      <c r="AI89" s="21">
        <v>107.92500000000001</v>
      </c>
      <c r="AJ89" s="21">
        <v>98.333333333333329</v>
      </c>
      <c r="AK89" s="21" t="s">
        <v>2055</v>
      </c>
      <c r="AL89" t="s">
        <v>70</v>
      </c>
      <c r="AM89" t="s">
        <v>2030</v>
      </c>
    </row>
    <row r="90" spans="1:39" ht="15" hidden="1" thickTop="1" x14ac:dyDescent="0.35">
      <c r="A90" t="s">
        <v>2382</v>
      </c>
      <c r="B90" t="s">
        <v>2386</v>
      </c>
      <c r="C90" t="s">
        <v>92</v>
      </c>
      <c r="D90" t="s">
        <v>2387</v>
      </c>
      <c r="E90" t="s">
        <v>559</v>
      </c>
      <c r="F90">
        <v>1</v>
      </c>
      <c r="G90" t="s">
        <v>2050</v>
      </c>
      <c r="H90" t="s">
        <v>2051</v>
      </c>
      <c r="I90" t="s">
        <v>53</v>
      </c>
      <c r="J90" t="s">
        <v>67</v>
      </c>
      <c r="K90" t="s">
        <v>68</v>
      </c>
      <c r="L90" t="s">
        <v>2052</v>
      </c>
      <c r="M90" t="s">
        <v>2064</v>
      </c>
      <c r="N90">
        <v>0</v>
      </c>
      <c r="O90">
        <v>0</v>
      </c>
      <c r="P90">
        <v>0</v>
      </c>
      <c r="Q90">
        <v>900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338</v>
      </c>
      <c r="AH90" s="21" t="s">
        <v>3424</v>
      </c>
      <c r="AI90" s="21">
        <v>67.5</v>
      </c>
      <c r="AJ90" s="21">
        <v>100</v>
      </c>
      <c r="AK90" s="21" t="s">
        <v>2054</v>
      </c>
      <c r="AL90" t="s">
        <v>70</v>
      </c>
      <c r="AM90" t="s">
        <v>2029</v>
      </c>
    </row>
    <row r="91" spans="1:39" ht="15" hidden="1" thickTop="1" x14ac:dyDescent="0.35">
      <c r="A91" t="s">
        <v>2383</v>
      </c>
      <c r="B91" t="s">
        <v>2388</v>
      </c>
      <c r="C91" t="s">
        <v>100</v>
      </c>
      <c r="D91" t="s">
        <v>2389</v>
      </c>
      <c r="E91" t="s">
        <v>119</v>
      </c>
      <c r="F91">
        <v>1</v>
      </c>
      <c r="G91" t="s">
        <v>2050</v>
      </c>
      <c r="H91" t="s">
        <v>2051</v>
      </c>
      <c r="I91" t="s">
        <v>53</v>
      </c>
      <c r="J91" t="s">
        <v>67</v>
      </c>
      <c r="K91" t="s">
        <v>68</v>
      </c>
      <c r="L91" t="s">
        <v>2052</v>
      </c>
      <c r="M91" t="s">
        <v>2064</v>
      </c>
      <c r="N91">
        <v>0</v>
      </c>
      <c r="O91">
        <v>0</v>
      </c>
      <c r="P91">
        <v>0</v>
      </c>
      <c r="Q91">
        <v>900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357</v>
      </c>
      <c r="AH91" s="21" t="s">
        <v>3425</v>
      </c>
      <c r="AI91" s="21">
        <v>67.5</v>
      </c>
      <c r="AJ91" s="21">
        <v>100</v>
      </c>
      <c r="AK91" s="21" t="s">
        <v>2054</v>
      </c>
      <c r="AL91" t="s">
        <v>70</v>
      </c>
      <c r="AM91" t="s">
        <v>2028</v>
      </c>
    </row>
    <row r="92" spans="1:39" ht="15" hidden="1" thickTop="1" x14ac:dyDescent="0.35">
      <c r="A92" t="s">
        <v>2385</v>
      </c>
      <c r="B92" t="s">
        <v>3409</v>
      </c>
      <c r="C92" t="s">
        <v>71</v>
      </c>
      <c r="D92" t="s">
        <v>3410</v>
      </c>
      <c r="E92" t="s">
        <v>72</v>
      </c>
      <c r="F92">
        <v>1</v>
      </c>
      <c r="G92" t="s">
        <v>2050</v>
      </c>
      <c r="H92" t="s">
        <v>2051</v>
      </c>
      <c r="I92" t="s">
        <v>53</v>
      </c>
      <c r="J92" t="s">
        <v>73</v>
      </c>
      <c r="K92" t="s">
        <v>68</v>
      </c>
      <c r="L92" t="s">
        <v>2052</v>
      </c>
      <c r="M92" t="s">
        <v>2053</v>
      </c>
      <c r="N92">
        <v>0</v>
      </c>
      <c r="O92">
        <v>0</v>
      </c>
      <c r="P92">
        <v>0</v>
      </c>
      <c r="Q92">
        <v>1440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295</v>
      </c>
      <c r="AH92" s="21" t="s">
        <v>3427</v>
      </c>
      <c r="AI92" s="21">
        <v>107.92500000000001</v>
      </c>
      <c r="AJ92" s="21">
        <v>100</v>
      </c>
      <c r="AK92" s="21" t="s">
        <v>2054</v>
      </c>
      <c r="AL92" t="s">
        <v>75</v>
      </c>
      <c r="AM92" t="s">
        <v>2032</v>
      </c>
    </row>
    <row r="93" spans="1:39" ht="15" hidden="1" thickTop="1" x14ac:dyDescent="0.35">
      <c r="A93" t="s">
        <v>2391</v>
      </c>
      <c r="B93" t="s">
        <v>3402</v>
      </c>
      <c r="C93" t="s">
        <v>66</v>
      </c>
      <c r="D93" t="s">
        <v>3403</v>
      </c>
      <c r="E93" t="s">
        <v>559</v>
      </c>
      <c r="F93">
        <v>1</v>
      </c>
      <c r="G93" t="s">
        <v>2050</v>
      </c>
      <c r="H93" t="s">
        <v>2051</v>
      </c>
      <c r="I93" t="s">
        <v>53</v>
      </c>
      <c r="J93" t="s">
        <v>67</v>
      </c>
      <c r="K93" t="s">
        <v>68</v>
      </c>
      <c r="L93" t="s">
        <v>2052</v>
      </c>
      <c r="M93" t="s">
        <v>2064</v>
      </c>
      <c r="N93">
        <v>0</v>
      </c>
      <c r="O93">
        <v>0</v>
      </c>
      <c r="P93">
        <v>0</v>
      </c>
      <c r="Q93">
        <v>900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172</v>
      </c>
      <c r="AH93" s="21" t="s">
        <v>3425</v>
      </c>
      <c r="AI93" s="21">
        <v>67.5</v>
      </c>
      <c r="AJ93" s="21">
        <v>100</v>
      </c>
      <c r="AK93" s="21" t="s">
        <v>2054</v>
      </c>
      <c r="AL93" t="s">
        <v>70</v>
      </c>
      <c r="AM93" t="s">
        <v>2032</v>
      </c>
    </row>
    <row r="94" spans="1:39" ht="15" hidden="1" thickTop="1" x14ac:dyDescent="0.35">
      <c r="A94" t="s">
        <v>2406</v>
      </c>
      <c r="B94" t="s">
        <v>2392</v>
      </c>
      <c r="C94" t="s">
        <v>78</v>
      </c>
      <c r="D94" t="s">
        <v>2393</v>
      </c>
      <c r="E94" t="s">
        <v>559</v>
      </c>
      <c r="F94">
        <v>1</v>
      </c>
      <c r="G94" t="s">
        <v>2050</v>
      </c>
      <c r="H94" t="s">
        <v>2051</v>
      </c>
      <c r="I94" t="s">
        <v>53</v>
      </c>
      <c r="J94" t="s">
        <v>67</v>
      </c>
      <c r="K94" t="s">
        <v>68</v>
      </c>
      <c r="L94" t="s">
        <v>2052</v>
      </c>
      <c r="M94" t="s">
        <v>2053</v>
      </c>
      <c r="N94">
        <v>0</v>
      </c>
      <c r="O94">
        <v>0</v>
      </c>
      <c r="P94">
        <v>0</v>
      </c>
      <c r="Q94">
        <v>1440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178</v>
      </c>
      <c r="AH94" s="21" t="s">
        <v>3425</v>
      </c>
      <c r="AI94" s="21">
        <v>107.92500000000001</v>
      </c>
      <c r="AJ94" s="21">
        <v>100</v>
      </c>
      <c r="AK94" s="21" t="s">
        <v>2055</v>
      </c>
      <c r="AL94" t="s">
        <v>70</v>
      </c>
      <c r="AM94" t="s">
        <v>2030</v>
      </c>
    </row>
    <row r="95" spans="1:39" ht="15" hidden="1" thickTop="1" x14ac:dyDescent="0.35">
      <c r="A95" t="s">
        <v>2407</v>
      </c>
      <c r="B95" t="s">
        <v>2394</v>
      </c>
      <c r="C95" t="s">
        <v>92</v>
      </c>
      <c r="D95" t="s">
        <v>2395</v>
      </c>
      <c r="E95" t="s">
        <v>559</v>
      </c>
      <c r="F95">
        <v>1</v>
      </c>
      <c r="G95" t="s">
        <v>2050</v>
      </c>
      <c r="H95" t="s">
        <v>2051</v>
      </c>
      <c r="I95" t="s">
        <v>53</v>
      </c>
      <c r="J95" t="s">
        <v>67</v>
      </c>
      <c r="K95" t="s">
        <v>68</v>
      </c>
      <c r="L95" t="s">
        <v>2052</v>
      </c>
      <c r="M95" t="s">
        <v>2053</v>
      </c>
      <c r="N95">
        <v>0</v>
      </c>
      <c r="O95">
        <v>0</v>
      </c>
      <c r="P95">
        <v>0</v>
      </c>
      <c r="Q95">
        <v>1440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179</v>
      </c>
      <c r="AH95" s="21" t="s">
        <v>3424</v>
      </c>
      <c r="AI95" s="21">
        <v>107.92500000000001</v>
      </c>
      <c r="AJ95" s="21">
        <v>100</v>
      </c>
      <c r="AK95" s="21" t="s">
        <v>2054</v>
      </c>
      <c r="AL95" t="s">
        <v>70</v>
      </c>
      <c r="AM95" t="s">
        <v>2027</v>
      </c>
    </row>
    <row r="96" spans="1:39" ht="15" hidden="1" thickTop="1" x14ac:dyDescent="0.35">
      <c r="A96" t="s">
        <v>2408</v>
      </c>
      <c r="B96" t="s">
        <v>2396</v>
      </c>
      <c r="C96" t="s">
        <v>117</v>
      </c>
      <c r="D96" t="s">
        <v>2397</v>
      </c>
      <c r="E96" t="s">
        <v>559</v>
      </c>
      <c r="F96">
        <v>1</v>
      </c>
      <c r="G96" t="s">
        <v>2050</v>
      </c>
      <c r="H96" t="s">
        <v>2051</v>
      </c>
      <c r="I96" t="s">
        <v>53</v>
      </c>
      <c r="J96" t="s">
        <v>67</v>
      </c>
      <c r="K96" t="s">
        <v>68</v>
      </c>
      <c r="L96" t="s">
        <v>2052</v>
      </c>
      <c r="M96" t="s">
        <v>2053</v>
      </c>
      <c r="N96">
        <v>0</v>
      </c>
      <c r="O96">
        <v>0</v>
      </c>
      <c r="P96">
        <v>0</v>
      </c>
      <c r="Q96">
        <v>1440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180</v>
      </c>
      <c r="AH96" s="21" t="s">
        <v>3424</v>
      </c>
      <c r="AI96" s="21">
        <v>107.92500000000001</v>
      </c>
      <c r="AJ96" s="21">
        <v>100</v>
      </c>
      <c r="AK96" s="21" t="s">
        <v>2054</v>
      </c>
      <c r="AL96" t="s">
        <v>70</v>
      </c>
      <c r="AM96" t="s">
        <v>2027</v>
      </c>
    </row>
    <row r="97" spans="1:39" ht="15" hidden="1" thickTop="1" x14ac:dyDescent="0.35">
      <c r="A97" t="s">
        <v>2409</v>
      </c>
      <c r="B97" t="s">
        <v>2398</v>
      </c>
      <c r="C97" t="s">
        <v>66</v>
      </c>
      <c r="D97" t="s">
        <v>2399</v>
      </c>
      <c r="E97" t="s">
        <v>559</v>
      </c>
      <c r="F97">
        <v>1</v>
      </c>
      <c r="G97" t="s">
        <v>2050</v>
      </c>
      <c r="H97" t="s">
        <v>2051</v>
      </c>
      <c r="I97" t="s">
        <v>53</v>
      </c>
      <c r="J97" t="s">
        <v>67</v>
      </c>
      <c r="K97" t="s">
        <v>68</v>
      </c>
      <c r="L97" t="s">
        <v>2052</v>
      </c>
      <c r="M97" t="s">
        <v>2053</v>
      </c>
      <c r="N97">
        <v>0</v>
      </c>
      <c r="O97">
        <v>0</v>
      </c>
      <c r="P97">
        <v>0</v>
      </c>
      <c r="Q97">
        <v>1440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181</v>
      </c>
      <c r="AH97" s="21" t="s">
        <v>3429</v>
      </c>
      <c r="AI97" s="21">
        <v>107.92500000000001</v>
      </c>
      <c r="AJ97" s="21">
        <v>100</v>
      </c>
      <c r="AK97" s="21" t="s">
        <v>2055</v>
      </c>
      <c r="AL97" t="s">
        <v>70</v>
      </c>
      <c r="AM97" t="s">
        <v>2027</v>
      </c>
    </row>
    <row r="98" spans="1:39" ht="15" hidden="1" thickTop="1" x14ac:dyDescent="0.35">
      <c r="A98" t="s">
        <v>2410</v>
      </c>
      <c r="B98" t="s">
        <v>2400</v>
      </c>
      <c r="C98" t="s">
        <v>3376</v>
      </c>
      <c r="D98" t="s">
        <v>2401</v>
      </c>
      <c r="E98" t="s">
        <v>559</v>
      </c>
      <c r="F98">
        <v>1</v>
      </c>
      <c r="G98" t="s">
        <v>2050</v>
      </c>
      <c r="H98" t="s">
        <v>2051</v>
      </c>
      <c r="I98" t="s">
        <v>53</v>
      </c>
      <c r="J98" t="s">
        <v>67</v>
      </c>
      <c r="K98" t="s">
        <v>68</v>
      </c>
      <c r="L98" t="s">
        <v>2052</v>
      </c>
      <c r="M98" t="s">
        <v>2053</v>
      </c>
      <c r="N98">
        <v>0</v>
      </c>
      <c r="O98">
        <v>0</v>
      </c>
      <c r="P98">
        <v>0</v>
      </c>
      <c r="Q98">
        <v>1440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182</v>
      </c>
      <c r="AH98" s="21" t="s">
        <v>3424</v>
      </c>
      <c r="AI98" s="21">
        <v>107.92500000000001</v>
      </c>
      <c r="AJ98" s="21">
        <v>100</v>
      </c>
      <c r="AK98" s="21" t="s">
        <v>2054</v>
      </c>
      <c r="AL98" t="s">
        <v>70</v>
      </c>
      <c r="AM98" t="s">
        <v>2029</v>
      </c>
    </row>
    <row r="99" spans="1:39" ht="15" hidden="1" thickTop="1" x14ac:dyDescent="0.35">
      <c r="A99" t="s">
        <v>2415</v>
      </c>
      <c r="B99" t="s">
        <v>2402</v>
      </c>
      <c r="C99" t="s">
        <v>111</v>
      </c>
      <c r="D99" t="s">
        <v>2403</v>
      </c>
      <c r="E99" t="s">
        <v>112</v>
      </c>
      <c r="F99">
        <v>1</v>
      </c>
      <c r="G99" t="s">
        <v>2050</v>
      </c>
      <c r="H99" t="s">
        <v>2051</v>
      </c>
      <c r="I99" t="s">
        <v>53</v>
      </c>
      <c r="J99" t="s">
        <v>113</v>
      </c>
      <c r="K99" t="s">
        <v>68</v>
      </c>
      <c r="L99" t="s">
        <v>2052</v>
      </c>
      <c r="M99" t="s">
        <v>2053</v>
      </c>
      <c r="N99">
        <v>1</v>
      </c>
      <c r="O99">
        <v>39</v>
      </c>
      <c r="P99">
        <v>2.71</v>
      </c>
      <c r="Q99">
        <v>1440</v>
      </c>
      <c r="R99">
        <v>1</v>
      </c>
      <c r="S99">
        <v>39</v>
      </c>
      <c r="T99">
        <v>2.71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184</v>
      </c>
      <c r="AH99" s="21" t="s">
        <v>3430</v>
      </c>
      <c r="AI99" s="21">
        <v>107.92500000000001</v>
      </c>
      <c r="AJ99" s="21">
        <v>97.291666666666671</v>
      </c>
      <c r="AK99" s="21" t="s">
        <v>2054</v>
      </c>
      <c r="AL99" t="s">
        <v>115</v>
      </c>
      <c r="AM99" t="s">
        <v>2027</v>
      </c>
    </row>
    <row r="100" spans="1:39" ht="15" hidden="1" thickTop="1" x14ac:dyDescent="0.35">
      <c r="A100" t="s">
        <v>2429</v>
      </c>
      <c r="B100" t="s">
        <v>2418</v>
      </c>
      <c r="C100" t="s">
        <v>117</v>
      </c>
      <c r="D100" t="s">
        <v>2419</v>
      </c>
      <c r="E100" t="s">
        <v>559</v>
      </c>
      <c r="F100">
        <v>1</v>
      </c>
      <c r="G100" t="s">
        <v>2050</v>
      </c>
      <c r="H100" t="s">
        <v>2051</v>
      </c>
      <c r="I100" t="s">
        <v>53</v>
      </c>
      <c r="J100" t="s">
        <v>67</v>
      </c>
      <c r="K100" t="s">
        <v>68</v>
      </c>
      <c r="L100" t="s">
        <v>2052</v>
      </c>
      <c r="M100" t="s">
        <v>2053</v>
      </c>
      <c r="N100">
        <v>0</v>
      </c>
      <c r="O100">
        <v>0</v>
      </c>
      <c r="P100">
        <v>0</v>
      </c>
      <c r="Q100">
        <v>1440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185</v>
      </c>
      <c r="AH100" s="21" t="s">
        <v>3427</v>
      </c>
      <c r="AI100" s="21">
        <v>107.92500000000001</v>
      </c>
      <c r="AJ100" s="21">
        <v>100</v>
      </c>
      <c r="AK100" s="21" t="s">
        <v>2054</v>
      </c>
      <c r="AL100" t="s">
        <v>70</v>
      </c>
      <c r="AM100" t="s">
        <v>2027</v>
      </c>
    </row>
    <row r="101" spans="1:39" ht="15" hidden="1" thickTop="1" x14ac:dyDescent="0.35">
      <c r="A101" t="s">
        <v>2443</v>
      </c>
      <c r="B101" t="s">
        <v>2421</v>
      </c>
      <c r="C101" t="s">
        <v>3376</v>
      </c>
      <c r="D101" t="s">
        <v>2422</v>
      </c>
      <c r="E101" t="s">
        <v>559</v>
      </c>
      <c r="F101">
        <v>1</v>
      </c>
      <c r="G101" t="s">
        <v>2050</v>
      </c>
      <c r="H101" t="s">
        <v>2051</v>
      </c>
      <c r="I101" t="s">
        <v>53</v>
      </c>
      <c r="J101" t="s">
        <v>67</v>
      </c>
      <c r="K101" t="s">
        <v>68</v>
      </c>
      <c r="L101" t="s">
        <v>2052</v>
      </c>
      <c r="M101" t="s">
        <v>2053</v>
      </c>
      <c r="N101">
        <v>0</v>
      </c>
      <c r="O101">
        <v>0</v>
      </c>
      <c r="P101">
        <v>0</v>
      </c>
      <c r="Q101">
        <v>1440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186</v>
      </c>
      <c r="AH101" s="21" t="s">
        <v>3425</v>
      </c>
      <c r="AI101" s="21">
        <v>107.92500000000001</v>
      </c>
      <c r="AJ101" s="21">
        <v>100</v>
      </c>
      <c r="AK101" s="21" t="s">
        <v>2054</v>
      </c>
      <c r="AL101" t="s">
        <v>70</v>
      </c>
      <c r="AM101" t="s">
        <v>2028</v>
      </c>
    </row>
    <row r="102" spans="1:39" ht="15" hidden="1" thickTop="1" x14ac:dyDescent="0.35">
      <c r="A102" t="s">
        <v>2444</v>
      </c>
      <c r="B102" t="s">
        <v>2424</v>
      </c>
      <c r="C102" t="s">
        <v>3376</v>
      </c>
      <c r="D102" t="s">
        <v>2425</v>
      </c>
      <c r="E102" t="s">
        <v>559</v>
      </c>
      <c r="F102">
        <v>1</v>
      </c>
      <c r="G102" t="s">
        <v>2050</v>
      </c>
      <c r="H102" t="s">
        <v>2051</v>
      </c>
      <c r="I102" t="s">
        <v>53</v>
      </c>
      <c r="J102" t="s">
        <v>67</v>
      </c>
      <c r="K102" t="s">
        <v>68</v>
      </c>
      <c r="L102" t="s">
        <v>2052</v>
      </c>
      <c r="M102" t="s">
        <v>2053</v>
      </c>
      <c r="N102">
        <v>0</v>
      </c>
      <c r="O102">
        <v>0</v>
      </c>
      <c r="P102">
        <v>0</v>
      </c>
      <c r="Q102">
        <v>1440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187</v>
      </c>
      <c r="AH102" s="21" t="s">
        <v>3425</v>
      </c>
      <c r="AI102" s="21">
        <v>107.92500000000001</v>
      </c>
      <c r="AJ102" s="21">
        <v>100</v>
      </c>
      <c r="AK102" s="21" t="s">
        <v>2054</v>
      </c>
      <c r="AL102" t="s">
        <v>70</v>
      </c>
      <c r="AM102" t="s">
        <v>2028</v>
      </c>
    </row>
    <row r="103" spans="1:39" ht="15" hidden="1" thickTop="1" x14ac:dyDescent="0.35">
      <c r="A103" t="s">
        <v>2445</v>
      </c>
      <c r="B103" t="s">
        <v>2427</v>
      </c>
      <c r="C103" t="s">
        <v>76</v>
      </c>
      <c r="D103" t="s">
        <v>2428</v>
      </c>
      <c r="E103" t="s">
        <v>559</v>
      </c>
      <c r="F103">
        <v>1</v>
      </c>
      <c r="G103" t="s">
        <v>2050</v>
      </c>
      <c r="H103" t="s">
        <v>2051</v>
      </c>
      <c r="I103" t="s">
        <v>53</v>
      </c>
      <c r="J103" t="s">
        <v>67</v>
      </c>
      <c r="K103" t="s">
        <v>68</v>
      </c>
      <c r="L103" t="s">
        <v>2052</v>
      </c>
      <c r="M103" t="s">
        <v>2053</v>
      </c>
      <c r="N103">
        <v>0</v>
      </c>
      <c r="O103">
        <v>0</v>
      </c>
      <c r="P103">
        <v>0</v>
      </c>
      <c r="Q103">
        <v>1440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188</v>
      </c>
      <c r="AH103" s="21" t="s">
        <v>3425</v>
      </c>
      <c r="AI103" s="21">
        <v>107.92500000000001</v>
      </c>
      <c r="AJ103" s="21">
        <v>100</v>
      </c>
      <c r="AK103" s="21" t="s">
        <v>2055</v>
      </c>
      <c r="AL103" t="s">
        <v>70</v>
      </c>
      <c r="AM103" t="s">
        <v>2030</v>
      </c>
    </row>
    <row r="104" spans="1:39" ht="15" hidden="1" thickTop="1" x14ac:dyDescent="0.35">
      <c r="A104" t="s">
        <v>2447</v>
      </c>
      <c r="B104" t="s">
        <v>2430</v>
      </c>
      <c r="C104" t="s">
        <v>76</v>
      </c>
      <c r="D104" t="s">
        <v>2431</v>
      </c>
      <c r="E104" t="s">
        <v>119</v>
      </c>
      <c r="F104">
        <v>1</v>
      </c>
      <c r="G104" t="s">
        <v>2050</v>
      </c>
      <c r="H104" t="s">
        <v>2051</v>
      </c>
      <c r="I104" t="s">
        <v>53</v>
      </c>
      <c r="J104" t="s">
        <v>67</v>
      </c>
      <c r="K104" t="s">
        <v>68</v>
      </c>
      <c r="L104" t="s">
        <v>2052</v>
      </c>
      <c r="M104" t="s">
        <v>2053</v>
      </c>
      <c r="N104">
        <v>0</v>
      </c>
      <c r="O104">
        <v>0</v>
      </c>
      <c r="P104">
        <v>0</v>
      </c>
      <c r="Q104">
        <v>1440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189</v>
      </c>
      <c r="AH104" s="21" t="s">
        <v>3425</v>
      </c>
      <c r="AI104" s="21">
        <v>107.92500000000001</v>
      </c>
      <c r="AJ104" s="21">
        <v>100</v>
      </c>
      <c r="AK104" s="21" t="s">
        <v>2054</v>
      </c>
      <c r="AL104" t="s">
        <v>70</v>
      </c>
      <c r="AM104" t="s">
        <v>2029</v>
      </c>
    </row>
    <row r="105" spans="1:39" ht="15" hidden="1" thickTop="1" x14ac:dyDescent="0.35">
      <c r="A105" t="s">
        <v>2452</v>
      </c>
      <c r="B105" t="s">
        <v>2434</v>
      </c>
      <c r="C105" t="s">
        <v>78</v>
      </c>
      <c r="D105" t="s">
        <v>2435</v>
      </c>
      <c r="E105" t="s">
        <v>559</v>
      </c>
      <c r="F105">
        <v>1</v>
      </c>
      <c r="G105" t="s">
        <v>2050</v>
      </c>
      <c r="H105" t="s">
        <v>2051</v>
      </c>
      <c r="I105" t="s">
        <v>53</v>
      </c>
      <c r="J105" t="s">
        <v>67</v>
      </c>
      <c r="K105" t="s">
        <v>68</v>
      </c>
      <c r="L105" t="s">
        <v>2052</v>
      </c>
      <c r="M105" t="s">
        <v>2053</v>
      </c>
      <c r="N105">
        <v>0</v>
      </c>
      <c r="O105">
        <v>0</v>
      </c>
      <c r="P105">
        <v>0</v>
      </c>
      <c r="Q105">
        <v>1440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t="s">
        <v>190</v>
      </c>
      <c r="AH105" s="21" t="s">
        <v>3425</v>
      </c>
      <c r="AI105" s="21">
        <v>107.92500000000001</v>
      </c>
      <c r="AJ105" s="21">
        <v>100</v>
      </c>
      <c r="AK105" s="21" t="s">
        <v>2055</v>
      </c>
      <c r="AL105" t="s">
        <v>70</v>
      </c>
      <c r="AM105" t="s">
        <v>2028</v>
      </c>
    </row>
    <row r="106" spans="1:39" ht="15" hidden="1" thickTop="1" x14ac:dyDescent="0.35">
      <c r="A106" t="s">
        <v>2453</v>
      </c>
      <c r="B106" t="s">
        <v>2436</v>
      </c>
      <c r="C106" t="s">
        <v>76</v>
      </c>
      <c r="D106" t="s">
        <v>2437</v>
      </c>
      <c r="E106" t="s">
        <v>559</v>
      </c>
      <c r="F106">
        <v>1</v>
      </c>
      <c r="G106" t="s">
        <v>2050</v>
      </c>
      <c r="H106" t="s">
        <v>2051</v>
      </c>
      <c r="I106" t="s">
        <v>53</v>
      </c>
      <c r="J106" t="s">
        <v>67</v>
      </c>
      <c r="K106" t="s">
        <v>68</v>
      </c>
      <c r="L106" t="s">
        <v>2052</v>
      </c>
      <c r="M106" t="s">
        <v>2053</v>
      </c>
      <c r="N106">
        <v>0</v>
      </c>
      <c r="O106">
        <v>0</v>
      </c>
      <c r="P106">
        <v>0</v>
      </c>
      <c r="Q106">
        <v>1440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191</v>
      </c>
      <c r="AH106" s="21" t="s">
        <v>3425</v>
      </c>
      <c r="AI106" s="21">
        <v>107.92500000000001</v>
      </c>
      <c r="AJ106" s="21">
        <v>100</v>
      </c>
      <c r="AK106" s="21" t="s">
        <v>2054</v>
      </c>
      <c r="AL106" t="s">
        <v>70</v>
      </c>
      <c r="AM106" t="s">
        <v>2028</v>
      </c>
    </row>
    <row r="107" spans="1:39" ht="15" hidden="1" thickTop="1" x14ac:dyDescent="0.35">
      <c r="A107" t="s">
        <v>2462</v>
      </c>
      <c r="B107" t="s">
        <v>2439</v>
      </c>
      <c r="C107" t="s">
        <v>78</v>
      </c>
      <c r="D107" t="s">
        <v>2440</v>
      </c>
      <c r="E107" t="s">
        <v>559</v>
      </c>
      <c r="F107">
        <v>1</v>
      </c>
      <c r="G107" t="s">
        <v>2050</v>
      </c>
      <c r="H107" t="s">
        <v>2051</v>
      </c>
      <c r="I107" t="s">
        <v>53</v>
      </c>
      <c r="J107" t="s">
        <v>67</v>
      </c>
      <c r="K107" t="s">
        <v>68</v>
      </c>
      <c r="L107" t="s">
        <v>2052</v>
      </c>
      <c r="M107" t="s">
        <v>2053</v>
      </c>
      <c r="N107">
        <v>0</v>
      </c>
      <c r="O107">
        <v>0</v>
      </c>
      <c r="P107">
        <v>0</v>
      </c>
      <c r="Q107">
        <v>1440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 t="s">
        <v>192</v>
      </c>
      <c r="AH107" s="21" t="s">
        <v>3425</v>
      </c>
      <c r="AI107" s="21">
        <v>107.92500000000001</v>
      </c>
      <c r="AJ107" s="21">
        <v>100</v>
      </c>
      <c r="AK107" s="21" t="s">
        <v>2054</v>
      </c>
      <c r="AL107" t="s">
        <v>70</v>
      </c>
      <c r="AM107" t="s">
        <v>2029</v>
      </c>
    </row>
    <row r="108" spans="1:39" ht="15" hidden="1" thickTop="1" x14ac:dyDescent="0.35">
      <c r="A108" t="s">
        <v>2467</v>
      </c>
      <c r="B108" t="s">
        <v>2454</v>
      </c>
      <c r="C108" t="s">
        <v>76</v>
      </c>
      <c r="D108" t="s">
        <v>2455</v>
      </c>
      <c r="E108" t="s">
        <v>559</v>
      </c>
      <c r="F108">
        <v>2</v>
      </c>
      <c r="G108" t="s">
        <v>2050</v>
      </c>
      <c r="H108" t="s">
        <v>2051</v>
      </c>
      <c r="I108" t="s">
        <v>53</v>
      </c>
      <c r="J108" t="s">
        <v>67</v>
      </c>
      <c r="K108" t="s">
        <v>68</v>
      </c>
      <c r="L108" t="s">
        <v>2052</v>
      </c>
      <c r="M108" t="s">
        <v>2053</v>
      </c>
      <c r="N108">
        <v>0</v>
      </c>
      <c r="O108">
        <v>0</v>
      </c>
      <c r="P108">
        <v>0</v>
      </c>
      <c r="Q108">
        <v>1440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193</v>
      </c>
      <c r="AH108" s="21" t="s">
        <v>3424</v>
      </c>
      <c r="AI108" s="21">
        <v>107.92500000000001</v>
      </c>
      <c r="AJ108" s="21">
        <v>100</v>
      </c>
      <c r="AK108" s="21" t="s">
        <v>2054</v>
      </c>
      <c r="AL108" t="s">
        <v>70</v>
      </c>
      <c r="AM108" t="s">
        <v>2029</v>
      </c>
    </row>
    <row r="109" spans="1:39" ht="15" hidden="1" thickTop="1" x14ac:dyDescent="0.35">
      <c r="A109" t="s">
        <v>2472</v>
      </c>
      <c r="B109" t="s">
        <v>2420</v>
      </c>
      <c r="C109" t="s">
        <v>117</v>
      </c>
      <c r="D109" t="s">
        <v>2461</v>
      </c>
      <c r="E109" t="s">
        <v>559</v>
      </c>
      <c r="F109">
        <v>1</v>
      </c>
      <c r="G109" t="s">
        <v>2050</v>
      </c>
      <c r="H109" t="s">
        <v>2051</v>
      </c>
      <c r="I109" t="s">
        <v>53</v>
      </c>
      <c r="J109" t="s">
        <v>67</v>
      </c>
      <c r="K109" t="s">
        <v>68</v>
      </c>
      <c r="L109" t="s">
        <v>2052</v>
      </c>
      <c r="M109" t="s">
        <v>2053</v>
      </c>
      <c r="N109">
        <v>0</v>
      </c>
      <c r="O109">
        <v>0</v>
      </c>
      <c r="P109">
        <v>0</v>
      </c>
      <c r="Q109">
        <v>1440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194</v>
      </c>
      <c r="AH109" s="21" t="s">
        <v>3425</v>
      </c>
      <c r="AI109" s="21">
        <v>107.92500000000001</v>
      </c>
      <c r="AJ109" s="21">
        <v>100</v>
      </c>
      <c r="AK109" s="21" t="s">
        <v>2055</v>
      </c>
      <c r="AL109" t="s">
        <v>70</v>
      </c>
      <c r="AM109" t="s">
        <v>2029</v>
      </c>
    </row>
    <row r="110" spans="1:39" ht="15" hidden="1" thickTop="1" x14ac:dyDescent="0.35">
      <c r="A110" t="s">
        <v>2494</v>
      </c>
      <c r="B110" t="s">
        <v>2477</v>
      </c>
      <c r="C110" t="s">
        <v>92</v>
      </c>
      <c r="D110" t="s">
        <v>2478</v>
      </c>
      <c r="E110" t="s">
        <v>119</v>
      </c>
      <c r="F110">
        <v>1</v>
      </c>
      <c r="G110" t="s">
        <v>2050</v>
      </c>
      <c r="H110" t="s">
        <v>2051</v>
      </c>
      <c r="I110" t="s">
        <v>53</v>
      </c>
      <c r="J110" t="s">
        <v>67</v>
      </c>
      <c r="K110" t="s">
        <v>68</v>
      </c>
      <c r="L110" t="s">
        <v>2052</v>
      </c>
      <c r="M110" t="s">
        <v>2053</v>
      </c>
      <c r="N110">
        <v>0</v>
      </c>
      <c r="O110">
        <v>0</v>
      </c>
      <c r="P110">
        <v>0</v>
      </c>
      <c r="Q110">
        <v>1440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196</v>
      </c>
      <c r="AH110" s="21" t="s">
        <v>3425</v>
      </c>
      <c r="AI110" s="21">
        <v>107.92500000000001</v>
      </c>
      <c r="AJ110" s="21">
        <v>100</v>
      </c>
      <c r="AK110" s="21" t="s">
        <v>2054</v>
      </c>
      <c r="AL110" t="s">
        <v>70</v>
      </c>
      <c r="AM110" t="s">
        <v>2029</v>
      </c>
    </row>
    <row r="111" spans="1:39" ht="15" hidden="1" thickTop="1" x14ac:dyDescent="0.35">
      <c r="A111" t="s">
        <v>2499</v>
      </c>
      <c r="B111" t="s">
        <v>2480</v>
      </c>
      <c r="C111" t="s">
        <v>117</v>
      </c>
      <c r="D111" t="s">
        <v>2481</v>
      </c>
      <c r="E111" t="s">
        <v>559</v>
      </c>
      <c r="F111">
        <v>1</v>
      </c>
      <c r="G111" t="s">
        <v>2050</v>
      </c>
      <c r="H111" t="s">
        <v>2051</v>
      </c>
      <c r="I111" t="s">
        <v>53</v>
      </c>
      <c r="J111" t="s">
        <v>67</v>
      </c>
      <c r="K111" t="s">
        <v>68</v>
      </c>
      <c r="L111" t="s">
        <v>2052</v>
      </c>
      <c r="M111" t="s">
        <v>2053</v>
      </c>
      <c r="N111">
        <v>0</v>
      </c>
      <c r="O111">
        <v>0</v>
      </c>
      <c r="P111">
        <v>0</v>
      </c>
      <c r="Q111">
        <v>1440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197</v>
      </c>
      <c r="AH111" s="21" t="s">
        <v>3429</v>
      </c>
      <c r="AI111" s="21">
        <v>107.92500000000001</v>
      </c>
      <c r="AJ111" s="21">
        <v>100</v>
      </c>
      <c r="AK111" s="21" t="s">
        <v>2054</v>
      </c>
      <c r="AL111" t="s">
        <v>70</v>
      </c>
      <c r="AM111" t="s">
        <v>2027</v>
      </c>
    </row>
    <row r="112" spans="1:39" ht="15" hidden="1" thickTop="1" x14ac:dyDescent="0.35">
      <c r="A112" t="s">
        <v>2500</v>
      </c>
      <c r="B112" t="s">
        <v>2482</v>
      </c>
      <c r="C112" t="s">
        <v>66</v>
      </c>
      <c r="D112" t="s">
        <v>2483</v>
      </c>
      <c r="E112" t="s">
        <v>559</v>
      </c>
      <c r="F112">
        <v>1</v>
      </c>
      <c r="G112" t="s">
        <v>2050</v>
      </c>
      <c r="H112" t="s">
        <v>2051</v>
      </c>
      <c r="I112" t="s">
        <v>53</v>
      </c>
      <c r="J112" t="s">
        <v>67</v>
      </c>
      <c r="K112" t="s">
        <v>68</v>
      </c>
      <c r="L112" t="s">
        <v>2052</v>
      </c>
      <c r="M112" t="s">
        <v>2053</v>
      </c>
      <c r="N112">
        <v>0</v>
      </c>
      <c r="O112">
        <v>0</v>
      </c>
      <c r="P112">
        <v>0</v>
      </c>
      <c r="Q112">
        <v>1440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198</v>
      </c>
      <c r="AH112" s="21" t="s">
        <v>3429</v>
      </c>
      <c r="AI112" s="21">
        <v>107.92500000000001</v>
      </c>
      <c r="AJ112" s="21">
        <v>100</v>
      </c>
      <c r="AK112" s="21" t="s">
        <v>2055</v>
      </c>
      <c r="AL112" t="s">
        <v>70</v>
      </c>
      <c r="AM112" t="s">
        <v>2028</v>
      </c>
    </row>
    <row r="113" spans="1:39" ht="15" hidden="1" thickTop="1" x14ac:dyDescent="0.35">
      <c r="A113" t="s">
        <v>2501</v>
      </c>
      <c r="B113" t="s">
        <v>2484</v>
      </c>
      <c r="C113" t="s">
        <v>102</v>
      </c>
      <c r="D113" t="s">
        <v>2485</v>
      </c>
      <c r="E113" t="s">
        <v>559</v>
      </c>
      <c r="F113">
        <v>1</v>
      </c>
      <c r="G113" t="s">
        <v>2050</v>
      </c>
      <c r="H113" t="s">
        <v>2051</v>
      </c>
      <c r="I113" t="s">
        <v>53</v>
      </c>
      <c r="J113" t="s">
        <v>67</v>
      </c>
      <c r="K113" t="s">
        <v>68</v>
      </c>
      <c r="L113" t="s">
        <v>2052</v>
      </c>
      <c r="M113" t="s">
        <v>2053</v>
      </c>
      <c r="N113">
        <v>0</v>
      </c>
      <c r="O113">
        <v>0</v>
      </c>
      <c r="P113">
        <v>0</v>
      </c>
      <c r="Q113">
        <v>1440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199</v>
      </c>
      <c r="AH113" s="21" t="s">
        <v>3429</v>
      </c>
      <c r="AI113" s="21">
        <v>107.92500000000001</v>
      </c>
      <c r="AJ113" s="21">
        <v>100</v>
      </c>
      <c r="AK113" s="21" t="s">
        <v>2054</v>
      </c>
      <c r="AL113" t="s">
        <v>70</v>
      </c>
      <c r="AM113" t="s">
        <v>2027</v>
      </c>
    </row>
    <row r="114" spans="1:39" ht="15" hidden="1" thickTop="1" x14ac:dyDescent="0.35">
      <c r="A114" t="s">
        <v>2504</v>
      </c>
      <c r="B114" t="s">
        <v>2486</v>
      </c>
      <c r="C114" t="s">
        <v>92</v>
      </c>
      <c r="D114" t="s">
        <v>2487</v>
      </c>
      <c r="E114" t="s">
        <v>559</v>
      </c>
      <c r="F114">
        <v>1</v>
      </c>
      <c r="G114" t="s">
        <v>2050</v>
      </c>
      <c r="H114" t="s">
        <v>2051</v>
      </c>
      <c r="I114" t="s">
        <v>53</v>
      </c>
      <c r="J114" t="s">
        <v>67</v>
      </c>
      <c r="K114" t="s">
        <v>68</v>
      </c>
      <c r="L114" t="s">
        <v>2052</v>
      </c>
      <c r="M114" t="s">
        <v>2053</v>
      </c>
      <c r="N114">
        <v>0</v>
      </c>
      <c r="O114">
        <v>0</v>
      </c>
      <c r="P114">
        <v>0</v>
      </c>
      <c r="Q114">
        <v>1440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200</v>
      </c>
      <c r="AH114" s="21" t="s">
        <v>3424</v>
      </c>
      <c r="AI114" s="21">
        <v>107.92500000000001</v>
      </c>
      <c r="AJ114" s="21">
        <v>100</v>
      </c>
      <c r="AK114" s="21" t="s">
        <v>2054</v>
      </c>
      <c r="AL114" t="s">
        <v>70</v>
      </c>
      <c r="AM114" t="s">
        <v>2028</v>
      </c>
    </row>
    <row r="115" spans="1:39" ht="15" hidden="1" thickTop="1" x14ac:dyDescent="0.35">
      <c r="A115" t="s">
        <v>2506</v>
      </c>
      <c r="B115" t="s">
        <v>2488</v>
      </c>
      <c r="C115" t="s">
        <v>76</v>
      </c>
      <c r="D115" t="s">
        <v>2489</v>
      </c>
      <c r="E115" t="s">
        <v>119</v>
      </c>
      <c r="F115">
        <v>1</v>
      </c>
      <c r="G115" t="s">
        <v>2050</v>
      </c>
      <c r="H115" t="s">
        <v>2051</v>
      </c>
      <c r="I115" t="s">
        <v>53</v>
      </c>
      <c r="J115" t="s">
        <v>67</v>
      </c>
      <c r="K115" t="s">
        <v>68</v>
      </c>
      <c r="L115" t="s">
        <v>2052</v>
      </c>
      <c r="M115" t="s">
        <v>2053</v>
      </c>
      <c r="N115">
        <v>0</v>
      </c>
      <c r="O115">
        <v>0</v>
      </c>
      <c r="P115">
        <v>0</v>
      </c>
      <c r="Q115">
        <v>1440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201</v>
      </c>
      <c r="AH115" s="21" t="s">
        <v>3429</v>
      </c>
      <c r="AI115" s="21">
        <v>107.92500000000001</v>
      </c>
      <c r="AJ115" s="21">
        <v>100</v>
      </c>
      <c r="AK115" s="21" t="s">
        <v>2054</v>
      </c>
      <c r="AL115" t="s">
        <v>70</v>
      </c>
      <c r="AM115" t="s">
        <v>2029</v>
      </c>
    </row>
    <row r="116" spans="1:39" ht="15" hidden="1" thickTop="1" x14ac:dyDescent="0.35">
      <c r="A116" t="s">
        <v>2507</v>
      </c>
      <c r="B116" t="s">
        <v>2490</v>
      </c>
      <c r="C116" t="s">
        <v>3376</v>
      </c>
      <c r="D116" t="s">
        <v>2491</v>
      </c>
      <c r="E116" t="s">
        <v>559</v>
      </c>
      <c r="F116">
        <v>1</v>
      </c>
      <c r="G116" t="s">
        <v>2050</v>
      </c>
      <c r="H116" t="s">
        <v>2051</v>
      </c>
      <c r="I116" t="s">
        <v>53</v>
      </c>
      <c r="J116" t="s">
        <v>67</v>
      </c>
      <c r="K116" t="s">
        <v>68</v>
      </c>
      <c r="L116" t="s">
        <v>2052</v>
      </c>
      <c r="M116" t="s">
        <v>2053</v>
      </c>
      <c r="N116">
        <v>0</v>
      </c>
      <c r="O116">
        <v>0</v>
      </c>
      <c r="P116">
        <v>0</v>
      </c>
      <c r="Q116">
        <v>1440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202</v>
      </c>
      <c r="AH116" s="21" t="s">
        <v>3424</v>
      </c>
      <c r="AI116" s="21">
        <v>107.92500000000001</v>
      </c>
      <c r="AJ116" s="21">
        <v>100</v>
      </c>
      <c r="AK116" s="21" t="s">
        <v>2055</v>
      </c>
      <c r="AL116" t="s">
        <v>70</v>
      </c>
      <c r="AM116" t="s">
        <v>2030</v>
      </c>
    </row>
    <row r="117" spans="1:39" ht="15" hidden="1" thickTop="1" x14ac:dyDescent="0.35">
      <c r="A117" t="s">
        <v>2520</v>
      </c>
      <c r="B117" t="s">
        <v>2512</v>
      </c>
      <c r="C117" t="s">
        <v>76</v>
      </c>
      <c r="D117" t="s">
        <v>2513</v>
      </c>
      <c r="E117" t="s">
        <v>559</v>
      </c>
      <c r="F117">
        <v>2</v>
      </c>
      <c r="G117" t="s">
        <v>2050</v>
      </c>
      <c r="H117" t="s">
        <v>2051</v>
      </c>
      <c r="I117" t="s">
        <v>53</v>
      </c>
      <c r="J117" t="s">
        <v>67</v>
      </c>
      <c r="K117" t="s">
        <v>68</v>
      </c>
      <c r="L117" t="s">
        <v>2052</v>
      </c>
      <c r="M117" t="s">
        <v>2064</v>
      </c>
      <c r="N117">
        <v>0</v>
      </c>
      <c r="O117">
        <v>0</v>
      </c>
      <c r="P117">
        <v>0</v>
      </c>
      <c r="Q117">
        <v>900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204</v>
      </c>
      <c r="AH117" s="21" t="s">
        <v>3424</v>
      </c>
      <c r="AI117" s="21">
        <v>67.5</v>
      </c>
      <c r="AJ117" s="21">
        <v>100</v>
      </c>
      <c r="AK117" s="21" t="s">
        <v>2055</v>
      </c>
      <c r="AL117" t="s">
        <v>70</v>
      </c>
      <c r="AM117" t="s">
        <v>2028</v>
      </c>
    </row>
    <row r="118" spans="1:39" ht="15" hidden="1" thickTop="1" x14ac:dyDescent="0.35">
      <c r="A118" t="s">
        <v>2521</v>
      </c>
      <c r="B118" t="s">
        <v>2514</v>
      </c>
      <c r="C118" t="s">
        <v>117</v>
      </c>
      <c r="D118" t="s">
        <v>2515</v>
      </c>
      <c r="E118" t="s">
        <v>559</v>
      </c>
      <c r="F118">
        <v>1</v>
      </c>
      <c r="G118" t="s">
        <v>2050</v>
      </c>
      <c r="H118" t="s">
        <v>2051</v>
      </c>
      <c r="I118" t="s">
        <v>53</v>
      </c>
      <c r="J118" t="s">
        <v>67</v>
      </c>
      <c r="K118" t="s">
        <v>68</v>
      </c>
      <c r="L118" t="s">
        <v>2052</v>
      </c>
      <c r="M118" t="s">
        <v>2053</v>
      </c>
      <c r="N118">
        <v>0</v>
      </c>
      <c r="O118">
        <v>0</v>
      </c>
      <c r="P118">
        <v>0</v>
      </c>
      <c r="Q118">
        <v>1440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205</v>
      </c>
      <c r="AH118" s="21" t="s">
        <v>3424</v>
      </c>
      <c r="AI118" s="21">
        <v>107.92500000000001</v>
      </c>
      <c r="AJ118" s="21">
        <v>100</v>
      </c>
      <c r="AK118" s="21" t="s">
        <v>2055</v>
      </c>
      <c r="AL118" t="s">
        <v>70</v>
      </c>
      <c r="AM118" t="s">
        <v>2029</v>
      </c>
    </row>
    <row r="119" spans="1:39" ht="15" hidden="1" thickTop="1" x14ac:dyDescent="0.35">
      <c r="A119" t="s">
        <v>2522</v>
      </c>
      <c r="B119" t="s">
        <v>2516</v>
      </c>
      <c r="C119" t="s">
        <v>111</v>
      </c>
      <c r="D119" t="s">
        <v>2517</v>
      </c>
      <c r="E119" t="s">
        <v>112</v>
      </c>
      <c r="F119">
        <v>1</v>
      </c>
      <c r="G119" t="s">
        <v>2050</v>
      </c>
      <c r="H119" t="s">
        <v>2051</v>
      </c>
      <c r="I119" t="s">
        <v>53</v>
      </c>
      <c r="J119" t="s">
        <v>113</v>
      </c>
      <c r="K119" t="s">
        <v>68</v>
      </c>
      <c r="L119" t="s">
        <v>2052</v>
      </c>
      <c r="M119" t="s">
        <v>2053</v>
      </c>
      <c r="N119">
        <v>0</v>
      </c>
      <c r="O119">
        <v>0</v>
      </c>
      <c r="P119">
        <v>0</v>
      </c>
      <c r="Q119">
        <v>1440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206</v>
      </c>
      <c r="AH119" s="21" t="s">
        <v>3430</v>
      </c>
      <c r="AI119" s="21">
        <v>107.92500000000001</v>
      </c>
      <c r="AJ119" s="21">
        <v>100</v>
      </c>
      <c r="AK119" s="21" t="s">
        <v>2054</v>
      </c>
      <c r="AL119" t="s">
        <v>115</v>
      </c>
      <c r="AM119" t="s">
        <v>2027</v>
      </c>
    </row>
    <row r="120" spans="1:39" ht="15" hidden="1" thickTop="1" x14ac:dyDescent="0.35">
      <c r="A120" t="s">
        <v>2533</v>
      </c>
      <c r="B120" t="s">
        <v>2523</v>
      </c>
      <c r="C120" t="s">
        <v>102</v>
      </c>
      <c r="D120" t="s">
        <v>2524</v>
      </c>
      <c r="E120" t="s">
        <v>559</v>
      </c>
      <c r="F120">
        <v>1</v>
      </c>
      <c r="G120" t="s">
        <v>2050</v>
      </c>
      <c r="H120" t="s">
        <v>2051</v>
      </c>
      <c r="I120" t="s">
        <v>53</v>
      </c>
      <c r="J120" t="s">
        <v>67</v>
      </c>
      <c r="K120" t="s">
        <v>68</v>
      </c>
      <c r="L120" t="s">
        <v>2052</v>
      </c>
      <c r="M120" t="s">
        <v>2053</v>
      </c>
      <c r="N120">
        <v>0</v>
      </c>
      <c r="O120">
        <v>0</v>
      </c>
      <c r="P120">
        <v>0</v>
      </c>
      <c r="Q120">
        <v>1440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t="s">
        <v>207</v>
      </c>
      <c r="AH120" s="21" t="s">
        <v>3424</v>
      </c>
      <c r="AI120" s="21">
        <v>107.92500000000001</v>
      </c>
      <c r="AJ120" s="21">
        <v>100</v>
      </c>
      <c r="AK120" s="21" t="s">
        <v>2054</v>
      </c>
      <c r="AL120" t="s">
        <v>70</v>
      </c>
      <c r="AM120" t="s">
        <v>2029</v>
      </c>
    </row>
    <row r="121" spans="1:39" ht="15" hidden="1" thickTop="1" x14ac:dyDescent="0.35">
      <c r="A121" t="s">
        <v>2541</v>
      </c>
      <c r="B121" t="s">
        <v>2527</v>
      </c>
      <c r="C121" t="s">
        <v>92</v>
      </c>
      <c r="D121" t="s">
        <v>2528</v>
      </c>
      <c r="E121" t="s">
        <v>119</v>
      </c>
      <c r="F121">
        <v>1</v>
      </c>
      <c r="G121" t="s">
        <v>2050</v>
      </c>
      <c r="H121" t="s">
        <v>2051</v>
      </c>
      <c r="I121" t="s">
        <v>53</v>
      </c>
      <c r="J121" t="s">
        <v>67</v>
      </c>
      <c r="K121" t="s">
        <v>68</v>
      </c>
      <c r="L121" t="s">
        <v>2052</v>
      </c>
      <c r="M121" t="s">
        <v>2053</v>
      </c>
      <c r="N121">
        <v>0</v>
      </c>
      <c r="O121">
        <v>0</v>
      </c>
      <c r="P121">
        <v>0</v>
      </c>
      <c r="Q121">
        <v>1440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208</v>
      </c>
      <c r="AH121" s="21" t="s">
        <v>3425</v>
      </c>
      <c r="AI121" s="21">
        <v>107.92500000000001</v>
      </c>
      <c r="AJ121" s="21">
        <v>100</v>
      </c>
      <c r="AK121" s="21" t="s">
        <v>2055</v>
      </c>
      <c r="AL121" t="s">
        <v>70</v>
      </c>
      <c r="AM121" t="s">
        <v>2030</v>
      </c>
    </row>
    <row r="122" spans="1:39" ht="15" hidden="1" thickTop="1" x14ac:dyDescent="0.35">
      <c r="A122" t="s">
        <v>2547</v>
      </c>
      <c r="B122" t="s">
        <v>2530</v>
      </c>
      <c r="C122" t="s">
        <v>76</v>
      </c>
      <c r="D122" t="s">
        <v>2531</v>
      </c>
      <c r="E122" t="s">
        <v>559</v>
      </c>
      <c r="F122">
        <v>2</v>
      </c>
      <c r="G122" t="s">
        <v>2050</v>
      </c>
      <c r="H122" t="s">
        <v>2051</v>
      </c>
      <c r="I122" t="s">
        <v>53</v>
      </c>
      <c r="J122" t="s">
        <v>67</v>
      </c>
      <c r="K122" t="s">
        <v>68</v>
      </c>
      <c r="L122" t="s">
        <v>2052</v>
      </c>
      <c r="M122" t="s">
        <v>2053</v>
      </c>
      <c r="N122">
        <v>0</v>
      </c>
      <c r="O122">
        <v>0</v>
      </c>
      <c r="P122">
        <v>0</v>
      </c>
      <c r="Q122">
        <v>1440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t="s">
        <v>209</v>
      </c>
      <c r="AH122" s="21" t="s">
        <v>3428</v>
      </c>
      <c r="AI122" s="21">
        <v>107.92500000000001</v>
      </c>
      <c r="AJ122" s="21">
        <v>100</v>
      </c>
      <c r="AK122" s="21" t="s">
        <v>2054</v>
      </c>
      <c r="AL122" t="s">
        <v>70</v>
      </c>
      <c r="AM122" t="s">
        <v>2029</v>
      </c>
    </row>
    <row r="123" spans="1:39" ht="15" hidden="1" thickTop="1" x14ac:dyDescent="0.35">
      <c r="A123" t="s">
        <v>2551</v>
      </c>
      <c r="B123" t="s">
        <v>2538</v>
      </c>
      <c r="C123" t="s">
        <v>3376</v>
      </c>
      <c r="D123" t="s">
        <v>2539</v>
      </c>
      <c r="E123" t="s">
        <v>559</v>
      </c>
      <c r="F123">
        <v>1</v>
      </c>
      <c r="G123" t="s">
        <v>2050</v>
      </c>
      <c r="H123" t="s">
        <v>2051</v>
      </c>
      <c r="I123" t="s">
        <v>53</v>
      </c>
      <c r="J123" t="s">
        <v>67</v>
      </c>
      <c r="K123" t="s">
        <v>68</v>
      </c>
      <c r="L123" t="s">
        <v>2052</v>
      </c>
      <c r="M123" t="s">
        <v>2053</v>
      </c>
      <c r="N123">
        <v>0</v>
      </c>
      <c r="O123">
        <v>0</v>
      </c>
      <c r="P123">
        <v>0</v>
      </c>
      <c r="Q123">
        <v>1440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211</v>
      </c>
      <c r="AH123" s="21" t="s">
        <v>3425</v>
      </c>
      <c r="AI123" s="21">
        <v>107.92500000000001</v>
      </c>
      <c r="AJ123" s="21">
        <v>100</v>
      </c>
      <c r="AK123" s="21" t="s">
        <v>2054</v>
      </c>
      <c r="AL123" t="s">
        <v>70</v>
      </c>
      <c r="AM123" t="s">
        <v>2029</v>
      </c>
    </row>
    <row r="124" spans="1:39" ht="15" hidden="1" thickTop="1" x14ac:dyDescent="0.35">
      <c r="A124" t="s">
        <v>2553</v>
      </c>
      <c r="B124" t="s">
        <v>2542</v>
      </c>
      <c r="C124" t="s">
        <v>3376</v>
      </c>
      <c r="D124" t="s">
        <v>2543</v>
      </c>
      <c r="E124" t="s">
        <v>559</v>
      </c>
      <c r="F124">
        <v>1</v>
      </c>
      <c r="G124" t="s">
        <v>2050</v>
      </c>
      <c r="H124" t="s">
        <v>2051</v>
      </c>
      <c r="I124" t="s">
        <v>53</v>
      </c>
      <c r="J124" t="s">
        <v>67</v>
      </c>
      <c r="K124" t="s">
        <v>68</v>
      </c>
      <c r="L124" t="s">
        <v>2052</v>
      </c>
      <c r="M124" t="s">
        <v>2053</v>
      </c>
      <c r="N124">
        <v>0</v>
      </c>
      <c r="O124">
        <v>0</v>
      </c>
      <c r="P124">
        <v>0</v>
      </c>
      <c r="Q124">
        <v>1440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212</v>
      </c>
      <c r="AH124" s="21" t="s">
        <v>3424</v>
      </c>
      <c r="AI124" s="21">
        <v>107.92500000000001</v>
      </c>
      <c r="AJ124" s="21">
        <v>100</v>
      </c>
      <c r="AK124" s="21" t="s">
        <v>2054</v>
      </c>
      <c r="AL124" t="s">
        <v>70</v>
      </c>
      <c r="AM124" t="s">
        <v>2029</v>
      </c>
    </row>
    <row r="125" spans="1:39" ht="15" hidden="1" thickTop="1" x14ac:dyDescent="0.35">
      <c r="A125" t="s">
        <v>2565</v>
      </c>
      <c r="B125" t="s">
        <v>2556</v>
      </c>
      <c r="C125" t="s">
        <v>76</v>
      </c>
      <c r="D125" t="s">
        <v>2557</v>
      </c>
      <c r="E125" t="s">
        <v>559</v>
      </c>
      <c r="F125">
        <v>1</v>
      </c>
      <c r="G125" t="s">
        <v>2050</v>
      </c>
      <c r="H125" t="s">
        <v>2051</v>
      </c>
      <c r="I125" t="s">
        <v>53</v>
      </c>
      <c r="J125" t="s">
        <v>67</v>
      </c>
      <c r="K125" t="s">
        <v>68</v>
      </c>
      <c r="L125" t="s">
        <v>2052</v>
      </c>
      <c r="M125" t="s">
        <v>2053</v>
      </c>
      <c r="N125">
        <v>0</v>
      </c>
      <c r="O125">
        <v>0</v>
      </c>
      <c r="P125">
        <v>0</v>
      </c>
      <c r="Q125">
        <v>1440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t="s">
        <v>213</v>
      </c>
      <c r="AH125" s="21" t="s">
        <v>3424</v>
      </c>
      <c r="AI125" s="21">
        <v>107.92500000000001</v>
      </c>
      <c r="AJ125" s="21">
        <v>100</v>
      </c>
      <c r="AK125" s="21" t="s">
        <v>2054</v>
      </c>
      <c r="AL125" t="s">
        <v>70</v>
      </c>
      <c r="AM125" t="s">
        <v>2028</v>
      </c>
    </row>
    <row r="126" spans="1:39" ht="15" hidden="1" thickTop="1" x14ac:dyDescent="0.35">
      <c r="A126" t="s">
        <v>2566</v>
      </c>
      <c r="B126" t="s">
        <v>2558</v>
      </c>
      <c r="C126" t="s">
        <v>117</v>
      </c>
      <c r="D126" t="s">
        <v>2559</v>
      </c>
      <c r="E126" t="s">
        <v>559</v>
      </c>
      <c r="F126">
        <v>1</v>
      </c>
      <c r="G126" t="s">
        <v>2050</v>
      </c>
      <c r="H126" t="s">
        <v>2051</v>
      </c>
      <c r="I126" t="s">
        <v>53</v>
      </c>
      <c r="J126" t="s">
        <v>67</v>
      </c>
      <c r="K126" t="s">
        <v>68</v>
      </c>
      <c r="L126" t="s">
        <v>2052</v>
      </c>
      <c r="M126" t="s">
        <v>2053</v>
      </c>
      <c r="N126">
        <v>0</v>
      </c>
      <c r="O126">
        <v>0</v>
      </c>
      <c r="P126">
        <v>0</v>
      </c>
      <c r="Q126">
        <v>1440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214</v>
      </c>
      <c r="AH126" s="21" t="s">
        <v>3424</v>
      </c>
      <c r="AI126" s="21">
        <v>107.92500000000001</v>
      </c>
      <c r="AJ126" s="21">
        <v>100</v>
      </c>
      <c r="AK126" s="21" t="s">
        <v>2054</v>
      </c>
      <c r="AL126" t="s">
        <v>70</v>
      </c>
      <c r="AM126" t="s">
        <v>2027</v>
      </c>
    </row>
    <row r="127" spans="1:39" ht="15" hidden="1" thickTop="1" x14ac:dyDescent="0.35">
      <c r="A127" t="s">
        <v>2069</v>
      </c>
      <c r="B127" t="s">
        <v>2569</v>
      </c>
      <c r="C127" t="s">
        <v>128</v>
      </c>
      <c r="D127" t="s">
        <v>2570</v>
      </c>
      <c r="E127" t="s">
        <v>112</v>
      </c>
      <c r="F127">
        <v>1</v>
      </c>
      <c r="G127" t="s">
        <v>2050</v>
      </c>
      <c r="H127" t="s">
        <v>2051</v>
      </c>
      <c r="I127" t="s">
        <v>53</v>
      </c>
      <c r="J127" t="s">
        <v>113</v>
      </c>
      <c r="K127" t="s">
        <v>68</v>
      </c>
      <c r="L127" t="s">
        <v>2052</v>
      </c>
      <c r="M127" t="s">
        <v>2053</v>
      </c>
      <c r="N127">
        <v>0</v>
      </c>
      <c r="O127">
        <v>0</v>
      </c>
      <c r="P127">
        <v>0</v>
      </c>
      <c r="Q127">
        <v>1440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215</v>
      </c>
      <c r="AH127" s="21" t="s">
        <v>3428</v>
      </c>
      <c r="AI127" s="21">
        <v>107.92500000000001</v>
      </c>
      <c r="AJ127" s="21">
        <v>100</v>
      </c>
      <c r="AK127" s="21" t="s">
        <v>2055</v>
      </c>
      <c r="AL127" t="s">
        <v>115</v>
      </c>
      <c r="AM127" t="s">
        <v>2029</v>
      </c>
    </row>
    <row r="128" spans="1:39" ht="15" hidden="1" thickTop="1" x14ac:dyDescent="0.35">
      <c r="A128" t="s">
        <v>2588</v>
      </c>
      <c r="B128" t="s">
        <v>2577</v>
      </c>
      <c r="C128" t="s">
        <v>565</v>
      </c>
      <c r="D128" t="s">
        <v>2578</v>
      </c>
      <c r="E128" t="s">
        <v>559</v>
      </c>
      <c r="F128">
        <v>2</v>
      </c>
      <c r="G128" t="s">
        <v>2050</v>
      </c>
      <c r="H128" t="s">
        <v>2051</v>
      </c>
      <c r="I128" t="s">
        <v>53</v>
      </c>
      <c r="J128" t="s">
        <v>427</v>
      </c>
      <c r="K128" t="s">
        <v>68</v>
      </c>
      <c r="L128" t="s">
        <v>2052</v>
      </c>
      <c r="M128" t="s">
        <v>2053</v>
      </c>
      <c r="N128">
        <v>0</v>
      </c>
      <c r="O128">
        <v>0</v>
      </c>
      <c r="P128">
        <v>0</v>
      </c>
      <c r="Q128">
        <v>1440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216</v>
      </c>
      <c r="AH128" s="21" t="s">
        <v>3428</v>
      </c>
      <c r="AI128" s="21">
        <v>107.92500000000001</v>
      </c>
      <c r="AJ128" s="21">
        <v>100</v>
      </c>
      <c r="AK128" s="21" t="s">
        <v>2054</v>
      </c>
      <c r="AL128" t="s">
        <v>70</v>
      </c>
      <c r="AM128" t="s">
        <v>2027</v>
      </c>
    </row>
    <row r="129" spans="1:39" ht="15" hidden="1" thickTop="1" x14ac:dyDescent="0.35">
      <c r="A129" t="s">
        <v>2596</v>
      </c>
      <c r="B129" t="s">
        <v>2580</v>
      </c>
      <c r="C129" t="s">
        <v>117</v>
      </c>
      <c r="D129" t="s">
        <v>2581</v>
      </c>
      <c r="E129" t="s">
        <v>559</v>
      </c>
      <c r="F129">
        <v>1</v>
      </c>
      <c r="G129" t="s">
        <v>2050</v>
      </c>
      <c r="H129" t="s">
        <v>2051</v>
      </c>
      <c r="I129" t="s">
        <v>53</v>
      </c>
      <c r="J129" t="s">
        <v>67</v>
      </c>
      <c r="K129" t="s">
        <v>68</v>
      </c>
      <c r="L129" t="s">
        <v>2052</v>
      </c>
      <c r="M129" t="s">
        <v>2053</v>
      </c>
      <c r="N129">
        <v>0</v>
      </c>
      <c r="O129">
        <v>0</v>
      </c>
      <c r="P129">
        <v>0</v>
      </c>
      <c r="Q129">
        <v>1440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217</v>
      </c>
      <c r="AH129" s="21" t="s">
        <v>3425</v>
      </c>
      <c r="AI129" s="21">
        <v>107.92500000000001</v>
      </c>
      <c r="AJ129" s="21">
        <v>100</v>
      </c>
      <c r="AK129" s="21" t="s">
        <v>2054</v>
      </c>
      <c r="AL129" t="s">
        <v>70</v>
      </c>
      <c r="AM129" t="s">
        <v>2031</v>
      </c>
    </row>
    <row r="130" spans="1:39" ht="15" hidden="1" thickTop="1" x14ac:dyDescent="0.35">
      <c r="A130" t="s">
        <v>2598</v>
      </c>
      <c r="B130" t="s">
        <v>2583</v>
      </c>
      <c r="C130" t="s">
        <v>76</v>
      </c>
      <c r="D130" t="s">
        <v>2584</v>
      </c>
      <c r="E130" t="s">
        <v>119</v>
      </c>
      <c r="F130">
        <v>1</v>
      </c>
      <c r="G130" t="s">
        <v>2050</v>
      </c>
      <c r="H130" t="s">
        <v>2051</v>
      </c>
      <c r="I130" t="s">
        <v>53</v>
      </c>
      <c r="J130" t="s">
        <v>67</v>
      </c>
      <c r="K130" t="s">
        <v>68</v>
      </c>
      <c r="L130" t="s">
        <v>2052</v>
      </c>
      <c r="M130" t="s">
        <v>2053</v>
      </c>
      <c r="N130">
        <v>0</v>
      </c>
      <c r="O130">
        <v>0</v>
      </c>
      <c r="P130">
        <v>0</v>
      </c>
      <c r="Q130">
        <v>1440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t="s">
        <v>218</v>
      </c>
      <c r="AH130" s="21" t="s">
        <v>3425</v>
      </c>
      <c r="AI130" s="21">
        <v>107.92500000000001</v>
      </c>
      <c r="AJ130" s="21">
        <v>100</v>
      </c>
      <c r="AK130" s="21" t="s">
        <v>2054</v>
      </c>
      <c r="AL130" t="s">
        <v>70</v>
      </c>
      <c r="AM130" t="s">
        <v>2031</v>
      </c>
    </row>
    <row r="131" spans="1:39" ht="15" hidden="1" thickTop="1" x14ac:dyDescent="0.35">
      <c r="A131" t="s">
        <v>2603</v>
      </c>
      <c r="B131" t="s">
        <v>2591</v>
      </c>
      <c r="C131" t="s">
        <v>71</v>
      </c>
      <c r="D131" t="s">
        <v>2592</v>
      </c>
      <c r="E131" t="s">
        <v>72</v>
      </c>
      <c r="F131">
        <v>1</v>
      </c>
      <c r="G131" t="s">
        <v>2050</v>
      </c>
      <c r="H131" t="s">
        <v>2051</v>
      </c>
      <c r="I131" t="s">
        <v>53</v>
      </c>
      <c r="J131" t="s">
        <v>73</v>
      </c>
      <c r="K131" t="s">
        <v>68</v>
      </c>
      <c r="L131" t="s">
        <v>2052</v>
      </c>
      <c r="M131" t="s">
        <v>2053</v>
      </c>
      <c r="N131">
        <v>0</v>
      </c>
      <c r="O131">
        <v>0</v>
      </c>
      <c r="P131">
        <v>0</v>
      </c>
      <c r="Q131">
        <v>1440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219</v>
      </c>
      <c r="AH131" s="21" t="s">
        <v>3428</v>
      </c>
      <c r="AI131" s="21">
        <v>107.92500000000001</v>
      </c>
      <c r="AJ131" s="21">
        <v>100</v>
      </c>
      <c r="AK131" s="21" t="s">
        <v>2054</v>
      </c>
      <c r="AL131" t="s">
        <v>75</v>
      </c>
      <c r="AM131" t="s">
        <v>2028</v>
      </c>
    </row>
    <row r="132" spans="1:39" ht="15" hidden="1" thickTop="1" x14ac:dyDescent="0.35">
      <c r="A132" t="s">
        <v>2610</v>
      </c>
      <c r="B132" t="s">
        <v>2593</v>
      </c>
      <c r="C132" t="s">
        <v>92</v>
      </c>
      <c r="D132" t="s">
        <v>2594</v>
      </c>
      <c r="E132" t="s">
        <v>119</v>
      </c>
      <c r="F132">
        <v>1</v>
      </c>
      <c r="G132" t="s">
        <v>2050</v>
      </c>
      <c r="H132" t="s">
        <v>2051</v>
      </c>
      <c r="I132" t="s">
        <v>53</v>
      </c>
      <c r="J132" t="s">
        <v>67</v>
      </c>
      <c r="K132" t="s">
        <v>68</v>
      </c>
      <c r="L132" t="s">
        <v>2052</v>
      </c>
      <c r="M132" t="s">
        <v>2053</v>
      </c>
      <c r="N132">
        <v>0</v>
      </c>
      <c r="O132">
        <v>0</v>
      </c>
      <c r="P132">
        <v>0</v>
      </c>
      <c r="Q132">
        <v>1440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220</v>
      </c>
      <c r="AH132" s="21" t="s">
        <v>3424</v>
      </c>
      <c r="AI132" s="21">
        <v>107.92500000000001</v>
      </c>
      <c r="AJ132" s="21">
        <v>100</v>
      </c>
      <c r="AK132" s="21" t="s">
        <v>2054</v>
      </c>
      <c r="AL132" t="s">
        <v>70</v>
      </c>
      <c r="AM132" t="s">
        <v>2029</v>
      </c>
    </row>
    <row r="133" spans="1:39" ht="15" hidden="1" thickTop="1" x14ac:dyDescent="0.35">
      <c r="A133" t="s">
        <v>2072</v>
      </c>
      <c r="B133" t="s">
        <v>2605</v>
      </c>
      <c r="C133" t="s">
        <v>102</v>
      </c>
      <c r="D133" t="s">
        <v>2606</v>
      </c>
      <c r="E133" t="s">
        <v>559</v>
      </c>
      <c r="F133">
        <v>1</v>
      </c>
      <c r="G133" t="s">
        <v>2050</v>
      </c>
      <c r="H133" t="s">
        <v>2051</v>
      </c>
      <c r="I133" t="s">
        <v>53</v>
      </c>
      <c r="J133" t="s">
        <v>67</v>
      </c>
      <c r="K133" t="s">
        <v>68</v>
      </c>
      <c r="L133" t="s">
        <v>2052</v>
      </c>
      <c r="M133" t="s">
        <v>2053</v>
      </c>
      <c r="N133">
        <v>0</v>
      </c>
      <c r="O133">
        <v>0</v>
      </c>
      <c r="P133">
        <v>0</v>
      </c>
      <c r="Q133">
        <v>1440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222</v>
      </c>
      <c r="AH133" s="21" t="s">
        <v>3424</v>
      </c>
      <c r="AI133" s="21">
        <v>107.92500000000001</v>
      </c>
      <c r="AJ133" s="21">
        <v>100</v>
      </c>
      <c r="AK133" s="21" t="s">
        <v>2054</v>
      </c>
      <c r="AL133" t="s">
        <v>70</v>
      </c>
      <c r="AM133" t="s">
        <v>2030</v>
      </c>
    </row>
    <row r="134" spans="1:39" ht="15" hidden="1" thickTop="1" x14ac:dyDescent="0.35">
      <c r="A134" t="s">
        <v>2073</v>
      </c>
      <c r="B134" t="s">
        <v>2608</v>
      </c>
      <c r="C134" t="s">
        <v>102</v>
      </c>
      <c r="D134" t="s">
        <v>2609</v>
      </c>
      <c r="E134" t="s">
        <v>559</v>
      </c>
      <c r="F134">
        <v>1</v>
      </c>
      <c r="G134" t="s">
        <v>2050</v>
      </c>
      <c r="H134" t="s">
        <v>2051</v>
      </c>
      <c r="I134" t="s">
        <v>53</v>
      </c>
      <c r="J134" t="s">
        <v>67</v>
      </c>
      <c r="K134" t="s">
        <v>68</v>
      </c>
      <c r="L134" t="s">
        <v>2052</v>
      </c>
      <c r="M134" t="s">
        <v>2053</v>
      </c>
      <c r="N134">
        <v>0</v>
      </c>
      <c r="O134">
        <v>0</v>
      </c>
      <c r="P134">
        <v>0</v>
      </c>
      <c r="Q134">
        <v>1440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223</v>
      </c>
      <c r="AH134" s="21" t="s">
        <v>3424</v>
      </c>
      <c r="AI134" s="21">
        <v>107.92500000000001</v>
      </c>
      <c r="AJ134" s="21">
        <v>100</v>
      </c>
      <c r="AK134" s="21" t="s">
        <v>2054</v>
      </c>
      <c r="AL134" t="s">
        <v>70</v>
      </c>
      <c r="AM134" t="s">
        <v>2028</v>
      </c>
    </row>
    <row r="135" spans="1:39" ht="15" hidden="1" thickTop="1" x14ac:dyDescent="0.35">
      <c r="A135" t="s">
        <v>2074</v>
      </c>
      <c r="B135" t="s">
        <v>2611</v>
      </c>
      <c r="C135" t="s">
        <v>117</v>
      </c>
      <c r="D135" t="s">
        <v>2612</v>
      </c>
      <c r="E135" t="s">
        <v>559</v>
      </c>
      <c r="F135">
        <v>1</v>
      </c>
      <c r="G135" t="s">
        <v>2050</v>
      </c>
      <c r="H135" t="s">
        <v>2051</v>
      </c>
      <c r="I135" t="s">
        <v>53</v>
      </c>
      <c r="J135" t="s">
        <v>67</v>
      </c>
      <c r="K135" t="s">
        <v>68</v>
      </c>
      <c r="L135" t="s">
        <v>2052</v>
      </c>
      <c r="M135" t="s">
        <v>2053</v>
      </c>
      <c r="N135">
        <v>0</v>
      </c>
      <c r="O135">
        <v>0</v>
      </c>
      <c r="P135">
        <v>0</v>
      </c>
      <c r="Q135">
        <v>1440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224</v>
      </c>
      <c r="AH135" s="21" t="s">
        <v>3424</v>
      </c>
      <c r="AI135" s="21">
        <v>107.92500000000001</v>
      </c>
      <c r="AJ135" s="21">
        <v>100</v>
      </c>
      <c r="AK135" s="21" t="s">
        <v>2054</v>
      </c>
      <c r="AL135" t="s">
        <v>70</v>
      </c>
      <c r="AM135" t="s">
        <v>2027</v>
      </c>
    </row>
    <row r="136" spans="1:39" ht="15" hidden="1" thickTop="1" x14ac:dyDescent="0.35">
      <c r="A136" t="s">
        <v>2076</v>
      </c>
      <c r="B136" t="s">
        <v>2617</v>
      </c>
      <c r="C136" t="s">
        <v>128</v>
      </c>
      <c r="D136" t="s">
        <v>2618</v>
      </c>
      <c r="E136" t="s">
        <v>112</v>
      </c>
      <c r="F136">
        <v>1</v>
      </c>
      <c r="G136" t="s">
        <v>2050</v>
      </c>
      <c r="H136" t="s">
        <v>2051</v>
      </c>
      <c r="I136" t="s">
        <v>53</v>
      </c>
      <c r="J136" t="s">
        <v>113</v>
      </c>
      <c r="K136" t="s">
        <v>68</v>
      </c>
      <c r="L136" t="s">
        <v>2052</v>
      </c>
      <c r="M136" t="s">
        <v>2619</v>
      </c>
      <c r="N136">
        <v>0</v>
      </c>
      <c r="O136">
        <v>0</v>
      </c>
      <c r="P136">
        <v>0</v>
      </c>
      <c r="Q136">
        <v>1140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225</v>
      </c>
      <c r="AH136" s="21" t="s">
        <v>3424</v>
      </c>
      <c r="AI136" s="21">
        <v>85.5</v>
      </c>
      <c r="AJ136" s="21">
        <v>100</v>
      </c>
      <c r="AK136" s="21" t="s">
        <v>2054</v>
      </c>
      <c r="AL136" t="s">
        <v>115</v>
      </c>
      <c r="AM136" t="s">
        <v>2027</v>
      </c>
    </row>
    <row r="137" spans="1:39" ht="15" hidden="1" thickTop="1" x14ac:dyDescent="0.35">
      <c r="A137" t="s">
        <v>2627</v>
      </c>
      <c r="B137" t="s">
        <v>2620</v>
      </c>
      <c r="C137" t="s">
        <v>66</v>
      </c>
      <c r="D137" t="s">
        <v>2621</v>
      </c>
      <c r="E137" t="s">
        <v>559</v>
      </c>
      <c r="F137">
        <v>1</v>
      </c>
      <c r="G137" t="s">
        <v>2050</v>
      </c>
      <c r="H137" t="s">
        <v>2051</v>
      </c>
      <c r="I137" t="s">
        <v>53</v>
      </c>
      <c r="J137" t="s">
        <v>67</v>
      </c>
      <c r="K137" t="s">
        <v>68</v>
      </c>
      <c r="L137" t="s">
        <v>2052</v>
      </c>
      <c r="M137" t="s">
        <v>2053</v>
      </c>
      <c r="N137">
        <v>0</v>
      </c>
      <c r="O137">
        <v>0</v>
      </c>
      <c r="P137">
        <v>0</v>
      </c>
      <c r="Q137">
        <v>1440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226</v>
      </c>
      <c r="AH137" s="21" t="s">
        <v>3424</v>
      </c>
      <c r="AI137" s="21">
        <v>107.92500000000001</v>
      </c>
      <c r="AJ137" s="21">
        <v>100</v>
      </c>
      <c r="AK137" s="21" t="s">
        <v>2054</v>
      </c>
      <c r="AL137" t="s">
        <v>70</v>
      </c>
      <c r="AM137" t="s">
        <v>2028</v>
      </c>
    </row>
    <row r="138" spans="1:39" ht="15" hidden="1" thickTop="1" x14ac:dyDescent="0.35">
      <c r="A138" t="s">
        <v>2631</v>
      </c>
      <c r="B138" t="s">
        <v>2628</v>
      </c>
      <c r="C138" t="s">
        <v>66</v>
      </c>
      <c r="D138" t="s">
        <v>2629</v>
      </c>
      <c r="E138" t="s">
        <v>559</v>
      </c>
      <c r="F138">
        <v>1</v>
      </c>
      <c r="G138" t="s">
        <v>2050</v>
      </c>
      <c r="H138" t="s">
        <v>2051</v>
      </c>
      <c r="I138" t="s">
        <v>53</v>
      </c>
      <c r="J138" t="s">
        <v>67</v>
      </c>
      <c r="K138" t="s">
        <v>68</v>
      </c>
      <c r="L138" t="s">
        <v>2052</v>
      </c>
      <c r="M138" t="s">
        <v>2064</v>
      </c>
      <c r="N138">
        <v>0</v>
      </c>
      <c r="O138">
        <v>0</v>
      </c>
      <c r="P138">
        <v>0</v>
      </c>
      <c r="Q138">
        <v>900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s">
        <v>227</v>
      </c>
      <c r="AH138" s="21" t="s">
        <v>3424</v>
      </c>
      <c r="AI138" s="21">
        <v>67.5</v>
      </c>
      <c r="AJ138" s="21">
        <v>100</v>
      </c>
      <c r="AK138" s="21" t="s">
        <v>2055</v>
      </c>
      <c r="AL138" t="s">
        <v>70</v>
      </c>
      <c r="AM138" t="s">
        <v>2027</v>
      </c>
    </row>
    <row r="139" spans="1:39" ht="15" hidden="1" thickTop="1" x14ac:dyDescent="0.35">
      <c r="A139" t="s">
        <v>2638</v>
      </c>
      <c r="B139" t="s">
        <v>2632</v>
      </c>
      <c r="C139" t="s">
        <v>100</v>
      </c>
      <c r="D139" t="s">
        <v>2633</v>
      </c>
      <c r="E139" t="s">
        <v>559</v>
      </c>
      <c r="F139">
        <v>1</v>
      </c>
      <c r="G139" t="s">
        <v>2050</v>
      </c>
      <c r="H139" t="s">
        <v>2051</v>
      </c>
      <c r="I139" t="s">
        <v>53</v>
      </c>
      <c r="J139" t="s">
        <v>67</v>
      </c>
      <c r="K139" t="s">
        <v>68</v>
      </c>
      <c r="L139" t="s">
        <v>2052</v>
      </c>
      <c r="M139" t="s">
        <v>2053</v>
      </c>
      <c r="N139">
        <v>0</v>
      </c>
      <c r="O139">
        <v>0</v>
      </c>
      <c r="P139">
        <v>0</v>
      </c>
      <c r="Q139">
        <v>1440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228</v>
      </c>
      <c r="AH139" s="21" t="s">
        <v>3424</v>
      </c>
      <c r="AI139" s="21">
        <v>107.92500000000001</v>
      </c>
      <c r="AJ139" s="21">
        <v>100</v>
      </c>
      <c r="AK139" s="21" t="s">
        <v>2054</v>
      </c>
      <c r="AL139" t="s">
        <v>70</v>
      </c>
      <c r="AM139" t="s">
        <v>2031</v>
      </c>
    </row>
    <row r="140" spans="1:39" ht="15" hidden="1" thickTop="1" x14ac:dyDescent="0.35">
      <c r="A140" t="s">
        <v>2639</v>
      </c>
      <c r="B140" t="s">
        <v>2634</v>
      </c>
      <c r="C140" t="s">
        <v>78</v>
      </c>
      <c r="D140" t="s">
        <v>2635</v>
      </c>
      <c r="E140" t="s">
        <v>559</v>
      </c>
      <c r="F140">
        <v>1</v>
      </c>
      <c r="G140" t="s">
        <v>2050</v>
      </c>
      <c r="H140" t="s">
        <v>2051</v>
      </c>
      <c r="I140" t="s">
        <v>53</v>
      </c>
      <c r="J140" t="s">
        <v>67</v>
      </c>
      <c r="K140" t="s">
        <v>68</v>
      </c>
      <c r="L140" t="s">
        <v>2052</v>
      </c>
      <c r="M140" t="s">
        <v>2053</v>
      </c>
      <c r="N140">
        <v>0</v>
      </c>
      <c r="O140">
        <v>0</v>
      </c>
      <c r="P140">
        <v>0</v>
      </c>
      <c r="Q140">
        <v>1440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229</v>
      </c>
      <c r="AH140" s="21" t="s">
        <v>3424</v>
      </c>
      <c r="AI140" s="21">
        <v>107.92500000000001</v>
      </c>
      <c r="AJ140" s="21">
        <v>100</v>
      </c>
      <c r="AK140" s="21" t="s">
        <v>2055</v>
      </c>
      <c r="AL140" t="s">
        <v>70</v>
      </c>
      <c r="AM140" t="s">
        <v>2031</v>
      </c>
    </row>
    <row r="141" spans="1:39" ht="15" hidden="1" thickTop="1" x14ac:dyDescent="0.35">
      <c r="A141" t="s">
        <v>2643</v>
      </c>
      <c r="B141" t="s">
        <v>2640</v>
      </c>
      <c r="C141" t="s">
        <v>3376</v>
      </c>
      <c r="D141" t="s">
        <v>2641</v>
      </c>
      <c r="E141" t="s">
        <v>559</v>
      </c>
      <c r="F141">
        <v>1</v>
      </c>
      <c r="G141" t="s">
        <v>2050</v>
      </c>
      <c r="H141" t="s">
        <v>2051</v>
      </c>
      <c r="I141" t="s">
        <v>53</v>
      </c>
      <c r="J141" t="s">
        <v>67</v>
      </c>
      <c r="K141" t="s">
        <v>68</v>
      </c>
      <c r="L141" t="s">
        <v>2052</v>
      </c>
      <c r="M141" t="s">
        <v>2053</v>
      </c>
      <c r="N141">
        <v>0</v>
      </c>
      <c r="O141">
        <v>0</v>
      </c>
      <c r="P141">
        <v>0</v>
      </c>
      <c r="Q141">
        <v>1440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t="s">
        <v>230</v>
      </c>
      <c r="AH141" s="21" t="s">
        <v>3424</v>
      </c>
      <c r="AI141" s="21">
        <v>107.92500000000001</v>
      </c>
      <c r="AJ141" s="21">
        <v>100</v>
      </c>
      <c r="AK141" s="21" t="s">
        <v>2055</v>
      </c>
      <c r="AL141" t="s">
        <v>70</v>
      </c>
      <c r="AM141" t="s">
        <v>2031</v>
      </c>
    </row>
    <row r="142" spans="1:39" ht="15" hidden="1" thickTop="1" x14ac:dyDescent="0.35">
      <c r="A142" t="s">
        <v>2647</v>
      </c>
      <c r="B142" t="s">
        <v>2644</v>
      </c>
      <c r="C142" t="s">
        <v>3376</v>
      </c>
      <c r="D142" t="s">
        <v>2645</v>
      </c>
      <c r="E142" t="s">
        <v>559</v>
      </c>
      <c r="F142">
        <v>1</v>
      </c>
      <c r="G142" t="s">
        <v>2050</v>
      </c>
      <c r="H142" t="s">
        <v>2051</v>
      </c>
      <c r="I142" t="s">
        <v>53</v>
      </c>
      <c r="J142" t="s">
        <v>67</v>
      </c>
      <c r="K142" t="s">
        <v>68</v>
      </c>
      <c r="L142" t="s">
        <v>2052</v>
      </c>
      <c r="M142" t="s">
        <v>2053</v>
      </c>
      <c r="N142">
        <v>0</v>
      </c>
      <c r="O142">
        <v>0</v>
      </c>
      <c r="P142">
        <v>0</v>
      </c>
      <c r="Q142">
        <v>1440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231</v>
      </c>
      <c r="AH142" s="21" t="s">
        <v>3424</v>
      </c>
      <c r="AI142" s="21">
        <v>107.92500000000001</v>
      </c>
      <c r="AJ142" s="21">
        <v>100</v>
      </c>
      <c r="AK142" s="21" t="s">
        <v>2054</v>
      </c>
      <c r="AL142" t="s">
        <v>70</v>
      </c>
      <c r="AM142" t="s">
        <v>2027</v>
      </c>
    </row>
    <row r="143" spans="1:39" ht="15" hidden="1" thickTop="1" x14ac:dyDescent="0.35">
      <c r="A143" t="s">
        <v>2508</v>
      </c>
      <c r="B143" t="s">
        <v>2648</v>
      </c>
      <c r="C143" t="s">
        <v>102</v>
      </c>
      <c r="D143" t="s">
        <v>2649</v>
      </c>
      <c r="E143" t="s">
        <v>559</v>
      </c>
      <c r="F143">
        <v>1</v>
      </c>
      <c r="G143" t="s">
        <v>2050</v>
      </c>
      <c r="H143" t="s">
        <v>2051</v>
      </c>
      <c r="I143" t="s">
        <v>53</v>
      </c>
      <c r="J143" t="s">
        <v>67</v>
      </c>
      <c r="K143" t="s">
        <v>68</v>
      </c>
      <c r="L143" t="s">
        <v>2052</v>
      </c>
      <c r="M143" t="s">
        <v>2053</v>
      </c>
      <c r="N143">
        <v>0</v>
      </c>
      <c r="O143">
        <v>0</v>
      </c>
      <c r="P143">
        <v>0</v>
      </c>
      <c r="Q143">
        <v>1440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232</v>
      </c>
      <c r="AH143" s="21" t="s">
        <v>3424</v>
      </c>
      <c r="AI143" s="21">
        <v>107.92500000000001</v>
      </c>
      <c r="AJ143" s="21">
        <v>100</v>
      </c>
      <c r="AK143" s="21" t="s">
        <v>2054</v>
      </c>
      <c r="AL143" t="s">
        <v>70</v>
      </c>
      <c r="AM143" t="s">
        <v>2030</v>
      </c>
    </row>
    <row r="144" spans="1:39" ht="15" hidden="1" thickTop="1" x14ac:dyDescent="0.35">
      <c r="A144" t="s">
        <v>2660</v>
      </c>
      <c r="B144" t="s">
        <v>2650</v>
      </c>
      <c r="C144" t="s">
        <v>92</v>
      </c>
      <c r="D144" t="s">
        <v>2651</v>
      </c>
      <c r="E144" t="s">
        <v>559</v>
      </c>
      <c r="F144">
        <v>1</v>
      </c>
      <c r="G144" t="s">
        <v>2050</v>
      </c>
      <c r="H144" t="s">
        <v>2051</v>
      </c>
      <c r="I144" t="s">
        <v>53</v>
      </c>
      <c r="J144" t="s">
        <v>67</v>
      </c>
      <c r="K144" t="s">
        <v>68</v>
      </c>
      <c r="L144" t="s">
        <v>2052</v>
      </c>
      <c r="M144" t="s">
        <v>2053</v>
      </c>
      <c r="N144">
        <v>0</v>
      </c>
      <c r="O144">
        <v>0</v>
      </c>
      <c r="P144">
        <v>0</v>
      </c>
      <c r="Q144">
        <v>1440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t="s">
        <v>233</v>
      </c>
      <c r="AH144" s="21" t="s">
        <v>3424</v>
      </c>
      <c r="AI144" s="21">
        <v>107.92500000000001</v>
      </c>
      <c r="AJ144" s="21">
        <v>100</v>
      </c>
      <c r="AK144" s="21" t="s">
        <v>2054</v>
      </c>
      <c r="AL144" t="s">
        <v>70</v>
      </c>
      <c r="AM144" t="s">
        <v>2028</v>
      </c>
    </row>
    <row r="145" spans="1:39" ht="15" hidden="1" thickTop="1" x14ac:dyDescent="0.35">
      <c r="A145" t="s">
        <v>2661</v>
      </c>
      <c r="B145" t="s">
        <v>2652</v>
      </c>
      <c r="C145" t="s">
        <v>76</v>
      </c>
      <c r="D145" t="s">
        <v>2653</v>
      </c>
      <c r="E145" t="s">
        <v>119</v>
      </c>
      <c r="F145">
        <v>1</v>
      </c>
      <c r="G145" t="s">
        <v>2050</v>
      </c>
      <c r="H145" t="s">
        <v>2051</v>
      </c>
      <c r="I145" t="s">
        <v>53</v>
      </c>
      <c r="J145" t="s">
        <v>67</v>
      </c>
      <c r="K145" t="s">
        <v>68</v>
      </c>
      <c r="L145" t="s">
        <v>2052</v>
      </c>
      <c r="M145" t="s">
        <v>2053</v>
      </c>
      <c r="N145">
        <v>0</v>
      </c>
      <c r="O145">
        <v>0</v>
      </c>
      <c r="P145">
        <v>0</v>
      </c>
      <c r="Q145">
        <v>1440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234</v>
      </c>
      <c r="AH145" s="21" t="s">
        <v>3424</v>
      </c>
      <c r="AI145" s="21">
        <v>107.92500000000001</v>
      </c>
      <c r="AJ145" s="21">
        <v>100</v>
      </c>
      <c r="AK145" s="21" t="s">
        <v>2054</v>
      </c>
      <c r="AL145" t="s">
        <v>70</v>
      </c>
      <c r="AM145" t="s">
        <v>2028</v>
      </c>
    </row>
    <row r="146" spans="1:39" ht="15" hidden="1" thickTop="1" x14ac:dyDescent="0.35">
      <c r="A146" t="s">
        <v>2662</v>
      </c>
      <c r="B146" t="s">
        <v>2654</v>
      </c>
      <c r="C146" t="s">
        <v>3376</v>
      </c>
      <c r="D146" t="s">
        <v>2655</v>
      </c>
      <c r="E146" t="s">
        <v>559</v>
      </c>
      <c r="F146">
        <v>1</v>
      </c>
      <c r="G146" t="s">
        <v>2050</v>
      </c>
      <c r="H146" t="s">
        <v>2051</v>
      </c>
      <c r="I146" t="s">
        <v>53</v>
      </c>
      <c r="J146" t="s">
        <v>67</v>
      </c>
      <c r="K146" t="s">
        <v>68</v>
      </c>
      <c r="L146" t="s">
        <v>2052</v>
      </c>
      <c r="M146" t="s">
        <v>2053</v>
      </c>
      <c r="N146">
        <v>0</v>
      </c>
      <c r="O146">
        <v>0</v>
      </c>
      <c r="P146">
        <v>0</v>
      </c>
      <c r="Q146">
        <v>1440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235</v>
      </c>
      <c r="AH146" s="21" t="s">
        <v>3424</v>
      </c>
      <c r="AI146" s="21">
        <v>107.92500000000001</v>
      </c>
      <c r="AJ146" s="21">
        <v>100</v>
      </c>
      <c r="AK146" s="21" t="s">
        <v>2054</v>
      </c>
      <c r="AL146" t="s">
        <v>70</v>
      </c>
      <c r="AM146" t="s">
        <v>2028</v>
      </c>
    </row>
    <row r="147" spans="1:39" ht="15" hidden="1" thickTop="1" x14ac:dyDescent="0.35">
      <c r="A147" t="s">
        <v>2663</v>
      </c>
      <c r="B147" t="s">
        <v>2656</v>
      </c>
      <c r="C147" t="s">
        <v>3376</v>
      </c>
      <c r="D147" t="s">
        <v>2657</v>
      </c>
      <c r="E147" t="s">
        <v>559</v>
      </c>
      <c r="F147">
        <v>1</v>
      </c>
      <c r="G147" t="s">
        <v>2050</v>
      </c>
      <c r="H147" t="s">
        <v>2051</v>
      </c>
      <c r="I147" t="s">
        <v>53</v>
      </c>
      <c r="J147" t="s">
        <v>67</v>
      </c>
      <c r="K147" t="s">
        <v>68</v>
      </c>
      <c r="L147" t="s">
        <v>2052</v>
      </c>
      <c r="M147" t="s">
        <v>2053</v>
      </c>
      <c r="N147">
        <v>0</v>
      </c>
      <c r="O147">
        <v>0</v>
      </c>
      <c r="P147">
        <v>0</v>
      </c>
      <c r="Q147">
        <v>1440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236</v>
      </c>
      <c r="AH147" s="21" t="s">
        <v>3425</v>
      </c>
      <c r="AI147" s="21">
        <v>107.92500000000001</v>
      </c>
      <c r="AJ147" s="21">
        <v>100</v>
      </c>
      <c r="AK147" s="21" t="s">
        <v>2055</v>
      </c>
      <c r="AL147" t="s">
        <v>70</v>
      </c>
      <c r="AM147" t="s">
        <v>2030</v>
      </c>
    </row>
    <row r="148" spans="1:39" ht="15" hidden="1" thickTop="1" x14ac:dyDescent="0.35">
      <c r="A148" t="s">
        <v>2668</v>
      </c>
      <c r="B148" t="s">
        <v>2664</v>
      </c>
      <c r="C148" t="s">
        <v>820</v>
      </c>
      <c r="D148" t="s">
        <v>2665</v>
      </c>
      <c r="E148" t="s">
        <v>72</v>
      </c>
      <c r="F148">
        <v>1</v>
      </c>
      <c r="G148" t="s">
        <v>2050</v>
      </c>
      <c r="H148" t="s">
        <v>2051</v>
      </c>
      <c r="I148" t="s">
        <v>53</v>
      </c>
      <c r="J148" t="s">
        <v>424</v>
      </c>
      <c r="K148" t="s">
        <v>68</v>
      </c>
      <c r="L148" t="s">
        <v>2052</v>
      </c>
      <c r="M148" t="s">
        <v>2064</v>
      </c>
      <c r="N148">
        <v>0</v>
      </c>
      <c r="O148">
        <v>0</v>
      </c>
      <c r="P148">
        <v>0</v>
      </c>
      <c r="Q148">
        <v>900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238</v>
      </c>
      <c r="AH148" s="21" t="s">
        <v>3425</v>
      </c>
      <c r="AI148" s="21">
        <v>67.5</v>
      </c>
      <c r="AJ148" s="21">
        <v>100</v>
      </c>
      <c r="AK148" s="21" t="s">
        <v>2054</v>
      </c>
      <c r="AL148" t="s">
        <v>75</v>
      </c>
      <c r="AM148" t="s">
        <v>2027</v>
      </c>
    </row>
    <row r="149" spans="1:39" ht="15" hidden="1" thickTop="1" x14ac:dyDescent="0.35">
      <c r="A149" t="s">
        <v>2674</v>
      </c>
      <c r="B149" t="s">
        <v>2669</v>
      </c>
      <c r="C149" t="s">
        <v>100</v>
      </c>
      <c r="D149" t="s">
        <v>2670</v>
      </c>
      <c r="E149" t="s">
        <v>119</v>
      </c>
      <c r="F149">
        <v>1</v>
      </c>
      <c r="G149" t="s">
        <v>2050</v>
      </c>
      <c r="H149" t="s">
        <v>2051</v>
      </c>
      <c r="I149" t="s">
        <v>53</v>
      </c>
      <c r="J149" t="s">
        <v>67</v>
      </c>
      <c r="K149" t="s">
        <v>68</v>
      </c>
      <c r="L149" t="s">
        <v>3397</v>
      </c>
      <c r="M149" t="s">
        <v>2317</v>
      </c>
      <c r="N149">
        <v>0</v>
      </c>
      <c r="O149">
        <v>0</v>
      </c>
      <c r="P149">
        <v>0</v>
      </c>
      <c r="Q149">
        <v>540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239</v>
      </c>
      <c r="AH149" s="21" t="s">
        <v>3429</v>
      </c>
      <c r="AI149" s="21">
        <v>40.500000000000007</v>
      </c>
      <c r="AJ149" s="21">
        <v>100</v>
      </c>
      <c r="AK149" s="21" t="s">
        <v>2054</v>
      </c>
      <c r="AL149" t="s">
        <v>70</v>
      </c>
      <c r="AM149" t="s">
        <v>2027</v>
      </c>
    </row>
    <row r="150" spans="1:39" ht="15" hidden="1" thickTop="1" x14ac:dyDescent="0.35">
      <c r="A150" t="s">
        <v>2690</v>
      </c>
      <c r="B150" t="s">
        <v>2675</v>
      </c>
      <c r="C150" t="s">
        <v>78</v>
      </c>
      <c r="D150" t="s">
        <v>2676</v>
      </c>
      <c r="E150" t="s">
        <v>559</v>
      </c>
      <c r="F150">
        <v>1</v>
      </c>
      <c r="G150" t="s">
        <v>2050</v>
      </c>
      <c r="H150" t="s">
        <v>2051</v>
      </c>
      <c r="I150" t="s">
        <v>53</v>
      </c>
      <c r="J150" t="s">
        <v>67</v>
      </c>
      <c r="K150" t="s">
        <v>68</v>
      </c>
      <c r="L150" t="s">
        <v>2052</v>
      </c>
      <c r="M150" t="s">
        <v>2083</v>
      </c>
      <c r="N150">
        <v>0</v>
      </c>
      <c r="O150">
        <v>0</v>
      </c>
      <c r="P150">
        <v>0</v>
      </c>
      <c r="Q150">
        <v>960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t="s">
        <v>240</v>
      </c>
      <c r="AH150" s="21" t="s">
        <v>3424</v>
      </c>
      <c r="AI150" s="21">
        <v>72.000000000000014</v>
      </c>
      <c r="AJ150" s="21">
        <v>100</v>
      </c>
      <c r="AK150" s="21" t="s">
        <v>2054</v>
      </c>
      <c r="AL150" t="s">
        <v>70</v>
      </c>
      <c r="AM150" t="s">
        <v>2029</v>
      </c>
    </row>
    <row r="151" spans="1:39" ht="15" hidden="1" thickTop="1" x14ac:dyDescent="0.35">
      <c r="A151" t="s">
        <v>2691</v>
      </c>
      <c r="B151" t="s">
        <v>2677</v>
      </c>
      <c r="C151" t="s">
        <v>66</v>
      </c>
      <c r="D151" t="s">
        <v>2678</v>
      </c>
      <c r="E151" t="s">
        <v>559</v>
      </c>
      <c r="F151">
        <v>1</v>
      </c>
      <c r="G151" t="s">
        <v>2050</v>
      </c>
      <c r="H151" t="s">
        <v>2051</v>
      </c>
      <c r="I151" t="s">
        <v>53</v>
      </c>
      <c r="J151" t="s">
        <v>67</v>
      </c>
      <c r="K151" t="s">
        <v>68</v>
      </c>
      <c r="L151" t="s">
        <v>2052</v>
      </c>
      <c r="M151" t="s">
        <v>2064</v>
      </c>
      <c r="N151">
        <v>0</v>
      </c>
      <c r="O151">
        <v>0</v>
      </c>
      <c r="P151">
        <v>0</v>
      </c>
      <c r="Q151">
        <v>900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t="s">
        <v>241</v>
      </c>
      <c r="AH151" s="21" t="s">
        <v>3424</v>
      </c>
      <c r="AI151" s="21">
        <v>67.5</v>
      </c>
      <c r="AJ151" s="21">
        <v>100</v>
      </c>
      <c r="AK151" s="21" t="s">
        <v>2055</v>
      </c>
      <c r="AL151" t="s">
        <v>70</v>
      </c>
      <c r="AM151" t="s">
        <v>2028</v>
      </c>
    </row>
    <row r="152" spans="1:39" ht="15" hidden="1" thickTop="1" x14ac:dyDescent="0.35">
      <c r="A152" t="s">
        <v>2692</v>
      </c>
      <c r="B152" t="s">
        <v>2679</v>
      </c>
      <c r="C152" t="s">
        <v>100</v>
      </c>
      <c r="D152" t="s">
        <v>2680</v>
      </c>
      <c r="E152" t="s">
        <v>559</v>
      </c>
      <c r="F152">
        <v>1</v>
      </c>
      <c r="G152" t="s">
        <v>2050</v>
      </c>
      <c r="H152" t="s">
        <v>2051</v>
      </c>
      <c r="I152" t="s">
        <v>53</v>
      </c>
      <c r="J152" t="s">
        <v>67</v>
      </c>
      <c r="K152" t="s">
        <v>68</v>
      </c>
      <c r="L152" t="s">
        <v>2052</v>
      </c>
      <c r="M152" t="s">
        <v>2053</v>
      </c>
      <c r="N152">
        <v>0</v>
      </c>
      <c r="O152">
        <v>0</v>
      </c>
      <c r="P152">
        <v>0</v>
      </c>
      <c r="Q152">
        <v>1440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242</v>
      </c>
      <c r="AH152" s="21" t="s">
        <v>3424</v>
      </c>
      <c r="AI152" s="21">
        <v>107.92500000000001</v>
      </c>
      <c r="AJ152" s="21">
        <v>100</v>
      </c>
      <c r="AK152" s="21" t="s">
        <v>2054</v>
      </c>
      <c r="AL152" t="s">
        <v>70</v>
      </c>
      <c r="AM152" t="s">
        <v>2030</v>
      </c>
    </row>
    <row r="153" spans="1:39" ht="15" hidden="1" thickTop="1" x14ac:dyDescent="0.35">
      <c r="A153" t="s">
        <v>2693</v>
      </c>
      <c r="B153" t="s">
        <v>2681</v>
      </c>
      <c r="C153" t="s">
        <v>100</v>
      </c>
      <c r="D153" t="s">
        <v>2682</v>
      </c>
      <c r="E153" t="s">
        <v>559</v>
      </c>
      <c r="F153">
        <v>1</v>
      </c>
      <c r="G153" t="s">
        <v>2050</v>
      </c>
      <c r="H153" t="s">
        <v>2051</v>
      </c>
      <c r="I153" t="s">
        <v>53</v>
      </c>
      <c r="J153" t="s">
        <v>67</v>
      </c>
      <c r="K153" t="s">
        <v>68</v>
      </c>
      <c r="L153" t="s">
        <v>2052</v>
      </c>
      <c r="M153" t="s">
        <v>2053</v>
      </c>
      <c r="N153">
        <v>0</v>
      </c>
      <c r="O153">
        <v>0</v>
      </c>
      <c r="P153">
        <v>0</v>
      </c>
      <c r="Q153">
        <v>1440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t="s">
        <v>243</v>
      </c>
      <c r="AH153" s="21" t="s">
        <v>3424</v>
      </c>
      <c r="AI153" s="21">
        <v>107.92500000000001</v>
      </c>
      <c r="AJ153" s="21">
        <v>100</v>
      </c>
      <c r="AK153" s="21" t="s">
        <v>2055</v>
      </c>
      <c r="AL153" t="s">
        <v>70</v>
      </c>
      <c r="AM153" t="s">
        <v>2030</v>
      </c>
    </row>
    <row r="154" spans="1:39" ht="15" hidden="1" thickTop="1" x14ac:dyDescent="0.35">
      <c r="A154" t="s">
        <v>2694</v>
      </c>
      <c r="B154" t="s">
        <v>2683</v>
      </c>
      <c r="C154" t="s">
        <v>76</v>
      </c>
      <c r="D154" t="s">
        <v>2684</v>
      </c>
      <c r="E154" t="s">
        <v>559</v>
      </c>
      <c r="F154">
        <v>2</v>
      </c>
      <c r="G154" t="s">
        <v>2050</v>
      </c>
      <c r="H154" t="s">
        <v>2051</v>
      </c>
      <c r="I154" t="s">
        <v>53</v>
      </c>
      <c r="J154" t="s">
        <v>67</v>
      </c>
      <c r="K154" t="s">
        <v>68</v>
      </c>
      <c r="L154" t="s">
        <v>2052</v>
      </c>
      <c r="M154" t="s">
        <v>2064</v>
      </c>
      <c r="N154">
        <v>0</v>
      </c>
      <c r="O154">
        <v>0</v>
      </c>
      <c r="P154">
        <v>0</v>
      </c>
      <c r="Q154">
        <v>900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t="s">
        <v>244</v>
      </c>
      <c r="AH154" s="21" t="s">
        <v>3424</v>
      </c>
      <c r="AI154" s="21">
        <v>67.5</v>
      </c>
      <c r="AJ154" s="21">
        <v>100</v>
      </c>
      <c r="AK154" s="21" t="s">
        <v>2054</v>
      </c>
      <c r="AL154" t="s">
        <v>70</v>
      </c>
      <c r="AM154" t="s">
        <v>2029</v>
      </c>
    </row>
    <row r="155" spans="1:39" ht="15" hidden="1" thickTop="1" x14ac:dyDescent="0.35">
      <c r="A155" t="s">
        <v>2695</v>
      </c>
      <c r="B155" t="s">
        <v>2685</v>
      </c>
      <c r="C155" t="s">
        <v>78</v>
      </c>
      <c r="D155" t="s">
        <v>2686</v>
      </c>
      <c r="E155" t="s">
        <v>559</v>
      </c>
      <c r="F155">
        <v>1</v>
      </c>
      <c r="G155" t="s">
        <v>2050</v>
      </c>
      <c r="H155" t="s">
        <v>2051</v>
      </c>
      <c r="I155" t="s">
        <v>53</v>
      </c>
      <c r="J155" t="s">
        <v>67</v>
      </c>
      <c r="K155" t="s">
        <v>68</v>
      </c>
      <c r="L155" t="s">
        <v>2052</v>
      </c>
      <c r="M155" t="s">
        <v>2083</v>
      </c>
      <c r="N155">
        <v>0</v>
      </c>
      <c r="O155">
        <v>0</v>
      </c>
      <c r="P155">
        <v>0</v>
      </c>
      <c r="Q155">
        <v>960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245</v>
      </c>
      <c r="AH155" s="21" t="s">
        <v>3424</v>
      </c>
      <c r="AI155" s="21">
        <v>72.000000000000014</v>
      </c>
      <c r="AJ155" s="21">
        <v>100</v>
      </c>
      <c r="AK155" s="21" t="s">
        <v>2054</v>
      </c>
      <c r="AL155" t="s">
        <v>70</v>
      </c>
      <c r="AM155" t="s">
        <v>2030</v>
      </c>
    </row>
    <row r="156" spans="1:39" ht="15" hidden="1" thickTop="1" x14ac:dyDescent="0.35">
      <c r="A156" t="s">
        <v>2705</v>
      </c>
      <c r="B156" t="s">
        <v>2696</v>
      </c>
      <c r="C156" t="s">
        <v>3376</v>
      </c>
      <c r="D156" t="s">
        <v>2697</v>
      </c>
      <c r="E156" t="s">
        <v>559</v>
      </c>
      <c r="F156">
        <v>1</v>
      </c>
      <c r="G156" t="s">
        <v>2050</v>
      </c>
      <c r="H156" t="s">
        <v>2051</v>
      </c>
      <c r="I156" t="s">
        <v>53</v>
      </c>
      <c r="J156" t="s">
        <v>67</v>
      </c>
      <c r="K156" t="s">
        <v>68</v>
      </c>
      <c r="L156" t="s">
        <v>2052</v>
      </c>
      <c r="M156" t="s">
        <v>2053</v>
      </c>
      <c r="N156">
        <v>0</v>
      </c>
      <c r="O156">
        <v>0</v>
      </c>
      <c r="P156">
        <v>0</v>
      </c>
      <c r="Q156">
        <v>1440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246</v>
      </c>
      <c r="AH156" s="21" t="s">
        <v>3424</v>
      </c>
      <c r="AI156" s="21">
        <v>107.92500000000001</v>
      </c>
      <c r="AJ156" s="21">
        <v>100</v>
      </c>
      <c r="AK156" s="21" t="s">
        <v>2054</v>
      </c>
      <c r="AL156" t="s">
        <v>70</v>
      </c>
      <c r="AM156" t="s">
        <v>2029</v>
      </c>
    </row>
    <row r="157" spans="1:39" ht="15" hidden="1" thickTop="1" x14ac:dyDescent="0.35">
      <c r="A157" t="s">
        <v>2706</v>
      </c>
      <c r="B157" t="s">
        <v>2698</v>
      </c>
      <c r="C157" t="s">
        <v>66</v>
      </c>
      <c r="D157" t="s">
        <v>2699</v>
      </c>
      <c r="E157" t="s">
        <v>559</v>
      </c>
      <c r="F157">
        <v>1</v>
      </c>
      <c r="G157" t="s">
        <v>2050</v>
      </c>
      <c r="H157" t="s">
        <v>2051</v>
      </c>
      <c r="I157" t="s">
        <v>53</v>
      </c>
      <c r="J157" t="s">
        <v>67</v>
      </c>
      <c r="K157" t="s">
        <v>68</v>
      </c>
      <c r="L157" t="s">
        <v>2052</v>
      </c>
      <c r="M157" t="s">
        <v>2053</v>
      </c>
      <c r="N157">
        <v>0</v>
      </c>
      <c r="O157">
        <v>0</v>
      </c>
      <c r="P157">
        <v>0</v>
      </c>
      <c r="Q157">
        <v>1440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247</v>
      </c>
      <c r="AH157" s="21" t="s">
        <v>3424</v>
      </c>
      <c r="AI157" s="21">
        <v>107.92500000000001</v>
      </c>
      <c r="AJ157" s="21">
        <v>100</v>
      </c>
      <c r="AK157" s="21" t="s">
        <v>2054</v>
      </c>
      <c r="AL157" t="s">
        <v>70</v>
      </c>
      <c r="AM157" t="s">
        <v>2027</v>
      </c>
    </row>
    <row r="158" spans="1:39" ht="15" hidden="1" thickTop="1" x14ac:dyDescent="0.35">
      <c r="A158" t="s">
        <v>2707</v>
      </c>
      <c r="B158" t="s">
        <v>2700</v>
      </c>
      <c r="C158" t="s">
        <v>92</v>
      </c>
      <c r="D158" t="s">
        <v>2701</v>
      </c>
      <c r="E158" t="s">
        <v>119</v>
      </c>
      <c r="F158">
        <v>1</v>
      </c>
      <c r="G158" t="s">
        <v>2050</v>
      </c>
      <c r="H158" t="s">
        <v>2051</v>
      </c>
      <c r="I158" t="s">
        <v>53</v>
      </c>
      <c r="J158" t="s">
        <v>67</v>
      </c>
      <c r="K158" t="s">
        <v>68</v>
      </c>
      <c r="L158" t="s">
        <v>2052</v>
      </c>
      <c r="M158" t="s">
        <v>2053</v>
      </c>
      <c r="N158">
        <v>0</v>
      </c>
      <c r="O158">
        <v>0</v>
      </c>
      <c r="P158">
        <v>0</v>
      </c>
      <c r="Q158">
        <v>1440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248</v>
      </c>
      <c r="AH158" s="21" t="s">
        <v>3424</v>
      </c>
      <c r="AI158" s="21">
        <v>107.92500000000001</v>
      </c>
      <c r="AJ158" s="21">
        <v>100</v>
      </c>
      <c r="AK158" s="21" t="s">
        <v>2054</v>
      </c>
      <c r="AL158" t="s">
        <v>70</v>
      </c>
      <c r="AM158" t="s">
        <v>2029</v>
      </c>
    </row>
    <row r="159" spans="1:39" ht="15" hidden="1" thickTop="1" x14ac:dyDescent="0.35">
      <c r="A159" t="s">
        <v>2712</v>
      </c>
      <c r="B159" t="s">
        <v>2708</v>
      </c>
      <c r="C159" t="s">
        <v>100</v>
      </c>
      <c r="D159" t="s">
        <v>2709</v>
      </c>
      <c r="E159" t="s">
        <v>559</v>
      </c>
      <c r="F159">
        <v>1</v>
      </c>
      <c r="G159" t="s">
        <v>2050</v>
      </c>
      <c r="H159" t="s">
        <v>2051</v>
      </c>
      <c r="I159" t="s">
        <v>53</v>
      </c>
      <c r="J159" t="s">
        <v>67</v>
      </c>
      <c r="K159" t="s">
        <v>68</v>
      </c>
      <c r="L159" t="s">
        <v>2052</v>
      </c>
      <c r="M159" t="s">
        <v>2078</v>
      </c>
      <c r="N159">
        <v>0</v>
      </c>
      <c r="O159">
        <v>0</v>
      </c>
      <c r="P159">
        <v>0</v>
      </c>
      <c r="Q159">
        <v>960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249</v>
      </c>
      <c r="AH159" s="21" t="s">
        <v>3424</v>
      </c>
      <c r="AI159" s="21">
        <v>72</v>
      </c>
      <c r="AJ159" s="21">
        <v>100</v>
      </c>
      <c r="AK159" s="21" t="s">
        <v>2054</v>
      </c>
      <c r="AL159" t="s">
        <v>70</v>
      </c>
      <c r="AM159" t="s">
        <v>2029</v>
      </c>
    </row>
    <row r="160" spans="1:39" ht="15" hidden="1" thickTop="1" x14ac:dyDescent="0.35">
      <c r="A160" t="s">
        <v>2717</v>
      </c>
      <c r="B160" t="s">
        <v>2713</v>
      </c>
      <c r="C160" t="s">
        <v>78</v>
      </c>
      <c r="D160" t="s">
        <v>2714</v>
      </c>
      <c r="E160" t="s">
        <v>559</v>
      </c>
      <c r="F160">
        <v>1</v>
      </c>
      <c r="G160" t="s">
        <v>2050</v>
      </c>
      <c r="H160" t="s">
        <v>2051</v>
      </c>
      <c r="I160" t="s">
        <v>53</v>
      </c>
      <c r="J160" t="s">
        <v>67</v>
      </c>
      <c r="K160" t="s">
        <v>68</v>
      </c>
      <c r="L160" t="s">
        <v>2052</v>
      </c>
      <c r="M160" t="s">
        <v>2053</v>
      </c>
      <c r="N160">
        <v>0</v>
      </c>
      <c r="O160">
        <v>0</v>
      </c>
      <c r="P160">
        <v>0</v>
      </c>
      <c r="Q160">
        <v>1440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250</v>
      </c>
      <c r="AH160" s="21" t="s">
        <v>3424</v>
      </c>
      <c r="AI160" s="21">
        <v>107.92500000000001</v>
      </c>
      <c r="AJ160" s="21">
        <v>100</v>
      </c>
      <c r="AK160" s="21" t="s">
        <v>2054</v>
      </c>
      <c r="AL160" t="s">
        <v>70</v>
      </c>
      <c r="AM160" t="s">
        <v>2028</v>
      </c>
    </row>
    <row r="161" spans="1:39" ht="15" hidden="1" thickTop="1" x14ac:dyDescent="0.35">
      <c r="A161" t="s">
        <v>2727</v>
      </c>
      <c r="B161" t="s">
        <v>2718</v>
      </c>
      <c r="C161" t="s">
        <v>102</v>
      </c>
      <c r="D161" t="s">
        <v>2719</v>
      </c>
      <c r="E161" t="s">
        <v>559</v>
      </c>
      <c r="F161">
        <v>1</v>
      </c>
      <c r="G161" t="s">
        <v>2050</v>
      </c>
      <c r="H161" t="s">
        <v>2051</v>
      </c>
      <c r="I161" t="s">
        <v>53</v>
      </c>
      <c r="J161" t="s">
        <v>67</v>
      </c>
      <c r="K161" t="s">
        <v>68</v>
      </c>
      <c r="L161" t="s">
        <v>2052</v>
      </c>
      <c r="M161" t="s">
        <v>2053</v>
      </c>
      <c r="N161">
        <v>0</v>
      </c>
      <c r="O161">
        <v>0</v>
      </c>
      <c r="P161">
        <v>0</v>
      </c>
      <c r="Q161">
        <v>1440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251</v>
      </c>
      <c r="AH161" s="21" t="s">
        <v>3424</v>
      </c>
      <c r="AI161" s="21">
        <v>107.92500000000001</v>
      </c>
      <c r="AJ161" s="21">
        <v>100</v>
      </c>
      <c r="AK161" s="21" t="s">
        <v>2054</v>
      </c>
      <c r="AL161" t="s">
        <v>70</v>
      </c>
      <c r="AM161" t="s">
        <v>2031</v>
      </c>
    </row>
    <row r="162" spans="1:39" ht="15" hidden="1" thickTop="1" x14ac:dyDescent="0.35">
      <c r="A162" t="s">
        <v>2728</v>
      </c>
      <c r="B162" t="s">
        <v>2720</v>
      </c>
      <c r="C162" t="s">
        <v>102</v>
      </c>
      <c r="D162" t="s">
        <v>2721</v>
      </c>
      <c r="E162" t="s">
        <v>559</v>
      </c>
      <c r="F162">
        <v>1</v>
      </c>
      <c r="G162" t="s">
        <v>2050</v>
      </c>
      <c r="H162" t="s">
        <v>2051</v>
      </c>
      <c r="I162" t="s">
        <v>53</v>
      </c>
      <c r="J162" t="s">
        <v>67</v>
      </c>
      <c r="K162" t="s">
        <v>68</v>
      </c>
      <c r="L162" t="s">
        <v>2052</v>
      </c>
      <c r="M162" t="s">
        <v>2053</v>
      </c>
      <c r="N162">
        <v>0</v>
      </c>
      <c r="O162">
        <v>0</v>
      </c>
      <c r="P162">
        <v>0</v>
      </c>
      <c r="Q162">
        <v>1440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252</v>
      </c>
      <c r="AH162" s="21" t="s">
        <v>3424</v>
      </c>
      <c r="AI162" s="21">
        <v>107.92500000000001</v>
      </c>
      <c r="AJ162" s="21">
        <v>100</v>
      </c>
      <c r="AK162" s="21" t="s">
        <v>2054</v>
      </c>
      <c r="AL162" t="s">
        <v>70</v>
      </c>
      <c r="AM162" t="s">
        <v>2030</v>
      </c>
    </row>
    <row r="163" spans="1:39" ht="15" hidden="1" thickTop="1" x14ac:dyDescent="0.35">
      <c r="A163" t="s">
        <v>2729</v>
      </c>
      <c r="B163" t="s">
        <v>2722</v>
      </c>
      <c r="C163" t="s">
        <v>102</v>
      </c>
      <c r="D163" t="s">
        <v>2723</v>
      </c>
      <c r="E163" t="s">
        <v>559</v>
      </c>
      <c r="F163">
        <v>1</v>
      </c>
      <c r="G163" t="s">
        <v>2050</v>
      </c>
      <c r="H163" t="s">
        <v>2051</v>
      </c>
      <c r="I163" t="s">
        <v>53</v>
      </c>
      <c r="J163" t="s">
        <v>67</v>
      </c>
      <c r="K163" t="s">
        <v>68</v>
      </c>
      <c r="L163" t="s">
        <v>2052</v>
      </c>
      <c r="M163" t="s">
        <v>2053</v>
      </c>
      <c r="N163">
        <v>0</v>
      </c>
      <c r="O163">
        <v>0</v>
      </c>
      <c r="P163">
        <v>0</v>
      </c>
      <c r="Q163">
        <v>1440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253</v>
      </c>
      <c r="AH163" s="21" t="s">
        <v>3424</v>
      </c>
      <c r="AI163" s="21">
        <v>107.92500000000001</v>
      </c>
      <c r="AJ163" s="21">
        <v>100</v>
      </c>
      <c r="AK163" s="21" t="s">
        <v>2055</v>
      </c>
      <c r="AL163" t="s">
        <v>70</v>
      </c>
      <c r="AM163" t="s">
        <v>2031</v>
      </c>
    </row>
    <row r="164" spans="1:39" ht="15" hidden="1" thickTop="1" x14ac:dyDescent="0.35">
      <c r="A164" t="s">
        <v>2734</v>
      </c>
      <c r="B164" t="s">
        <v>2730</v>
      </c>
      <c r="C164" t="s">
        <v>92</v>
      </c>
      <c r="D164" t="s">
        <v>2731</v>
      </c>
      <c r="E164" t="s">
        <v>119</v>
      </c>
      <c r="F164">
        <v>1</v>
      </c>
      <c r="G164" t="s">
        <v>2050</v>
      </c>
      <c r="H164" t="s">
        <v>2051</v>
      </c>
      <c r="I164" t="s">
        <v>53</v>
      </c>
      <c r="J164" t="s">
        <v>67</v>
      </c>
      <c r="K164" t="s">
        <v>68</v>
      </c>
      <c r="L164" t="s">
        <v>2052</v>
      </c>
      <c r="M164" t="s">
        <v>2053</v>
      </c>
      <c r="N164">
        <v>0</v>
      </c>
      <c r="O164">
        <v>0</v>
      </c>
      <c r="P164">
        <v>0</v>
      </c>
      <c r="Q164">
        <v>1440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t="s">
        <v>254</v>
      </c>
      <c r="AH164" s="21" t="s">
        <v>3424</v>
      </c>
      <c r="AI164" s="21">
        <v>107.92500000000001</v>
      </c>
      <c r="AJ164" s="21">
        <v>100</v>
      </c>
      <c r="AK164" s="21" t="s">
        <v>2054</v>
      </c>
      <c r="AL164" t="s">
        <v>70</v>
      </c>
      <c r="AM164" t="s">
        <v>2029</v>
      </c>
    </row>
    <row r="165" spans="1:39" ht="15" hidden="1" thickTop="1" x14ac:dyDescent="0.35">
      <c r="A165" t="s">
        <v>2741</v>
      </c>
      <c r="B165" t="s">
        <v>2735</v>
      </c>
      <c r="C165" t="s">
        <v>81</v>
      </c>
      <c r="D165" t="s">
        <v>2736</v>
      </c>
      <c r="E165" t="s">
        <v>559</v>
      </c>
      <c r="F165">
        <v>1</v>
      </c>
      <c r="G165" t="s">
        <v>2050</v>
      </c>
      <c r="H165" t="s">
        <v>2051</v>
      </c>
      <c r="I165" t="s">
        <v>53</v>
      </c>
      <c r="J165" t="s">
        <v>82</v>
      </c>
      <c r="K165" t="s">
        <v>68</v>
      </c>
      <c r="L165" t="s">
        <v>2052</v>
      </c>
      <c r="M165" t="s">
        <v>2053</v>
      </c>
      <c r="N165">
        <v>0</v>
      </c>
      <c r="O165">
        <v>0</v>
      </c>
      <c r="P165">
        <v>0</v>
      </c>
      <c r="Q165">
        <v>1440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255</v>
      </c>
      <c r="AH165" s="21" t="s">
        <v>3428</v>
      </c>
      <c r="AI165" s="21">
        <v>107.92500000000001</v>
      </c>
      <c r="AJ165" s="21">
        <v>100</v>
      </c>
      <c r="AK165" s="21" t="s">
        <v>2054</v>
      </c>
      <c r="AL165" t="s">
        <v>70</v>
      </c>
      <c r="AM165" t="s">
        <v>2029</v>
      </c>
    </row>
    <row r="166" spans="1:39" ht="15" hidden="1" thickTop="1" x14ac:dyDescent="0.35">
      <c r="A166" t="s">
        <v>2743</v>
      </c>
      <c r="B166" t="s">
        <v>2738</v>
      </c>
      <c r="C166" t="s">
        <v>92</v>
      </c>
      <c r="D166" t="s">
        <v>2739</v>
      </c>
      <c r="E166" t="s">
        <v>119</v>
      </c>
      <c r="F166">
        <v>1</v>
      </c>
      <c r="G166" t="s">
        <v>2050</v>
      </c>
      <c r="H166" t="s">
        <v>2051</v>
      </c>
      <c r="I166" t="s">
        <v>53</v>
      </c>
      <c r="J166" t="s">
        <v>67</v>
      </c>
      <c r="K166" t="s">
        <v>68</v>
      </c>
      <c r="L166" t="s">
        <v>2052</v>
      </c>
      <c r="M166" t="s">
        <v>2053</v>
      </c>
      <c r="N166">
        <v>0</v>
      </c>
      <c r="O166">
        <v>0</v>
      </c>
      <c r="P166">
        <v>0</v>
      </c>
      <c r="Q166">
        <v>1440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t="s">
        <v>256</v>
      </c>
      <c r="AH166" s="21" t="s">
        <v>3424</v>
      </c>
      <c r="AI166" s="21">
        <v>107.92500000000001</v>
      </c>
      <c r="AJ166" s="21">
        <v>100</v>
      </c>
      <c r="AK166" s="21" t="s">
        <v>2055</v>
      </c>
      <c r="AL166" t="s">
        <v>70</v>
      </c>
      <c r="AM166" t="s">
        <v>2030</v>
      </c>
    </row>
    <row r="167" spans="1:39" ht="15" hidden="1" thickTop="1" x14ac:dyDescent="0.35">
      <c r="A167" t="s">
        <v>2755</v>
      </c>
      <c r="B167" t="s">
        <v>2744</v>
      </c>
      <c r="C167" t="s">
        <v>66</v>
      </c>
      <c r="D167" t="s">
        <v>2745</v>
      </c>
      <c r="E167" t="s">
        <v>559</v>
      </c>
      <c r="F167">
        <v>1</v>
      </c>
      <c r="G167" t="s">
        <v>2050</v>
      </c>
      <c r="H167" t="s">
        <v>2051</v>
      </c>
      <c r="I167" t="s">
        <v>53</v>
      </c>
      <c r="J167" t="s">
        <v>67</v>
      </c>
      <c r="K167" t="s">
        <v>68</v>
      </c>
      <c r="L167" t="s">
        <v>2052</v>
      </c>
      <c r="M167" t="s">
        <v>2053</v>
      </c>
      <c r="N167">
        <v>0</v>
      </c>
      <c r="O167">
        <v>0</v>
      </c>
      <c r="P167">
        <v>0</v>
      </c>
      <c r="Q167">
        <v>1440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 t="s">
        <v>257</v>
      </c>
      <c r="AH167" s="21" t="s">
        <v>3424</v>
      </c>
      <c r="AI167" s="21">
        <v>107.92500000000001</v>
      </c>
      <c r="AJ167" s="21">
        <v>100</v>
      </c>
      <c r="AK167" s="21" t="s">
        <v>2054</v>
      </c>
      <c r="AL167" t="s">
        <v>70</v>
      </c>
      <c r="AM167" t="s">
        <v>2029</v>
      </c>
    </row>
    <row r="168" spans="1:39" ht="15" hidden="1" thickTop="1" x14ac:dyDescent="0.35">
      <c r="A168" t="s">
        <v>2756</v>
      </c>
      <c r="B168" t="s">
        <v>2746</v>
      </c>
      <c r="C168" t="s">
        <v>117</v>
      </c>
      <c r="D168" t="s">
        <v>2747</v>
      </c>
      <c r="E168" t="s">
        <v>559</v>
      </c>
      <c r="F168">
        <v>1</v>
      </c>
      <c r="G168" t="s">
        <v>2050</v>
      </c>
      <c r="H168" t="s">
        <v>2051</v>
      </c>
      <c r="I168" t="s">
        <v>53</v>
      </c>
      <c r="J168" t="s">
        <v>67</v>
      </c>
      <c r="K168" t="s">
        <v>68</v>
      </c>
      <c r="L168" t="s">
        <v>2052</v>
      </c>
      <c r="M168" t="s">
        <v>2053</v>
      </c>
      <c r="N168">
        <v>0</v>
      </c>
      <c r="O168">
        <v>0</v>
      </c>
      <c r="P168">
        <v>0</v>
      </c>
      <c r="Q168">
        <v>1440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t="s">
        <v>258</v>
      </c>
      <c r="AH168" s="21" t="s">
        <v>3424</v>
      </c>
      <c r="AI168" s="21">
        <v>107.92500000000001</v>
      </c>
      <c r="AJ168" s="21">
        <v>100</v>
      </c>
      <c r="AK168" s="21" t="s">
        <v>2054</v>
      </c>
      <c r="AL168" t="s">
        <v>70</v>
      </c>
      <c r="AM168" t="s">
        <v>2029</v>
      </c>
    </row>
    <row r="169" spans="1:39" ht="15" hidden="1" thickTop="1" x14ac:dyDescent="0.35">
      <c r="A169" t="s">
        <v>2757</v>
      </c>
      <c r="B169" t="s">
        <v>2748</v>
      </c>
      <c r="C169" t="s">
        <v>66</v>
      </c>
      <c r="D169" t="s">
        <v>2749</v>
      </c>
      <c r="E169" t="s">
        <v>559</v>
      </c>
      <c r="F169">
        <v>1</v>
      </c>
      <c r="G169" t="s">
        <v>2050</v>
      </c>
      <c r="H169" t="s">
        <v>2051</v>
      </c>
      <c r="I169" t="s">
        <v>53</v>
      </c>
      <c r="J169" t="s">
        <v>67</v>
      </c>
      <c r="K169" t="s">
        <v>68</v>
      </c>
      <c r="L169" t="s">
        <v>2052</v>
      </c>
      <c r="M169" t="s">
        <v>2053</v>
      </c>
      <c r="N169">
        <v>0</v>
      </c>
      <c r="O169">
        <v>0</v>
      </c>
      <c r="P169">
        <v>0</v>
      </c>
      <c r="Q169">
        <v>1440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t="s">
        <v>259</v>
      </c>
      <c r="AH169" s="21" t="s">
        <v>3427</v>
      </c>
      <c r="AI169" s="21">
        <v>107.92500000000001</v>
      </c>
      <c r="AJ169" s="21">
        <v>100</v>
      </c>
      <c r="AK169" s="21" t="s">
        <v>2054</v>
      </c>
      <c r="AL169" t="s">
        <v>70</v>
      </c>
      <c r="AM169" t="s">
        <v>2027</v>
      </c>
    </row>
    <row r="170" spans="1:39" ht="15" hidden="1" thickTop="1" x14ac:dyDescent="0.35">
      <c r="A170" t="s">
        <v>2763</v>
      </c>
      <c r="B170" t="s">
        <v>2750</v>
      </c>
      <c r="C170" t="s">
        <v>3376</v>
      </c>
      <c r="D170" t="s">
        <v>2751</v>
      </c>
      <c r="E170" t="s">
        <v>559</v>
      </c>
      <c r="F170">
        <v>1</v>
      </c>
      <c r="G170" t="s">
        <v>2050</v>
      </c>
      <c r="H170" t="s">
        <v>2051</v>
      </c>
      <c r="I170" t="s">
        <v>53</v>
      </c>
      <c r="J170" t="s">
        <v>67</v>
      </c>
      <c r="K170" t="s">
        <v>68</v>
      </c>
      <c r="L170" t="s">
        <v>2052</v>
      </c>
      <c r="M170" t="s">
        <v>2053</v>
      </c>
      <c r="N170">
        <v>0</v>
      </c>
      <c r="O170">
        <v>0</v>
      </c>
      <c r="P170">
        <v>0</v>
      </c>
      <c r="Q170">
        <v>1440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260</v>
      </c>
      <c r="AH170" s="21" t="s">
        <v>3424</v>
      </c>
      <c r="AI170" s="21">
        <v>107.92500000000001</v>
      </c>
      <c r="AJ170" s="21">
        <v>100</v>
      </c>
      <c r="AK170" s="21" t="s">
        <v>2055</v>
      </c>
      <c r="AL170" t="s">
        <v>70</v>
      </c>
      <c r="AM170" t="s">
        <v>2031</v>
      </c>
    </row>
    <row r="171" spans="1:39" ht="15" hidden="1" thickTop="1" x14ac:dyDescent="0.35">
      <c r="A171" t="s">
        <v>2767</v>
      </c>
      <c r="B171" t="s">
        <v>2758</v>
      </c>
      <c r="C171" t="s">
        <v>102</v>
      </c>
      <c r="D171" t="s">
        <v>2759</v>
      </c>
      <c r="E171" t="s">
        <v>559</v>
      </c>
      <c r="F171">
        <v>1</v>
      </c>
      <c r="G171" t="s">
        <v>2050</v>
      </c>
      <c r="H171" t="s">
        <v>2051</v>
      </c>
      <c r="I171" t="s">
        <v>53</v>
      </c>
      <c r="J171" t="s">
        <v>67</v>
      </c>
      <c r="K171" t="s">
        <v>68</v>
      </c>
      <c r="L171" t="s">
        <v>2052</v>
      </c>
      <c r="M171" t="s">
        <v>2053</v>
      </c>
      <c r="N171">
        <v>0</v>
      </c>
      <c r="O171">
        <v>0</v>
      </c>
      <c r="P171">
        <v>0</v>
      </c>
      <c r="Q171">
        <v>1440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261</v>
      </c>
      <c r="AH171" s="21" t="s">
        <v>3425</v>
      </c>
      <c r="AI171" s="21">
        <v>107.92500000000001</v>
      </c>
      <c r="AJ171" s="21">
        <v>100</v>
      </c>
      <c r="AK171" s="21" t="s">
        <v>2055</v>
      </c>
      <c r="AL171" t="s">
        <v>70</v>
      </c>
      <c r="AM171" t="s">
        <v>2030</v>
      </c>
    </row>
    <row r="172" spans="1:39" ht="15" hidden="1" thickTop="1" x14ac:dyDescent="0.35">
      <c r="A172" t="s">
        <v>2768</v>
      </c>
      <c r="B172" t="s">
        <v>2761</v>
      </c>
      <c r="C172" t="s">
        <v>111</v>
      </c>
      <c r="D172" t="s">
        <v>2762</v>
      </c>
      <c r="E172" t="s">
        <v>112</v>
      </c>
      <c r="F172">
        <v>1</v>
      </c>
      <c r="G172" t="s">
        <v>2050</v>
      </c>
      <c r="H172" t="s">
        <v>2051</v>
      </c>
      <c r="I172" t="s">
        <v>53</v>
      </c>
      <c r="J172" t="s">
        <v>113</v>
      </c>
      <c r="K172" t="s">
        <v>68</v>
      </c>
      <c r="L172" t="s">
        <v>2052</v>
      </c>
      <c r="M172" t="s">
        <v>2053</v>
      </c>
      <c r="N172">
        <v>0</v>
      </c>
      <c r="O172">
        <v>0</v>
      </c>
      <c r="P172">
        <v>0</v>
      </c>
      <c r="Q172">
        <v>1440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262</v>
      </c>
      <c r="AH172" s="21" t="s">
        <v>3425</v>
      </c>
      <c r="AI172" s="21">
        <v>107.92500000000001</v>
      </c>
      <c r="AJ172" s="21">
        <v>100</v>
      </c>
      <c r="AK172" s="21" t="s">
        <v>2054</v>
      </c>
      <c r="AL172" t="s">
        <v>115</v>
      </c>
      <c r="AM172" t="s">
        <v>2027</v>
      </c>
    </row>
    <row r="173" spans="1:39" ht="15" hidden="1" thickTop="1" x14ac:dyDescent="0.35">
      <c r="A173" t="s">
        <v>2776</v>
      </c>
      <c r="B173" t="s">
        <v>2769</v>
      </c>
      <c r="C173" t="s">
        <v>102</v>
      </c>
      <c r="D173" t="s">
        <v>2770</v>
      </c>
      <c r="E173" t="s">
        <v>559</v>
      </c>
      <c r="F173">
        <v>1</v>
      </c>
      <c r="G173" t="s">
        <v>2050</v>
      </c>
      <c r="H173" t="s">
        <v>2051</v>
      </c>
      <c r="I173" t="s">
        <v>53</v>
      </c>
      <c r="J173" t="s">
        <v>67</v>
      </c>
      <c r="K173" t="s">
        <v>68</v>
      </c>
      <c r="L173" t="s">
        <v>2052</v>
      </c>
      <c r="M173" t="s">
        <v>2053</v>
      </c>
      <c r="N173">
        <v>0</v>
      </c>
      <c r="O173">
        <v>0</v>
      </c>
      <c r="P173">
        <v>0</v>
      </c>
      <c r="Q173">
        <v>1440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263</v>
      </c>
      <c r="AH173" s="21" t="s">
        <v>3425</v>
      </c>
      <c r="AI173" s="21">
        <v>107.92500000000001</v>
      </c>
      <c r="AJ173" s="21">
        <v>100</v>
      </c>
      <c r="AK173" s="21" t="s">
        <v>2054</v>
      </c>
      <c r="AL173" t="s">
        <v>70</v>
      </c>
      <c r="AM173" t="s">
        <v>2029</v>
      </c>
    </row>
    <row r="174" spans="1:39" ht="15" hidden="1" thickTop="1" x14ac:dyDescent="0.35">
      <c r="A174" t="s">
        <v>2777</v>
      </c>
      <c r="B174" t="s">
        <v>2771</v>
      </c>
      <c r="C174" t="s">
        <v>565</v>
      </c>
      <c r="D174" t="s">
        <v>2772</v>
      </c>
      <c r="E174" t="s">
        <v>559</v>
      </c>
      <c r="F174">
        <v>2</v>
      </c>
      <c r="G174" t="s">
        <v>2050</v>
      </c>
      <c r="H174" t="s">
        <v>2051</v>
      </c>
      <c r="I174" t="s">
        <v>53</v>
      </c>
      <c r="J174" t="s">
        <v>427</v>
      </c>
      <c r="K174" t="s">
        <v>68</v>
      </c>
      <c r="L174" t="s">
        <v>2052</v>
      </c>
      <c r="M174" t="s">
        <v>2053</v>
      </c>
      <c r="N174">
        <v>0</v>
      </c>
      <c r="O174">
        <v>0</v>
      </c>
      <c r="P174">
        <v>0</v>
      </c>
      <c r="Q174">
        <v>1440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 t="s">
        <v>264</v>
      </c>
      <c r="AH174" s="21" t="s">
        <v>3427</v>
      </c>
      <c r="AI174" s="21">
        <v>107.92500000000001</v>
      </c>
      <c r="AJ174" s="21">
        <v>100</v>
      </c>
      <c r="AK174" s="21" t="s">
        <v>2054</v>
      </c>
      <c r="AL174" t="s">
        <v>70</v>
      </c>
      <c r="AM174" t="s">
        <v>2029</v>
      </c>
    </row>
    <row r="175" spans="1:39" ht="15" hidden="1" thickTop="1" x14ac:dyDescent="0.35">
      <c r="A175" t="s">
        <v>2782</v>
      </c>
      <c r="B175" t="s">
        <v>2778</v>
      </c>
      <c r="C175" t="s">
        <v>66</v>
      </c>
      <c r="D175" t="s">
        <v>2779</v>
      </c>
      <c r="E175" t="s">
        <v>119</v>
      </c>
      <c r="F175">
        <v>1</v>
      </c>
      <c r="G175" t="s">
        <v>2050</v>
      </c>
      <c r="H175" t="s">
        <v>2051</v>
      </c>
      <c r="I175" t="s">
        <v>53</v>
      </c>
      <c r="J175" t="s">
        <v>67</v>
      </c>
      <c r="K175" t="s">
        <v>68</v>
      </c>
      <c r="L175" t="s">
        <v>2052</v>
      </c>
      <c r="M175" t="s">
        <v>2063</v>
      </c>
      <c r="N175">
        <v>0</v>
      </c>
      <c r="O175">
        <v>0</v>
      </c>
      <c r="P175">
        <v>0</v>
      </c>
      <c r="Q175">
        <v>1020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265</v>
      </c>
      <c r="AH175" s="21" t="s">
        <v>3425</v>
      </c>
      <c r="AI175" s="21">
        <v>76.500000000000014</v>
      </c>
      <c r="AJ175" s="21">
        <v>100</v>
      </c>
      <c r="AK175" s="21" t="s">
        <v>2054</v>
      </c>
      <c r="AL175" t="s">
        <v>70</v>
      </c>
      <c r="AM175" t="s">
        <v>2028</v>
      </c>
    </row>
    <row r="176" spans="1:39" ht="15" hidden="1" thickTop="1" x14ac:dyDescent="0.35">
      <c r="A176" t="s">
        <v>2790</v>
      </c>
      <c r="B176" t="s">
        <v>2783</v>
      </c>
      <c r="C176" t="s">
        <v>78</v>
      </c>
      <c r="D176" t="s">
        <v>2784</v>
      </c>
      <c r="E176" t="s">
        <v>559</v>
      </c>
      <c r="F176">
        <v>1</v>
      </c>
      <c r="G176" t="s">
        <v>2050</v>
      </c>
      <c r="H176" t="s">
        <v>2051</v>
      </c>
      <c r="I176" t="s">
        <v>53</v>
      </c>
      <c r="J176" t="s">
        <v>67</v>
      </c>
      <c r="K176" t="s">
        <v>68</v>
      </c>
      <c r="L176" t="s">
        <v>2052</v>
      </c>
      <c r="M176" t="s">
        <v>2063</v>
      </c>
      <c r="N176">
        <v>0</v>
      </c>
      <c r="O176">
        <v>0</v>
      </c>
      <c r="P176">
        <v>0</v>
      </c>
      <c r="Q176">
        <v>1020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266</v>
      </c>
      <c r="AH176" s="21" t="s">
        <v>3425</v>
      </c>
      <c r="AI176" s="21">
        <v>76.500000000000014</v>
      </c>
      <c r="AJ176" s="21">
        <v>100</v>
      </c>
      <c r="AK176" s="21" t="s">
        <v>2055</v>
      </c>
      <c r="AL176" t="s">
        <v>70</v>
      </c>
      <c r="AM176" t="s">
        <v>2031</v>
      </c>
    </row>
    <row r="177" spans="1:39" ht="15" hidden="1" thickTop="1" x14ac:dyDescent="0.35">
      <c r="A177" t="s">
        <v>2529</v>
      </c>
      <c r="B177" t="s">
        <v>2787</v>
      </c>
      <c r="C177" t="s">
        <v>100</v>
      </c>
      <c r="D177" t="s">
        <v>2788</v>
      </c>
      <c r="E177" t="s">
        <v>559</v>
      </c>
      <c r="F177">
        <v>1</v>
      </c>
      <c r="G177" t="s">
        <v>2050</v>
      </c>
      <c r="H177" t="s">
        <v>2051</v>
      </c>
      <c r="I177" t="s">
        <v>53</v>
      </c>
      <c r="J177" t="s">
        <v>67</v>
      </c>
      <c r="K177" t="s">
        <v>68</v>
      </c>
      <c r="L177" t="s">
        <v>2052</v>
      </c>
      <c r="M177" t="s">
        <v>2083</v>
      </c>
      <c r="N177">
        <v>0</v>
      </c>
      <c r="O177">
        <v>0</v>
      </c>
      <c r="P177">
        <v>0</v>
      </c>
      <c r="Q177">
        <v>960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268</v>
      </c>
      <c r="AH177" s="21" t="s">
        <v>3427</v>
      </c>
      <c r="AI177" s="21">
        <v>72.000000000000014</v>
      </c>
      <c r="AJ177" s="21">
        <v>100</v>
      </c>
      <c r="AK177" s="21" t="s">
        <v>2055</v>
      </c>
      <c r="AL177" t="s">
        <v>70</v>
      </c>
      <c r="AM177" t="s">
        <v>2029</v>
      </c>
    </row>
    <row r="178" spans="1:39" ht="15" hidden="1" thickTop="1" x14ac:dyDescent="0.35">
      <c r="A178" t="s">
        <v>2799</v>
      </c>
      <c r="B178" t="s">
        <v>2794</v>
      </c>
      <c r="C178" t="s">
        <v>820</v>
      </c>
      <c r="D178" t="s">
        <v>2795</v>
      </c>
      <c r="E178" t="s">
        <v>72</v>
      </c>
      <c r="F178">
        <v>1</v>
      </c>
      <c r="G178" t="s">
        <v>2050</v>
      </c>
      <c r="H178" t="s">
        <v>2051</v>
      </c>
      <c r="I178" t="s">
        <v>53</v>
      </c>
      <c r="J178" t="s">
        <v>424</v>
      </c>
      <c r="K178" t="s">
        <v>68</v>
      </c>
      <c r="L178" t="s">
        <v>2052</v>
      </c>
      <c r="M178" t="s">
        <v>2053</v>
      </c>
      <c r="N178">
        <v>0</v>
      </c>
      <c r="O178">
        <v>0</v>
      </c>
      <c r="P178">
        <v>0</v>
      </c>
      <c r="Q178">
        <v>1440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 t="s">
        <v>269</v>
      </c>
      <c r="AH178" s="21" t="s">
        <v>3428</v>
      </c>
      <c r="AI178" s="21">
        <v>107.92500000000001</v>
      </c>
      <c r="AJ178" s="21">
        <v>100</v>
      </c>
      <c r="AK178" s="21" t="s">
        <v>2054</v>
      </c>
      <c r="AL178" t="s">
        <v>75</v>
      </c>
      <c r="AM178" t="s">
        <v>2027</v>
      </c>
    </row>
    <row r="179" spans="1:39" ht="15" hidden="1" thickTop="1" x14ac:dyDescent="0.35">
      <c r="A179" t="s">
        <v>2807</v>
      </c>
      <c r="B179" t="s">
        <v>2800</v>
      </c>
      <c r="C179" t="s">
        <v>102</v>
      </c>
      <c r="D179" t="s">
        <v>2801</v>
      </c>
      <c r="E179" t="s">
        <v>559</v>
      </c>
      <c r="F179">
        <v>1</v>
      </c>
      <c r="G179" t="s">
        <v>2050</v>
      </c>
      <c r="H179" t="s">
        <v>2051</v>
      </c>
      <c r="I179" t="s">
        <v>53</v>
      </c>
      <c r="J179" t="s">
        <v>67</v>
      </c>
      <c r="K179" t="s">
        <v>68</v>
      </c>
      <c r="L179" t="s">
        <v>2052</v>
      </c>
      <c r="M179" t="s">
        <v>2053</v>
      </c>
      <c r="N179">
        <v>0</v>
      </c>
      <c r="O179">
        <v>0</v>
      </c>
      <c r="P179">
        <v>0</v>
      </c>
      <c r="Q179">
        <v>1440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270</v>
      </c>
      <c r="AH179" s="21" t="s">
        <v>3425</v>
      </c>
      <c r="AI179" s="21">
        <v>107.92500000000001</v>
      </c>
      <c r="AJ179" s="21">
        <v>100</v>
      </c>
      <c r="AK179" s="21" t="s">
        <v>2054</v>
      </c>
      <c r="AL179" t="s">
        <v>70</v>
      </c>
      <c r="AM179" t="s">
        <v>2030</v>
      </c>
    </row>
    <row r="180" spans="1:39" ht="15" hidden="1" thickTop="1" x14ac:dyDescent="0.35">
      <c r="A180" t="s">
        <v>2811</v>
      </c>
      <c r="B180" t="s">
        <v>2805</v>
      </c>
      <c r="C180" t="s">
        <v>92</v>
      </c>
      <c r="D180" t="s">
        <v>2806</v>
      </c>
      <c r="E180" t="s">
        <v>559</v>
      </c>
      <c r="F180">
        <v>1</v>
      </c>
      <c r="G180" t="s">
        <v>2050</v>
      </c>
      <c r="H180" t="s">
        <v>2051</v>
      </c>
      <c r="I180" t="s">
        <v>53</v>
      </c>
      <c r="J180" t="s">
        <v>67</v>
      </c>
      <c r="K180" t="s">
        <v>68</v>
      </c>
      <c r="L180" t="s">
        <v>2052</v>
      </c>
      <c r="M180" t="s">
        <v>2053</v>
      </c>
      <c r="N180">
        <v>0</v>
      </c>
      <c r="O180">
        <v>0</v>
      </c>
      <c r="P180">
        <v>0</v>
      </c>
      <c r="Q180">
        <v>1440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271</v>
      </c>
      <c r="AH180" s="21" t="s">
        <v>3425</v>
      </c>
      <c r="AI180" s="21">
        <v>107.92500000000001</v>
      </c>
      <c r="AJ180" s="21">
        <v>100</v>
      </c>
      <c r="AK180" s="21" t="s">
        <v>2054</v>
      </c>
      <c r="AL180" t="s">
        <v>70</v>
      </c>
      <c r="AM180" t="s">
        <v>2029</v>
      </c>
    </row>
    <row r="181" spans="1:39" ht="15" hidden="1" thickTop="1" x14ac:dyDescent="0.35">
      <c r="A181" t="s">
        <v>2821</v>
      </c>
      <c r="B181" t="s">
        <v>2812</v>
      </c>
      <c r="C181" t="s">
        <v>111</v>
      </c>
      <c r="D181" t="s">
        <v>2813</v>
      </c>
      <c r="E181" t="s">
        <v>112</v>
      </c>
      <c r="F181">
        <v>1</v>
      </c>
      <c r="G181" t="s">
        <v>2050</v>
      </c>
      <c r="H181" t="s">
        <v>2051</v>
      </c>
      <c r="I181" t="s">
        <v>53</v>
      </c>
      <c r="J181" t="s">
        <v>113</v>
      </c>
      <c r="K181" t="s">
        <v>68</v>
      </c>
      <c r="L181" t="s">
        <v>2052</v>
      </c>
      <c r="M181" t="s">
        <v>2053</v>
      </c>
      <c r="N181">
        <v>0</v>
      </c>
      <c r="O181">
        <v>0</v>
      </c>
      <c r="P181">
        <v>0</v>
      </c>
      <c r="Q181">
        <v>1440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 t="s">
        <v>273</v>
      </c>
      <c r="AH181" s="21" t="s">
        <v>3424</v>
      </c>
      <c r="AI181" s="21">
        <v>107.92500000000001</v>
      </c>
      <c r="AJ181" s="21">
        <v>100</v>
      </c>
      <c r="AK181" s="21" t="s">
        <v>2054</v>
      </c>
      <c r="AL181" t="s">
        <v>115</v>
      </c>
      <c r="AM181" t="s">
        <v>2029</v>
      </c>
    </row>
    <row r="182" spans="1:39" ht="15" hidden="1" thickTop="1" x14ac:dyDescent="0.35">
      <c r="A182" t="s">
        <v>2535</v>
      </c>
      <c r="B182" t="s">
        <v>2814</v>
      </c>
      <c r="C182" t="s">
        <v>102</v>
      </c>
      <c r="D182" t="s">
        <v>2815</v>
      </c>
      <c r="E182" t="s">
        <v>559</v>
      </c>
      <c r="F182">
        <v>1</v>
      </c>
      <c r="G182" t="s">
        <v>2050</v>
      </c>
      <c r="H182" t="s">
        <v>2051</v>
      </c>
      <c r="I182" t="s">
        <v>53</v>
      </c>
      <c r="J182" t="s">
        <v>67</v>
      </c>
      <c r="K182" t="s">
        <v>68</v>
      </c>
      <c r="L182" t="s">
        <v>2052</v>
      </c>
      <c r="M182" t="s">
        <v>2064</v>
      </c>
      <c r="N182">
        <v>0</v>
      </c>
      <c r="O182">
        <v>0</v>
      </c>
      <c r="P182">
        <v>0</v>
      </c>
      <c r="Q182">
        <v>900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274</v>
      </c>
      <c r="AH182" s="21" t="s">
        <v>3429</v>
      </c>
      <c r="AI182" s="21">
        <v>67.5</v>
      </c>
      <c r="AJ182" s="21">
        <v>100</v>
      </c>
      <c r="AK182" s="21" t="s">
        <v>2054</v>
      </c>
      <c r="AL182" t="s">
        <v>70</v>
      </c>
      <c r="AM182" t="s">
        <v>2027</v>
      </c>
    </row>
    <row r="183" spans="1:39" ht="15" hidden="1" thickTop="1" x14ac:dyDescent="0.35">
      <c r="A183" t="s">
        <v>2824</v>
      </c>
      <c r="B183" t="s">
        <v>2817</v>
      </c>
      <c r="C183" t="s">
        <v>820</v>
      </c>
      <c r="D183" t="s">
        <v>2818</v>
      </c>
      <c r="E183" t="s">
        <v>72</v>
      </c>
      <c r="F183">
        <v>1</v>
      </c>
      <c r="G183" t="s">
        <v>2050</v>
      </c>
      <c r="H183" t="s">
        <v>2051</v>
      </c>
      <c r="I183" t="s">
        <v>53</v>
      </c>
      <c r="J183" t="s">
        <v>424</v>
      </c>
      <c r="K183" t="s">
        <v>68</v>
      </c>
      <c r="L183" t="s">
        <v>2052</v>
      </c>
      <c r="M183" t="s">
        <v>2064</v>
      </c>
      <c r="N183">
        <v>0</v>
      </c>
      <c r="O183">
        <v>0</v>
      </c>
      <c r="P183">
        <v>0</v>
      </c>
      <c r="Q183">
        <v>900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275</v>
      </c>
      <c r="AH183" s="21" t="s">
        <v>3425</v>
      </c>
      <c r="AI183" s="21">
        <v>67.5</v>
      </c>
      <c r="AJ183" s="21">
        <v>100</v>
      </c>
      <c r="AK183" s="21" t="s">
        <v>2054</v>
      </c>
      <c r="AL183" t="s">
        <v>75</v>
      </c>
      <c r="AM183" t="s">
        <v>2029</v>
      </c>
    </row>
    <row r="184" spans="1:39" ht="15" hidden="1" thickTop="1" x14ac:dyDescent="0.35">
      <c r="A184" t="s">
        <v>2831</v>
      </c>
      <c r="B184" t="s">
        <v>2825</v>
      </c>
      <c r="C184" t="s">
        <v>92</v>
      </c>
      <c r="D184" t="s">
        <v>2826</v>
      </c>
      <c r="E184" t="s">
        <v>119</v>
      </c>
      <c r="F184">
        <v>1</v>
      </c>
      <c r="G184" t="s">
        <v>2050</v>
      </c>
      <c r="H184" t="s">
        <v>2051</v>
      </c>
      <c r="I184" t="s">
        <v>53</v>
      </c>
      <c r="J184" t="s">
        <v>67</v>
      </c>
      <c r="K184" t="s">
        <v>68</v>
      </c>
      <c r="L184" t="s">
        <v>2052</v>
      </c>
      <c r="M184" t="s">
        <v>2053</v>
      </c>
      <c r="N184">
        <v>0</v>
      </c>
      <c r="O184">
        <v>0</v>
      </c>
      <c r="P184">
        <v>0</v>
      </c>
      <c r="Q184">
        <v>1440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 t="s">
        <v>276</v>
      </c>
      <c r="AH184" s="21" t="s">
        <v>3425</v>
      </c>
      <c r="AI184" s="21">
        <v>107.92500000000001</v>
      </c>
      <c r="AJ184" s="21">
        <v>100</v>
      </c>
      <c r="AK184" s="21" t="s">
        <v>2054</v>
      </c>
      <c r="AL184" t="s">
        <v>70</v>
      </c>
      <c r="AM184" t="s">
        <v>2028</v>
      </c>
    </row>
    <row r="185" spans="1:39" ht="15" hidden="1" thickTop="1" x14ac:dyDescent="0.35">
      <c r="A185" t="s">
        <v>2835</v>
      </c>
      <c r="B185" t="s">
        <v>2828</v>
      </c>
      <c r="C185" t="s">
        <v>78</v>
      </c>
      <c r="D185" t="s">
        <v>2829</v>
      </c>
      <c r="E185" t="s">
        <v>559</v>
      </c>
      <c r="F185">
        <v>2</v>
      </c>
      <c r="G185" t="s">
        <v>2050</v>
      </c>
      <c r="H185" t="s">
        <v>2051</v>
      </c>
      <c r="I185" t="s">
        <v>53</v>
      </c>
      <c r="J185" t="s">
        <v>67</v>
      </c>
      <c r="K185" t="s">
        <v>68</v>
      </c>
      <c r="L185" t="s">
        <v>2052</v>
      </c>
      <c r="M185" t="s">
        <v>2053</v>
      </c>
      <c r="N185">
        <v>0</v>
      </c>
      <c r="O185">
        <v>0</v>
      </c>
      <c r="P185">
        <v>0</v>
      </c>
      <c r="Q185">
        <v>1440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t="s">
        <v>277</v>
      </c>
      <c r="AH185" s="21" t="s">
        <v>3424</v>
      </c>
      <c r="AI185" s="21">
        <v>107.92500000000001</v>
      </c>
      <c r="AJ185" s="21">
        <v>100</v>
      </c>
      <c r="AK185" s="21" t="s">
        <v>2054</v>
      </c>
      <c r="AL185" t="s">
        <v>70</v>
      </c>
      <c r="AM185" t="s">
        <v>2027</v>
      </c>
    </row>
    <row r="186" spans="1:39" ht="15" hidden="1" thickTop="1" x14ac:dyDescent="0.35">
      <c r="A186" t="s">
        <v>2845</v>
      </c>
      <c r="B186" t="s">
        <v>2836</v>
      </c>
      <c r="C186" t="s">
        <v>117</v>
      </c>
      <c r="D186" t="s">
        <v>2837</v>
      </c>
      <c r="E186" t="s">
        <v>559</v>
      </c>
      <c r="F186">
        <v>1</v>
      </c>
      <c r="G186" t="s">
        <v>2050</v>
      </c>
      <c r="H186" t="s">
        <v>2051</v>
      </c>
      <c r="I186" t="s">
        <v>53</v>
      </c>
      <c r="J186" t="s">
        <v>67</v>
      </c>
      <c r="K186" t="s">
        <v>68</v>
      </c>
      <c r="L186" t="s">
        <v>2052</v>
      </c>
      <c r="M186" t="s">
        <v>2053</v>
      </c>
      <c r="N186">
        <v>0</v>
      </c>
      <c r="O186">
        <v>0</v>
      </c>
      <c r="P186">
        <v>0</v>
      </c>
      <c r="Q186">
        <v>1440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278</v>
      </c>
      <c r="AH186" s="21" t="s">
        <v>3425</v>
      </c>
      <c r="AI186" s="21">
        <v>107.92500000000001</v>
      </c>
      <c r="AJ186" s="21">
        <v>100</v>
      </c>
      <c r="AK186" s="21" t="s">
        <v>2054</v>
      </c>
      <c r="AL186" t="s">
        <v>70</v>
      </c>
      <c r="AM186" t="s">
        <v>2027</v>
      </c>
    </row>
    <row r="187" spans="1:39" ht="15" hidden="1" thickTop="1" x14ac:dyDescent="0.35">
      <c r="A187" t="s">
        <v>2846</v>
      </c>
      <c r="B187" t="s">
        <v>2838</v>
      </c>
      <c r="C187" t="s">
        <v>92</v>
      </c>
      <c r="D187" t="s">
        <v>2839</v>
      </c>
      <c r="E187" t="s">
        <v>119</v>
      </c>
      <c r="F187">
        <v>1</v>
      </c>
      <c r="G187" t="s">
        <v>2050</v>
      </c>
      <c r="H187" t="s">
        <v>2051</v>
      </c>
      <c r="I187" t="s">
        <v>53</v>
      </c>
      <c r="J187" t="s">
        <v>67</v>
      </c>
      <c r="K187" t="s">
        <v>68</v>
      </c>
      <c r="L187" t="s">
        <v>2052</v>
      </c>
      <c r="M187" t="s">
        <v>2053</v>
      </c>
      <c r="N187">
        <v>0</v>
      </c>
      <c r="O187">
        <v>0</v>
      </c>
      <c r="P187">
        <v>0</v>
      </c>
      <c r="Q187">
        <v>1440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279</v>
      </c>
      <c r="AH187" s="21" t="s">
        <v>3425</v>
      </c>
      <c r="AI187" s="21">
        <v>107.92500000000001</v>
      </c>
      <c r="AJ187" s="21">
        <v>100</v>
      </c>
      <c r="AK187" s="21" t="s">
        <v>2054</v>
      </c>
      <c r="AL187" t="s">
        <v>70</v>
      </c>
      <c r="AM187" t="s">
        <v>2029</v>
      </c>
    </row>
    <row r="188" spans="1:39" ht="15" hidden="1" thickTop="1" x14ac:dyDescent="0.35">
      <c r="A188" t="s">
        <v>2848</v>
      </c>
      <c r="B188" t="s">
        <v>2840</v>
      </c>
      <c r="C188" t="s">
        <v>92</v>
      </c>
      <c r="D188" t="s">
        <v>2841</v>
      </c>
      <c r="E188" t="s">
        <v>119</v>
      </c>
      <c r="F188">
        <v>1</v>
      </c>
      <c r="G188" t="s">
        <v>2050</v>
      </c>
      <c r="H188" t="s">
        <v>2051</v>
      </c>
      <c r="I188" t="s">
        <v>53</v>
      </c>
      <c r="J188" t="s">
        <v>67</v>
      </c>
      <c r="K188" t="s">
        <v>68</v>
      </c>
      <c r="L188" t="s">
        <v>2052</v>
      </c>
      <c r="M188" t="s">
        <v>2053</v>
      </c>
      <c r="N188">
        <v>0</v>
      </c>
      <c r="O188">
        <v>0</v>
      </c>
      <c r="P188">
        <v>0</v>
      </c>
      <c r="Q188">
        <v>1440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t="s">
        <v>280</v>
      </c>
      <c r="AH188" s="21" t="s">
        <v>3425</v>
      </c>
      <c r="AI188" s="21">
        <v>107.92500000000001</v>
      </c>
      <c r="AJ188" s="21">
        <v>100</v>
      </c>
      <c r="AK188" s="21" t="s">
        <v>2054</v>
      </c>
      <c r="AL188" t="s">
        <v>70</v>
      </c>
      <c r="AM188" t="s">
        <v>2029</v>
      </c>
    </row>
    <row r="189" spans="1:39" ht="15" hidden="1" thickTop="1" x14ac:dyDescent="0.35">
      <c r="A189" t="s">
        <v>0</v>
      </c>
      <c r="B189" t="s">
        <v>2849</v>
      </c>
      <c r="C189" t="s">
        <v>100</v>
      </c>
      <c r="D189" t="s">
        <v>2850</v>
      </c>
      <c r="E189" t="s">
        <v>559</v>
      </c>
      <c r="F189">
        <v>1</v>
      </c>
      <c r="G189" t="s">
        <v>2050</v>
      </c>
      <c r="H189" t="s">
        <v>2051</v>
      </c>
      <c r="I189" t="s">
        <v>53</v>
      </c>
      <c r="J189" t="s">
        <v>67</v>
      </c>
      <c r="K189" t="s">
        <v>68</v>
      </c>
      <c r="L189" t="s">
        <v>2052</v>
      </c>
      <c r="M189" t="s">
        <v>2053</v>
      </c>
      <c r="N189">
        <v>0</v>
      </c>
      <c r="O189">
        <v>0</v>
      </c>
      <c r="P189">
        <v>0</v>
      </c>
      <c r="Q189">
        <v>1440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281</v>
      </c>
      <c r="AH189" s="21" t="s">
        <v>3425</v>
      </c>
      <c r="AI189" s="21">
        <v>107.92500000000001</v>
      </c>
      <c r="AJ189" s="21">
        <v>100</v>
      </c>
      <c r="AK189" s="21" t="s">
        <v>2054</v>
      </c>
      <c r="AL189" t="s">
        <v>70</v>
      </c>
      <c r="AM189" t="s">
        <v>2029</v>
      </c>
    </row>
    <row r="190" spans="1:39" ht="15" hidden="1" thickTop="1" x14ac:dyDescent="0.35">
      <c r="A190" t="s">
        <v>2856</v>
      </c>
      <c r="B190" t="s">
        <v>2851</v>
      </c>
      <c r="C190" t="s">
        <v>71</v>
      </c>
      <c r="D190" t="s">
        <v>2852</v>
      </c>
      <c r="E190" t="s">
        <v>72</v>
      </c>
      <c r="F190">
        <v>1</v>
      </c>
      <c r="G190" t="s">
        <v>2050</v>
      </c>
      <c r="H190" t="s">
        <v>2051</v>
      </c>
      <c r="I190" t="s">
        <v>53</v>
      </c>
      <c r="J190" t="s">
        <v>73</v>
      </c>
      <c r="K190" t="s">
        <v>68</v>
      </c>
      <c r="L190" t="s">
        <v>2052</v>
      </c>
      <c r="M190" t="s">
        <v>2053</v>
      </c>
      <c r="N190">
        <v>1</v>
      </c>
      <c r="O190">
        <v>52</v>
      </c>
      <c r="P190">
        <v>3.61</v>
      </c>
      <c r="Q190">
        <v>1440</v>
      </c>
      <c r="R190">
        <v>1</v>
      </c>
      <c r="S190">
        <v>52</v>
      </c>
      <c r="T190">
        <v>3.61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284</v>
      </c>
      <c r="AH190" s="21" t="s">
        <v>3428</v>
      </c>
      <c r="AI190" s="21">
        <v>107.92500000000001</v>
      </c>
      <c r="AJ190" s="21">
        <v>96.388888888888886</v>
      </c>
      <c r="AK190" s="21" t="s">
        <v>2055</v>
      </c>
      <c r="AL190" t="s">
        <v>75</v>
      </c>
      <c r="AM190" t="s">
        <v>2029</v>
      </c>
    </row>
    <row r="191" spans="1:39" ht="15" hidden="1" thickTop="1" x14ac:dyDescent="0.35">
      <c r="A191" t="s">
        <v>2864</v>
      </c>
      <c r="B191" t="s">
        <v>2857</v>
      </c>
      <c r="C191" t="s">
        <v>100</v>
      </c>
      <c r="D191" t="s">
        <v>2858</v>
      </c>
      <c r="E191" t="s">
        <v>559</v>
      </c>
      <c r="F191">
        <v>1</v>
      </c>
      <c r="G191" t="s">
        <v>2050</v>
      </c>
      <c r="H191" t="s">
        <v>2051</v>
      </c>
      <c r="I191" t="s">
        <v>53</v>
      </c>
      <c r="J191" t="s">
        <v>67</v>
      </c>
      <c r="K191" t="s">
        <v>68</v>
      </c>
      <c r="L191" t="s">
        <v>2052</v>
      </c>
      <c r="M191" t="s">
        <v>2053</v>
      </c>
      <c r="N191">
        <v>0</v>
      </c>
      <c r="O191">
        <v>0</v>
      </c>
      <c r="P191">
        <v>0</v>
      </c>
      <c r="Q191">
        <v>1440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289</v>
      </c>
      <c r="AH191" s="21" t="s">
        <v>3424</v>
      </c>
      <c r="AI191" s="21">
        <v>107.92500000000001</v>
      </c>
      <c r="AJ191" s="21">
        <v>100</v>
      </c>
      <c r="AK191" s="21" t="s">
        <v>2054</v>
      </c>
      <c r="AL191" t="s">
        <v>70</v>
      </c>
      <c r="AM191" t="s">
        <v>2028</v>
      </c>
    </row>
    <row r="192" spans="1:39" ht="15" hidden="1" thickTop="1" x14ac:dyDescent="0.35">
      <c r="A192" t="s">
        <v>2867</v>
      </c>
      <c r="B192" t="s">
        <v>2862</v>
      </c>
      <c r="C192" t="s">
        <v>81</v>
      </c>
      <c r="D192" t="s">
        <v>2863</v>
      </c>
      <c r="E192" t="s">
        <v>559</v>
      </c>
      <c r="F192">
        <v>1</v>
      </c>
      <c r="G192" t="s">
        <v>2050</v>
      </c>
      <c r="H192" t="s">
        <v>2051</v>
      </c>
      <c r="I192" t="s">
        <v>53</v>
      </c>
      <c r="J192" t="s">
        <v>82</v>
      </c>
      <c r="K192" t="s">
        <v>68</v>
      </c>
      <c r="L192" t="s">
        <v>2052</v>
      </c>
      <c r="M192" t="s">
        <v>2053</v>
      </c>
      <c r="N192">
        <v>0</v>
      </c>
      <c r="O192">
        <v>0</v>
      </c>
      <c r="P192">
        <v>0</v>
      </c>
      <c r="Q192">
        <v>1440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290</v>
      </c>
      <c r="AH192" s="21" t="s">
        <v>3424</v>
      </c>
      <c r="AI192" s="21">
        <v>107.92500000000001</v>
      </c>
      <c r="AJ192" s="21">
        <v>100</v>
      </c>
      <c r="AK192" s="21" t="s">
        <v>2054</v>
      </c>
      <c r="AL192" t="s">
        <v>70</v>
      </c>
      <c r="AM192" t="s">
        <v>2030</v>
      </c>
    </row>
    <row r="193" spans="1:39" ht="15" hidden="1" thickTop="1" x14ac:dyDescent="0.35">
      <c r="A193" t="s">
        <v>2873</v>
      </c>
      <c r="B193" t="s">
        <v>2868</v>
      </c>
      <c r="C193" t="s">
        <v>78</v>
      </c>
      <c r="D193" t="s">
        <v>2869</v>
      </c>
      <c r="E193" t="s">
        <v>559</v>
      </c>
      <c r="F193">
        <v>1</v>
      </c>
      <c r="G193" t="s">
        <v>2050</v>
      </c>
      <c r="H193" t="s">
        <v>2051</v>
      </c>
      <c r="I193" t="s">
        <v>53</v>
      </c>
      <c r="J193" t="s">
        <v>67</v>
      </c>
      <c r="K193" t="s">
        <v>68</v>
      </c>
      <c r="L193" t="s">
        <v>2052</v>
      </c>
      <c r="M193" t="s">
        <v>2064</v>
      </c>
      <c r="N193">
        <v>0</v>
      </c>
      <c r="O193">
        <v>0</v>
      </c>
      <c r="P193">
        <v>0</v>
      </c>
      <c r="Q193">
        <v>900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291</v>
      </c>
      <c r="AH193" s="21" t="s">
        <v>3424</v>
      </c>
      <c r="AI193" s="21">
        <v>67.5</v>
      </c>
      <c r="AJ193" s="21">
        <v>100</v>
      </c>
      <c r="AK193" s="21" t="s">
        <v>2054</v>
      </c>
      <c r="AL193" t="s">
        <v>70</v>
      </c>
      <c r="AM193" t="s">
        <v>2028</v>
      </c>
    </row>
    <row r="194" spans="1:39" ht="15" hidden="1" thickTop="1" x14ac:dyDescent="0.35">
      <c r="A194" t="s">
        <v>2880</v>
      </c>
      <c r="B194" t="s">
        <v>2876</v>
      </c>
      <c r="C194" t="s">
        <v>100</v>
      </c>
      <c r="D194" t="s">
        <v>2877</v>
      </c>
      <c r="E194" t="s">
        <v>559</v>
      </c>
      <c r="F194">
        <v>1</v>
      </c>
      <c r="G194" t="s">
        <v>2050</v>
      </c>
      <c r="H194" t="s">
        <v>2051</v>
      </c>
      <c r="I194" t="s">
        <v>53</v>
      </c>
      <c r="J194" t="s">
        <v>67</v>
      </c>
      <c r="K194" t="s">
        <v>68</v>
      </c>
      <c r="L194" t="s">
        <v>2052</v>
      </c>
      <c r="M194" t="s">
        <v>2053</v>
      </c>
      <c r="N194">
        <v>0</v>
      </c>
      <c r="O194">
        <v>0</v>
      </c>
      <c r="P194">
        <v>0</v>
      </c>
      <c r="Q194">
        <v>1440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 t="s">
        <v>292</v>
      </c>
      <c r="AH194" s="21" t="s">
        <v>3424</v>
      </c>
      <c r="AI194" s="21">
        <v>107.92500000000001</v>
      </c>
      <c r="AJ194" s="21">
        <v>100</v>
      </c>
      <c r="AK194" s="21" t="s">
        <v>2054</v>
      </c>
      <c r="AL194" t="s">
        <v>70</v>
      </c>
      <c r="AM194" t="s">
        <v>2028</v>
      </c>
    </row>
    <row r="195" spans="1:39" ht="15" hidden="1" thickTop="1" x14ac:dyDescent="0.35">
      <c r="A195" t="s">
        <v>2887</v>
      </c>
      <c r="B195" t="s">
        <v>2883</v>
      </c>
      <c r="C195" t="s">
        <v>92</v>
      </c>
      <c r="D195" t="s">
        <v>2884</v>
      </c>
      <c r="E195" t="s">
        <v>559</v>
      </c>
      <c r="F195">
        <v>1</v>
      </c>
      <c r="G195" t="s">
        <v>2050</v>
      </c>
      <c r="H195" t="s">
        <v>2051</v>
      </c>
      <c r="I195" t="s">
        <v>53</v>
      </c>
      <c r="J195" t="s">
        <v>67</v>
      </c>
      <c r="K195" t="s">
        <v>68</v>
      </c>
      <c r="L195" t="s">
        <v>2052</v>
      </c>
      <c r="M195" t="s">
        <v>2053</v>
      </c>
      <c r="N195">
        <v>0</v>
      </c>
      <c r="O195">
        <v>0</v>
      </c>
      <c r="P195">
        <v>0</v>
      </c>
      <c r="Q195">
        <v>1440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 t="s">
        <v>293</v>
      </c>
      <c r="AH195" s="21" t="s">
        <v>3424</v>
      </c>
      <c r="AI195" s="21">
        <v>107.92500000000001</v>
      </c>
      <c r="AJ195" s="21">
        <v>100</v>
      </c>
      <c r="AK195" s="21" t="s">
        <v>2055</v>
      </c>
      <c r="AL195" t="s">
        <v>70</v>
      </c>
      <c r="AM195" t="s">
        <v>2029</v>
      </c>
    </row>
    <row r="196" spans="1:39" ht="15" hidden="1" thickTop="1" x14ac:dyDescent="0.35">
      <c r="A196" t="s">
        <v>2894</v>
      </c>
      <c r="B196" t="s">
        <v>2890</v>
      </c>
      <c r="C196" t="s">
        <v>92</v>
      </c>
      <c r="D196" t="s">
        <v>2891</v>
      </c>
      <c r="E196" t="s">
        <v>119</v>
      </c>
      <c r="F196">
        <v>1</v>
      </c>
      <c r="G196" t="s">
        <v>2050</v>
      </c>
      <c r="H196" t="s">
        <v>2051</v>
      </c>
      <c r="I196" t="s">
        <v>53</v>
      </c>
      <c r="J196" t="s">
        <v>67</v>
      </c>
      <c r="K196" t="s">
        <v>68</v>
      </c>
      <c r="L196" t="s">
        <v>2052</v>
      </c>
      <c r="M196" t="s">
        <v>2064</v>
      </c>
      <c r="N196">
        <v>0</v>
      </c>
      <c r="O196">
        <v>0</v>
      </c>
      <c r="P196">
        <v>0</v>
      </c>
      <c r="Q196">
        <v>900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294</v>
      </c>
      <c r="AH196" s="21" t="s">
        <v>3425</v>
      </c>
      <c r="AI196" s="21">
        <v>67.5</v>
      </c>
      <c r="AJ196" s="21">
        <v>100</v>
      </c>
      <c r="AK196" s="21" t="s">
        <v>2054</v>
      </c>
      <c r="AL196" t="s">
        <v>70</v>
      </c>
      <c r="AM196" t="s">
        <v>2027</v>
      </c>
    </row>
    <row r="197" spans="1:39" ht="15" hidden="1" thickTop="1" x14ac:dyDescent="0.35">
      <c r="A197" t="s">
        <v>2899</v>
      </c>
      <c r="B197" t="s">
        <v>2900</v>
      </c>
      <c r="C197" t="s">
        <v>76</v>
      </c>
      <c r="D197" t="s">
        <v>2901</v>
      </c>
      <c r="E197" t="s">
        <v>559</v>
      </c>
      <c r="F197">
        <v>1</v>
      </c>
      <c r="G197" t="s">
        <v>2050</v>
      </c>
      <c r="H197" t="s">
        <v>2051</v>
      </c>
      <c r="I197" t="s">
        <v>53</v>
      </c>
      <c r="J197" t="s">
        <v>67</v>
      </c>
      <c r="K197" t="s">
        <v>68</v>
      </c>
      <c r="L197" t="s">
        <v>2052</v>
      </c>
      <c r="M197" t="s">
        <v>2053</v>
      </c>
      <c r="N197">
        <v>0</v>
      </c>
      <c r="O197">
        <v>0</v>
      </c>
      <c r="P197">
        <v>0</v>
      </c>
      <c r="Q197">
        <v>1440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 t="s">
        <v>296</v>
      </c>
      <c r="AH197" s="21" t="s">
        <v>3427</v>
      </c>
      <c r="AI197" s="21">
        <v>107.92500000000001</v>
      </c>
      <c r="AJ197" s="21">
        <v>100</v>
      </c>
      <c r="AK197" s="21" t="s">
        <v>2055</v>
      </c>
      <c r="AL197" t="s">
        <v>70</v>
      </c>
      <c r="AM197" t="s">
        <v>2030</v>
      </c>
    </row>
    <row r="198" spans="1:39" ht="15" hidden="1" thickTop="1" x14ac:dyDescent="0.35">
      <c r="A198" t="s">
        <v>2905</v>
      </c>
      <c r="B198" t="s">
        <v>2906</v>
      </c>
      <c r="C198" t="s">
        <v>78</v>
      </c>
      <c r="D198" t="s">
        <v>2907</v>
      </c>
      <c r="E198" t="s">
        <v>559</v>
      </c>
      <c r="F198">
        <v>1</v>
      </c>
      <c r="G198" t="s">
        <v>2050</v>
      </c>
      <c r="H198" t="s">
        <v>2051</v>
      </c>
      <c r="I198" t="s">
        <v>53</v>
      </c>
      <c r="J198" t="s">
        <v>67</v>
      </c>
      <c r="K198" t="s">
        <v>68</v>
      </c>
      <c r="L198" t="s">
        <v>2052</v>
      </c>
      <c r="M198" t="s">
        <v>2053</v>
      </c>
      <c r="N198">
        <v>0</v>
      </c>
      <c r="O198">
        <v>0</v>
      </c>
      <c r="P198">
        <v>0</v>
      </c>
      <c r="Q198">
        <v>1440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t="s">
        <v>297</v>
      </c>
      <c r="AH198" s="21" t="s">
        <v>3427</v>
      </c>
      <c r="AI198" s="21">
        <v>107.92500000000001</v>
      </c>
      <c r="AJ198" s="21">
        <v>100</v>
      </c>
      <c r="AK198" s="21" t="s">
        <v>2054</v>
      </c>
      <c r="AL198" t="s">
        <v>70</v>
      </c>
      <c r="AM198" t="s">
        <v>2028</v>
      </c>
    </row>
    <row r="199" spans="1:39" ht="15" hidden="1" thickTop="1" x14ac:dyDescent="0.35">
      <c r="A199" t="s">
        <v>2912</v>
      </c>
      <c r="B199" t="s">
        <v>2913</v>
      </c>
      <c r="C199" t="s">
        <v>3376</v>
      </c>
      <c r="D199" t="s">
        <v>2914</v>
      </c>
      <c r="E199" t="s">
        <v>559</v>
      </c>
      <c r="F199">
        <v>1</v>
      </c>
      <c r="G199" t="s">
        <v>2050</v>
      </c>
      <c r="H199" t="s">
        <v>2051</v>
      </c>
      <c r="I199" t="s">
        <v>53</v>
      </c>
      <c r="J199" t="s">
        <v>67</v>
      </c>
      <c r="K199" t="s">
        <v>68</v>
      </c>
      <c r="L199" t="s">
        <v>2052</v>
      </c>
      <c r="M199" t="s">
        <v>2053</v>
      </c>
      <c r="N199">
        <v>0</v>
      </c>
      <c r="O199">
        <v>0</v>
      </c>
      <c r="P199">
        <v>0</v>
      </c>
      <c r="Q199">
        <v>1440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298</v>
      </c>
      <c r="AH199" s="21" t="s">
        <v>3427</v>
      </c>
      <c r="AI199" s="21">
        <v>107.92500000000001</v>
      </c>
      <c r="AJ199" s="21">
        <v>100</v>
      </c>
      <c r="AK199" s="21" t="s">
        <v>2054</v>
      </c>
      <c r="AL199" t="s">
        <v>70</v>
      </c>
      <c r="AM199" t="s">
        <v>2027</v>
      </c>
    </row>
    <row r="200" spans="1:39" ht="15" hidden="1" thickTop="1" x14ac:dyDescent="0.35">
      <c r="A200" t="s">
        <v>2919</v>
      </c>
      <c r="B200" t="s">
        <v>2922</v>
      </c>
      <c r="C200" t="s">
        <v>66</v>
      </c>
      <c r="D200" t="s">
        <v>2923</v>
      </c>
      <c r="E200" t="s">
        <v>559</v>
      </c>
      <c r="F200">
        <v>1</v>
      </c>
      <c r="G200" t="s">
        <v>2050</v>
      </c>
      <c r="H200" t="s">
        <v>2051</v>
      </c>
      <c r="I200" t="s">
        <v>53</v>
      </c>
      <c r="J200" t="s">
        <v>67</v>
      </c>
      <c r="K200" t="s">
        <v>68</v>
      </c>
      <c r="L200" t="s">
        <v>2052</v>
      </c>
      <c r="M200" t="s">
        <v>2053</v>
      </c>
      <c r="N200">
        <v>0</v>
      </c>
      <c r="O200">
        <v>0</v>
      </c>
      <c r="P200">
        <v>0</v>
      </c>
      <c r="Q200">
        <v>1440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299</v>
      </c>
      <c r="AH200" s="21" t="s">
        <v>3424</v>
      </c>
      <c r="AI200" s="21">
        <v>107.92500000000001</v>
      </c>
      <c r="AJ200" s="21">
        <v>100</v>
      </c>
      <c r="AK200" s="21" t="s">
        <v>2054</v>
      </c>
      <c r="AL200" t="s">
        <v>70</v>
      </c>
      <c r="AM200" t="s">
        <v>2028</v>
      </c>
    </row>
    <row r="201" spans="1:39" ht="15" hidden="1" thickTop="1" x14ac:dyDescent="0.35">
      <c r="A201" t="s">
        <v>2924</v>
      </c>
      <c r="B201" t="s">
        <v>2925</v>
      </c>
      <c r="C201" t="s">
        <v>102</v>
      </c>
      <c r="D201" t="s">
        <v>2926</v>
      </c>
      <c r="E201" t="s">
        <v>559</v>
      </c>
      <c r="F201">
        <v>1</v>
      </c>
      <c r="G201" t="s">
        <v>2050</v>
      </c>
      <c r="H201" t="s">
        <v>2051</v>
      </c>
      <c r="I201" t="s">
        <v>53</v>
      </c>
      <c r="J201" t="s">
        <v>67</v>
      </c>
      <c r="K201" t="s">
        <v>68</v>
      </c>
      <c r="L201" t="s">
        <v>2052</v>
      </c>
      <c r="M201" t="s">
        <v>2053</v>
      </c>
      <c r="N201">
        <v>0</v>
      </c>
      <c r="O201">
        <v>0</v>
      </c>
      <c r="P201">
        <v>0</v>
      </c>
      <c r="Q201">
        <v>1440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300</v>
      </c>
      <c r="AH201" s="21" t="s">
        <v>3424</v>
      </c>
      <c r="AI201" s="21">
        <v>107.92500000000001</v>
      </c>
      <c r="AJ201" s="21">
        <v>100</v>
      </c>
      <c r="AK201" s="21" t="s">
        <v>2054</v>
      </c>
      <c r="AL201" t="s">
        <v>70</v>
      </c>
      <c r="AM201" t="s">
        <v>2028</v>
      </c>
    </row>
    <row r="202" spans="1:39" ht="15" hidden="1" thickTop="1" x14ac:dyDescent="0.35">
      <c r="A202" t="s">
        <v>2930</v>
      </c>
      <c r="B202" t="s">
        <v>2935</v>
      </c>
      <c r="C202" t="s">
        <v>76</v>
      </c>
      <c r="D202" t="s">
        <v>2936</v>
      </c>
      <c r="E202" t="s">
        <v>559</v>
      </c>
      <c r="F202">
        <v>1</v>
      </c>
      <c r="G202" t="s">
        <v>2050</v>
      </c>
      <c r="H202" t="s">
        <v>2051</v>
      </c>
      <c r="I202" t="s">
        <v>53</v>
      </c>
      <c r="J202" t="s">
        <v>67</v>
      </c>
      <c r="K202" t="s">
        <v>68</v>
      </c>
      <c r="L202" t="s">
        <v>2052</v>
      </c>
      <c r="M202" t="s">
        <v>2053</v>
      </c>
      <c r="N202">
        <v>0</v>
      </c>
      <c r="O202">
        <v>0</v>
      </c>
      <c r="P202">
        <v>0</v>
      </c>
      <c r="Q202">
        <v>1440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301</v>
      </c>
      <c r="AH202" s="21" t="s">
        <v>3424</v>
      </c>
      <c r="AI202" s="21">
        <v>107.92500000000001</v>
      </c>
      <c r="AJ202" s="21">
        <v>100</v>
      </c>
      <c r="AK202" s="21" t="s">
        <v>2055</v>
      </c>
      <c r="AL202" t="s">
        <v>70</v>
      </c>
      <c r="AM202" t="s">
        <v>2028</v>
      </c>
    </row>
    <row r="203" spans="1:39" ht="15" hidden="1" thickTop="1" x14ac:dyDescent="0.35">
      <c r="A203" t="s">
        <v>2931</v>
      </c>
      <c r="B203" t="s">
        <v>2938</v>
      </c>
      <c r="C203" t="s">
        <v>76</v>
      </c>
      <c r="D203" t="s">
        <v>2939</v>
      </c>
      <c r="E203" t="s">
        <v>119</v>
      </c>
      <c r="F203">
        <v>1</v>
      </c>
      <c r="G203" t="s">
        <v>2050</v>
      </c>
      <c r="H203" t="s">
        <v>2051</v>
      </c>
      <c r="I203" t="s">
        <v>53</v>
      </c>
      <c r="J203" t="s">
        <v>67</v>
      </c>
      <c r="K203" t="s">
        <v>68</v>
      </c>
      <c r="L203" t="s">
        <v>2052</v>
      </c>
      <c r="M203" t="s">
        <v>2053</v>
      </c>
      <c r="N203">
        <v>0</v>
      </c>
      <c r="O203">
        <v>0</v>
      </c>
      <c r="P203">
        <v>0</v>
      </c>
      <c r="Q203">
        <v>1440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302</v>
      </c>
      <c r="AH203" s="21" t="s">
        <v>3424</v>
      </c>
      <c r="AI203" s="21">
        <v>107.92500000000001</v>
      </c>
      <c r="AJ203" s="21">
        <v>100</v>
      </c>
      <c r="AK203" s="21" t="s">
        <v>2055</v>
      </c>
      <c r="AL203" t="s">
        <v>70</v>
      </c>
      <c r="AM203" t="s">
        <v>2029</v>
      </c>
    </row>
    <row r="204" spans="1:39" ht="15" hidden="1" thickTop="1" x14ac:dyDescent="0.35">
      <c r="A204" t="s">
        <v>2933</v>
      </c>
      <c r="B204" t="s">
        <v>2942</v>
      </c>
      <c r="C204" t="s">
        <v>128</v>
      </c>
      <c r="D204" t="s">
        <v>2943</v>
      </c>
      <c r="E204" t="s">
        <v>112</v>
      </c>
      <c r="F204">
        <v>1</v>
      </c>
      <c r="G204" t="s">
        <v>2050</v>
      </c>
      <c r="H204" t="s">
        <v>2051</v>
      </c>
      <c r="I204" t="s">
        <v>53</v>
      </c>
      <c r="J204" t="s">
        <v>113</v>
      </c>
      <c r="K204" t="s">
        <v>68</v>
      </c>
      <c r="L204" t="s">
        <v>2052</v>
      </c>
      <c r="M204" t="s">
        <v>2053</v>
      </c>
      <c r="N204">
        <v>0</v>
      </c>
      <c r="O204">
        <v>0</v>
      </c>
      <c r="P204">
        <v>0</v>
      </c>
      <c r="Q204">
        <v>1440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t="s">
        <v>303</v>
      </c>
      <c r="AH204" s="21" t="s">
        <v>3427</v>
      </c>
      <c r="AI204" s="21">
        <v>107.92500000000001</v>
      </c>
      <c r="AJ204" s="21">
        <v>100</v>
      </c>
      <c r="AK204" s="21" t="s">
        <v>2054</v>
      </c>
      <c r="AL204" t="s">
        <v>115</v>
      </c>
      <c r="AM204" t="s">
        <v>2027</v>
      </c>
    </row>
    <row r="205" spans="1:39" ht="15" hidden="1" thickTop="1" x14ac:dyDescent="0.35">
      <c r="A205" t="s">
        <v>2941</v>
      </c>
      <c r="B205" t="s">
        <v>2944</v>
      </c>
      <c r="C205" t="s">
        <v>237</v>
      </c>
      <c r="D205" t="s">
        <v>2945</v>
      </c>
      <c r="E205" t="s">
        <v>72</v>
      </c>
      <c r="F205">
        <v>1</v>
      </c>
      <c r="G205" t="s">
        <v>2050</v>
      </c>
      <c r="H205" t="s">
        <v>2051</v>
      </c>
      <c r="I205" t="s">
        <v>53</v>
      </c>
      <c r="J205" t="s">
        <v>73</v>
      </c>
      <c r="K205" t="s">
        <v>68</v>
      </c>
      <c r="L205" t="s">
        <v>2052</v>
      </c>
      <c r="M205" t="s">
        <v>2053</v>
      </c>
      <c r="N205">
        <v>0</v>
      </c>
      <c r="O205">
        <v>0</v>
      </c>
      <c r="P205">
        <v>0</v>
      </c>
      <c r="Q205">
        <v>1440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304</v>
      </c>
      <c r="AH205" s="21" t="s">
        <v>3427</v>
      </c>
      <c r="AI205" s="21">
        <v>107.92500000000001</v>
      </c>
      <c r="AJ205" s="21">
        <v>100</v>
      </c>
      <c r="AK205" s="21" t="s">
        <v>2054</v>
      </c>
      <c r="AL205" t="s">
        <v>75</v>
      </c>
      <c r="AM205" t="s">
        <v>2027</v>
      </c>
    </row>
    <row r="206" spans="1:39" ht="15" hidden="1" thickTop="1" x14ac:dyDescent="0.35">
      <c r="A206" t="s">
        <v>2950</v>
      </c>
      <c r="B206" t="s">
        <v>2953</v>
      </c>
      <c r="C206" t="s">
        <v>81</v>
      </c>
      <c r="D206" t="s">
        <v>2954</v>
      </c>
      <c r="E206" t="s">
        <v>559</v>
      </c>
      <c r="F206">
        <v>2</v>
      </c>
      <c r="G206" t="s">
        <v>2050</v>
      </c>
      <c r="H206" t="s">
        <v>2051</v>
      </c>
      <c r="I206" t="s">
        <v>53</v>
      </c>
      <c r="J206" t="s">
        <v>82</v>
      </c>
      <c r="K206" t="s">
        <v>68</v>
      </c>
      <c r="L206" t="s">
        <v>2052</v>
      </c>
      <c r="M206" t="s">
        <v>2083</v>
      </c>
      <c r="N206">
        <v>0</v>
      </c>
      <c r="O206">
        <v>0</v>
      </c>
      <c r="P206">
        <v>0</v>
      </c>
      <c r="Q206">
        <v>960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305</v>
      </c>
      <c r="AH206" s="21" t="s">
        <v>3427</v>
      </c>
      <c r="AI206" s="21">
        <v>72.000000000000014</v>
      </c>
      <c r="AJ206" s="21">
        <v>100</v>
      </c>
      <c r="AK206" s="21" t="s">
        <v>2054</v>
      </c>
      <c r="AL206" t="s">
        <v>70</v>
      </c>
      <c r="AM206" t="s">
        <v>2029</v>
      </c>
    </row>
    <row r="207" spans="1:39" ht="15" hidden="1" thickTop="1" x14ac:dyDescent="0.35">
      <c r="A207" t="s">
        <v>2951</v>
      </c>
      <c r="B207" t="s">
        <v>2955</v>
      </c>
      <c r="C207" t="s">
        <v>92</v>
      </c>
      <c r="D207" t="s">
        <v>2956</v>
      </c>
      <c r="E207" t="s">
        <v>559</v>
      </c>
      <c r="F207">
        <v>1</v>
      </c>
      <c r="G207" t="s">
        <v>2050</v>
      </c>
      <c r="H207" t="s">
        <v>2051</v>
      </c>
      <c r="I207" t="s">
        <v>53</v>
      </c>
      <c r="J207" t="s">
        <v>67</v>
      </c>
      <c r="K207" t="s">
        <v>68</v>
      </c>
      <c r="L207" t="s">
        <v>2052</v>
      </c>
      <c r="M207" t="s">
        <v>2053</v>
      </c>
      <c r="N207">
        <v>0</v>
      </c>
      <c r="O207">
        <v>0</v>
      </c>
      <c r="P207">
        <v>0</v>
      </c>
      <c r="Q207">
        <v>1440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306</v>
      </c>
      <c r="AH207" s="21" t="s">
        <v>3424</v>
      </c>
      <c r="AI207" s="21">
        <v>107.92500000000001</v>
      </c>
      <c r="AJ207" s="21">
        <v>100</v>
      </c>
      <c r="AK207" s="21" t="s">
        <v>2054</v>
      </c>
      <c r="AL207" t="s">
        <v>70</v>
      </c>
      <c r="AM207" t="s">
        <v>2027</v>
      </c>
    </row>
    <row r="208" spans="1:39" ht="15" hidden="1" thickTop="1" x14ac:dyDescent="0.35">
      <c r="A208" t="s">
        <v>2952</v>
      </c>
      <c r="B208" t="s">
        <v>2957</v>
      </c>
      <c r="C208" t="s">
        <v>66</v>
      </c>
      <c r="D208" t="s">
        <v>2958</v>
      </c>
      <c r="E208" t="s">
        <v>559</v>
      </c>
      <c r="F208">
        <v>1</v>
      </c>
      <c r="G208" t="s">
        <v>2050</v>
      </c>
      <c r="H208" t="s">
        <v>2051</v>
      </c>
      <c r="I208" t="s">
        <v>53</v>
      </c>
      <c r="J208" t="s">
        <v>67</v>
      </c>
      <c r="K208" t="s">
        <v>68</v>
      </c>
      <c r="L208" t="s">
        <v>2052</v>
      </c>
      <c r="M208" t="s">
        <v>2053</v>
      </c>
      <c r="N208">
        <v>0</v>
      </c>
      <c r="O208">
        <v>0</v>
      </c>
      <c r="P208">
        <v>0</v>
      </c>
      <c r="Q208">
        <v>1440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307</v>
      </c>
      <c r="AH208" s="21" t="s">
        <v>3424</v>
      </c>
      <c r="AI208" s="21">
        <v>107.92500000000001</v>
      </c>
      <c r="AJ208" s="21">
        <v>100</v>
      </c>
      <c r="AK208" s="21" t="s">
        <v>2054</v>
      </c>
      <c r="AL208" t="s">
        <v>70</v>
      </c>
      <c r="AM208" t="s">
        <v>2028</v>
      </c>
    </row>
    <row r="209" spans="1:39" ht="15" hidden="1" thickTop="1" x14ac:dyDescent="0.35">
      <c r="A209" t="s">
        <v>2962</v>
      </c>
      <c r="B209" t="s">
        <v>2968</v>
      </c>
      <c r="C209" t="s">
        <v>92</v>
      </c>
      <c r="D209" t="s">
        <v>2969</v>
      </c>
      <c r="E209" t="s">
        <v>119</v>
      </c>
      <c r="F209">
        <v>1</v>
      </c>
      <c r="G209" t="s">
        <v>2050</v>
      </c>
      <c r="H209" t="s">
        <v>2051</v>
      </c>
      <c r="I209" t="s">
        <v>53</v>
      </c>
      <c r="J209" t="s">
        <v>67</v>
      </c>
      <c r="K209" t="s">
        <v>68</v>
      </c>
      <c r="L209" t="s">
        <v>2052</v>
      </c>
      <c r="M209" t="s">
        <v>2053</v>
      </c>
      <c r="N209">
        <v>0</v>
      </c>
      <c r="O209">
        <v>0</v>
      </c>
      <c r="P209">
        <v>0</v>
      </c>
      <c r="Q209">
        <v>1440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 t="s">
        <v>308</v>
      </c>
      <c r="AH209" s="21" t="s">
        <v>3424</v>
      </c>
      <c r="AI209" s="21">
        <v>107.92500000000001</v>
      </c>
      <c r="AJ209" s="21">
        <v>100</v>
      </c>
      <c r="AK209" s="21" t="s">
        <v>2054</v>
      </c>
      <c r="AL209" t="s">
        <v>70</v>
      </c>
      <c r="AM209" t="s">
        <v>2028</v>
      </c>
    </row>
    <row r="210" spans="1:39" ht="15" hidden="1" thickTop="1" x14ac:dyDescent="0.35">
      <c r="A210" t="s">
        <v>2967</v>
      </c>
      <c r="B210" t="s">
        <v>2970</v>
      </c>
      <c r="C210" t="s">
        <v>86</v>
      </c>
      <c r="D210" t="s">
        <v>2971</v>
      </c>
      <c r="E210" t="s">
        <v>72</v>
      </c>
      <c r="F210">
        <v>1</v>
      </c>
      <c r="G210" t="s">
        <v>2050</v>
      </c>
      <c r="H210" t="s">
        <v>2051</v>
      </c>
      <c r="I210" t="s">
        <v>53</v>
      </c>
      <c r="J210" t="s">
        <v>73</v>
      </c>
      <c r="K210" t="s">
        <v>68</v>
      </c>
      <c r="L210" t="s">
        <v>2052</v>
      </c>
      <c r="M210" t="s">
        <v>2053</v>
      </c>
      <c r="N210">
        <v>0</v>
      </c>
      <c r="O210">
        <v>0</v>
      </c>
      <c r="P210">
        <v>0</v>
      </c>
      <c r="Q210">
        <v>1440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309</v>
      </c>
      <c r="AH210" s="21" t="s">
        <v>3424</v>
      </c>
      <c r="AI210" s="21">
        <v>107.92500000000001</v>
      </c>
      <c r="AJ210" s="21">
        <v>100</v>
      </c>
      <c r="AK210" s="21" t="s">
        <v>2054</v>
      </c>
      <c r="AL210" t="s">
        <v>75</v>
      </c>
      <c r="AM210" t="s">
        <v>2027</v>
      </c>
    </row>
    <row r="211" spans="1:39" ht="15" hidden="1" thickTop="1" x14ac:dyDescent="0.35">
      <c r="A211" t="s">
        <v>2976</v>
      </c>
      <c r="B211" t="s">
        <v>2977</v>
      </c>
      <c r="C211" t="s">
        <v>66</v>
      </c>
      <c r="D211" t="s">
        <v>2978</v>
      </c>
      <c r="E211" t="s">
        <v>559</v>
      </c>
      <c r="F211">
        <v>1</v>
      </c>
      <c r="G211" t="s">
        <v>2050</v>
      </c>
      <c r="H211" t="s">
        <v>2051</v>
      </c>
      <c r="I211" t="s">
        <v>53</v>
      </c>
      <c r="J211" t="s">
        <v>67</v>
      </c>
      <c r="K211" t="s">
        <v>68</v>
      </c>
      <c r="L211" t="s">
        <v>2052</v>
      </c>
      <c r="M211" t="s">
        <v>2064</v>
      </c>
      <c r="N211">
        <v>0</v>
      </c>
      <c r="O211">
        <v>0</v>
      </c>
      <c r="P211">
        <v>0</v>
      </c>
      <c r="Q211">
        <v>900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t="s">
        <v>310</v>
      </c>
      <c r="AH211" s="21" t="s">
        <v>3424</v>
      </c>
      <c r="AI211" s="21">
        <v>67.5</v>
      </c>
      <c r="AJ211" s="21">
        <v>100</v>
      </c>
      <c r="AK211" s="21" t="s">
        <v>2054</v>
      </c>
      <c r="AL211" t="s">
        <v>70</v>
      </c>
      <c r="AM211" t="s">
        <v>2029</v>
      </c>
    </row>
    <row r="212" spans="1:39" ht="15" hidden="1" thickTop="1" x14ac:dyDescent="0.35">
      <c r="A212" t="s">
        <v>2983</v>
      </c>
      <c r="B212" t="s">
        <v>2984</v>
      </c>
      <c r="C212" t="s">
        <v>76</v>
      </c>
      <c r="D212" t="s">
        <v>2985</v>
      </c>
      <c r="E212" t="s">
        <v>119</v>
      </c>
      <c r="F212">
        <v>1</v>
      </c>
      <c r="G212" t="s">
        <v>2050</v>
      </c>
      <c r="H212" t="s">
        <v>2051</v>
      </c>
      <c r="I212" t="s">
        <v>53</v>
      </c>
      <c r="J212" t="s">
        <v>67</v>
      </c>
      <c r="K212" t="s">
        <v>68</v>
      </c>
      <c r="L212" t="s">
        <v>2052</v>
      </c>
      <c r="M212" t="s">
        <v>2053</v>
      </c>
      <c r="N212">
        <v>0</v>
      </c>
      <c r="O212">
        <v>0</v>
      </c>
      <c r="P212">
        <v>0</v>
      </c>
      <c r="Q212">
        <v>1440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t="s">
        <v>311</v>
      </c>
      <c r="AH212" s="21" t="s">
        <v>3429</v>
      </c>
      <c r="AI212" s="21">
        <v>107.92500000000001</v>
      </c>
      <c r="AJ212" s="21">
        <v>100</v>
      </c>
      <c r="AK212" s="21" t="s">
        <v>2054</v>
      </c>
      <c r="AL212" t="s">
        <v>70</v>
      </c>
      <c r="AM212" t="s">
        <v>2029</v>
      </c>
    </row>
    <row r="213" spans="1:39" ht="15" hidden="1" thickTop="1" x14ac:dyDescent="0.35">
      <c r="A213" t="s">
        <v>2990</v>
      </c>
      <c r="B213" t="s">
        <v>2996</v>
      </c>
      <c r="C213" t="s">
        <v>71</v>
      </c>
      <c r="D213" t="s">
        <v>2997</v>
      </c>
      <c r="E213" t="s">
        <v>72</v>
      </c>
      <c r="F213">
        <v>2</v>
      </c>
      <c r="G213" t="s">
        <v>2050</v>
      </c>
      <c r="H213" t="s">
        <v>2051</v>
      </c>
      <c r="I213" t="s">
        <v>53</v>
      </c>
      <c r="J213" t="s">
        <v>73</v>
      </c>
      <c r="K213" t="s">
        <v>68</v>
      </c>
      <c r="L213" t="s">
        <v>2052</v>
      </c>
      <c r="M213" t="s">
        <v>2053</v>
      </c>
      <c r="N213">
        <v>0</v>
      </c>
      <c r="O213">
        <v>0</v>
      </c>
      <c r="P213">
        <v>0</v>
      </c>
      <c r="Q213">
        <v>1440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t="s">
        <v>312</v>
      </c>
      <c r="AH213" s="21" t="s">
        <v>3424</v>
      </c>
      <c r="AI213" s="21">
        <v>107.92500000000001</v>
      </c>
      <c r="AJ213" s="21">
        <v>100</v>
      </c>
      <c r="AK213" s="21" t="s">
        <v>2054</v>
      </c>
      <c r="AL213" t="s">
        <v>75</v>
      </c>
      <c r="AM213" t="s">
        <v>2028</v>
      </c>
    </row>
    <row r="214" spans="1:39" ht="15" hidden="1" thickTop="1" x14ac:dyDescent="0.35">
      <c r="A214" t="s">
        <v>2991</v>
      </c>
      <c r="B214" t="s">
        <v>2999</v>
      </c>
      <c r="C214" t="s">
        <v>86</v>
      </c>
      <c r="D214" t="s">
        <v>3000</v>
      </c>
      <c r="E214" t="s">
        <v>72</v>
      </c>
      <c r="F214">
        <v>2</v>
      </c>
      <c r="G214" t="s">
        <v>2050</v>
      </c>
      <c r="H214" t="s">
        <v>2051</v>
      </c>
      <c r="I214" t="s">
        <v>53</v>
      </c>
      <c r="J214" t="s">
        <v>73</v>
      </c>
      <c r="K214" t="s">
        <v>68</v>
      </c>
      <c r="L214" t="s">
        <v>2052</v>
      </c>
      <c r="M214" t="s">
        <v>2053</v>
      </c>
      <c r="N214">
        <v>0</v>
      </c>
      <c r="O214">
        <v>0</v>
      </c>
      <c r="P214">
        <v>0</v>
      </c>
      <c r="Q214">
        <v>1440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t="s">
        <v>313</v>
      </c>
      <c r="AH214" s="21" t="s">
        <v>3427</v>
      </c>
      <c r="AI214" s="21">
        <v>107.92500000000001</v>
      </c>
      <c r="AJ214" s="21">
        <v>100</v>
      </c>
      <c r="AK214" s="21" t="s">
        <v>2055</v>
      </c>
      <c r="AL214" t="s">
        <v>75</v>
      </c>
      <c r="AM214" t="s">
        <v>2029</v>
      </c>
    </row>
    <row r="215" spans="1:39" ht="15" hidden="1" thickTop="1" x14ac:dyDescent="0.35">
      <c r="A215" t="s">
        <v>2998</v>
      </c>
      <c r="B215" t="s">
        <v>3007</v>
      </c>
      <c r="C215" t="s">
        <v>102</v>
      </c>
      <c r="D215" t="s">
        <v>3008</v>
      </c>
      <c r="E215" t="s">
        <v>559</v>
      </c>
      <c r="F215">
        <v>1</v>
      </c>
      <c r="G215" t="s">
        <v>2050</v>
      </c>
      <c r="H215" t="s">
        <v>2051</v>
      </c>
      <c r="I215" t="s">
        <v>53</v>
      </c>
      <c r="J215" t="s">
        <v>67</v>
      </c>
      <c r="K215" t="s">
        <v>68</v>
      </c>
      <c r="L215" t="s">
        <v>2052</v>
      </c>
      <c r="M215" t="s">
        <v>2064</v>
      </c>
      <c r="N215">
        <v>0</v>
      </c>
      <c r="O215">
        <v>0</v>
      </c>
      <c r="P215">
        <v>0</v>
      </c>
      <c r="Q215">
        <v>900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314</v>
      </c>
      <c r="AH215" s="21" t="s">
        <v>3424</v>
      </c>
      <c r="AI215" s="21">
        <v>67.5</v>
      </c>
      <c r="AJ215" s="21">
        <v>100</v>
      </c>
      <c r="AK215" s="21" t="s">
        <v>2055</v>
      </c>
      <c r="AL215" t="s">
        <v>70</v>
      </c>
      <c r="AM215" t="s">
        <v>2029</v>
      </c>
    </row>
    <row r="216" spans="1:39" ht="15" hidden="1" thickTop="1" x14ac:dyDescent="0.35">
      <c r="A216" t="s">
        <v>3001</v>
      </c>
      <c r="B216" t="s">
        <v>3009</v>
      </c>
      <c r="C216" t="s">
        <v>66</v>
      </c>
      <c r="D216" t="s">
        <v>3010</v>
      </c>
      <c r="E216" t="s">
        <v>559</v>
      </c>
      <c r="F216">
        <v>1</v>
      </c>
      <c r="G216" t="s">
        <v>2050</v>
      </c>
      <c r="H216" t="s">
        <v>2051</v>
      </c>
      <c r="I216" t="s">
        <v>53</v>
      </c>
      <c r="J216" t="s">
        <v>67</v>
      </c>
      <c r="K216" t="s">
        <v>68</v>
      </c>
      <c r="L216" t="s">
        <v>2052</v>
      </c>
      <c r="M216" t="s">
        <v>2053</v>
      </c>
      <c r="N216">
        <v>0</v>
      </c>
      <c r="O216">
        <v>0</v>
      </c>
      <c r="P216">
        <v>0</v>
      </c>
      <c r="Q216">
        <v>1440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315</v>
      </c>
      <c r="AH216" s="21" t="s">
        <v>3428</v>
      </c>
      <c r="AI216" s="21">
        <v>107.92500000000001</v>
      </c>
      <c r="AJ216" s="21">
        <v>100</v>
      </c>
      <c r="AK216" s="21" t="s">
        <v>2055</v>
      </c>
      <c r="AL216" t="s">
        <v>70</v>
      </c>
      <c r="AM216" t="s">
        <v>2028</v>
      </c>
    </row>
    <row r="217" spans="1:39" ht="15" hidden="1" thickTop="1" x14ac:dyDescent="0.35">
      <c r="A217" t="s">
        <v>3006</v>
      </c>
      <c r="B217" t="s">
        <v>3015</v>
      </c>
      <c r="C217" t="s">
        <v>66</v>
      </c>
      <c r="D217" t="s">
        <v>3016</v>
      </c>
      <c r="E217" t="s">
        <v>119</v>
      </c>
      <c r="F217">
        <v>1</v>
      </c>
      <c r="G217" t="s">
        <v>2050</v>
      </c>
      <c r="H217" t="s">
        <v>2051</v>
      </c>
      <c r="I217" t="s">
        <v>53</v>
      </c>
      <c r="J217" t="s">
        <v>67</v>
      </c>
      <c r="K217" t="s">
        <v>68</v>
      </c>
      <c r="L217" t="s">
        <v>2052</v>
      </c>
      <c r="M217" t="s">
        <v>2053</v>
      </c>
      <c r="N217">
        <v>0</v>
      </c>
      <c r="O217">
        <v>0</v>
      </c>
      <c r="P217">
        <v>0</v>
      </c>
      <c r="Q217">
        <v>1440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316</v>
      </c>
      <c r="AH217" s="21" t="s">
        <v>3425</v>
      </c>
      <c r="AI217" s="21">
        <v>107.92500000000001</v>
      </c>
      <c r="AJ217" s="21">
        <v>100</v>
      </c>
      <c r="AK217" s="21" t="s">
        <v>2054</v>
      </c>
      <c r="AL217" t="s">
        <v>70</v>
      </c>
      <c r="AM217" t="s">
        <v>2027</v>
      </c>
    </row>
    <row r="218" spans="1:39" ht="15" hidden="1" thickTop="1" x14ac:dyDescent="0.35">
      <c r="A218" t="s">
        <v>3014</v>
      </c>
      <c r="B218" t="s">
        <v>3020</v>
      </c>
      <c r="C218" t="s">
        <v>66</v>
      </c>
      <c r="D218" t="s">
        <v>3021</v>
      </c>
      <c r="E218" t="s">
        <v>559</v>
      </c>
      <c r="F218">
        <v>1</v>
      </c>
      <c r="G218" t="s">
        <v>2050</v>
      </c>
      <c r="H218" t="s">
        <v>2051</v>
      </c>
      <c r="I218" t="s">
        <v>53</v>
      </c>
      <c r="J218" t="s">
        <v>67</v>
      </c>
      <c r="K218" t="s">
        <v>68</v>
      </c>
      <c r="L218" t="s">
        <v>2052</v>
      </c>
      <c r="M218" t="s">
        <v>2064</v>
      </c>
      <c r="N218">
        <v>0</v>
      </c>
      <c r="O218">
        <v>0</v>
      </c>
      <c r="P218">
        <v>0</v>
      </c>
      <c r="Q218">
        <v>900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317</v>
      </c>
      <c r="AH218" s="21" t="s">
        <v>3425</v>
      </c>
      <c r="AI218" s="21">
        <v>67.5</v>
      </c>
      <c r="AJ218" s="21">
        <v>100</v>
      </c>
      <c r="AK218" s="21" t="s">
        <v>2054</v>
      </c>
      <c r="AL218" t="s">
        <v>70</v>
      </c>
      <c r="AM218" t="s">
        <v>2029</v>
      </c>
    </row>
    <row r="219" spans="1:39" ht="15" hidden="1" thickTop="1" x14ac:dyDescent="0.35">
      <c r="A219" t="s">
        <v>3023</v>
      </c>
      <c r="B219" t="s">
        <v>3030</v>
      </c>
      <c r="C219" t="s">
        <v>3376</v>
      </c>
      <c r="D219" t="s">
        <v>3031</v>
      </c>
      <c r="E219" t="s">
        <v>559</v>
      </c>
      <c r="F219">
        <v>1</v>
      </c>
      <c r="G219" t="s">
        <v>2050</v>
      </c>
      <c r="H219" t="s">
        <v>2051</v>
      </c>
      <c r="I219" t="s">
        <v>53</v>
      </c>
      <c r="J219" t="s">
        <v>67</v>
      </c>
      <c r="K219" t="s">
        <v>68</v>
      </c>
      <c r="L219" t="s">
        <v>2052</v>
      </c>
      <c r="M219" t="s">
        <v>2053</v>
      </c>
      <c r="N219">
        <v>0</v>
      </c>
      <c r="O219">
        <v>0</v>
      </c>
      <c r="P219">
        <v>0</v>
      </c>
      <c r="Q219">
        <v>1440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t="s">
        <v>318</v>
      </c>
      <c r="AH219" s="21" t="s">
        <v>3424</v>
      </c>
      <c r="AI219" s="21">
        <v>107.92500000000001</v>
      </c>
      <c r="AJ219" s="21">
        <v>100</v>
      </c>
      <c r="AK219" s="21" t="s">
        <v>2054</v>
      </c>
      <c r="AL219" t="s">
        <v>70</v>
      </c>
      <c r="AM219" t="s">
        <v>2027</v>
      </c>
    </row>
    <row r="220" spans="1:39" ht="15" hidden="1" thickTop="1" x14ac:dyDescent="0.35">
      <c r="A220" t="s">
        <v>2564</v>
      </c>
      <c r="B220" t="s">
        <v>3032</v>
      </c>
      <c r="C220" t="s">
        <v>111</v>
      </c>
      <c r="D220" t="s">
        <v>3033</v>
      </c>
      <c r="E220" t="s">
        <v>112</v>
      </c>
      <c r="F220">
        <v>1</v>
      </c>
      <c r="G220" t="s">
        <v>2050</v>
      </c>
      <c r="H220" t="s">
        <v>2051</v>
      </c>
      <c r="I220" t="s">
        <v>53</v>
      </c>
      <c r="J220" t="s">
        <v>113</v>
      </c>
      <c r="K220" t="s">
        <v>68</v>
      </c>
      <c r="L220" t="s">
        <v>2052</v>
      </c>
      <c r="M220" t="s">
        <v>2053</v>
      </c>
      <c r="N220">
        <v>0</v>
      </c>
      <c r="O220">
        <v>0</v>
      </c>
      <c r="P220">
        <v>0</v>
      </c>
      <c r="Q220">
        <v>1440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319</v>
      </c>
      <c r="AH220" s="21" t="s">
        <v>3424</v>
      </c>
      <c r="AI220" s="21">
        <v>107.92500000000001</v>
      </c>
      <c r="AJ220" s="21">
        <v>100</v>
      </c>
      <c r="AK220" s="21" t="s">
        <v>2054</v>
      </c>
      <c r="AL220" t="s">
        <v>115</v>
      </c>
      <c r="AM220" t="s">
        <v>2029</v>
      </c>
    </row>
    <row r="221" spans="1:39" ht="15" hidden="1" thickTop="1" x14ac:dyDescent="0.35">
      <c r="A221" t="s">
        <v>3029</v>
      </c>
      <c r="B221" t="s">
        <v>3034</v>
      </c>
      <c r="C221" t="s">
        <v>78</v>
      </c>
      <c r="D221" t="s">
        <v>3035</v>
      </c>
      <c r="E221" t="s">
        <v>559</v>
      </c>
      <c r="F221">
        <v>1</v>
      </c>
      <c r="G221" t="s">
        <v>2050</v>
      </c>
      <c r="H221" t="s">
        <v>2051</v>
      </c>
      <c r="I221" t="s">
        <v>53</v>
      </c>
      <c r="J221" t="s">
        <v>67</v>
      </c>
      <c r="K221" t="s">
        <v>68</v>
      </c>
      <c r="L221" t="s">
        <v>2052</v>
      </c>
      <c r="M221" t="s">
        <v>2064</v>
      </c>
      <c r="N221">
        <v>0</v>
      </c>
      <c r="O221">
        <v>0</v>
      </c>
      <c r="P221">
        <v>0</v>
      </c>
      <c r="Q221">
        <v>900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320</v>
      </c>
      <c r="AH221" s="21" t="s">
        <v>3425</v>
      </c>
      <c r="AI221" s="21">
        <v>67.5</v>
      </c>
      <c r="AJ221" s="21">
        <v>100</v>
      </c>
      <c r="AK221" s="21" t="s">
        <v>2054</v>
      </c>
      <c r="AL221" t="s">
        <v>70</v>
      </c>
      <c r="AM221" t="s">
        <v>2029</v>
      </c>
    </row>
    <row r="222" spans="1:39" ht="15" hidden="1" thickTop="1" x14ac:dyDescent="0.35">
      <c r="A222" t="s">
        <v>2572</v>
      </c>
      <c r="B222" t="s">
        <v>3046</v>
      </c>
      <c r="C222" t="s">
        <v>237</v>
      </c>
      <c r="D222" t="s">
        <v>3047</v>
      </c>
      <c r="E222" t="s">
        <v>72</v>
      </c>
      <c r="F222">
        <v>1</v>
      </c>
      <c r="G222" t="s">
        <v>2050</v>
      </c>
      <c r="H222" t="s">
        <v>2051</v>
      </c>
      <c r="I222" t="s">
        <v>53</v>
      </c>
      <c r="J222" t="s">
        <v>73</v>
      </c>
      <c r="K222" t="s">
        <v>68</v>
      </c>
      <c r="L222" t="s">
        <v>2052</v>
      </c>
      <c r="M222" t="s">
        <v>2053</v>
      </c>
      <c r="N222">
        <v>0</v>
      </c>
      <c r="O222">
        <v>0</v>
      </c>
      <c r="P222">
        <v>0</v>
      </c>
      <c r="Q222">
        <v>1440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321</v>
      </c>
      <c r="AH222" s="21" t="s">
        <v>3428</v>
      </c>
      <c r="AI222" s="21">
        <v>107.92500000000001</v>
      </c>
      <c r="AJ222" s="21">
        <v>100</v>
      </c>
      <c r="AK222" s="21" t="s">
        <v>2054</v>
      </c>
      <c r="AL222" t="s">
        <v>75</v>
      </c>
      <c r="AM222" t="s">
        <v>2029</v>
      </c>
    </row>
    <row r="223" spans="1:39" ht="15" hidden="1" thickTop="1" x14ac:dyDescent="0.35">
      <c r="A223" t="s">
        <v>3043</v>
      </c>
      <c r="B223" t="s">
        <v>3050</v>
      </c>
      <c r="C223" t="s">
        <v>71</v>
      </c>
      <c r="D223" t="s">
        <v>3051</v>
      </c>
      <c r="E223" t="s">
        <v>72</v>
      </c>
      <c r="F223">
        <v>1</v>
      </c>
      <c r="G223" t="s">
        <v>2050</v>
      </c>
      <c r="H223" t="s">
        <v>2051</v>
      </c>
      <c r="I223" t="s">
        <v>53</v>
      </c>
      <c r="J223" t="s">
        <v>73</v>
      </c>
      <c r="K223" t="s">
        <v>68</v>
      </c>
      <c r="L223" t="s">
        <v>2052</v>
      </c>
      <c r="M223" t="s">
        <v>2053</v>
      </c>
      <c r="N223">
        <v>0</v>
      </c>
      <c r="O223">
        <v>0</v>
      </c>
      <c r="P223">
        <v>0</v>
      </c>
      <c r="Q223">
        <v>1440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 t="s">
        <v>322</v>
      </c>
      <c r="AH223" s="21" t="s">
        <v>3427</v>
      </c>
      <c r="AI223" s="21">
        <v>107.92500000000001</v>
      </c>
      <c r="AJ223" s="21">
        <v>100</v>
      </c>
      <c r="AK223" s="21" t="s">
        <v>2054</v>
      </c>
      <c r="AL223" t="s">
        <v>75</v>
      </c>
      <c r="AM223" t="s">
        <v>2029</v>
      </c>
    </row>
    <row r="224" spans="1:39" ht="15" hidden="1" thickTop="1" x14ac:dyDescent="0.35">
      <c r="A224" t="s">
        <v>3045</v>
      </c>
      <c r="B224" t="s">
        <v>3052</v>
      </c>
      <c r="C224" t="s">
        <v>237</v>
      </c>
      <c r="D224" t="s">
        <v>3053</v>
      </c>
      <c r="E224" t="s">
        <v>72</v>
      </c>
      <c r="F224">
        <v>1</v>
      </c>
      <c r="G224" t="s">
        <v>2050</v>
      </c>
      <c r="H224" t="s">
        <v>2051</v>
      </c>
      <c r="I224" t="s">
        <v>53</v>
      </c>
      <c r="J224" t="s">
        <v>73</v>
      </c>
      <c r="K224" t="s">
        <v>68</v>
      </c>
      <c r="L224" t="s">
        <v>2052</v>
      </c>
      <c r="M224" t="s">
        <v>2053</v>
      </c>
      <c r="N224">
        <v>0</v>
      </c>
      <c r="O224">
        <v>0</v>
      </c>
      <c r="P224">
        <v>0</v>
      </c>
      <c r="Q224">
        <v>1440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323</v>
      </c>
      <c r="AH224" s="21" t="s">
        <v>3424</v>
      </c>
      <c r="AI224" s="21">
        <v>107.92500000000001</v>
      </c>
      <c r="AJ224" s="21">
        <v>100</v>
      </c>
      <c r="AK224" s="21" t="s">
        <v>2054</v>
      </c>
      <c r="AL224" t="s">
        <v>75</v>
      </c>
      <c r="AM224" t="s">
        <v>2029</v>
      </c>
    </row>
    <row r="225" spans="1:39" ht="15" hidden="1" thickTop="1" x14ac:dyDescent="0.35">
      <c r="A225" t="s">
        <v>3049</v>
      </c>
      <c r="B225" t="s">
        <v>3054</v>
      </c>
      <c r="C225" t="s">
        <v>71</v>
      </c>
      <c r="D225" t="s">
        <v>3055</v>
      </c>
      <c r="E225" t="s">
        <v>72</v>
      </c>
      <c r="F225">
        <v>2</v>
      </c>
      <c r="G225" t="s">
        <v>2050</v>
      </c>
      <c r="H225" t="s">
        <v>2051</v>
      </c>
      <c r="I225" t="s">
        <v>53</v>
      </c>
      <c r="J225" t="s">
        <v>73</v>
      </c>
      <c r="K225" t="s">
        <v>68</v>
      </c>
      <c r="L225" t="s">
        <v>2052</v>
      </c>
      <c r="M225" t="s">
        <v>2053</v>
      </c>
      <c r="N225">
        <v>0</v>
      </c>
      <c r="O225">
        <v>0</v>
      </c>
      <c r="P225">
        <v>0</v>
      </c>
      <c r="Q225">
        <v>1440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 t="s">
        <v>324</v>
      </c>
      <c r="AH225" s="21" t="s">
        <v>3428</v>
      </c>
      <c r="AI225" s="21">
        <v>107.92500000000001</v>
      </c>
      <c r="AJ225" s="21">
        <v>100</v>
      </c>
      <c r="AK225" s="21" t="s">
        <v>2054</v>
      </c>
      <c r="AL225" t="s">
        <v>75</v>
      </c>
      <c r="AM225" t="s">
        <v>2029</v>
      </c>
    </row>
    <row r="226" spans="1:39" ht="15" hidden="1" thickTop="1" x14ac:dyDescent="0.35">
      <c r="A226" t="s">
        <v>3060</v>
      </c>
      <c r="B226" t="s">
        <v>3061</v>
      </c>
      <c r="C226" t="s">
        <v>76</v>
      </c>
      <c r="D226" t="s">
        <v>3062</v>
      </c>
      <c r="E226" t="s">
        <v>559</v>
      </c>
      <c r="F226">
        <v>1</v>
      </c>
      <c r="G226" t="s">
        <v>2050</v>
      </c>
      <c r="H226" t="s">
        <v>2051</v>
      </c>
      <c r="I226" t="s">
        <v>53</v>
      </c>
      <c r="J226" t="s">
        <v>67</v>
      </c>
      <c r="K226" t="s">
        <v>68</v>
      </c>
      <c r="L226" t="s">
        <v>2052</v>
      </c>
      <c r="M226" t="s">
        <v>2053</v>
      </c>
      <c r="N226">
        <v>0</v>
      </c>
      <c r="O226">
        <v>0</v>
      </c>
      <c r="P226">
        <v>0</v>
      </c>
      <c r="Q226">
        <v>1440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 t="s">
        <v>325</v>
      </c>
      <c r="AH226" s="21" t="s">
        <v>3424</v>
      </c>
      <c r="AI226" s="21">
        <v>107.92500000000001</v>
      </c>
      <c r="AJ226" s="21">
        <v>100</v>
      </c>
      <c r="AK226" s="21" t="s">
        <v>2055</v>
      </c>
      <c r="AL226" t="s">
        <v>70</v>
      </c>
      <c r="AM226" t="s">
        <v>2028</v>
      </c>
    </row>
    <row r="227" spans="1:39" ht="15" hidden="1" thickTop="1" x14ac:dyDescent="0.35">
      <c r="A227" t="s">
        <v>3067</v>
      </c>
      <c r="B227" t="s">
        <v>3068</v>
      </c>
      <c r="C227" t="s">
        <v>78</v>
      </c>
      <c r="D227" t="s">
        <v>3069</v>
      </c>
      <c r="E227" t="s">
        <v>559</v>
      </c>
      <c r="F227">
        <v>1</v>
      </c>
      <c r="G227" t="s">
        <v>2050</v>
      </c>
      <c r="H227" t="s">
        <v>2051</v>
      </c>
      <c r="I227" t="s">
        <v>53</v>
      </c>
      <c r="J227" t="s">
        <v>67</v>
      </c>
      <c r="K227" t="s">
        <v>68</v>
      </c>
      <c r="L227" t="s">
        <v>2052</v>
      </c>
      <c r="M227" t="s">
        <v>2053</v>
      </c>
      <c r="N227">
        <v>0</v>
      </c>
      <c r="O227">
        <v>0</v>
      </c>
      <c r="P227">
        <v>0</v>
      </c>
      <c r="Q227">
        <v>1440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326</v>
      </c>
      <c r="AH227" s="21" t="s">
        <v>3425</v>
      </c>
      <c r="AI227" s="21">
        <v>107.92500000000001</v>
      </c>
      <c r="AJ227" s="21">
        <v>100</v>
      </c>
      <c r="AK227" s="21" t="s">
        <v>2054</v>
      </c>
      <c r="AL227" t="s">
        <v>70</v>
      </c>
      <c r="AM227" t="s">
        <v>2029</v>
      </c>
    </row>
    <row r="228" spans="1:39" ht="15" hidden="1" thickTop="1" x14ac:dyDescent="0.35">
      <c r="A228" t="s">
        <v>3074</v>
      </c>
      <c r="B228" t="s">
        <v>3086</v>
      </c>
      <c r="C228" t="s">
        <v>92</v>
      </c>
      <c r="D228" t="s">
        <v>3087</v>
      </c>
      <c r="E228" t="s">
        <v>119</v>
      </c>
      <c r="F228">
        <v>1</v>
      </c>
      <c r="G228" t="s">
        <v>2050</v>
      </c>
      <c r="H228" t="s">
        <v>2051</v>
      </c>
      <c r="I228" t="s">
        <v>53</v>
      </c>
      <c r="J228" t="s">
        <v>67</v>
      </c>
      <c r="K228" t="s">
        <v>68</v>
      </c>
      <c r="L228" t="s">
        <v>2052</v>
      </c>
      <c r="M228" t="s">
        <v>2064</v>
      </c>
      <c r="N228">
        <v>0</v>
      </c>
      <c r="O228">
        <v>0</v>
      </c>
      <c r="P228">
        <v>0</v>
      </c>
      <c r="Q228">
        <v>900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t="s">
        <v>327</v>
      </c>
      <c r="AH228" s="21" t="s">
        <v>3425</v>
      </c>
      <c r="AI228" s="21">
        <v>67.5</v>
      </c>
      <c r="AJ228" s="21">
        <v>100</v>
      </c>
      <c r="AK228" s="21" t="s">
        <v>2054</v>
      </c>
      <c r="AL228" t="s">
        <v>70</v>
      </c>
      <c r="AM228" t="s">
        <v>2029</v>
      </c>
    </row>
    <row r="229" spans="1:39" ht="15" hidden="1" thickTop="1" x14ac:dyDescent="0.35">
      <c r="A229" t="s">
        <v>3079</v>
      </c>
      <c r="B229" t="s">
        <v>3094</v>
      </c>
      <c r="C229" t="s">
        <v>76</v>
      </c>
      <c r="D229" t="s">
        <v>3095</v>
      </c>
      <c r="E229" t="s">
        <v>119</v>
      </c>
      <c r="F229">
        <v>1</v>
      </c>
      <c r="G229" t="s">
        <v>2050</v>
      </c>
      <c r="H229" t="s">
        <v>2051</v>
      </c>
      <c r="I229" t="s">
        <v>53</v>
      </c>
      <c r="J229" t="s">
        <v>67</v>
      </c>
      <c r="K229" t="s">
        <v>68</v>
      </c>
      <c r="L229" t="s">
        <v>2052</v>
      </c>
      <c r="M229" t="s">
        <v>2053</v>
      </c>
      <c r="N229">
        <v>0</v>
      </c>
      <c r="O229">
        <v>0</v>
      </c>
      <c r="P229">
        <v>0</v>
      </c>
      <c r="Q229">
        <v>1440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328</v>
      </c>
      <c r="AH229" s="21" t="s">
        <v>3425</v>
      </c>
      <c r="AI229" s="21">
        <v>107.92500000000001</v>
      </c>
      <c r="AJ229" s="21">
        <v>100</v>
      </c>
      <c r="AK229" s="21" t="s">
        <v>2054</v>
      </c>
      <c r="AL229" t="s">
        <v>70</v>
      </c>
      <c r="AM229" t="s">
        <v>2028</v>
      </c>
    </row>
    <row r="230" spans="1:39" ht="15" hidden="1" thickTop="1" x14ac:dyDescent="0.35">
      <c r="A230" t="s">
        <v>3083</v>
      </c>
      <c r="B230" t="s">
        <v>3100</v>
      </c>
      <c r="C230" t="s">
        <v>100</v>
      </c>
      <c r="D230" t="s">
        <v>3101</v>
      </c>
      <c r="E230" t="s">
        <v>559</v>
      </c>
      <c r="F230">
        <v>1</v>
      </c>
      <c r="G230" t="s">
        <v>2050</v>
      </c>
      <c r="H230" t="s">
        <v>2051</v>
      </c>
      <c r="I230" t="s">
        <v>53</v>
      </c>
      <c r="J230" t="s">
        <v>67</v>
      </c>
      <c r="K230" t="s">
        <v>68</v>
      </c>
      <c r="L230" t="s">
        <v>2052</v>
      </c>
      <c r="M230" t="s">
        <v>2053</v>
      </c>
      <c r="N230">
        <v>0</v>
      </c>
      <c r="O230">
        <v>0</v>
      </c>
      <c r="P230">
        <v>0</v>
      </c>
      <c r="Q230">
        <v>1440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t="s">
        <v>329</v>
      </c>
      <c r="AH230" s="21" t="s">
        <v>3427</v>
      </c>
      <c r="AI230" s="21">
        <v>107.92500000000001</v>
      </c>
      <c r="AJ230" s="21">
        <v>100</v>
      </c>
      <c r="AK230" s="21" t="s">
        <v>2054</v>
      </c>
      <c r="AL230" t="s">
        <v>70</v>
      </c>
      <c r="AM230" t="s">
        <v>2030</v>
      </c>
    </row>
    <row r="231" spans="1:39" ht="15" hidden="1" thickTop="1" x14ac:dyDescent="0.35">
      <c r="A231" t="s">
        <v>3089</v>
      </c>
      <c r="B231" t="s">
        <v>3106</v>
      </c>
      <c r="C231" t="s">
        <v>66</v>
      </c>
      <c r="D231" t="s">
        <v>3107</v>
      </c>
      <c r="E231" t="s">
        <v>559</v>
      </c>
      <c r="F231">
        <v>1</v>
      </c>
      <c r="G231" t="s">
        <v>2050</v>
      </c>
      <c r="H231" t="s">
        <v>2051</v>
      </c>
      <c r="I231" t="s">
        <v>53</v>
      </c>
      <c r="J231" t="s">
        <v>67</v>
      </c>
      <c r="K231" t="s">
        <v>68</v>
      </c>
      <c r="L231" t="s">
        <v>2052</v>
      </c>
      <c r="M231" t="s">
        <v>2053</v>
      </c>
      <c r="N231">
        <v>0</v>
      </c>
      <c r="O231">
        <v>0</v>
      </c>
      <c r="P231">
        <v>0</v>
      </c>
      <c r="Q231">
        <v>1440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330</v>
      </c>
      <c r="AH231" s="21" t="s">
        <v>3424</v>
      </c>
      <c r="AI231" s="21">
        <v>107.92500000000001</v>
      </c>
      <c r="AJ231" s="21">
        <v>100</v>
      </c>
      <c r="AK231" s="21" t="s">
        <v>2054</v>
      </c>
      <c r="AL231" t="s">
        <v>70</v>
      </c>
      <c r="AM231" t="s">
        <v>2028</v>
      </c>
    </row>
    <row r="232" spans="1:39" ht="15" hidden="1" thickTop="1" x14ac:dyDescent="0.35">
      <c r="A232" t="s">
        <v>3090</v>
      </c>
      <c r="B232" t="s">
        <v>3109</v>
      </c>
      <c r="C232" t="s">
        <v>100</v>
      </c>
      <c r="D232" t="s">
        <v>3110</v>
      </c>
      <c r="E232" t="s">
        <v>559</v>
      </c>
      <c r="F232">
        <v>1</v>
      </c>
      <c r="G232" t="s">
        <v>2050</v>
      </c>
      <c r="H232" t="s">
        <v>2051</v>
      </c>
      <c r="I232" t="s">
        <v>53</v>
      </c>
      <c r="J232" t="s">
        <v>67</v>
      </c>
      <c r="K232" t="s">
        <v>68</v>
      </c>
      <c r="L232" t="s">
        <v>2052</v>
      </c>
      <c r="M232" t="s">
        <v>2053</v>
      </c>
      <c r="N232">
        <v>0</v>
      </c>
      <c r="O232">
        <v>0</v>
      </c>
      <c r="P232">
        <v>0</v>
      </c>
      <c r="Q232">
        <v>1440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331</v>
      </c>
      <c r="AH232" s="21" t="s">
        <v>3424</v>
      </c>
      <c r="AI232" s="21">
        <v>107.92500000000001</v>
      </c>
      <c r="AJ232" s="21">
        <v>100</v>
      </c>
      <c r="AK232" s="21" t="s">
        <v>2054</v>
      </c>
      <c r="AL232" t="s">
        <v>70</v>
      </c>
      <c r="AM232" t="s">
        <v>2029</v>
      </c>
    </row>
    <row r="233" spans="1:39" ht="15" hidden="1" thickTop="1" x14ac:dyDescent="0.35">
      <c r="A233" t="s">
        <v>3091</v>
      </c>
      <c r="B233" t="s">
        <v>3112</v>
      </c>
      <c r="C233" t="s">
        <v>66</v>
      </c>
      <c r="D233" t="s">
        <v>3113</v>
      </c>
      <c r="E233" t="s">
        <v>559</v>
      </c>
      <c r="F233">
        <v>1</v>
      </c>
      <c r="G233" t="s">
        <v>2050</v>
      </c>
      <c r="H233" t="s">
        <v>2051</v>
      </c>
      <c r="I233" t="s">
        <v>53</v>
      </c>
      <c r="J233" t="s">
        <v>67</v>
      </c>
      <c r="K233" t="s">
        <v>68</v>
      </c>
      <c r="L233" t="s">
        <v>2052</v>
      </c>
      <c r="M233" t="s">
        <v>2053</v>
      </c>
      <c r="N233">
        <v>0</v>
      </c>
      <c r="O233">
        <v>0</v>
      </c>
      <c r="P233">
        <v>0</v>
      </c>
      <c r="Q233">
        <v>1440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t="s">
        <v>332</v>
      </c>
      <c r="AH233" s="21" t="s">
        <v>3424</v>
      </c>
      <c r="AI233" s="21">
        <v>107.92500000000001</v>
      </c>
      <c r="AJ233" s="21">
        <v>100</v>
      </c>
      <c r="AK233" s="21" t="s">
        <v>2054</v>
      </c>
      <c r="AL233" t="s">
        <v>70</v>
      </c>
      <c r="AM233" t="s">
        <v>2029</v>
      </c>
    </row>
    <row r="234" spans="1:39" ht="15" hidden="1" thickTop="1" x14ac:dyDescent="0.35">
      <c r="A234" t="s">
        <v>3092</v>
      </c>
      <c r="B234" t="s">
        <v>3114</v>
      </c>
      <c r="C234" t="s">
        <v>76</v>
      </c>
      <c r="D234" t="s">
        <v>3115</v>
      </c>
      <c r="E234" t="s">
        <v>559</v>
      </c>
      <c r="F234">
        <v>1</v>
      </c>
      <c r="G234" t="s">
        <v>2050</v>
      </c>
      <c r="H234" t="s">
        <v>2051</v>
      </c>
      <c r="I234" t="s">
        <v>53</v>
      </c>
      <c r="J234" t="s">
        <v>67</v>
      </c>
      <c r="K234" t="s">
        <v>68</v>
      </c>
      <c r="L234" t="s">
        <v>2052</v>
      </c>
      <c r="M234" t="s">
        <v>2053</v>
      </c>
      <c r="N234">
        <v>0</v>
      </c>
      <c r="O234">
        <v>0</v>
      </c>
      <c r="P234">
        <v>0</v>
      </c>
      <c r="Q234">
        <v>1440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333</v>
      </c>
      <c r="AH234" s="21" t="s">
        <v>3429</v>
      </c>
      <c r="AI234" s="21">
        <v>107.92500000000001</v>
      </c>
      <c r="AJ234" s="21">
        <v>100</v>
      </c>
      <c r="AK234" s="21" t="s">
        <v>2054</v>
      </c>
      <c r="AL234" t="s">
        <v>70</v>
      </c>
      <c r="AM234" t="s">
        <v>2027</v>
      </c>
    </row>
    <row r="235" spans="1:39" ht="15" hidden="1" thickTop="1" x14ac:dyDescent="0.35">
      <c r="A235" t="s">
        <v>3096</v>
      </c>
      <c r="B235" t="s">
        <v>3116</v>
      </c>
      <c r="C235" t="s">
        <v>66</v>
      </c>
      <c r="D235" t="s">
        <v>3117</v>
      </c>
      <c r="E235" t="s">
        <v>559</v>
      </c>
      <c r="F235">
        <v>1</v>
      </c>
      <c r="G235" t="s">
        <v>2050</v>
      </c>
      <c r="H235" t="s">
        <v>2051</v>
      </c>
      <c r="I235" t="s">
        <v>53</v>
      </c>
      <c r="J235" t="s">
        <v>67</v>
      </c>
      <c r="K235" t="s">
        <v>68</v>
      </c>
      <c r="L235" t="s">
        <v>2052</v>
      </c>
      <c r="M235" t="s">
        <v>2053</v>
      </c>
      <c r="N235">
        <v>0</v>
      </c>
      <c r="O235">
        <v>0</v>
      </c>
      <c r="P235">
        <v>0</v>
      </c>
      <c r="Q235">
        <v>1440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334</v>
      </c>
      <c r="AH235" s="21" t="s">
        <v>3424</v>
      </c>
      <c r="AI235" s="21">
        <v>107.92500000000001</v>
      </c>
      <c r="AJ235" s="21">
        <v>100</v>
      </c>
      <c r="AK235" s="21" t="s">
        <v>2054</v>
      </c>
      <c r="AL235" t="s">
        <v>70</v>
      </c>
      <c r="AM235" t="s">
        <v>2029</v>
      </c>
    </row>
    <row r="236" spans="1:39" ht="15" hidden="1" thickTop="1" x14ac:dyDescent="0.35">
      <c r="A236" t="s">
        <v>3102</v>
      </c>
      <c r="B236" t="s">
        <v>3119</v>
      </c>
      <c r="C236" t="s">
        <v>102</v>
      </c>
      <c r="D236" t="s">
        <v>3120</v>
      </c>
      <c r="E236" t="s">
        <v>559</v>
      </c>
      <c r="F236">
        <v>1</v>
      </c>
      <c r="G236" t="s">
        <v>2050</v>
      </c>
      <c r="H236" t="s">
        <v>2051</v>
      </c>
      <c r="I236" t="s">
        <v>53</v>
      </c>
      <c r="J236" t="s">
        <v>67</v>
      </c>
      <c r="K236" t="s">
        <v>68</v>
      </c>
      <c r="L236" t="s">
        <v>2052</v>
      </c>
      <c r="M236" t="s">
        <v>2053</v>
      </c>
      <c r="N236">
        <v>0</v>
      </c>
      <c r="O236">
        <v>0</v>
      </c>
      <c r="P236">
        <v>0</v>
      </c>
      <c r="Q236">
        <v>1440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335</v>
      </c>
      <c r="AH236" s="21" t="s">
        <v>3424</v>
      </c>
      <c r="AI236" s="21">
        <v>107.92500000000001</v>
      </c>
      <c r="AJ236" s="21">
        <v>100</v>
      </c>
      <c r="AK236" s="21" t="s">
        <v>2054</v>
      </c>
      <c r="AL236" t="s">
        <v>70</v>
      </c>
      <c r="AM236" t="s">
        <v>2028</v>
      </c>
    </row>
    <row r="237" spans="1:39" ht="15" hidden="1" thickTop="1" x14ac:dyDescent="0.35">
      <c r="A237" t="s">
        <v>3103</v>
      </c>
      <c r="B237" t="s">
        <v>3122</v>
      </c>
      <c r="C237" t="s">
        <v>100</v>
      </c>
      <c r="D237" t="s">
        <v>3123</v>
      </c>
      <c r="E237" t="s">
        <v>559</v>
      </c>
      <c r="F237">
        <v>1</v>
      </c>
      <c r="G237" t="s">
        <v>2050</v>
      </c>
      <c r="H237" t="s">
        <v>2051</v>
      </c>
      <c r="I237" t="s">
        <v>53</v>
      </c>
      <c r="J237" t="s">
        <v>67</v>
      </c>
      <c r="K237" t="s">
        <v>68</v>
      </c>
      <c r="L237" t="s">
        <v>2052</v>
      </c>
      <c r="M237" t="s">
        <v>2064</v>
      </c>
      <c r="N237">
        <v>0</v>
      </c>
      <c r="O237">
        <v>0</v>
      </c>
      <c r="P237">
        <v>0</v>
      </c>
      <c r="Q237">
        <v>900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336</v>
      </c>
      <c r="AH237" s="21" t="s">
        <v>3424</v>
      </c>
      <c r="AI237" s="21">
        <v>67.5</v>
      </c>
      <c r="AJ237" s="21">
        <v>100</v>
      </c>
      <c r="AK237" s="21" t="s">
        <v>2054</v>
      </c>
      <c r="AL237" t="s">
        <v>70</v>
      </c>
      <c r="AM237" t="s">
        <v>2027</v>
      </c>
    </row>
    <row r="238" spans="1:39" ht="15" hidden="1" thickTop="1" x14ac:dyDescent="0.35">
      <c r="A238" t="s">
        <v>3111</v>
      </c>
      <c r="B238" t="s">
        <v>3128</v>
      </c>
      <c r="C238" t="s">
        <v>92</v>
      </c>
      <c r="D238" t="s">
        <v>3129</v>
      </c>
      <c r="E238" t="s">
        <v>119</v>
      </c>
      <c r="F238">
        <v>1</v>
      </c>
      <c r="G238" t="s">
        <v>2050</v>
      </c>
      <c r="H238" t="s">
        <v>2051</v>
      </c>
      <c r="I238" t="s">
        <v>53</v>
      </c>
      <c r="J238" t="s">
        <v>67</v>
      </c>
      <c r="K238" t="s">
        <v>68</v>
      </c>
      <c r="L238" t="s">
        <v>2052</v>
      </c>
      <c r="M238" t="s">
        <v>2064</v>
      </c>
      <c r="N238">
        <v>0</v>
      </c>
      <c r="O238">
        <v>0</v>
      </c>
      <c r="P238">
        <v>0</v>
      </c>
      <c r="Q238">
        <v>900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337</v>
      </c>
      <c r="AH238" s="21" t="s">
        <v>3425</v>
      </c>
      <c r="AI238" s="21">
        <v>67.5</v>
      </c>
      <c r="AJ238" s="21">
        <v>100</v>
      </c>
      <c r="AK238" s="21" t="s">
        <v>2054</v>
      </c>
      <c r="AL238" t="s">
        <v>70</v>
      </c>
      <c r="AM238" t="s">
        <v>2029</v>
      </c>
    </row>
    <row r="239" spans="1:39" ht="15" hidden="1" thickTop="1" x14ac:dyDescent="0.35">
      <c r="A239" t="s">
        <v>3126</v>
      </c>
      <c r="B239" t="s">
        <v>3131</v>
      </c>
      <c r="C239" t="s">
        <v>71</v>
      </c>
      <c r="D239" t="s">
        <v>3132</v>
      </c>
      <c r="E239" t="s">
        <v>72</v>
      </c>
      <c r="F239">
        <v>1</v>
      </c>
      <c r="G239" t="s">
        <v>2050</v>
      </c>
      <c r="H239" t="s">
        <v>2051</v>
      </c>
      <c r="I239" t="s">
        <v>53</v>
      </c>
      <c r="J239" t="s">
        <v>73</v>
      </c>
      <c r="K239" t="s">
        <v>68</v>
      </c>
      <c r="L239" t="s">
        <v>2052</v>
      </c>
      <c r="M239" t="s">
        <v>2082</v>
      </c>
      <c r="N239">
        <v>0</v>
      </c>
      <c r="O239">
        <v>0</v>
      </c>
      <c r="P239">
        <v>0</v>
      </c>
      <c r="Q239">
        <v>780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t="s">
        <v>339</v>
      </c>
      <c r="AH239" s="21" t="s">
        <v>3424</v>
      </c>
      <c r="AI239" s="21">
        <v>58.500000000000014</v>
      </c>
      <c r="AJ239" s="21">
        <v>100</v>
      </c>
      <c r="AK239" s="21" t="s">
        <v>2054</v>
      </c>
      <c r="AL239" t="s">
        <v>75</v>
      </c>
      <c r="AM239" t="s">
        <v>2027</v>
      </c>
    </row>
    <row r="240" spans="1:39" ht="15" hidden="1" thickTop="1" x14ac:dyDescent="0.35">
      <c r="A240" t="s">
        <v>3127</v>
      </c>
      <c r="B240" t="s">
        <v>3133</v>
      </c>
      <c r="C240" t="s">
        <v>135</v>
      </c>
      <c r="D240" t="s">
        <v>3134</v>
      </c>
      <c r="E240" t="s">
        <v>136</v>
      </c>
      <c r="F240">
        <v>4</v>
      </c>
      <c r="G240" t="s">
        <v>2050</v>
      </c>
      <c r="H240" t="s">
        <v>2051</v>
      </c>
      <c r="I240" t="s">
        <v>53</v>
      </c>
      <c r="J240" t="s">
        <v>137</v>
      </c>
      <c r="K240" t="s">
        <v>68</v>
      </c>
      <c r="L240" t="s">
        <v>2052</v>
      </c>
      <c r="M240" t="s">
        <v>2053</v>
      </c>
      <c r="N240">
        <v>0</v>
      </c>
      <c r="O240">
        <v>0</v>
      </c>
      <c r="P240">
        <v>0</v>
      </c>
      <c r="Q240">
        <v>1440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t="s">
        <v>340</v>
      </c>
      <c r="AH240" s="21" t="s">
        <v>3430</v>
      </c>
      <c r="AI240" s="21">
        <v>107.92500000000001</v>
      </c>
      <c r="AJ240" s="21">
        <v>100</v>
      </c>
      <c r="AK240" s="21" t="s">
        <v>2055</v>
      </c>
      <c r="AL240" t="s">
        <v>115</v>
      </c>
      <c r="AM240" t="s">
        <v>2029</v>
      </c>
    </row>
    <row r="241" spans="1:39" ht="15" hidden="1" thickTop="1" x14ac:dyDescent="0.35">
      <c r="A241" t="s">
        <v>3130</v>
      </c>
      <c r="B241" t="s">
        <v>3135</v>
      </c>
      <c r="C241" t="s">
        <v>820</v>
      </c>
      <c r="D241" t="s">
        <v>3136</v>
      </c>
      <c r="E241" t="s">
        <v>72</v>
      </c>
      <c r="F241">
        <v>1</v>
      </c>
      <c r="G241" t="s">
        <v>2050</v>
      </c>
      <c r="H241" t="s">
        <v>2051</v>
      </c>
      <c r="I241" t="s">
        <v>53</v>
      </c>
      <c r="J241" t="s">
        <v>424</v>
      </c>
      <c r="K241" t="s">
        <v>68</v>
      </c>
      <c r="L241" t="s">
        <v>2052</v>
      </c>
      <c r="M241" t="s">
        <v>2053</v>
      </c>
      <c r="N241">
        <v>0</v>
      </c>
      <c r="O241">
        <v>0</v>
      </c>
      <c r="P241">
        <v>0</v>
      </c>
      <c r="Q241">
        <v>1440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341</v>
      </c>
      <c r="AH241" s="21" t="s">
        <v>3427</v>
      </c>
      <c r="AI241" s="21">
        <v>107.92500000000001</v>
      </c>
      <c r="AJ241" s="21">
        <v>100</v>
      </c>
      <c r="AK241" s="21" t="s">
        <v>2054</v>
      </c>
      <c r="AL241" t="s">
        <v>75</v>
      </c>
      <c r="AM241" t="s">
        <v>2027</v>
      </c>
    </row>
    <row r="242" spans="1:39" ht="15" hidden="1" thickTop="1" x14ac:dyDescent="0.35">
      <c r="A242" t="s">
        <v>3140</v>
      </c>
      <c r="B242" t="s">
        <v>3145</v>
      </c>
      <c r="C242" t="s">
        <v>117</v>
      </c>
      <c r="D242" t="s">
        <v>3146</v>
      </c>
      <c r="E242" t="s">
        <v>559</v>
      </c>
      <c r="F242">
        <v>1</v>
      </c>
      <c r="G242" t="s">
        <v>2050</v>
      </c>
      <c r="H242" t="s">
        <v>2051</v>
      </c>
      <c r="I242" t="s">
        <v>53</v>
      </c>
      <c r="J242" t="s">
        <v>67</v>
      </c>
      <c r="K242" t="s">
        <v>68</v>
      </c>
      <c r="L242" t="s">
        <v>2052</v>
      </c>
      <c r="M242" t="s">
        <v>2053</v>
      </c>
      <c r="N242">
        <v>0</v>
      </c>
      <c r="O242">
        <v>0</v>
      </c>
      <c r="P242">
        <v>0</v>
      </c>
      <c r="Q242">
        <v>1440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t="s">
        <v>342</v>
      </c>
      <c r="AH242" s="21" t="s">
        <v>3424</v>
      </c>
      <c r="AI242" s="21">
        <v>107.92500000000001</v>
      </c>
      <c r="AJ242" s="21">
        <v>100</v>
      </c>
      <c r="AK242" s="21" t="s">
        <v>2054</v>
      </c>
      <c r="AL242" t="s">
        <v>70</v>
      </c>
      <c r="AM242" t="s">
        <v>2029</v>
      </c>
    </row>
    <row r="243" spans="1:39" ht="15" hidden="1" thickTop="1" x14ac:dyDescent="0.35">
      <c r="A243" t="s">
        <v>3144</v>
      </c>
      <c r="B243" t="s">
        <v>3147</v>
      </c>
      <c r="C243" t="s">
        <v>102</v>
      </c>
      <c r="D243" t="s">
        <v>3148</v>
      </c>
      <c r="E243" t="s">
        <v>559</v>
      </c>
      <c r="F243">
        <v>1</v>
      </c>
      <c r="G243" t="s">
        <v>2050</v>
      </c>
      <c r="H243" t="s">
        <v>2051</v>
      </c>
      <c r="I243" t="s">
        <v>53</v>
      </c>
      <c r="J243" t="s">
        <v>67</v>
      </c>
      <c r="K243" t="s">
        <v>68</v>
      </c>
      <c r="L243" t="s">
        <v>2052</v>
      </c>
      <c r="M243" t="s">
        <v>2053</v>
      </c>
      <c r="N243">
        <v>0</v>
      </c>
      <c r="O243">
        <v>0</v>
      </c>
      <c r="P243">
        <v>0</v>
      </c>
      <c r="Q243">
        <v>1440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t="s">
        <v>343</v>
      </c>
      <c r="AH243" s="21" t="s">
        <v>3424</v>
      </c>
      <c r="AI243" s="21">
        <v>107.92500000000001</v>
      </c>
      <c r="AJ243" s="21">
        <v>100</v>
      </c>
      <c r="AK243" s="21" t="s">
        <v>2054</v>
      </c>
      <c r="AL243" t="s">
        <v>70</v>
      </c>
      <c r="AM243" t="s">
        <v>2027</v>
      </c>
    </row>
    <row r="244" spans="1:39" ht="15" hidden="1" thickTop="1" x14ac:dyDescent="0.35">
      <c r="A244" t="s">
        <v>2583</v>
      </c>
      <c r="B244" t="s">
        <v>3151</v>
      </c>
      <c r="C244" t="s">
        <v>76</v>
      </c>
      <c r="D244" t="s">
        <v>3152</v>
      </c>
      <c r="E244" t="s">
        <v>559</v>
      </c>
      <c r="F244">
        <v>1</v>
      </c>
      <c r="G244" t="s">
        <v>2050</v>
      </c>
      <c r="H244" t="s">
        <v>2051</v>
      </c>
      <c r="I244" t="s">
        <v>53</v>
      </c>
      <c r="J244" t="s">
        <v>67</v>
      </c>
      <c r="K244" t="s">
        <v>68</v>
      </c>
      <c r="L244" t="s">
        <v>2052</v>
      </c>
      <c r="M244" t="s">
        <v>2053</v>
      </c>
      <c r="N244">
        <v>0</v>
      </c>
      <c r="O244">
        <v>0</v>
      </c>
      <c r="P244">
        <v>0</v>
      </c>
      <c r="Q244">
        <v>1440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344</v>
      </c>
      <c r="AH244" s="21" t="s">
        <v>3427</v>
      </c>
      <c r="AI244" s="21">
        <v>107.92500000000001</v>
      </c>
      <c r="AJ244" s="21">
        <v>100</v>
      </c>
      <c r="AK244" s="21" t="s">
        <v>2054</v>
      </c>
      <c r="AL244" t="s">
        <v>70</v>
      </c>
      <c r="AM244" t="s">
        <v>2028</v>
      </c>
    </row>
    <row r="245" spans="1:39" ht="15" hidden="1" thickTop="1" x14ac:dyDescent="0.35">
      <c r="A245" t="s">
        <v>3157</v>
      </c>
      <c r="B245" t="s">
        <v>3165</v>
      </c>
      <c r="C245" t="s">
        <v>117</v>
      </c>
      <c r="D245" t="s">
        <v>3166</v>
      </c>
      <c r="E245" t="s">
        <v>559</v>
      </c>
      <c r="F245">
        <v>1</v>
      </c>
      <c r="G245" t="s">
        <v>2050</v>
      </c>
      <c r="H245" t="s">
        <v>2051</v>
      </c>
      <c r="I245" t="s">
        <v>53</v>
      </c>
      <c r="J245" t="s">
        <v>67</v>
      </c>
      <c r="K245" t="s">
        <v>68</v>
      </c>
      <c r="L245" t="s">
        <v>2052</v>
      </c>
      <c r="M245" t="s">
        <v>2053</v>
      </c>
      <c r="N245">
        <v>0</v>
      </c>
      <c r="O245">
        <v>0</v>
      </c>
      <c r="P245">
        <v>0</v>
      </c>
      <c r="Q245">
        <v>1440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345</v>
      </c>
      <c r="AH245" s="21" t="s">
        <v>3427</v>
      </c>
      <c r="AI245" s="21">
        <v>107.92500000000001</v>
      </c>
      <c r="AJ245" s="21">
        <v>100</v>
      </c>
      <c r="AK245" s="21" t="s">
        <v>2054</v>
      </c>
      <c r="AL245" t="s">
        <v>70</v>
      </c>
      <c r="AM245" t="s">
        <v>2029</v>
      </c>
    </row>
    <row r="246" spans="1:39" ht="15" hidden="1" thickTop="1" x14ac:dyDescent="0.35">
      <c r="A246" t="s">
        <v>3161</v>
      </c>
      <c r="B246" t="s">
        <v>3171</v>
      </c>
      <c r="C246" t="s">
        <v>66</v>
      </c>
      <c r="D246" t="s">
        <v>3010</v>
      </c>
      <c r="E246" t="s">
        <v>559</v>
      </c>
      <c r="F246">
        <v>1</v>
      </c>
      <c r="G246" t="s">
        <v>2050</v>
      </c>
      <c r="H246" t="s">
        <v>2051</v>
      </c>
      <c r="I246" t="s">
        <v>53</v>
      </c>
      <c r="J246" t="s">
        <v>67</v>
      </c>
      <c r="K246" t="s">
        <v>68</v>
      </c>
      <c r="L246" t="s">
        <v>2052</v>
      </c>
      <c r="M246" t="s">
        <v>2053</v>
      </c>
      <c r="N246">
        <v>0</v>
      </c>
      <c r="O246">
        <v>0</v>
      </c>
      <c r="P246">
        <v>0</v>
      </c>
      <c r="Q246">
        <v>1440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346</v>
      </c>
      <c r="AH246" s="21" t="s">
        <v>3428</v>
      </c>
      <c r="AI246" s="21">
        <v>107.92500000000001</v>
      </c>
      <c r="AJ246" s="21">
        <v>100</v>
      </c>
      <c r="AK246" s="21" t="s">
        <v>2055</v>
      </c>
      <c r="AL246" t="s">
        <v>70</v>
      </c>
      <c r="AM246" t="s">
        <v>2030</v>
      </c>
    </row>
    <row r="247" spans="1:39" ht="15" hidden="1" thickTop="1" x14ac:dyDescent="0.35">
      <c r="A247" t="s">
        <v>3164</v>
      </c>
      <c r="B247" t="s">
        <v>3172</v>
      </c>
      <c r="C247" t="s">
        <v>66</v>
      </c>
      <c r="D247" t="s">
        <v>3173</v>
      </c>
      <c r="E247" t="s">
        <v>559</v>
      </c>
      <c r="F247">
        <v>1</v>
      </c>
      <c r="G247" t="s">
        <v>2050</v>
      </c>
      <c r="H247" t="s">
        <v>2051</v>
      </c>
      <c r="I247" t="s">
        <v>53</v>
      </c>
      <c r="J247" t="s">
        <v>67</v>
      </c>
      <c r="K247" t="s">
        <v>68</v>
      </c>
      <c r="L247" t="s">
        <v>2052</v>
      </c>
      <c r="M247" t="s">
        <v>2053</v>
      </c>
      <c r="N247">
        <v>0</v>
      </c>
      <c r="O247">
        <v>0</v>
      </c>
      <c r="P247">
        <v>0</v>
      </c>
      <c r="Q247">
        <v>1440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347</v>
      </c>
      <c r="AH247" s="21" t="s">
        <v>3427</v>
      </c>
      <c r="AI247" s="21">
        <v>107.92500000000001</v>
      </c>
      <c r="AJ247" s="21">
        <v>100</v>
      </c>
      <c r="AK247" s="21" t="s">
        <v>2055</v>
      </c>
      <c r="AL247" t="s">
        <v>70</v>
      </c>
      <c r="AM247" t="s">
        <v>2030</v>
      </c>
    </row>
    <row r="248" spans="1:39" ht="15" hidden="1" thickTop="1" x14ac:dyDescent="0.35">
      <c r="A248" t="s">
        <v>3170</v>
      </c>
      <c r="B248" t="s">
        <v>3174</v>
      </c>
      <c r="C248" t="s">
        <v>117</v>
      </c>
      <c r="D248" t="s">
        <v>3175</v>
      </c>
      <c r="E248" t="s">
        <v>559</v>
      </c>
      <c r="F248">
        <v>1</v>
      </c>
      <c r="G248" t="s">
        <v>2050</v>
      </c>
      <c r="H248" t="s">
        <v>2051</v>
      </c>
      <c r="I248" t="s">
        <v>53</v>
      </c>
      <c r="J248" t="s">
        <v>67</v>
      </c>
      <c r="K248" t="s">
        <v>68</v>
      </c>
      <c r="L248" t="s">
        <v>2052</v>
      </c>
      <c r="M248" t="s">
        <v>2053</v>
      </c>
      <c r="N248">
        <v>0</v>
      </c>
      <c r="O248">
        <v>0</v>
      </c>
      <c r="P248">
        <v>0</v>
      </c>
      <c r="Q248">
        <v>1440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348</v>
      </c>
      <c r="AH248" s="21" t="s">
        <v>3430</v>
      </c>
      <c r="AI248" s="21">
        <v>107.92500000000001</v>
      </c>
      <c r="AJ248" s="21">
        <v>100</v>
      </c>
      <c r="AK248" s="21" t="s">
        <v>2054</v>
      </c>
      <c r="AL248" t="s">
        <v>70</v>
      </c>
      <c r="AM248" t="s">
        <v>2030</v>
      </c>
    </row>
    <row r="249" spans="1:39" ht="15" hidden="1" thickTop="1" x14ac:dyDescent="0.35">
      <c r="A249" t="s">
        <v>3180</v>
      </c>
      <c r="B249" t="s">
        <v>3186</v>
      </c>
      <c r="C249" t="s">
        <v>117</v>
      </c>
      <c r="D249" t="s">
        <v>3187</v>
      </c>
      <c r="E249" t="s">
        <v>559</v>
      </c>
      <c r="F249">
        <v>1</v>
      </c>
      <c r="G249" t="s">
        <v>2050</v>
      </c>
      <c r="H249" t="s">
        <v>2051</v>
      </c>
      <c r="I249" t="s">
        <v>53</v>
      </c>
      <c r="J249" t="s">
        <v>67</v>
      </c>
      <c r="K249" t="s">
        <v>68</v>
      </c>
      <c r="L249" t="s">
        <v>2052</v>
      </c>
      <c r="M249" t="s">
        <v>2053</v>
      </c>
      <c r="N249">
        <v>0</v>
      </c>
      <c r="O249">
        <v>0</v>
      </c>
      <c r="P249">
        <v>0</v>
      </c>
      <c r="Q249">
        <v>1440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349</v>
      </c>
      <c r="AH249" s="21" t="s">
        <v>3427</v>
      </c>
      <c r="AI249" s="21">
        <v>107.92500000000001</v>
      </c>
      <c r="AJ249" s="21">
        <v>100</v>
      </c>
      <c r="AK249" s="21" t="s">
        <v>2054</v>
      </c>
      <c r="AL249" t="s">
        <v>70</v>
      </c>
      <c r="AM249" t="s">
        <v>2029</v>
      </c>
    </row>
    <row r="250" spans="1:39" ht="15" hidden="1" thickTop="1" x14ac:dyDescent="0.35">
      <c r="A250" t="s">
        <v>3181</v>
      </c>
      <c r="B250" t="s">
        <v>3188</v>
      </c>
      <c r="C250" t="s">
        <v>92</v>
      </c>
      <c r="D250" t="s">
        <v>3189</v>
      </c>
      <c r="E250" t="s">
        <v>119</v>
      </c>
      <c r="F250">
        <v>1</v>
      </c>
      <c r="G250" t="s">
        <v>2050</v>
      </c>
      <c r="H250" t="s">
        <v>2051</v>
      </c>
      <c r="I250" t="s">
        <v>53</v>
      </c>
      <c r="J250" t="s">
        <v>67</v>
      </c>
      <c r="K250" t="s">
        <v>68</v>
      </c>
      <c r="L250" t="s">
        <v>2052</v>
      </c>
      <c r="M250" t="s">
        <v>2053</v>
      </c>
      <c r="N250">
        <v>0</v>
      </c>
      <c r="O250">
        <v>0</v>
      </c>
      <c r="P250">
        <v>0</v>
      </c>
      <c r="Q250">
        <v>1440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350</v>
      </c>
      <c r="AH250" s="21" t="s">
        <v>3427</v>
      </c>
      <c r="AI250" s="21">
        <v>107.92500000000001</v>
      </c>
      <c r="AJ250" s="21">
        <v>100</v>
      </c>
      <c r="AK250" s="21" t="s">
        <v>2054</v>
      </c>
      <c r="AL250" t="s">
        <v>70</v>
      </c>
      <c r="AM250" t="s">
        <v>2027</v>
      </c>
    </row>
    <row r="251" spans="1:39" ht="15" hidden="1" thickTop="1" x14ac:dyDescent="0.35">
      <c r="A251" t="s">
        <v>3185</v>
      </c>
      <c r="B251" t="s">
        <v>3190</v>
      </c>
      <c r="C251" t="s">
        <v>71</v>
      </c>
      <c r="D251" t="s">
        <v>3191</v>
      </c>
      <c r="E251" t="s">
        <v>72</v>
      </c>
      <c r="F251">
        <v>1</v>
      </c>
      <c r="G251" t="s">
        <v>2050</v>
      </c>
      <c r="H251" t="s">
        <v>2051</v>
      </c>
      <c r="I251" t="s">
        <v>53</v>
      </c>
      <c r="J251" t="s">
        <v>73</v>
      </c>
      <c r="K251" t="s">
        <v>68</v>
      </c>
      <c r="L251" t="s">
        <v>2052</v>
      </c>
      <c r="M251" t="s">
        <v>2053</v>
      </c>
      <c r="N251">
        <v>0</v>
      </c>
      <c r="O251">
        <v>0</v>
      </c>
      <c r="P251">
        <v>0</v>
      </c>
      <c r="Q251">
        <v>1440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351</v>
      </c>
      <c r="AH251" s="21" t="s">
        <v>3427</v>
      </c>
      <c r="AI251" s="21">
        <v>107.92500000000001</v>
      </c>
      <c r="AJ251" s="21">
        <v>100</v>
      </c>
      <c r="AK251" s="21" t="s">
        <v>2054</v>
      </c>
      <c r="AL251" t="s">
        <v>75</v>
      </c>
      <c r="AM251" t="s">
        <v>2030</v>
      </c>
    </row>
    <row r="252" spans="1:39" ht="15" hidden="1" thickTop="1" x14ac:dyDescent="0.35">
      <c r="A252" t="s">
        <v>3195</v>
      </c>
      <c r="B252" t="s">
        <v>3201</v>
      </c>
      <c r="C252" t="s">
        <v>76</v>
      </c>
      <c r="D252" t="s">
        <v>3202</v>
      </c>
      <c r="E252" t="s">
        <v>559</v>
      </c>
      <c r="F252">
        <v>1</v>
      </c>
      <c r="G252" t="s">
        <v>2050</v>
      </c>
      <c r="H252" t="s">
        <v>2051</v>
      </c>
      <c r="I252" t="s">
        <v>53</v>
      </c>
      <c r="J252" t="s">
        <v>67</v>
      </c>
      <c r="K252" t="s">
        <v>68</v>
      </c>
      <c r="L252" t="s">
        <v>2052</v>
      </c>
      <c r="M252" t="s">
        <v>2064</v>
      </c>
      <c r="N252">
        <v>0</v>
      </c>
      <c r="O252">
        <v>0</v>
      </c>
      <c r="P252">
        <v>0</v>
      </c>
      <c r="Q252">
        <v>900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353</v>
      </c>
      <c r="AH252" s="21" t="s">
        <v>3425</v>
      </c>
      <c r="AI252" s="21">
        <v>67.5</v>
      </c>
      <c r="AJ252" s="21">
        <v>100</v>
      </c>
      <c r="AK252" s="21" t="s">
        <v>2054</v>
      </c>
      <c r="AL252" t="s">
        <v>70</v>
      </c>
      <c r="AM252" t="s">
        <v>2028</v>
      </c>
    </row>
    <row r="253" spans="1:39" ht="15" hidden="1" thickTop="1" x14ac:dyDescent="0.35">
      <c r="A253" t="s">
        <v>2081</v>
      </c>
      <c r="B253" t="s">
        <v>3204</v>
      </c>
      <c r="C253" t="s">
        <v>102</v>
      </c>
      <c r="D253" t="s">
        <v>3205</v>
      </c>
      <c r="E253" t="s">
        <v>559</v>
      </c>
      <c r="F253">
        <v>1</v>
      </c>
      <c r="G253" t="s">
        <v>2050</v>
      </c>
      <c r="H253" t="s">
        <v>2051</v>
      </c>
      <c r="I253" t="s">
        <v>53</v>
      </c>
      <c r="J253" t="s">
        <v>67</v>
      </c>
      <c r="K253" t="s">
        <v>68</v>
      </c>
      <c r="L253" t="s">
        <v>2052</v>
      </c>
      <c r="M253" t="s">
        <v>2053</v>
      </c>
      <c r="N253">
        <v>0</v>
      </c>
      <c r="O253">
        <v>0</v>
      </c>
      <c r="P253">
        <v>0</v>
      </c>
      <c r="Q253">
        <v>1440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t="s">
        <v>354</v>
      </c>
      <c r="AH253" s="21" t="s">
        <v>3425</v>
      </c>
      <c r="AI253" s="21">
        <v>107.92500000000001</v>
      </c>
      <c r="AJ253" s="21">
        <v>100</v>
      </c>
      <c r="AK253" s="21" t="s">
        <v>2054</v>
      </c>
      <c r="AL253" t="s">
        <v>70</v>
      </c>
      <c r="AM253" t="s">
        <v>2027</v>
      </c>
    </row>
    <row r="254" spans="1:39" ht="15" hidden="1" thickTop="1" x14ac:dyDescent="0.35">
      <c r="A254" t="s">
        <v>3200</v>
      </c>
      <c r="B254" t="s">
        <v>3216</v>
      </c>
      <c r="C254" t="s">
        <v>111</v>
      </c>
      <c r="D254" t="s">
        <v>3217</v>
      </c>
      <c r="E254" t="s">
        <v>112</v>
      </c>
      <c r="F254">
        <v>1</v>
      </c>
      <c r="G254" t="s">
        <v>2050</v>
      </c>
      <c r="H254" t="s">
        <v>2051</v>
      </c>
      <c r="I254" t="s">
        <v>53</v>
      </c>
      <c r="J254" t="s">
        <v>113</v>
      </c>
      <c r="K254" t="s">
        <v>68</v>
      </c>
      <c r="L254" t="s">
        <v>2052</v>
      </c>
      <c r="M254" t="s">
        <v>2053</v>
      </c>
      <c r="N254">
        <v>0</v>
      </c>
      <c r="O254">
        <v>0</v>
      </c>
      <c r="P254">
        <v>0</v>
      </c>
      <c r="Q254">
        <v>1440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355</v>
      </c>
      <c r="AH254" s="21" t="s">
        <v>3424</v>
      </c>
      <c r="AI254" s="21">
        <v>107.92500000000001</v>
      </c>
      <c r="AJ254" s="21">
        <v>100</v>
      </c>
      <c r="AK254" s="21" t="s">
        <v>2054</v>
      </c>
      <c r="AL254" t="s">
        <v>115</v>
      </c>
      <c r="AM254" t="s">
        <v>2029</v>
      </c>
    </row>
    <row r="255" spans="1:39" ht="15" hidden="1" thickTop="1" x14ac:dyDescent="0.35">
      <c r="A255" t="s">
        <v>2615</v>
      </c>
      <c r="B255" t="s">
        <v>3219</v>
      </c>
      <c r="C255" t="s">
        <v>92</v>
      </c>
      <c r="D255" t="s">
        <v>3220</v>
      </c>
      <c r="E255" t="s">
        <v>119</v>
      </c>
      <c r="F255">
        <v>1</v>
      </c>
      <c r="G255" t="s">
        <v>2050</v>
      </c>
      <c r="H255" t="s">
        <v>2051</v>
      </c>
      <c r="I255" t="s">
        <v>53</v>
      </c>
      <c r="J255" t="s">
        <v>67</v>
      </c>
      <c r="K255" t="s">
        <v>68</v>
      </c>
      <c r="L255" t="s">
        <v>2052</v>
      </c>
      <c r="M255" t="s">
        <v>2082</v>
      </c>
      <c r="N255">
        <v>0</v>
      </c>
      <c r="O255">
        <v>0</v>
      </c>
      <c r="P255">
        <v>0</v>
      </c>
      <c r="Q255">
        <v>780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t="s">
        <v>356</v>
      </c>
      <c r="AH255" s="21" t="s">
        <v>3424</v>
      </c>
      <c r="AI255" s="21">
        <v>58.500000000000014</v>
      </c>
      <c r="AJ255" s="21">
        <v>100</v>
      </c>
      <c r="AK255" s="21" t="s">
        <v>2054</v>
      </c>
      <c r="AL255" t="s">
        <v>70</v>
      </c>
      <c r="AM255" t="s">
        <v>2027</v>
      </c>
    </row>
    <row r="256" spans="1:39" ht="15" hidden="1" thickTop="1" x14ac:dyDescent="0.35">
      <c r="A256" t="s">
        <v>3213</v>
      </c>
      <c r="B256" t="s">
        <v>3230</v>
      </c>
      <c r="C256" t="s">
        <v>100</v>
      </c>
      <c r="D256" t="s">
        <v>3231</v>
      </c>
      <c r="E256" t="s">
        <v>559</v>
      </c>
      <c r="F256">
        <v>1</v>
      </c>
      <c r="G256" t="s">
        <v>2050</v>
      </c>
      <c r="H256" t="s">
        <v>2051</v>
      </c>
      <c r="I256" t="s">
        <v>53</v>
      </c>
      <c r="J256" t="s">
        <v>67</v>
      </c>
      <c r="K256" t="s">
        <v>68</v>
      </c>
      <c r="L256" t="s">
        <v>2052</v>
      </c>
      <c r="M256" t="s">
        <v>2064</v>
      </c>
      <c r="N256">
        <v>0</v>
      </c>
      <c r="O256">
        <v>0</v>
      </c>
      <c r="P256">
        <v>0</v>
      </c>
      <c r="Q256">
        <v>900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t="s">
        <v>358</v>
      </c>
      <c r="AH256" s="21" t="s">
        <v>3424</v>
      </c>
      <c r="AI256" s="21">
        <v>67.5</v>
      </c>
      <c r="AJ256" s="21">
        <v>100</v>
      </c>
      <c r="AK256" s="21" t="s">
        <v>2054</v>
      </c>
      <c r="AL256" t="s">
        <v>70</v>
      </c>
      <c r="AM256" t="s">
        <v>2028</v>
      </c>
    </row>
    <row r="257" spans="1:39" ht="15" hidden="1" thickTop="1" x14ac:dyDescent="0.35">
      <c r="A257" t="s">
        <v>3215</v>
      </c>
      <c r="B257" t="s">
        <v>3234</v>
      </c>
      <c r="C257" t="s">
        <v>102</v>
      </c>
      <c r="D257" t="s">
        <v>3235</v>
      </c>
      <c r="E257" t="s">
        <v>559</v>
      </c>
      <c r="F257">
        <v>1</v>
      </c>
      <c r="G257" t="s">
        <v>2050</v>
      </c>
      <c r="H257" t="s">
        <v>2051</v>
      </c>
      <c r="I257" t="s">
        <v>53</v>
      </c>
      <c r="J257" t="s">
        <v>67</v>
      </c>
      <c r="K257" t="s">
        <v>68</v>
      </c>
      <c r="L257" t="s">
        <v>2052</v>
      </c>
      <c r="M257" t="s">
        <v>2053</v>
      </c>
      <c r="N257">
        <v>0</v>
      </c>
      <c r="O257">
        <v>0</v>
      </c>
      <c r="P257">
        <v>0</v>
      </c>
      <c r="Q257">
        <v>1440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 t="s">
        <v>359</v>
      </c>
      <c r="AH257" s="21" t="s">
        <v>3424</v>
      </c>
      <c r="AI257" s="21">
        <v>107.92500000000001</v>
      </c>
      <c r="AJ257" s="21">
        <v>100</v>
      </c>
      <c r="AK257" s="21" t="s">
        <v>2054</v>
      </c>
      <c r="AL257" t="s">
        <v>70</v>
      </c>
      <c r="AM257" t="s">
        <v>2029</v>
      </c>
    </row>
    <row r="258" spans="1:39" ht="15" hidden="1" thickTop="1" x14ac:dyDescent="0.35">
      <c r="A258" t="s">
        <v>3224</v>
      </c>
      <c r="B258" t="s">
        <v>3243</v>
      </c>
      <c r="C258" t="s">
        <v>81</v>
      </c>
      <c r="D258" t="s">
        <v>3244</v>
      </c>
      <c r="E258" t="s">
        <v>559</v>
      </c>
      <c r="F258">
        <v>2</v>
      </c>
      <c r="G258" t="s">
        <v>2050</v>
      </c>
      <c r="H258" t="s">
        <v>2051</v>
      </c>
      <c r="I258" t="s">
        <v>53</v>
      </c>
      <c r="J258" t="s">
        <v>82</v>
      </c>
      <c r="K258" t="s">
        <v>68</v>
      </c>
      <c r="L258" t="s">
        <v>2052</v>
      </c>
      <c r="M258" t="s">
        <v>2078</v>
      </c>
      <c r="N258">
        <v>0</v>
      </c>
      <c r="O258">
        <v>0</v>
      </c>
      <c r="P258">
        <v>0</v>
      </c>
      <c r="Q258">
        <v>960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 t="s">
        <v>360</v>
      </c>
      <c r="AH258" s="21" t="s">
        <v>3424</v>
      </c>
      <c r="AI258" s="21">
        <v>72</v>
      </c>
      <c r="AJ258" s="21">
        <v>100</v>
      </c>
      <c r="AK258" s="21" t="s">
        <v>2054</v>
      </c>
      <c r="AL258" t="s">
        <v>70</v>
      </c>
      <c r="AM258" t="s">
        <v>2030</v>
      </c>
    </row>
    <row r="259" spans="1:39" ht="15" hidden="1" thickTop="1" x14ac:dyDescent="0.35">
      <c r="A259" t="s">
        <v>2616</v>
      </c>
      <c r="B259" t="s">
        <v>3247</v>
      </c>
      <c r="C259" t="s">
        <v>78</v>
      </c>
      <c r="D259" t="s">
        <v>3248</v>
      </c>
      <c r="E259" t="s">
        <v>559</v>
      </c>
      <c r="F259">
        <v>1</v>
      </c>
      <c r="G259" t="s">
        <v>2050</v>
      </c>
      <c r="H259" t="s">
        <v>2051</v>
      </c>
      <c r="I259" t="s">
        <v>53</v>
      </c>
      <c r="J259" t="s">
        <v>67</v>
      </c>
      <c r="K259" t="s">
        <v>68</v>
      </c>
      <c r="L259" t="s">
        <v>2052</v>
      </c>
      <c r="M259" t="s">
        <v>2053</v>
      </c>
      <c r="N259">
        <v>0</v>
      </c>
      <c r="O259">
        <v>0</v>
      </c>
      <c r="P259">
        <v>0</v>
      </c>
      <c r="Q259">
        <v>1440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361</v>
      </c>
      <c r="AH259" s="21" t="s">
        <v>3429</v>
      </c>
      <c r="AI259" s="21">
        <v>107.92500000000001</v>
      </c>
      <c r="AJ259" s="21">
        <v>100</v>
      </c>
      <c r="AK259" s="21" t="s">
        <v>2054</v>
      </c>
      <c r="AL259" t="s">
        <v>70</v>
      </c>
      <c r="AM259" t="s">
        <v>2029</v>
      </c>
    </row>
    <row r="260" spans="1:39" ht="15" hidden="1" thickTop="1" x14ac:dyDescent="0.35">
      <c r="A260" t="s">
        <v>3227</v>
      </c>
      <c r="B260" t="s">
        <v>3251</v>
      </c>
      <c r="C260" t="s">
        <v>66</v>
      </c>
      <c r="D260" t="s">
        <v>3252</v>
      </c>
      <c r="E260" t="s">
        <v>559</v>
      </c>
      <c r="F260">
        <v>1</v>
      </c>
      <c r="G260" t="s">
        <v>2050</v>
      </c>
      <c r="H260" t="s">
        <v>2051</v>
      </c>
      <c r="I260" t="s">
        <v>53</v>
      </c>
      <c r="J260" t="s">
        <v>67</v>
      </c>
      <c r="K260" t="s">
        <v>68</v>
      </c>
      <c r="L260" t="s">
        <v>2052</v>
      </c>
      <c r="M260" t="s">
        <v>2064</v>
      </c>
      <c r="N260">
        <v>0</v>
      </c>
      <c r="O260">
        <v>0</v>
      </c>
      <c r="P260">
        <v>0</v>
      </c>
      <c r="Q260">
        <v>900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362</v>
      </c>
      <c r="AH260" s="21" t="s">
        <v>3425</v>
      </c>
      <c r="AI260" s="21">
        <v>67.5</v>
      </c>
      <c r="AJ260" s="21">
        <v>100</v>
      </c>
      <c r="AK260" s="21" t="s">
        <v>2054</v>
      </c>
      <c r="AL260" t="s">
        <v>70</v>
      </c>
      <c r="AM260" t="s">
        <v>2031</v>
      </c>
    </row>
    <row r="261" spans="1:39" ht="15" hidden="1" thickTop="1" x14ac:dyDescent="0.35">
      <c r="A261" t="s">
        <v>3232</v>
      </c>
      <c r="B261" t="s">
        <v>3256</v>
      </c>
      <c r="C261" t="s">
        <v>3376</v>
      </c>
      <c r="D261" t="s">
        <v>3257</v>
      </c>
      <c r="E261" t="s">
        <v>559</v>
      </c>
      <c r="F261">
        <v>1</v>
      </c>
      <c r="G261" t="s">
        <v>2050</v>
      </c>
      <c r="H261" t="s">
        <v>2051</v>
      </c>
      <c r="I261" t="s">
        <v>53</v>
      </c>
      <c r="J261" t="s">
        <v>67</v>
      </c>
      <c r="K261" t="s">
        <v>68</v>
      </c>
      <c r="L261" t="s">
        <v>2052</v>
      </c>
      <c r="M261" t="s">
        <v>2053</v>
      </c>
      <c r="N261">
        <v>0</v>
      </c>
      <c r="O261">
        <v>0</v>
      </c>
      <c r="P261">
        <v>0</v>
      </c>
      <c r="Q261">
        <v>1440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363</v>
      </c>
      <c r="AH261" s="21" t="s">
        <v>3424</v>
      </c>
      <c r="AI261" s="21">
        <v>107.92500000000001</v>
      </c>
      <c r="AJ261" s="21">
        <v>100</v>
      </c>
      <c r="AK261" s="21" t="s">
        <v>2054</v>
      </c>
      <c r="AL261" t="s">
        <v>70</v>
      </c>
      <c r="AM261" t="s">
        <v>2027</v>
      </c>
    </row>
    <row r="262" spans="1:39" ht="15" hidden="1" thickTop="1" x14ac:dyDescent="0.35">
      <c r="A262" t="s">
        <v>3236</v>
      </c>
      <c r="B262" t="s">
        <v>3260</v>
      </c>
      <c r="C262" t="s">
        <v>92</v>
      </c>
      <c r="D262" t="s">
        <v>3261</v>
      </c>
      <c r="E262" t="s">
        <v>119</v>
      </c>
      <c r="F262">
        <v>1</v>
      </c>
      <c r="G262" t="s">
        <v>2050</v>
      </c>
      <c r="H262" t="s">
        <v>2051</v>
      </c>
      <c r="I262" t="s">
        <v>53</v>
      </c>
      <c r="J262" t="s">
        <v>67</v>
      </c>
      <c r="K262" t="s">
        <v>68</v>
      </c>
      <c r="L262" t="s">
        <v>2052</v>
      </c>
      <c r="M262" t="s">
        <v>2053</v>
      </c>
      <c r="N262">
        <v>0</v>
      </c>
      <c r="O262">
        <v>0</v>
      </c>
      <c r="P262">
        <v>0</v>
      </c>
      <c r="Q262">
        <v>1440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364</v>
      </c>
      <c r="AH262" s="21" t="s">
        <v>3425</v>
      </c>
      <c r="AI262" s="21">
        <v>107.92500000000001</v>
      </c>
      <c r="AJ262" s="21">
        <v>100</v>
      </c>
      <c r="AK262" s="21" t="s">
        <v>2054</v>
      </c>
      <c r="AL262" t="s">
        <v>70</v>
      </c>
      <c r="AM262" t="s">
        <v>2028</v>
      </c>
    </row>
    <row r="263" spans="1:39" ht="15" hidden="1" thickTop="1" x14ac:dyDescent="0.35">
      <c r="A263" t="s">
        <v>3237</v>
      </c>
      <c r="B263" t="s">
        <v>3263</v>
      </c>
      <c r="C263" t="s">
        <v>128</v>
      </c>
      <c r="D263" t="s">
        <v>3264</v>
      </c>
      <c r="E263" t="s">
        <v>112</v>
      </c>
      <c r="F263">
        <v>1</v>
      </c>
      <c r="G263" t="s">
        <v>2050</v>
      </c>
      <c r="H263" t="s">
        <v>2051</v>
      </c>
      <c r="I263" t="s">
        <v>53</v>
      </c>
      <c r="J263" t="s">
        <v>113</v>
      </c>
      <c r="K263" t="s">
        <v>68</v>
      </c>
      <c r="L263" t="s">
        <v>2052</v>
      </c>
      <c r="M263" t="s">
        <v>2053</v>
      </c>
      <c r="N263">
        <v>0</v>
      </c>
      <c r="O263">
        <v>0</v>
      </c>
      <c r="P263">
        <v>0</v>
      </c>
      <c r="Q263">
        <v>1440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365</v>
      </c>
      <c r="AH263" s="21" t="s">
        <v>3427</v>
      </c>
      <c r="AI263" s="21">
        <v>107.92500000000001</v>
      </c>
      <c r="AJ263" s="21">
        <v>100</v>
      </c>
      <c r="AK263" s="21" t="s">
        <v>2054</v>
      </c>
      <c r="AL263" t="s">
        <v>115</v>
      </c>
      <c r="AM263" t="s">
        <v>2029</v>
      </c>
    </row>
    <row r="264" spans="1:39" ht="15" hidden="1" thickTop="1" x14ac:dyDescent="0.35">
      <c r="A264" t="s">
        <v>3242</v>
      </c>
      <c r="B264" t="s">
        <v>3270</v>
      </c>
      <c r="C264" t="s">
        <v>76</v>
      </c>
      <c r="D264" t="s">
        <v>3271</v>
      </c>
      <c r="E264" t="s">
        <v>559</v>
      </c>
      <c r="F264">
        <v>1</v>
      </c>
      <c r="G264" t="s">
        <v>2050</v>
      </c>
      <c r="H264" t="s">
        <v>2051</v>
      </c>
      <c r="I264" t="s">
        <v>53</v>
      </c>
      <c r="J264" t="s">
        <v>67</v>
      </c>
      <c r="K264" t="s">
        <v>68</v>
      </c>
      <c r="L264" t="s">
        <v>2052</v>
      </c>
      <c r="M264" t="s">
        <v>2053</v>
      </c>
      <c r="N264">
        <v>0</v>
      </c>
      <c r="O264">
        <v>0</v>
      </c>
      <c r="P264">
        <v>0</v>
      </c>
      <c r="Q264">
        <v>1440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366</v>
      </c>
      <c r="AH264" s="21" t="s">
        <v>3424</v>
      </c>
      <c r="AI264" s="21">
        <v>107.92500000000001</v>
      </c>
      <c r="AJ264" s="21">
        <v>100</v>
      </c>
      <c r="AK264" s="21" t="s">
        <v>2055</v>
      </c>
      <c r="AL264" t="s">
        <v>70</v>
      </c>
      <c r="AM264" t="s">
        <v>2029</v>
      </c>
    </row>
    <row r="265" spans="1:39" ht="15" hidden="1" thickTop="1" x14ac:dyDescent="0.35">
      <c r="A265" t="s">
        <v>3253</v>
      </c>
      <c r="B265" t="s">
        <v>3277</v>
      </c>
      <c r="C265" t="s">
        <v>76</v>
      </c>
      <c r="D265" t="s">
        <v>3278</v>
      </c>
      <c r="E265" t="s">
        <v>559</v>
      </c>
      <c r="F265">
        <v>1</v>
      </c>
      <c r="G265" t="s">
        <v>2050</v>
      </c>
      <c r="H265" t="s">
        <v>2051</v>
      </c>
      <c r="I265" t="s">
        <v>53</v>
      </c>
      <c r="J265" t="s">
        <v>67</v>
      </c>
      <c r="K265" t="s">
        <v>68</v>
      </c>
      <c r="L265" t="s">
        <v>2052</v>
      </c>
      <c r="M265" t="s">
        <v>2064</v>
      </c>
      <c r="N265">
        <v>0</v>
      </c>
      <c r="O265">
        <v>0</v>
      </c>
      <c r="P265">
        <v>0</v>
      </c>
      <c r="Q265">
        <v>900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367</v>
      </c>
      <c r="AH265" s="21" t="s">
        <v>3427</v>
      </c>
      <c r="AI265" s="21">
        <v>67.5</v>
      </c>
      <c r="AJ265" s="21">
        <v>100</v>
      </c>
      <c r="AK265" s="21" t="s">
        <v>2055</v>
      </c>
      <c r="AL265" t="s">
        <v>70</v>
      </c>
      <c r="AM265" t="s">
        <v>2030</v>
      </c>
    </row>
    <row r="266" spans="1:39" ht="15" hidden="1" thickTop="1" x14ac:dyDescent="0.35">
      <c r="A266" t="s">
        <v>3259</v>
      </c>
      <c r="B266" t="s">
        <v>3283</v>
      </c>
      <c r="C266" t="s">
        <v>78</v>
      </c>
      <c r="D266" t="s">
        <v>3284</v>
      </c>
      <c r="E266" t="s">
        <v>559</v>
      </c>
      <c r="F266">
        <v>1</v>
      </c>
      <c r="G266" t="s">
        <v>2050</v>
      </c>
      <c r="H266" t="s">
        <v>2051</v>
      </c>
      <c r="I266" t="s">
        <v>53</v>
      </c>
      <c r="J266" t="s">
        <v>67</v>
      </c>
      <c r="K266" t="s">
        <v>68</v>
      </c>
      <c r="L266" t="s">
        <v>2052</v>
      </c>
      <c r="M266" t="s">
        <v>2053</v>
      </c>
      <c r="N266">
        <v>0</v>
      </c>
      <c r="O266">
        <v>0</v>
      </c>
      <c r="P266">
        <v>0</v>
      </c>
      <c r="Q266">
        <v>1440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368</v>
      </c>
      <c r="AH266" s="21" t="s">
        <v>3427</v>
      </c>
      <c r="AI266" s="21">
        <v>107.92500000000001</v>
      </c>
      <c r="AJ266" s="21">
        <v>100</v>
      </c>
      <c r="AK266" s="21" t="s">
        <v>2055</v>
      </c>
      <c r="AL266" t="s">
        <v>70</v>
      </c>
      <c r="AM266" t="s">
        <v>2031</v>
      </c>
    </row>
    <row r="267" spans="1:39" ht="15" hidden="1" thickTop="1" x14ac:dyDescent="0.35">
      <c r="A267" t="s">
        <v>3262</v>
      </c>
      <c r="B267" t="s">
        <v>3286</v>
      </c>
      <c r="C267" t="s">
        <v>66</v>
      </c>
      <c r="D267" t="s">
        <v>3287</v>
      </c>
      <c r="E267" t="s">
        <v>559</v>
      </c>
      <c r="F267">
        <v>1</v>
      </c>
      <c r="G267" t="s">
        <v>2050</v>
      </c>
      <c r="H267" t="s">
        <v>2051</v>
      </c>
      <c r="I267" t="s">
        <v>53</v>
      </c>
      <c r="J267" t="s">
        <v>67</v>
      </c>
      <c r="K267" t="s">
        <v>68</v>
      </c>
      <c r="L267" t="s">
        <v>2052</v>
      </c>
      <c r="M267" t="s">
        <v>2064</v>
      </c>
      <c r="N267">
        <v>0</v>
      </c>
      <c r="O267">
        <v>0</v>
      </c>
      <c r="P267">
        <v>0</v>
      </c>
      <c r="Q267">
        <v>900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 t="s">
        <v>369</v>
      </c>
      <c r="AH267" s="21" t="s">
        <v>3424</v>
      </c>
      <c r="AI267" s="21">
        <v>67.5</v>
      </c>
      <c r="AJ267" s="21">
        <v>100</v>
      </c>
      <c r="AK267" s="21" t="s">
        <v>2055</v>
      </c>
      <c r="AL267" t="s">
        <v>70</v>
      </c>
      <c r="AM267" t="s">
        <v>2029</v>
      </c>
    </row>
    <row r="268" spans="1:39" ht="15" hidden="1" thickTop="1" x14ac:dyDescent="0.35">
      <c r="A268" t="s">
        <v>3266</v>
      </c>
      <c r="B268" t="s">
        <v>3290</v>
      </c>
      <c r="C268" t="s">
        <v>92</v>
      </c>
      <c r="D268" t="s">
        <v>3291</v>
      </c>
      <c r="E268" t="s">
        <v>119</v>
      </c>
      <c r="F268">
        <v>1</v>
      </c>
      <c r="G268" t="s">
        <v>2050</v>
      </c>
      <c r="H268" t="s">
        <v>2051</v>
      </c>
      <c r="I268" t="s">
        <v>53</v>
      </c>
      <c r="J268" t="s">
        <v>67</v>
      </c>
      <c r="K268" t="s">
        <v>68</v>
      </c>
      <c r="L268" t="s">
        <v>2052</v>
      </c>
      <c r="M268" t="s">
        <v>2063</v>
      </c>
      <c r="N268">
        <v>0</v>
      </c>
      <c r="O268">
        <v>0</v>
      </c>
      <c r="P268">
        <v>0</v>
      </c>
      <c r="Q268">
        <v>1020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370</v>
      </c>
      <c r="AH268" s="21" t="s">
        <v>3424</v>
      </c>
      <c r="AI268" s="21">
        <v>76.500000000000014</v>
      </c>
      <c r="AJ268" s="21">
        <v>100</v>
      </c>
      <c r="AK268" s="21" t="s">
        <v>2054</v>
      </c>
      <c r="AL268" t="s">
        <v>70</v>
      </c>
      <c r="AM268" t="s">
        <v>2027</v>
      </c>
    </row>
    <row r="269" spans="1:39" ht="15" hidden="1" thickTop="1" x14ac:dyDescent="0.35">
      <c r="A269" t="s">
        <v>3268</v>
      </c>
      <c r="B269" t="s">
        <v>3292</v>
      </c>
      <c r="C269" t="s">
        <v>86</v>
      </c>
      <c r="D269" t="s">
        <v>3293</v>
      </c>
      <c r="E269" t="s">
        <v>72</v>
      </c>
      <c r="F269">
        <v>1</v>
      </c>
      <c r="G269" t="s">
        <v>2050</v>
      </c>
      <c r="H269" t="s">
        <v>2051</v>
      </c>
      <c r="I269" t="s">
        <v>53</v>
      </c>
      <c r="J269" t="s">
        <v>73</v>
      </c>
      <c r="K269" t="s">
        <v>68</v>
      </c>
      <c r="L269" t="s">
        <v>2052</v>
      </c>
      <c r="M269" t="s">
        <v>2083</v>
      </c>
      <c r="N269">
        <v>0</v>
      </c>
      <c r="O269">
        <v>0</v>
      </c>
      <c r="P269">
        <v>0</v>
      </c>
      <c r="Q269">
        <v>960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t="s">
        <v>371</v>
      </c>
      <c r="AH269" s="21" t="s">
        <v>3424</v>
      </c>
      <c r="AI269" s="21">
        <v>72.000000000000014</v>
      </c>
      <c r="AJ269" s="21">
        <v>100</v>
      </c>
      <c r="AK269" s="21" t="s">
        <v>2054</v>
      </c>
      <c r="AL269" t="s">
        <v>75</v>
      </c>
      <c r="AM269" t="s">
        <v>2029</v>
      </c>
    </row>
    <row r="270" spans="1:39" ht="15" hidden="1" thickTop="1" x14ac:dyDescent="0.35">
      <c r="A270" t="s">
        <v>3269</v>
      </c>
      <c r="B270" t="s">
        <v>3294</v>
      </c>
      <c r="C270" t="s">
        <v>66</v>
      </c>
      <c r="D270" t="s">
        <v>3295</v>
      </c>
      <c r="E270" t="s">
        <v>559</v>
      </c>
      <c r="F270">
        <v>1</v>
      </c>
      <c r="G270" t="s">
        <v>2050</v>
      </c>
      <c r="H270" t="s">
        <v>2051</v>
      </c>
      <c r="I270" t="s">
        <v>53</v>
      </c>
      <c r="J270" t="s">
        <v>67</v>
      </c>
      <c r="K270" t="s">
        <v>68</v>
      </c>
      <c r="L270" t="s">
        <v>2052</v>
      </c>
      <c r="M270" t="s">
        <v>2064</v>
      </c>
      <c r="N270">
        <v>0</v>
      </c>
      <c r="O270">
        <v>0</v>
      </c>
      <c r="P270">
        <v>0</v>
      </c>
      <c r="Q270">
        <v>900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t="s">
        <v>372</v>
      </c>
      <c r="AH270" s="21" t="s">
        <v>3424</v>
      </c>
      <c r="AI270" s="21">
        <v>67.5</v>
      </c>
      <c r="AJ270" s="21">
        <v>100</v>
      </c>
      <c r="AK270" s="21" t="s">
        <v>2054</v>
      </c>
      <c r="AL270" t="s">
        <v>70</v>
      </c>
      <c r="AM270" t="s">
        <v>2030</v>
      </c>
    </row>
    <row r="271" spans="1:39" ht="15" hidden="1" thickTop="1" x14ac:dyDescent="0.35">
      <c r="A271" t="s">
        <v>3276</v>
      </c>
      <c r="B271" t="s">
        <v>3303</v>
      </c>
      <c r="C271" t="s">
        <v>92</v>
      </c>
      <c r="D271" t="s">
        <v>3304</v>
      </c>
      <c r="E271" t="s">
        <v>559</v>
      </c>
      <c r="F271">
        <v>1</v>
      </c>
      <c r="G271" t="s">
        <v>2050</v>
      </c>
      <c r="H271" t="s">
        <v>2051</v>
      </c>
      <c r="I271" t="s">
        <v>53</v>
      </c>
      <c r="J271" t="s">
        <v>67</v>
      </c>
      <c r="K271" t="s">
        <v>68</v>
      </c>
      <c r="L271" t="s">
        <v>2052</v>
      </c>
      <c r="M271" t="s">
        <v>2053</v>
      </c>
      <c r="N271">
        <v>0</v>
      </c>
      <c r="O271">
        <v>0</v>
      </c>
      <c r="P271">
        <v>0</v>
      </c>
      <c r="Q271">
        <v>1440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373</v>
      </c>
      <c r="AH271" s="21" t="s">
        <v>3424</v>
      </c>
      <c r="AI271" s="21">
        <v>107.92500000000001</v>
      </c>
      <c r="AJ271" s="21">
        <v>100</v>
      </c>
      <c r="AK271" s="21" t="s">
        <v>2054</v>
      </c>
      <c r="AL271" t="s">
        <v>70</v>
      </c>
      <c r="AM271" t="s">
        <v>2031</v>
      </c>
    </row>
    <row r="272" spans="1:39" ht="15" hidden="1" thickTop="1" x14ac:dyDescent="0.35">
      <c r="A272" t="s">
        <v>3281</v>
      </c>
      <c r="B272" t="s">
        <v>3308</v>
      </c>
      <c r="C272" t="s">
        <v>78</v>
      </c>
      <c r="D272" t="s">
        <v>3309</v>
      </c>
      <c r="E272" t="s">
        <v>559</v>
      </c>
      <c r="F272">
        <v>1</v>
      </c>
      <c r="G272" t="s">
        <v>2050</v>
      </c>
      <c r="H272" t="s">
        <v>2051</v>
      </c>
      <c r="I272" t="s">
        <v>53</v>
      </c>
      <c r="J272" t="s">
        <v>67</v>
      </c>
      <c r="K272" t="s">
        <v>68</v>
      </c>
      <c r="L272" t="s">
        <v>2052</v>
      </c>
      <c r="M272" t="s">
        <v>2053</v>
      </c>
      <c r="N272">
        <v>0</v>
      </c>
      <c r="O272">
        <v>0</v>
      </c>
      <c r="P272">
        <v>0</v>
      </c>
      <c r="Q272">
        <v>1440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374</v>
      </c>
      <c r="AH272" s="21" t="s">
        <v>3427</v>
      </c>
      <c r="AI272" s="21">
        <v>107.92500000000001</v>
      </c>
      <c r="AJ272" s="21">
        <v>100</v>
      </c>
      <c r="AK272" s="21" t="s">
        <v>2055</v>
      </c>
      <c r="AL272" t="s">
        <v>70</v>
      </c>
      <c r="AM272" t="s">
        <v>2028</v>
      </c>
    </row>
    <row r="273" spans="1:39" ht="15" hidden="1" thickTop="1" x14ac:dyDescent="0.35">
      <c r="A273" t="s">
        <v>3289</v>
      </c>
      <c r="B273" t="s">
        <v>3314</v>
      </c>
      <c r="C273" t="s">
        <v>76</v>
      </c>
      <c r="D273" t="s">
        <v>3315</v>
      </c>
      <c r="E273" t="s">
        <v>119</v>
      </c>
      <c r="F273">
        <v>1</v>
      </c>
      <c r="G273" t="s">
        <v>2050</v>
      </c>
      <c r="H273" t="s">
        <v>2051</v>
      </c>
      <c r="I273" t="s">
        <v>53</v>
      </c>
      <c r="J273" t="s">
        <v>67</v>
      </c>
      <c r="K273" t="s">
        <v>68</v>
      </c>
      <c r="L273" t="s">
        <v>2052</v>
      </c>
      <c r="M273" t="s">
        <v>2064</v>
      </c>
      <c r="N273">
        <v>0</v>
      </c>
      <c r="O273">
        <v>0</v>
      </c>
      <c r="P273">
        <v>0</v>
      </c>
      <c r="Q273">
        <v>900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375</v>
      </c>
      <c r="AH273" s="21" t="s">
        <v>3427</v>
      </c>
      <c r="AI273" s="21">
        <v>67.5</v>
      </c>
      <c r="AJ273" s="21">
        <v>100</v>
      </c>
      <c r="AK273" s="21" t="s">
        <v>2054</v>
      </c>
      <c r="AL273" t="s">
        <v>70</v>
      </c>
      <c r="AM273" t="s">
        <v>2028</v>
      </c>
    </row>
    <row r="274" spans="1:39" ht="15" hidden="1" thickTop="1" x14ac:dyDescent="0.35">
      <c r="A274" t="s">
        <v>3300</v>
      </c>
      <c r="B274" t="s">
        <v>3324</v>
      </c>
      <c r="C274" t="s">
        <v>76</v>
      </c>
      <c r="D274" t="s">
        <v>3325</v>
      </c>
      <c r="E274" t="s">
        <v>559</v>
      </c>
      <c r="F274">
        <v>1</v>
      </c>
      <c r="G274" t="s">
        <v>2050</v>
      </c>
      <c r="H274" t="s">
        <v>2051</v>
      </c>
      <c r="I274" t="s">
        <v>53</v>
      </c>
      <c r="J274" t="s">
        <v>67</v>
      </c>
      <c r="K274" t="s">
        <v>68</v>
      </c>
      <c r="L274" t="s">
        <v>2052</v>
      </c>
      <c r="M274" t="s">
        <v>2053</v>
      </c>
      <c r="N274">
        <v>0</v>
      </c>
      <c r="O274">
        <v>0</v>
      </c>
      <c r="P274">
        <v>0</v>
      </c>
      <c r="Q274">
        <v>1440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376</v>
      </c>
      <c r="AH274" s="21" t="s">
        <v>3425</v>
      </c>
      <c r="AI274" s="21">
        <v>107.92500000000001</v>
      </c>
      <c r="AJ274" s="21">
        <v>100</v>
      </c>
      <c r="AK274" s="21" t="s">
        <v>2054</v>
      </c>
      <c r="AL274" t="s">
        <v>70</v>
      </c>
      <c r="AM274" t="s">
        <v>2028</v>
      </c>
    </row>
    <row r="275" spans="1:39" ht="15" hidden="1" thickTop="1" x14ac:dyDescent="0.35">
      <c r="A275" t="s">
        <v>3301</v>
      </c>
      <c r="B275" t="s">
        <v>3326</v>
      </c>
      <c r="C275" t="s">
        <v>86</v>
      </c>
      <c r="D275" t="s">
        <v>3327</v>
      </c>
      <c r="E275" t="s">
        <v>72</v>
      </c>
      <c r="F275">
        <v>2</v>
      </c>
      <c r="G275" t="s">
        <v>2050</v>
      </c>
      <c r="H275" t="s">
        <v>2051</v>
      </c>
      <c r="I275" t="s">
        <v>53</v>
      </c>
      <c r="J275" t="s">
        <v>73</v>
      </c>
      <c r="K275" t="s">
        <v>68</v>
      </c>
      <c r="L275" t="s">
        <v>2052</v>
      </c>
      <c r="M275" t="s">
        <v>2053</v>
      </c>
      <c r="N275">
        <v>0</v>
      </c>
      <c r="O275">
        <v>0</v>
      </c>
      <c r="P275">
        <v>0</v>
      </c>
      <c r="Q275">
        <v>1440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377</v>
      </c>
      <c r="AH275" s="21" t="s">
        <v>3424</v>
      </c>
      <c r="AI275" s="21">
        <v>107.92500000000001</v>
      </c>
      <c r="AJ275" s="21">
        <v>100</v>
      </c>
      <c r="AK275" s="21" t="s">
        <v>2054</v>
      </c>
      <c r="AL275" t="s">
        <v>75</v>
      </c>
      <c r="AM275" t="s">
        <v>2029</v>
      </c>
    </row>
    <row r="276" spans="1:39" ht="15" hidden="1" thickTop="1" x14ac:dyDescent="0.35">
      <c r="A276" t="s">
        <v>3310</v>
      </c>
      <c r="B276" t="s">
        <v>3336</v>
      </c>
      <c r="C276" t="s">
        <v>76</v>
      </c>
      <c r="D276" t="s">
        <v>3337</v>
      </c>
      <c r="E276" t="s">
        <v>559</v>
      </c>
      <c r="F276">
        <v>1</v>
      </c>
      <c r="G276" t="s">
        <v>2050</v>
      </c>
      <c r="H276" t="s">
        <v>2051</v>
      </c>
      <c r="I276" t="s">
        <v>53</v>
      </c>
      <c r="J276" t="s">
        <v>67</v>
      </c>
      <c r="K276" t="s">
        <v>68</v>
      </c>
      <c r="L276" t="s">
        <v>2052</v>
      </c>
      <c r="M276" t="s">
        <v>2053</v>
      </c>
      <c r="N276">
        <v>0</v>
      </c>
      <c r="O276">
        <v>0</v>
      </c>
      <c r="P276">
        <v>0</v>
      </c>
      <c r="Q276">
        <v>1440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378</v>
      </c>
      <c r="AH276" s="21" t="s">
        <v>3424</v>
      </c>
      <c r="AI276" s="21">
        <v>107.92500000000001</v>
      </c>
      <c r="AJ276" s="21">
        <v>100</v>
      </c>
      <c r="AK276" s="21" t="s">
        <v>2054</v>
      </c>
      <c r="AL276" t="s">
        <v>70</v>
      </c>
      <c r="AM276" t="s">
        <v>2029</v>
      </c>
    </row>
    <row r="277" spans="1:39" ht="15" hidden="1" thickTop="1" x14ac:dyDescent="0.35">
      <c r="A277" t="s">
        <v>3317</v>
      </c>
      <c r="B277" t="s">
        <v>3338</v>
      </c>
      <c r="C277" t="s">
        <v>102</v>
      </c>
      <c r="D277" t="s">
        <v>3339</v>
      </c>
      <c r="E277" t="s">
        <v>559</v>
      </c>
      <c r="F277">
        <v>1</v>
      </c>
      <c r="G277" t="s">
        <v>2050</v>
      </c>
      <c r="H277" t="s">
        <v>2051</v>
      </c>
      <c r="I277" t="s">
        <v>53</v>
      </c>
      <c r="J277" t="s">
        <v>67</v>
      </c>
      <c r="K277" t="s">
        <v>68</v>
      </c>
      <c r="L277" t="s">
        <v>2052</v>
      </c>
      <c r="M277" t="s">
        <v>2053</v>
      </c>
      <c r="N277">
        <v>0</v>
      </c>
      <c r="O277">
        <v>0</v>
      </c>
      <c r="P277">
        <v>0</v>
      </c>
      <c r="Q277">
        <v>1440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379</v>
      </c>
      <c r="AH277" s="21" t="s">
        <v>3424</v>
      </c>
      <c r="AI277" s="21">
        <v>107.92500000000001</v>
      </c>
      <c r="AJ277" s="21">
        <v>100</v>
      </c>
      <c r="AK277" s="21" t="s">
        <v>2054</v>
      </c>
      <c r="AL277" t="s">
        <v>70</v>
      </c>
      <c r="AM277" t="s">
        <v>2027</v>
      </c>
    </row>
    <row r="278" spans="1:39" ht="15" hidden="1" thickTop="1" x14ac:dyDescent="0.35">
      <c r="A278" t="s">
        <v>3318</v>
      </c>
      <c r="B278" t="s">
        <v>3340</v>
      </c>
      <c r="C278" t="s">
        <v>102</v>
      </c>
      <c r="D278" t="s">
        <v>3341</v>
      </c>
      <c r="E278" t="s">
        <v>559</v>
      </c>
      <c r="F278">
        <v>1</v>
      </c>
      <c r="G278" t="s">
        <v>2050</v>
      </c>
      <c r="H278" t="s">
        <v>2051</v>
      </c>
      <c r="I278" t="s">
        <v>53</v>
      </c>
      <c r="J278" t="s">
        <v>67</v>
      </c>
      <c r="K278" t="s">
        <v>68</v>
      </c>
      <c r="L278" t="s">
        <v>2052</v>
      </c>
      <c r="M278" t="s">
        <v>2053</v>
      </c>
      <c r="N278">
        <v>0</v>
      </c>
      <c r="O278">
        <v>0</v>
      </c>
      <c r="P278">
        <v>0</v>
      </c>
      <c r="Q278">
        <v>1440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380</v>
      </c>
      <c r="AH278" s="21" t="s">
        <v>3425</v>
      </c>
      <c r="AI278" s="21">
        <v>107.92500000000001</v>
      </c>
      <c r="AJ278" s="21">
        <v>100</v>
      </c>
      <c r="AK278" s="21" t="s">
        <v>2054</v>
      </c>
      <c r="AL278" t="s">
        <v>70</v>
      </c>
      <c r="AM278" t="s">
        <v>2028</v>
      </c>
    </row>
    <row r="279" spans="1:39" ht="15" hidden="1" thickTop="1" x14ac:dyDescent="0.35">
      <c r="A279" t="s">
        <v>2620</v>
      </c>
      <c r="B279" t="s">
        <v>3342</v>
      </c>
      <c r="C279" t="s">
        <v>66</v>
      </c>
      <c r="D279" t="s">
        <v>3343</v>
      </c>
      <c r="E279" t="s">
        <v>559</v>
      </c>
      <c r="F279">
        <v>2</v>
      </c>
      <c r="G279" t="s">
        <v>2050</v>
      </c>
      <c r="H279" t="s">
        <v>2051</v>
      </c>
      <c r="I279" t="s">
        <v>53</v>
      </c>
      <c r="J279" t="s">
        <v>67</v>
      </c>
      <c r="K279" t="s">
        <v>68</v>
      </c>
      <c r="L279" t="s">
        <v>2052</v>
      </c>
      <c r="M279" t="s">
        <v>2053</v>
      </c>
      <c r="N279">
        <v>0</v>
      </c>
      <c r="O279">
        <v>0</v>
      </c>
      <c r="P279">
        <v>0</v>
      </c>
      <c r="Q279">
        <v>1440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381</v>
      </c>
      <c r="AH279" s="21" t="s">
        <v>3425</v>
      </c>
      <c r="AI279" s="21">
        <v>107.92500000000001</v>
      </c>
      <c r="AJ279" s="21">
        <v>100</v>
      </c>
      <c r="AK279" s="21" t="s">
        <v>2054</v>
      </c>
      <c r="AL279" t="s">
        <v>70</v>
      </c>
      <c r="AM279" t="s">
        <v>2028</v>
      </c>
    </row>
    <row r="280" spans="1:39" ht="15" hidden="1" thickTop="1" x14ac:dyDescent="0.35">
      <c r="A280" t="s">
        <v>3319</v>
      </c>
      <c r="B280" t="s">
        <v>3344</v>
      </c>
      <c r="C280" t="s">
        <v>78</v>
      </c>
      <c r="D280" t="s">
        <v>3345</v>
      </c>
      <c r="E280" t="s">
        <v>559</v>
      </c>
      <c r="F280">
        <v>1</v>
      </c>
      <c r="G280" t="s">
        <v>2050</v>
      </c>
      <c r="H280" t="s">
        <v>2051</v>
      </c>
      <c r="I280" t="s">
        <v>53</v>
      </c>
      <c r="J280" t="s">
        <v>67</v>
      </c>
      <c r="K280" t="s">
        <v>68</v>
      </c>
      <c r="L280" t="s">
        <v>2052</v>
      </c>
      <c r="M280" t="s">
        <v>2064</v>
      </c>
      <c r="N280">
        <v>0</v>
      </c>
      <c r="O280">
        <v>0</v>
      </c>
      <c r="P280">
        <v>0</v>
      </c>
      <c r="Q280">
        <v>900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382</v>
      </c>
      <c r="AH280" s="21" t="s">
        <v>3424</v>
      </c>
      <c r="AI280" s="21">
        <v>67.5</v>
      </c>
      <c r="AJ280" s="21">
        <v>100</v>
      </c>
      <c r="AK280" s="21" t="s">
        <v>2055</v>
      </c>
      <c r="AL280" t="s">
        <v>70</v>
      </c>
      <c r="AM280" t="s">
        <v>2028</v>
      </c>
    </row>
    <row r="281" spans="1:39" ht="15" hidden="1" thickTop="1" x14ac:dyDescent="0.35">
      <c r="A281" t="s">
        <v>2622</v>
      </c>
      <c r="B281" t="s">
        <v>3347</v>
      </c>
      <c r="C281" t="s">
        <v>78</v>
      </c>
      <c r="D281" t="s">
        <v>3348</v>
      </c>
      <c r="E281" t="s">
        <v>559</v>
      </c>
      <c r="F281">
        <v>2</v>
      </c>
      <c r="G281" t="s">
        <v>2050</v>
      </c>
      <c r="H281" t="s">
        <v>2051</v>
      </c>
      <c r="I281" t="s">
        <v>53</v>
      </c>
      <c r="J281" t="s">
        <v>67</v>
      </c>
      <c r="K281" t="s">
        <v>68</v>
      </c>
      <c r="L281" t="s">
        <v>2052</v>
      </c>
      <c r="M281" t="s">
        <v>2053</v>
      </c>
      <c r="N281">
        <v>0</v>
      </c>
      <c r="O281">
        <v>0</v>
      </c>
      <c r="P281">
        <v>0</v>
      </c>
      <c r="Q281">
        <v>1440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383</v>
      </c>
      <c r="AH281" s="21" t="s">
        <v>3425</v>
      </c>
      <c r="AI281" s="21">
        <v>107.92500000000001</v>
      </c>
      <c r="AJ281" s="21">
        <v>100</v>
      </c>
      <c r="AK281" s="21" t="s">
        <v>2054</v>
      </c>
      <c r="AL281" t="s">
        <v>70</v>
      </c>
      <c r="AM281" t="s">
        <v>2028</v>
      </c>
    </row>
    <row r="282" spans="1:39" ht="15" hidden="1" thickTop="1" x14ac:dyDescent="0.35">
      <c r="A282" t="s">
        <v>2623</v>
      </c>
      <c r="B282" t="s">
        <v>3352</v>
      </c>
      <c r="C282" t="s">
        <v>100</v>
      </c>
      <c r="D282" t="s">
        <v>3353</v>
      </c>
      <c r="E282" t="s">
        <v>559</v>
      </c>
      <c r="F282">
        <v>1</v>
      </c>
      <c r="G282" t="s">
        <v>2050</v>
      </c>
      <c r="H282" t="s">
        <v>2051</v>
      </c>
      <c r="I282" t="s">
        <v>53</v>
      </c>
      <c r="J282" t="s">
        <v>67</v>
      </c>
      <c r="K282" t="s">
        <v>68</v>
      </c>
      <c r="L282" t="s">
        <v>2052</v>
      </c>
      <c r="M282" t="s">
        <v>2053</v>
      </c>
      <c r="N282">
        <v>0</v>
      </c>
      <c r="O282">
        <v>0</v>
      </c>
      <c r="P282">
        <v>0</v>
      </c>
      <c r="Q282">
        <v>1440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384</v>
      </c>
      <c r="AH282" s="21" t="s">
        <v>3425</v>
      </c>
      <c r="AI282" s="21">
        <v>107.92500000000001</v>
      </c>
      <c r="AJ282" s="21">
        <v>100</v>
      </c>
      <c r="AK282" s="21" t="s">
        <v>2054</v>
      </c>
      <c r="AL282" t="s">
        <v>70</v>
      </c>
      <c r="AM282" t="s">
        <v>2031</v>
      </c>
    </row>
    <row r="283" spans="1:39" ht="15" hidden="1" thickTop="1" x14ac:dyDescent="0.35">
      <c r="A283" t="s">
        <v>3328</v>
      </c>
      <c r="B283" t="s">
        <v>3354</v>
      </c>
      <c r="C283" t="s">
        <v>86</v>
      </c>
      <c r="D283" t="s">
        <v>3355</v>
      </c>
      <c r="E283" t="s">
        <v>72</v>
      </c>
      <c r="F283">
        <v>1</v>
      </c>
      <c r="G283" t="s">
        <v>2050</v>
      </c>
      <c r="H283" t="s">
        <v>2051</v>
      </c>
      <c r="I283" t="s">
        <v>53</v>
      </c>
      <c r="J283" t="s">
        <v>73</v>
      </c>
      <c r="K283" t="s">
        <v>68</v>
      </c>
      <c r="L283" t="s">
        <v>2052</v>
      </c>
      <c r="M283" t="s">
        <v>2053</v>
      </c>
      <c r="N283">
        <v>0</v>
      </c>
      <c r="O283">
        <v>0</v>
      </c>
      <c r="P283">
        <v>0</v>
      </c>
      <c r="Q283">
        <v>1440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t="s">
        <v>385</v>
      </c>
      <c r="AH283" s="21" t="s">
        <v>3427</v>
      </c>
      <c r="AI283" s="21">
        <v>107.92500000000001</v>
      </c>
      <c r="AJ283" s="21">
        <v>100</v>
      </c>
      <c r="AK283" s="21" t="s">
        <v>2054</v>
      </c>
      <c r="AL283" t="s">
        <v>75</v>
      </c>
      <c r="AM283" t="s">
        <v>2027</v>
      </c>
    </row>
    <row r="284" spans="1:39" ht="15" hidden="1" thickTop="1" x14ac:dyDescent="0.35">
      <c r="A284" t="s">
        <v>3329</v>
      </c>
      <c r="B284" t="s">
        <v>3356</v>
      </c>
      <c r="C284" t="s">
        <v>71</v>
      </c>
      <c r="D284" t="s">
        <v>3357</v>
      </c>
      <c r="E284" t="s">
        <v>72</v>
      </c>
      <c r="F284">
        <v>1</v>
      </c>
      <c r="G284" t="s">
        <v>2050</v>
      </c>
      <c r="H284" t="s">
        <v>2051</v>
      </c>
      <c r="I284" t="s">
        <v>53</v>
      </c>
      <c r="J284" t="s">
        <v>73</v>
      </c>
      <c r="K284" t="s">
        <v>68</v>
      </c>
      <c r="L284" t="s">
        <v>2052</v>
      </c>
      <c r="M284" t="s">
        <v>2053</v>
      </c>
      <c r="N284">
        <v>0</v>
      </c>
      <c r="O284">
        <v>0</v>
      </c>
      <c r="P284">
        <v>0</v>
      </c>
      <c r="Q284">
        <v>1440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t="s">
        <v>386</v>
      </c>
      <c r="AH284" s="21" t="s">
        <v>3424</v>
      </c>
      <c r="AI284" s="21">
        <v>107.92500000000001</v>
      </c>
      <c r="AJ284" s="21">
        <v>100</v>
      </c>
      <c r="AK284" s="21" t="s">
        <v>2054</v>
      </c>
      <c r="AL284" t="s">
        <v>75</v>
      </c>
      <c r="AM284" t="s">
        <v>2028</v>
      </c>
    </row>
    <row r="285" spans="1:39" ht="15" hidden="1" thickTop="1" x14ac:dyDescent="0.35">
      <c r="A285" t="s">
        <v>3330</v>
      </c>
      <c r="B285" t="s">
        <v>3358</v>
      </c>
      <c r="C285" t="s">
        <v>66</v>
      </c>
      <c r="D285" t="s">
        <v>3359</v>
      </c>
      <c r="E285" t="s">
        <v>559</v>
      </c>
      <c r="F285">
        <v>1</v>
      </c>
      <c r="G285" t="s">
        <v>2050</v>
      </c>
      <c r="H285" t="s">
        <v>2051</v>
      </c>
      <c r="I285" t="s">
        <v>53</v>
      </c>
      <c r="J285" t="s">
        <v>67</v>
      </c>
      <c r="K285" t="s">
        <v>68</v>
      </c>
      <c r="L285" t="s">
        <v>2052</v>
      </c>
      <c r="M285" t="s">
        <v>2053</v>
      </c>
      <c r="N285">
        <v>0</v>
      </c>
      <c r="O285">
        <v>0</v>
      </c>
      <c r="P285">
        <v>0</v>
      </c>
      <c r="Q285">
        <v>1440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387</v>
      </c>
      <c r="AH285" s="21" t="s">
        <v>3425</v>
      </c>
      <c r="AI285" s="21">
        <v>107.92500000000001</v>
      </c>
      <c r="AJ285" s="21">
        <v>100</v>
      </c>
      <c r="AK285" s="21" t="s">
        <v>2054</v>
      </c>
      <c r="AL285" t="s">
        <v>70</v>
      </c>
      <c r="AM285" t="s">
        <v>2028</v>
      </c>
    </row>
    <row r="286" spans="1:39" ht="15" hidden="1" thickTop="1" x14ac:dyDescent="0.35">
      <c r="A286" t="s">
        <v>3335</v>
      </c>
      <c r="B286" t="s">
        <v>3361</v>
      </c>
      <c r="C286" t="s">
        <v>76</v>
      </c>
      <c r="D286" t="s">
        <v>3362</v>
      </c>
      <c r="E286" t="s">
        <v>559</v>
      </c>
      <c r="F286">
        <v>2</v>
      </c>
      <c r="G286" t="s">
        <v>2050</v>
      </c>
      <c r="H286" t="s">
        <v>2051</v>
      </c>
      <c r="I286" t="s">
        <v>53</v>
      </c>
      <c r="J286" t="s">
        <v>67</v>
      </c>
      <c r="K286" t="s">
        <v>68</v>
      </c>
      <c r="L286" t="s">
        <v>2052</v>
      </c>
      <c r="M286" t="s">
        <v>2064</v>
      </c>
      <c r="N286">
        <v>1</v>
      </c>
      <c r="O286">
        <v>52</v>
      </c>
      <c r="P286">
        <v>5.78</v>
      </c>
      <c r="Q286">
        <v>900</v>
      </c>
      <c r="R286">
        <v>1</v>
      </c>
      <c r="S286">
        <v>52</v>
      </c>
      <c r="T286">
        <v>5.78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t="s">
        <v>388</v>
      </c>
      <c r="AH286" s="21" t="s">
        <v>3424</v>
      </c>
      <c r="AI286" s="21">
        <v>67.5</v>
      </c>
      <c r="AJ286" s="21">
        <v>94.222222222222229</v>
      </c>
      <c r="AK286" s="21" t="s">
        <v>2055</v>
      </c>
      <c r="AL286" t="s">
        <v>70</v>
      </c>
      <c r="AM286" t="s">
        <v>2029</v>
      </c>
    </row>
    <row r="287" spans="1:39" ht="15" hidden="1" thickTop="1" x14ac:dyDescent="0.35">
      <c r="A287" t="s">
        <v>3351</v>
      </c>
      <c r="B287" t="s">
        <v>3369</v>
      </c>
      <c r="C287" t="s">
        <v>100</v>
      </c>
      <c r="D287" t="s">
        <v>3370</v>
      </c>
      <c r="E287" t="s">
        <v>559</v>
      </c>
      <c r="F287">
        <v>1</v>
      </c>
      <c r="G287" t="s">
        <v>2050</v>
      </c>
      <c r="H287" t="s">
        <v>2051</v>
      </c>
      <c r="I287" t="s">
        <v>53</v>
      </c>
      <c r="J287" t="s">
        <v>67</v>
      </c>
      <c r="K287" t="s">
        <v>68</v>
      </c>
      <c r="L287" t="s">
        <v>2052</v>
      </c>
      <c r="M287" t="s">
        <v>2053</v>
      </c>
      <c r="N287">
        <v>0</v>
      </c>
      <c r="O287">
        <v>0</v>
      </c>
      <c r="P287">
        <v>0</v>
      </c>
      <c r="Q287">
        <v>1440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389</v>
      </c>
      <c r="AH287" s="21" t="s">
        <v>3427</v>
      </c>
      <c r="AI287" s="21">
        <v>107.92500000000001</v>
      </c>
      <c r="AJ287" s="21">
        <v>100</v>
      </c>
      <c r="AK287" s="21" t="s">
        <v>2054</v>
      </c>
      <c r="AL287" t="s">
        <v>70</v>
      </c>
      <c r="AM287" t="s">
        <v>2031</v>
      </c>
    </row>
    <row r="288" spans="1:39" ht="15" hidden="1" thickTop="1" x14ac:dyDescent="0.35">
      <c r="A288" t="s">
        <v>3367</v>
      </c>
      <c r="B288" t="s">
        <v>3371</v>
      </c>
      <c r="C288" t="s">
        <v>100</v>
      </c>
      <c r="D288" t="s">
        <v>3372</v>
      </c>
      <c r="E288" t="s">
        <v>559</v>
      </c>
      <c r="F288">
        <v>1</v>
      </c>
      <c r="G288" t="s">
        <v>2050</v>
      </c>
      <c r="H288" t="s">
        <v>2051</v>
      </c>
      <c r="I288" t="s">
        <v>53</v>
      </c>
      <c r="J288" t="s">
        <v>67</v>
      </c>
      <c r="K288" t="s">
        <v>68</v>
      </c>
      <c r="L288" t="s">
        <v>2052</v>
      </c>
      <c r="M288" t="s">
        <v>2064</v>
      </c>
      <c r="N288">
        <v>0</v>
      </c>
      <c r="O288">
        <v>0</v>
      </c>
      <c r="P288">
        <v>0</v>
      </c>
      <c r="Q288">
        <v>900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390</v>
      </c>
      <c r="AH288" s="21" t="s">
        <v>3424</v>
      </c>
      <c r="AI288" s="21">
        <v>67.5</v>
      </c>
      <c r="AJ288" s="21">
        <v>100</v>
      </c>
      <c r="AK288" s="21" t="s">
        <v>2054</v>
      </c>
      <c r="AL288" t="s">
        <v>70</v>
      </c>
      <c r="AM288" t="s">
        <v>2028</v>
      </c>
    </row>
    <row r="289" spans="1:39" ht="15" hidden="1" thickTop="1" x14ac:dyDescent="0.35">
      <c r="A289" t="s">
        <v>3368</v>
      </c>
      <c r="B289" t="s">
        <v>3373</v>
      </c>
      <c r="C289" t="s">
        <v>92</v>
      </c>
      <c r="D289" t="s">
        <v>3374</v>
      </c>
      <c r="E289" t="s">
        <v>119</v>
      </c>
      <c r="F289">
        <v>1</v>
      </c>
      <c r="G289" t="s">
        <v>2050</v>
      </c>
      <c r="H289" t="s">
        <v>2051</v>
      </c>
      <c r="I289" t="s">
        <v>53</v>
      </c>
      <c r="J289" t="s">
        <v>67</v>
      </c>
      <c r="K289" t="s">
        <v>68</v>
      </c>
      <c r="L289" t="s">
        <v>2052</v>
      </c>
      <c r="M289" t="s">
        <v>2064</v>
      </c>
      <c r="N289">
        <v>0</v>
      </c>
      <c r="O289">
        <v>0</v>
      </c>
      <c r="P289">
        <v>0</v>
      </c>
      <c r="Q289">
        <v>900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391</v>
      </c>
      <c r="AH289" s="21" t="s">
        <v>3425</v>
      </c>
      <c r="AI289" s="21">
        <v>67.5</v>
      </c>
      <c r="AJ289" s="21">
        <v>100</v>
      </c>
      <c r="AK289" s="21" t="s">
        <v>2054</v>
      </c>
      <c r="AL289" t="s">
        <v>70</v>
      </c>
      <c r="AM289" t="s">
        <v>2030</v>
      </c>
    </row>
    <row r="290" spans="1:39" ht="15" thickTop="1" x14ac:dyDescent="0.35">
      <c r="AH290" s="21"/>
      <c r="AI290" s="21"/>
      <c r="AJ290" s="21"/>
      <c r="AK290" s="21"/>
    </row>
    <row r="291" spans="1:39" x14ac:dyDescent="0.35">
      <c r="AH291" s="21"/>
      <c r="AI291" s="21"/>
      <c r="AJ291" s="21"/>
      <c r="AK291" s="21"/>
    </row>
    <row r="292" spans="1:39" x14ac:dyDescent="0.35">
      <c r="AH292" s="21"/>
      <c r="AI292" s="21"/>
      <c r="AJ292" s="21"/>
      <c r="AK292" s="21"/>
    </row>
    <row r="293" spans="1:39" x14ac:dyDescent="0.35">
      <c r="AH293" s="21"/>
      <c r="AI293" s="21"/>
      <c r="AJ293" s="21"/>
      <c r="AK293" s="21"/>
    </row>
    <row r="294" spans="1:39" x14ac:dyDescent="0.35">
      <c r="AH294" s="21"/>
      <c r="AI294" s="21"/>
      <c r="AJ294" s="21"/>
      <c r="AK294" s="21"/>
    </row>
    <row r="295" spans="1:39" x14ac:dyDescent="0.35">
      <c r="AH295" s="21"/>
      <c r="AI295" s="21"/>
      <c r="AJ295" s="21"/>
      <c r="AK295" s="21"/>
    </row>
    <row r="296" spans="1:39" x14ac:dyDescent="0.35">
      <c r="AH296" s="21"/>
      <c r="AI296" s="21"/>
      <c r="AJ296" s="21"/>
      <c r="AK296" s="21"/>
    </row>
    <row r="297" spans="1:39" x14ac:dyDescent="0.35">
      <c r="AH297" s="21"/>
      <c r="AI297" s="21"/>
      <c r="AJ297" s="21"/>
      <c r="AK297" s="21"/>
    </row>
    <row r="298" spans="1:39" x14ac:dyDescent="0.35">
      <c r="AH298" s="21"/>
      <c r="AI298" s="21"/>
      <c r="AJ298" s="21"/>
      <c r="AK298" s="21"/>
    </row>
    <row r="299" spans="1:39" x14ac:dyDescent="0.35">
      <c r="AH299" s="21"/>
      <c r="AI299" s="21"/>
      <c r="AJ299" s="21"/>
      <c r="AK299" s="21"/>
    </row>
    <row r="300" spans="1:39" x14ac:dyDescent="0.35">
      <c r="AH300" s="21"/>
      <c r="AI300" s="21"/>
      <c r="AJ300" s="21"/>
      <c r="AK300" s="21"/>
    </row>
    <row r="301" spans="1:39" x14ac:dyDescent="0.35">
      <c r="AH301" s="21"/>
      <c r="AI301" s="21"/>
      <c r="AJ301" s="21"/>
      <c r="AK301" s="21"/>
    </row>
    <row r="302" spans="1:39" x14ac:dyDescent="0.35">
      <c r="AH302" s="21"/>
      <c r="AI302" s="21"/>
      <c r="AJ302" s="21"/>
      <c r="AK302" s="21"/>
    </row>
    <row r="303" spans="1:39" x14ac:dyDescent="0.35">
      <c r="AH303" s="21"/>
      <c r="AI303" s="21"/>
      <c r="AJ303" s="21"/>
      <c r="AK303" s="21"/>
    </row>
    <row r="304" spans="1:39" x14ac:dyDescent="0.35">
      <c r="AH304" s="21"/>
      <c r="AI304" s="21"/>
      <c r="AJ304" s="21"/>
      <c r="AK304" s="21"/>
    </row>
    <row r="305" spans="34:37" x14ac:dyDescent="0.35">
      <c r="AH305" s="21"/>
      <c r="AI305" s="21"/>
      <c r="AJ305" s="21"/>
      <c r="AK305" s="21"/>
    </row>
    <row r="306" spans="34:37" x14ac:dyDescent="0.35">
      <c r="AH306" s="21"/>
      <c r="AI306" s="21"/>
      <c r="AJ306" s="21"/>
      <c r="AK306" s="21"/>
    </row>
    <row r="307" spans="34:37" x14ac:dyDescent="0.35">
      <c r="AH307" s="21"/>
      <c r="AI307" s="21"/>
      <c r="AJ307" s="21"/>
      <c r="AK307" s="21"/>
    </row>
    <row r="308" spans="34:37" x14ac:dyDescent="0.35">
      <c r="AH308" s="21"/>
      <c r="AI308" s="21"/>
      <c r="AJ308" s="21"/>
      <c r="AK308" s="21"/>
    </row>
    <row r="309" spans="34:37" x14ac:dyDescent="0.35">
      <c r="AH309" s="21"/>
      <c r="AI309" s="21"/>
      <c r="AJ309" s="21"/>
      <c r="AK309" s="21"/>
    </row>
    <row r="310" spans="34:37" x14ac:dyDescent="0.35">
      <c r="AH310" s="21"/>
      <c r="AI310" s="21"/>
      <c r="AJ310" s="21"/>
      <c r="AK310" s="21"/>
    </row>
    <row r="311" spans="34:37" x14ac:dyDescent="0.35">
      <c r="AH311" s="21"/>
      <c r="AI311" s="21"/>
      <c r="AJ311" s="21"/>
      <c r="AK311" s="21"/>
    </row>
    <row r="312" spans="34:37" x14ac:dyDescent="0.35">
      <c r="AH312" s="21"/>
      <c r="AI312" s="21"/>
      <c r="AJ312" s="21"/>
      <c r="AK312" s="21"/>
    </row>
    <row r="313" spans="34:37" x14ac:dyDescent="0.35">
      <c r="AH313" s="21"/>
      <c r="AI313" s="21"/>
      <c r="AJ313" s="21"/>
      <c r="AK313" s="21"/>
    </row>
    <row r="314" spans="34:37" x14ac:dyDescent="0.35">
      <c r="AH314" s="21"/>
      <c r="AI314" s="21"/>
      <c r="AJ314" s="21"/>
      <c r="AK314" s="21"/>
    </row>
    <row r="315" spans="34:37" x14ac:dyDescent="0.35">
      <c r="AH315" s="21"/>
      <c r="AI315" s="21"/>
      <c r="AJ315" s="21"/>
      <c r="AK315" s="21"/>
    </row>
    <row r="316" spans="34:37" x14ac:dyDescent="0.35">
      <c r="AH316" s="21"/>
      <c r="AI316" s="21"/>
      <c r="AJ316" s="21"/>
      <c r="AK316" s="21"/>
    </row>
    <row r="317" spans="34:37" x14ac:dyDescent="0.35">
      <c r="AH317" s="21"/>
      <c r="AI317" s="21"/>
      <c r="AJ317" s="21"/>
      <c r="AK317" s="21"/>
    </row>
    <row r="318" spans="34:37" x14ac:dyDescent="0.35">
      <c r="AH318" s="21"/>
      <c r="AI318" s="21"/>
      <c r="AJ318" s="21"/>
      <c r="AK318" s="21"/>
    </row>
    <row r="319" spans="34:37" x14ac:dyDescent="0.35">
      <c r="AH319" s="21"/>
      <c r="AI319" s="21"/>
      <c r="AJ319" s="21"/>
      <c r="AK319" s="21"/>
    </row>
    <row r="320" spans="34:37" x14ac:dyDescent="0.35">
      <c r="AH320" s="21"/>
      <c r="AI320" s="21"/>
      <c r="AJ320" s="21"/>
      <c r="AK320" s="21"/>
    </row>
    <row r="321" spans="34:37" x14ac:dyDescent="0.35">
      <c r="AH321" s="21"/>
      <c r="AI321" s="21"/>
      <c r="AJ321" s="21"/>
      <c r="AK321" s="21"/>
    </row>
    <row r="322" spans="34:37" x14ac:dyDescent="0.35">
      <c r="AH322" s="21"/>
      <c r="AI322" s="21"/>
      <c r="AJ322" s="21"/>
      <c r="AK322" s="21"/>
    </row>
    <row r="323" spans="34:37" x14ac:dyDescent="0.35">
      <c r="AH323" s="21"/>
      <c r="AI323" s="21"/>
      <c r="AJ323" s="21"/>
      <c r="AK323" s="21"/>
    </row>
    <row r="324" spans="34:37" x14ac:dyDescent="0.35">
      <c r="AH324" s="21"/>
      <c r="AI324" s="21"/>
      <c r="AJ324" s="21"/>
      <c r="AK324" s="21"/>
    </row>
    <row r="325" spans="34:37" x14ac:dyDescent="0.35">
      <c r="AH325" s="21"/>
      <c r="AI325" s="21"/>
      <c r="AJ325" s="21"/>
      <c r="AK325" s="21"/>
    </row>
    <row r="326" spans="34:37" x14ac:dyDescent="0.35">
      <c r="AH326" s="21"/>
      <c r="AI326" s="21"/>
      <c r="AJ326" s="21"/>
      <c r="AK326" s="21"/>
    </row>
    <row r="327" spans="34:37" x14ac:dyDescent="0.35">
      <c r="AH327" s="21"/>
      <c r="AI327" s="21"/>
      <c r="AJ327" s="21"/>
      <c r="AK327" s="21"/>
    </row>
    <row r="328" spans="34:37" x14ac:dyDescent="0.35">
      <c r="AH328" s="21"/>
      <c r="AI328" s="21"/>
      <c r="AJ328" s="21"/>
      <c r="AK328" s="21"/>
    </row>
    <row r="329" spans="34:37" x14ac:dyDescent="0.35">
      <c r="AH329" s="21"/>
      <c r="AI329" s="21"/>
      <c r="AJ329" s="21"/>
      <c r="AK329" s="21"/>
    </row>
    <row r="330" spans="34:37" x14ac:dyDescent="0.35">
      <c r="AH330" s="21"/>
      <c r="AI330" s="21"/>
      <c r="AJ330" s="21"/>
      <c r="AK330" s="21"/>
    </row>
    <row r="331" spans="34:37" x14ac:dyDescent="0.35">
      <c r="AH331" s="21"/>
      <c r="AI331" s="21"/>
      <c r="AJ331" s="21"/>
      <c r="AK331" s="21"/>
    </row>
    <row r="332" spans="34:37" x14ac:dyDescent="0.35">
      <c r="AH332" s="21"/>
      <c r="AI332" s="21"/>
      <c r="AJ332" s="21"/>
      <c r="AK332" s="21"/>
    </row>
    <row r="333" spans="34:37" x14ac:dyDescent="0.35">
      <c r="AH333" s="21"/>
      <c r="AI333" s="21"/>
      <c r="AJ333" s="21"/>
      <c r="AK333" s="21"/>
    </row>
    <row r="334" spans="34:37" x14ac:dyDescent="0.35">
      <c r="AH334" s="21"/>
      <c r="AI334" s="21"/>
      <c r="AJ334" s="21"/>
      <c r="AK334" s="21"/>
    </row>
    <row r="335" spans="34:37" x14ac:dyDescent="0.35">
      <c r="AH335" s="21"/>
      <c r="AI335" s="21"/>
      <c r="AJ335" s="21"/>
      <c r="AK335" s="21"/>
    </row>
    <row r="336" spans="34:37" x14ac:dyDescent="0.35">
      <c r="AH336" s="21"/>
      <c r="AI336" s="21"/>
      <c r="AJ336" s="21"/>
      <c r="AK336" s="21"/>
    </row>
    <row r="337" spans="34:37" x14ac:dyDescent="0.35">
      <c r="AH337" s="21"/>
      <c r="AI337" s="21"/>
      <c r="AJ337" s="21"/>
      <c r="AK337" s="21"/>
    </row>
    <row r="338" spans="34:37" x14ac:dyDescent="0.35">
      <c r="AH338" s="21"/>
      <c r="AI338" s="21"/>
      <c r="AJ338" s="21"/>
      <c r="AK338" s="21"/>
    </row>
    <row r="339" spans="34:37" x14ac:dyDescent="0.35">
      <c r="AH339" s="21"/>
      <c r="AI339" s="21"/>
      <c r="AJ339" s="21"/>
      <c r="AK339" s="21"/>
    </row>
    <row r="340" spans="34:37" x14ac:dyDescent="0.35">
      <c r="AH340" s="21"/>
      <c r="AI340" s="21"/>
      <c r="AJ340" s="21"/>
      <c r="AK340" s="21"/>
    </row>
    <row r="341" spans="34:37" x14ac:dyDescent="0.35">
      <c r="AH341" s="21"/>
      <c r="AI341" s="21"/>
      <c r="AJ341" s="21"/>
      <c r="AK341" s="21"/>
    </row>
    <row r="342" spans="34:37" x14ac:dyDescent="0.35">
      <c r="AH342" s="21"/>
      <c r="AI342" s="21"/>
      <c r="AJ342" s="21"/>
      <c r="AK342" s="21"/>
    </row>
    <row r="343" spans="34:37" x14ac:dyDescent="0.35">
      <c r="AH343" s="21"/>
      <c r="AI343" s="21"/>
      <c r="AJ343" s="21"/>
      <c r="AK343" s="21"/>
    </row>
    <row r="344" spans="34:37" x14ac:dyDescent="0.35">
      <c r="AH344" s="21"/>
      <c r="AI344" s="21"/>
      <c r="AJ344" s="21"/>
      <c r="AK344" s="21"/>
    </row>
    <row r="345" spans="34:37" x14ac:dyDescent="0.35">
      <c r="AH345" s="21"/>
      <c r="AI345" s="21"/>
      <c r="AJ345" s="21"/>
      <c r="AK345" s="21"/>
    </row>
    <row r="346" spans="34:37" x14ac:dyDescent="0.35">
      <c r="AH346" s="21"/>
      <c r="AI346" s="21"/>
      <c r="AJ346" s="21"/>
      <c r="AK346" s="21"/>
    </row>
    <row r="347" spans="34:37" x14ac:dyDescent="0.35">
      <c r="AH347" s="21"/>
      <c r="AI347" s="21"/>
      <c r="AJ347" s="21"/>
      <c r="AK347" s="21"/>
    </row>
    <row r="348" spans="34:37" x14ac:dyDescent="0.35">
      <c r="AH348" s="21"/>
      <c r="AI348" s="21"/>
      <c r="AJ348" s="21"/>
      <c r="AK348" s="21"/>
    </row>
    <row r="349" spans="34:37" x14ac:dyDescent="0.35">
      <c r="AH349" s="21"/>
      <c r="AI349" s="21"/>
      <c r="AJ349" s="21"/>
      <c r="AK349" s="21"/>
    </row>
    <row r="350" spans="34:37" x14ac:dyDescent="0.35">
      <c r="AH350" s="21"/>
      <c r="AI350" s="21"/>
      <c r="AJ350" s="21"/>
      <c r="AK350" s="21"/>
    </row>
    <row r="351" spans="34:37" x14ac:dyDescent="0.35">
      <c r="AH351" s="21"/>
      <c r="AI351" s="21"/>
      <c r="AJ351" s="21"/>
      <c r="AK351" s="21"/>
    </row>
    <row r="352" spans="34:37" x14ac:dyDescent="0.35">
      <c r="AH352" s="21"/>
      <c r="AI352" s="21"/>
      <c r="AJ352" s="21"/>
      <c r="AK352" s="21"/>
    </row>
    <row r="353" spans="34:37" x14ac:dyDescent="0.35">
      <c r="AH353" s="21"/>
      <c r="AI353" s="21"/>
      <c r="AJ353" s="21"/>
      <c r="AK353" s="21"/>
    </row>
    <row r="354" spans="34:37" x14ac:dyDescent="0.35">
      <c r="AH354" s="21"/>
      <c r="AI354" s="21"/>
      <c r="AJ354" s="21"/>
      <c r="AK354" s="21"/>
    </row>
    <row r="355" spans="34:37" x14ac:dyDescent="0.35">
      <c r="AH355" s="21"/>
      <c r="AI355" s="21"/>
      <c r="AJ355" s="21"/>
      <c r="AK355" s="21"/>
    </row>
    <row r="356" spans="34:37" x14ac:dyDescent="0.35">
      <c r="AH356" s="21"/>
      <c r="AI356" s="21"/>
      <c r="AJ356" s="21"/>
      <c r="AK356" s="21"/>
    </row>
    <row r="357" spans="34:37" x14ac:dyDescent="0.35">
      <c r="AH357" s="21"/>
      <c r="AI357" s="21"/>
      <c r="AJ357" s="21"/>
      <c r="AK357" s="21"/>
    </row>
    <row r="358" spans="34:37" x14ac:dyDescent="0.35">
      <c r="AH358" s="21"/>
      <c r="AI358" s="21"/>
      <c r="AJ358" s="21"/>
      <c r="AK358" s="21"/>
    </row>
    <row r="359" spans="34:37" x14ac:dyDescent="0.35">
      <c r="AH359" s="21"/>
      <c r="AI359" s="21"/>
      <c r="AJ359" s="21"/>
      <c r="AK359" s="21"/>
    </row>
    <row r="360" spans="34:37" x14ac:dyDescent="0.35">
      <c r="AH360" s="21"/>
      <c r="AI360" s="21"/>
      <c r="AJ360" s="21"/>
      <c r="AK360" s="21"/>
    </row>
    <row r="361" spans="34:37" x14ac:dyDescent="0.35">
      <c r="AH361" s="21"/>
      <c r="AI361" s="21"/>
      <c r="AJ361" s="21"/>
      <c r="AK361" s="21"/>
    </row>
    <row r="362" spans="34:37" x14ac:dyDescent="0.35">
      <c r="AH362" s="21"/>
      <c r="AI362" s="21"/>
      <c r="AJ362" s="21"/>
      <c r="AK362" s="21"/>
    </row>
    <row r="363" spans="34:37" x14ac:dyDescent="0.35">
      <c r="AH363" s="21"/>
      <c r="AI363" s="21"/>
      <c r="AJ363" s="21"/>
      <c r="AK363" s="21"/>
    </row>
    <row r="364" spans="34:37" x14ac:dyDescent="0.35">
      <c r="AH364" s="21"/>
      <c r="AI364" s="21"/>
      <c r="AJ364" s="21"/>
      <c r="AK364" s="21"/>
    </row>
    <row r="365" spans="34:37" x14ac:dyDescent="0.35">
      <c r="AH365" s="21"/>
      <c r="AI365" s="21"/>
      <c r="AJ365" s="21"/>
      <c r="AK365" s="21"/>
    </row>
    <row r="366" spans="34:37" x14ac:dyDescent="0.35">
      <c r="AH366" s="21"/>
      <c r="AI366" s="21"/>
      <c r="AJ366" s="21"/>
      <c r="AK366" s="21"/>
    </row>
    <row r="367" spans="34:37" x14ac:dyDescent="0.35">
      <c r="AH367" s="21"/>
      <c r="AI367" s="21"/>
      <c r="AJ367" s="21"/>
      <c r="AK367" s="21"/>
    </row>
    <row r="368" spans="34:37" x14ac:dyDescent="0.35">
      <c r="AH368" s="21"/>
      <c r="AI368" s="21"/>
      <c r="AJ368" s="21"/>
      <c r="AK368" s="21"/>
    </row>
    <row r="369" spans="34:37" x14ac:dyDescent="0.35">
      <c r="AH369" s="21"/>
      <c r="AI369" s="21"/>
      <c r="AJ369" s="21"/>
      <c r="AK369" s="21"/>
    </row>
    <row r="370" spans="34:37" x14ac:dyDescent="0.35">
      <c r="AH370" s="21"/>
      <c r="AI370" s="21"/>
      <c r="AJ370" s="21"/>
      <c r="AK370" s="21"/>
    </row>
    <row r="371" spans="34:37" x14ac:dyDescent="0.35">
      <c r="AH371" s="21"/>
      <c r="AI371" s="21"/>
      <c r="AJ371" s="21"/>
      <c r="AK371" s="21"/>
    </row>
    <row r="372" spans="34:37" x14ac:dyDescent="0.35">
      <c r="AH372" s="21"/>
      <c r="AI372" s="21"/>
      <c r="AJ372" s="21"/>
      <c r="AK372" s="21"/>
    </row>
    <row r="373" spans="34:37" x14ac:dyDescent="0.35">
      <c r="AH373" s="21"/>
      <c r="AI373" s="21"/>
      <c r="AJ373" s="21"/>
      <c r="AK373" s="21"/>
    </row>
    <row r="374" spans="34:37" x14ac:dyDescent="0.35">
      <c r="AH374" s="21"/>
      <c r="AI374" s="21"/>
      <c r="AJ374" s="21"/>
      <c r="AK374" s="21"/>
    </row>
    <row r="375" spans="34:37" x14ac:dyDescent="0.35">
      <c r="AH375" s="21"/>
      <c r="AI375" s="21"/>
      <c r="AJ375" s="21"/>
      <c r="AK375" s="21"/>
    </row>
    <row r="376" spans="34:37" x14ac:dyDescent="0.35">
      <c r="AH376" s="21"/>
      <c r="AI376" s="21"/>
      <c r="AJ376" s="21"/>
      <c r="AK376" s="21"/>
    </row>
    <row r="377" spans="34:37" x14ac:dyDescent="0.35">
      <c r="AH377" s="21"/>
      <c r="AI377" s="21"/>
      <c r="AJ377" s="21"/>
      <c r="AK377" s="21"/>
    </row>
    <row r="378" spans="34:37" x14ac:dyDescent="0.35">
      <c r="AH378" s="21"/>
      <c r="AI378" s="21"/>
      <c r="AJ378" s="21"/>
      <c r="AK378" s="21"/>
    </row>
    <row r="379" spans="34:37" x14ac:dyDescent="0.35">
      <c r="AH379" s="21"/>
      <c r="AI379" s="21"/>
      <c r="AJ379" s="21"/>
      <c r="AK379" s="21"/>
    </row>
    <row r="380" spans="34:37" x14ac:dyDescent="0.35">
      <c r="AH380" s="21"/>
      <c r="AI380" s="21"/>
      <c r="AJ380" s="21"/>
      <c r="AK380" s="21"/>
    </row>
    <row r="381" spans="34:37" x14ac:dyDescent="0.35">
      <c r="AH381" s="21"/>
      <c r="AI381" s="21"/>
      <c r="AJ381" s="21"/>
      <c r="AK381" s="21"/>
    </row>
    <row r="382" spans="34:37" x14ac:dyDescent="0.35">
      <c r="AH382" s="21"/>
      <c r="AI382" s="21"/>
      <c r="AJ382" s="21"/>
      <c r="AK382" s="21"/>
    </row>
    <row r="383" spans="34:37" x14ac:dyDescent="0.35">
      <c r="AH383" s="21"/>
      <c r="AI383" s="21"/>
      <c r="AJ383" s="21"/>
      <c r="AK383" s="21"/>
    </row>
    <row r="384" spans="34:37" x14ac:dyDescent="0.35">
      <c r="AH384" s="21"/>
      <c r="AI384" s="21"/>
      <c r="AJ384" s="21"/>
      <c r="AK384" s="21"/>
    </row>
    <row r="385" spans="34:37" x14ac:dyDescent="0.35">
      <c r="AH385" s="21"/>
      <c r="AI385" s="21"/>
      <c r="AJ385" s="21"/>
      <c r="AK385" s="21"/>
    </row>
    <row r="386" spans="34:37" x14ac:dyDescent="0.35">
      <c r="AH386" s="21"/>
      <c r="AI386" s="21"/>
      <c r="AJ386" s="21"/>
      <c r="AK386" s="21"/>
    </row>
    <row r="387" spans="34:37" x14ac:dyDescent="0.35">
      <c r="AH387" s="21"/>
      <c r="AI387" s="21"/>
      <c r="AJ387" s="21"/>
      <c r="AK387" s="21"/>
    </row>
    <row r="388" spans="34:37" x14ac:dyDescent="0.35">
      <c r="AH388" s="21"/>
      <c r="AI388" s="21"/>
      <c r="AJ388" s="21"/>
      <c r="AK388" s="21"/>
    </row>
    <row r="389" spans="34:37" x14ac:dyDescent="0.35">
      <c r="AH389" s="21"/>
      <c r="AI389" s="21"/>
      <c r="AJ389" s="21"/>
      <c r="AK389" s="21"/>
    </row>
    <row r="390" spans="34:37" x14ac:dyDescent="0.35">
      <c r="AH390" s="21"/>
      <c r="AI390" s="21"/>
      <c r="AJ390" s="21"/>
      <c r="AK390" s="21"/>
    </row>
    <row r="391" spans="34:37" x14ac:dyDescent="0.35">
      <c r="AH391" s="21"/>
      <c r="AI391" s="21"/>
      <c r="AJ391" s="21"/>
      <c r="AK391" s="21"/>
    </row>
    <row r="392" spans="34:37" x14ac:dyDescent="0.35">
      <c r="AH392" s="21"/>
      <c r="AI392" s="21"/>
      <c r="AJ392" s="21"/>
      <c r="AK392" s="21"/>
    </row>
    <row r="393" spans="34:37" x14ac:dyDescent="0.35">
      <c r="AH393" s="21"/>
      <c r="AI393" s="21"/>
      <c r="AJ393" s="21"/>
      <c r="AK393" s="21"/>
    </row>
    <row r="394" spans="34:37" x14ac:dyDescent="0.35">
      <c r="AH394" s="21"/>
      <c r="AI394" s="21"/>
      <c r="AJ394" s="21"/>
      <c r="AK394" s="21"/>
    </row>
    <row r="395" spans="34:37" x14ac:dyDescent="0.35">
      <c r="AH395" s="21"/>
      <c r="AI395" s="21"/>
      <c r="AJ395" s="21"/>
      <c r="AK395" s="21"/>
    </row>
    <row r="396" spans="34:37" x14ac:dyDescent="0.35">
      <c r="AH396" s="21"/>
      <c r="AI396" s="21"/>
      <c r="AJ396" s="21"/>
      <c r="AK396" s="21"/>
    </row>
    <row r="397" spans="34:37" x14ac:dyDescent="0.35">
      <c r="AH397" s="21"/>
      <c r="AI397" s="21"/>
      <c r="AJ397" s="21"/>
      <c r="AK397" s="21"/>
    </row>
    <row r="398" spans="34:37" x14ac:dyDescent="0.35">
      <c r="AH398" s="21"/>
      <c r="AI398" s="21"/>
      <c r="AJ398" s="21"/>
      <c r="AK398" s="21"/>
    </row>
    <row r="399" spans="34:37" x14ac:dyDescent="0.35">
      <c r="AH399" s="21"/>
      <c r="AI399" s="21"/>
      <c r="AJ399" s="21"/>
      <c r="AK399" s="21"/>
    </row>
    <row r="400" spans="34:37" x14ac:dyDescent="0.35">
      <c r="AH400" s="21"/>
      <c r="AI400" s="21"/>
      <c r="AJ400" s="21"/>
      <c r="AK400" s="21"/>
    </row>
    <row r="401" spans="34:37" x14ac:dyDescent="0.35">
      <c r="AH401" s="21"/>
      <c r="AI401" s="21"/>
      <c r="AJ401" s="21"/>
      <c r="AK401" s="21"/>
    </row>
    <row r="402" spans="34:37" x14ac:dyDescent="0.35">
      <c r="AH402" s="21"/>
      <c r="AI402" s="21"/>
      <c r="AJ402" s="21"/>
      <c r="AK402" s="21"/>
    </row>
    <row r="403" spans="34:37" x14ac:dyDescent="0.35">
      <c r="AH403" s="21"/>
      <c r="AI403" s="21"/>
      <c r="AJ403" s="21"/>
      <c r="AK403" s="21"/>
    </row>
    <row r="404" spans="34:37" x14ac:dyDescent="0.35">
      <c r="AH404" s="21"/>
      <c r="AI404" s="21"/>
      <c r="AJ404" s="21"/>
      <c r="AK404" s="21"/>
    </row>
    <row r="405" spans="34:37" x14ac:dyDescent="0.35">
      <c r="AH405" s="21"/>
      <c r="AI405" s="21"/>
      <c r="AJ405" s="21"/>
      <c r="AK405" s="21"/>
    </row>
    <row r="406" spans="34:37" x14ac:dyDescent="0.35">
      <c r="AH406" s="21"/>
      <c r="AI406" s="21"/>
      <c r="AJ406" s="21"/>
      <c r="AK406" s="21"/>
    </row>
    <row r="407" spans="34:37" x14ac:dyDescent="0.35">
      <c r="AH407" s="21"/>
      <c r="AI407" s="21"/>
      <c r="AJ407" s="21"/>
      <c r="AK407" s="21"/>
    </row>
    <row r="408" spans="34:37" x14ac:dyDescent="0.35">
      <c r="AH408" s="21"/>
      <c r="AI408" s="21"/>
      <c r="AJ408" s="21"/>
      <c r="AK408" s="21"/>
    </row>
    <row r="409" spans="34:37" x14ac:dyDescent="0.35">
      <c r="AH409" s="21"/>
      <c r="AI409" s="21"/>
      <c r="AJ409" s="21"/>
      <c r="AK409" s="21"/>
    </row>
    <row r="410" spans="34:37" x14ac:dyDescent="0.35">
      <c r="AH410" s="21"/>
      <c r="AI410" s="21"/>
      <c r="AJ410" s="21"/>
      <c r="AK410" s="21"/>
    </row>
    <row r="411" spans="34:37" x14ac:dyDescent="0.35">
      <c r="AH411" s="21"/>
      <c r="AI411" s="21"/>
      <c r="AJ411" s="21"/>
      <c r="AK411" s="21"/>
    </row>
    <row r="412" spans="34:37" x14ac:dyDescent="0.35">
      <c r="AH412" s="21"/>
      <c r="AI412" s="21"/>
      <c r="AJ412" s="21"/>
      <c r="AK412" s="21"/>
    </row>
    <row r="413" spans="34:37" x14ac:dyDescent="0.35">
      <c r="AH413" s="21"/>
      <c r="AI413" s="21"/>
      <c r="AJ413" s="21"/>
      <c r="AK413" s="21"/>
    </row>
    <row r="414" spans="34:37" x14ac:dyDescent="0.35">
      <c r="AH414" s="21"/>
      <c r="AI414" s="21"/>
      <c r="AJ414" s="21"/>
      <c r="AK414" s="21"/>
    </row>
    <row r="415" spans="34:37" x14ac:dyDescent="0.35">
      <c r="AH415" s="21"/>
      <c r="AI415" s="21"/>
      <c r="AJ415" s="21"/>
      <c r="AK415" s="21"/>
    </row>
    <row r="416" spans="34:37" x14ac:dyDescent="0.35">
      <c r="AH416" s="21"/>
      <c r="AI416" s="21"/>
      <c r="AJ416" s="21"/>
      <c r="AK416" s="21"/>
    </row>
    <row r="417" spans="34:37" x14ac:dyDescent="0.35">
      <c r="AH417" s="21"/>
      <c r="AI417" s="21"/>
      <c r="AJ417" s="21"/>
      <c r="AK417" s="21"/>
    </row>
    <row r="418" spans="34:37" x14ac:dyDescent="0.35">
      <c r="AH418" s="21"/>
      <c r="AI418" s="21"/>
      <c r="AJ418" s="21"/>
      <c r="AK418" s="21"/>
    </row>
    <row r="419" spans="34:37" x14ac:dyDescent="0.35">
      <c r="AH419" s="21"/>
      <c r="AI419" s="21"/>
      <c r="AJ419" s="21"/>
      <c r="AK419" s="21"/>
    </row>
    <row r="420" spans="34:37" x14ac:dyDescent="0.35">
      <c r="AH420" s="21"/>
      <c r="AI420" s="21"/>
      <c r="AJ420" s="21"/>
      <c r="AK420" s="21"/>
    </row>
    <row r="421" spans="34:37" x14ac:dyDescent="0.35">
      <c r="AH421" s="21"/>
      <c r="AI421" s="21"/>
      <c r="AJ421" s="21"/>
      <c r="AK421" s="21"/>
    </row>
    <row r="422" spans="34:37" x14ac:dyDescent="0.35">
      <c r="AH422" s="21"/>
      <c r="AI422" s="21"/>
      <c r="AJ422" s="21"/>
      <c r="AK422" s="21"/>
    </row>
    <row r="423" spans="34:37" x14ac:dyDescent="0.35">
      <c r="AH423" s="21"/>
      <c r="AI423" s="21"/>
      <c r="AJ423" s="21"/>
      <c r="AK423" s="21"/>
    </row>
    <row r="424" spans="34:37" x14ac:dyDescent="0.35">
      <c r="AH424" s="21"/>
      <c r="AI424" s="21"/>
      <c r="AJ424" s="21"/>
      <c r="AK424" s="21"/>
    </row>
    <row r="425" spans="34:37" x14ac:dyDescent="0.35">
      <c r="AH425" s="21"/>
      <c r="AI425" s="21"/>
      <c r="AJ425" s="21"/>
      <c r="AK425" s="21"/>
    </row>
    <row r="426" spans="34:37" x14ac:dyDescent="0.35">
      <c r="AH426" s="21"/>
      <c r="AI426" s="21"/>
      <c r="AJ426" s="21"/>
      <c r="AK426" s="21"/>
    </row>
    <row r="427" spans="34:37" x14ac:dyDescent="0.35">
      <c r="AH427" s="21"/>
      <c r="AI427" s="21"/>
      <c r="AJ427" s="21"/>
      <c r="AK427" s="21"/>
    </row>
    <row r="428" spans="34:37" x14ac:dyDescent="0.35">
      <c r="AH428" s="21"/>
      <c r="AI428" s="21"/>
      <c r="AJ428" s="21"/>
      <c r="AK428" s="21"/>
    </row>
    <row r="429" spans="34:37" x14ac:dyDescent="0.35">
      <c r="AH429" s="21"/>
      <c r="AI429" s="21"/>
      <c r="AJ429" s="21"/>
      <c r="AK429" s="21"/>
    </row>
    <row r="430" spans="34:37" x14ac:dyDescent="0.35">
      <c r="AH430" s="21"/>
      <c r="AI430" s="21"/>
      <c r="AJ430" s="21"/>
      <c r="AK430" s="21"/>
    </row>
    <row r="431" spans="34:37" x14ac:dyDescent="0.35">
      <c r="AH431" s="21"/>
      <c r="AI431" s="21"/>
      <c r="AJ431" s="21"/>
      <c r="AK431" s="21"/>
    </row>
    <row r="432" spans="34:37" x14ac:dyDescent="0.35">
      <c r="AH432" s="21"/>
      <c r="AI432" s="21"/>
      <c r="AJ432" s="21"/>
      <c r="AK432" s="21"/>
    </row>
    <row r="433" spans="34:37" x14ac:dyDescent="0.35">
      <c r="AH433" s="21"/>
      <c r="AI433" s="21"/>
      <c r="AJ433" s="21"/>
      <c r="AK433" s="21"/>
    </row>
    <row r="434" spans="34:37" x14ac:dyDescent="0.35">
      <c r="AH434" s="21"/>
      <c r="AI434" s="21"/>
      <c r="AJ434" s="21"/>
      <c r="AK434" s="21"/>
    </row>
    <row r="435" spans="34:37" x14ac:dyDescent="0.35">
      <c r="AH435" s="21"/>
      <c r="AI435" s="21"/>
      <c r="AJ435" s="21"/>
      <c r="AK435" s="21"/>
    </row>
    <row r="436" spans="34:37" x14ac:dyDescent="0.35">
      <c r="AH436" s="21"/>
      <c r="AI436" s="21"/>
      <c r="AJ436" s="21"/>
      <c r="AK436" s="21"/>
    </row>
    <row r="437" spans="34:37" x14ac:dyDescent="0.35">
      <c r="AH437" s="21"/>
      <c r="AI437" s="21"/>
      <c r="AJ437" s="21"/>
      <c r="AK437" s="21"/>
    </row>
    <row r="438" spans="34:37" x14ac:dyDescent="0.35">
      <c r="AH438" s="21"/>
      <c r="AI438" s="21"/>
      <c r="AJ438" s="21"/>
      <c r="AK438" s="21"/>
    </row>
    <row r="439" spans="34:37" x14ac:dyDescent="0.35">
      <c r="AH439" s="21"/>
      <c r="AI439" s="21"/>
      <c r="AJ439" s="21"/>
      <c r="AK439" s="21"/>
    </row>
    <row r="440" spans="34:37" x14ac:dyDescent="0.35">
      <c r="AH440" s="21"/>
      <c r="AI440" s="21"/>
      <c r="AJ440" s="21"/>
      <c r="AK440" s="21"/>
    </row>
    <row r="441" spans="34:37" x14ac:dyDescent="0.35">
      <c r="AH441" s="21"/>
      <c r="AI441" s="21"/>
      <c r="AJ441" s="21"/>
      <c r="AK441" s="21"/>
    </row>
    <row r="442" spans="34:37" x14ac:dyDescent="0.35">
      <c r="AH442" s="21"/>
      <c r="AI442" s="21"/>
      <c r="AJ442" s="21"/>
      <c r="AK442" s="21"/>
    </row>
    <row r="443" spans="34:37" x14ac:dyDescent="0.35">
      <c r="AH443" s="21"/>
      <c r="AI443" s="21"/>
      <c r="AJ443" s="21"/>
      <c r="AK443" s="21"/>
    </row>
    <row r="444" spans="34:37" x14ac:dyDescent="0.35">
      <c r="AH444" s="21"/>
      <c r="AI444" s="21"/>
      <c r="AJ444" s="21"/>
      <c r="AK444" s="21"/>
    </row>
    <row r="445" spans="34:37" x14ac:dyDescent="0.35">
      <c r="AH445" s="21"/>
      <c r="AI445" s="21"/>
      <c r="AJ445" s="21"/>
      <c r="AK445" s="21"/>
    </row>
    <row r="446" spans="34:37" x14ac:dyDescent="0.35">
      <c r="AH446" s="21"/>
      <c r="AI446" s="21"/>
      <c r="AJ446" s="21"/>
      <c r="AK446" s="21"/>
    </row>
    <row r="447" spans="34:37" x14ac:dyDescent="0.35">
      <c r="AH447" s="21"/>
      <c r="AI447" s="21"/>
      <c r="AJ447" s="21"/>
      <c r="AK447" s="21"/>
    </row>
    <row r="448" spans="34:37" x14ac:dyDescent="0.35">
      <c r="AH448" s="21"/>
      <c r="AI448" s="21"/>
      <c r="AJ448" s="21"/>
      <c r="AK448" s="21"/>
    </row>
    <row r="449" spans="34:37" x14ac:dyDescent="0.35">
      <c r="AH449" s="21"/>
      <c r="AI449" s="21"/>
      <c r="AJ449" s="21"/>
      <c r="AK449" s="21"/>
    </row>
    <row r="450" spans="34:37" x14ac:dyDescent="0.35">
      <c r="AH450" s="21"/>
      <c r="AI450" s="21"/>
      <c r="AJ450" s="21"/>
      <c r="AK450" s="21"/>
    </row>
    <row r="451" spans="34:37" x14ac:dyDescent="0.35">
      <c r="AH451" s="21"/>
      <c r="AI451" s="21"/>
      <c r="AJ451" s="21"/>
      <c r="AK451" s="21"/>
    </row>
  </sheetData>
  <autoFilter ref="A6:AM451" xr:uid="{E4E54DAB-9D80-43FA-BB00-D0F8A0A8574E}">
    <filterColumn colId="8">
      <filters>
        <filter val="CRM"/>
      </filters>
    </filterColumn>
  </autoFilter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88685-C3C6-4EA8-A41B-16EB530A685E}">
  <sheetPr filterMode="1"/>
  <dimension ref="A1:AM451"/>
  <sheetViews>
    <sheetView workbookViewId="0">
      <selection activeCell="A290" sqref="A290:AM451"/>
    </sheetView>
  </sheetViews>
  <sheetFormatPr defaultRowHeight="14.5" x14ac:dyDescent="0.35"/>
  <cols>
    <col min="3" max="3" width="13.26953125" customWidth="1"/>
  </cols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3433</v>
      </c>
      <c r="D2" s="8" t="s">
        <v>51</v>
      </c>
      <c r="G2" t="s">
        <v>3433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B=283,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46" t="s">
        <v>12</v>
      </c>
      <c r="O6" s="147" t="s">
        <v>11</v>
      </c>
      <c r="P6" s="148" t="s">
        <v>10</v>
      </c>
      <c r="Q6" s="148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hidden="1" thickTop="1" x14ac:dyDescent="0.35">
      <c r="A7" t="s">
        <v>2087</v>
      </c>
      <c r="B7" t="s">
        <v>2088</v>
      </c>
      <c r="C7" t="s">
        <v>66</v>
      </c>
      <c r="D7" t="s">
        <v>2089</v>
      </c>
      <c r="E7" t="s">
        <v>559</v>
      </c>
      <c r="F7">
        <v>1</v>
      </c>
      <c r="G7" t="s">
        <v>2050</v>
      </c>
      <c r="H7" t="s">
        <v>2051</v>
      </c>
      <c r="I7" t="s">
        <v>53</v>
      </c>
      <c r="J7" t="s">
        <v>67</v>
      </c>
      <c r="K7" t="s">
        <v>68</v>
      </c>
      <c r="L7" t="s">
        <v>2052</v>
      </c>
      <c r="M7" t="s">
        <v>2064</v>
      </c>
      <c r="N7">
        <v>0</v>
      </c>
      <c r="O7">
        <v>0</v>
      </c>
      <c r="P7">
        <v>0</v>
      </c>
      <c r="Q7">
        <v>900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69</v>
      </c>
      <c r="AH7" s="21" t="s">
        <v>3424</v>
      </c>
      <c r="AI7" s="21">
        <v>67.5</v>
      </c>
      <c r="AJ7" s="21">
        <v>100</v>
      </c>
      <c r="AK7" s="21" t="s">
        <v>2054</v>
      </c>
      <c r="AL7" t="s">
        <v>70</v>
      </c>
      <c r="AM7" t="s">
        <v>2029</v>
      </c>
    </row>
    <row r="8" spans="1:39" ht="15" hidden="1" thickTop="1" x14ac:dyDescent="0.35">
      <c r="A8" t="s">
        <v>2090</v>
      </c>
      <c r="B8" t="s">
        <v>2091</v>
      </c>
      <c r="C8" t="s">
        <v>71</v>
      </c>
      <c r="D8" t="s">
        <v>2092</v>
      </c>
      <c r="E8" t="s">
        <v>72</v>
      </c>
      <c r="F8">
        <v>2</v>
      </c>
      <c r="G8" t="s">
        <v>2050</v>
      </c>
      <c r="H8" t="s">
        <v>2051</v>
      </c>
      <c r="I8" t="s">
        <v>53</v>
      </c>
      <c r="J8" t="s">
        <v>73</v>
      </c>
      <c r="K8" t="s">
        <v>68</v>
      </c>
      <c r="L8" t="s">
        <v>2052</v>
      </c>
      <c r="M8" t="s">
        <v>2093</v>
      </c>
      <c r="N8">
        <v>0</v>
      </c>
      <c r="O8">
        <v>0</v>
      </c>
      <c r="P8">
        <v>0</v>
      </c>
      <c r="Q8">
        <v>840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74</v>
      </c>
      <c r="AH8" s="21" t="s">
        <v>3424</v>
      </c>
      <c r="AI8" s="21">
        <v>63</v>
      </c>
      <c r="AJ8" s="21">
        <v>100</v>
      </c>
      <c r="AK8" s="21" t="s">
        <v>2055</v>
      </c>
      <c r="AL8" t="s">
        <v>75</v>
      </c>
      <c r="AM8" t="s">
        <v>2027</v>
      </c>
    </row>
    <row r="9" spans="1:39" ht="15" hidden="1" thickTop="1" x14ac:dyDescent="0.35">
      <c r="A9" t="s">
        <v>2056</v>
      </c>
      <c r="B9" t="s">
        <v>2095</v>
      </c>
      <c r="C9" t="s">
        <v>76</v>
      </c>
      <c r="D9" t="s">
        <v>2096</v>
      </c>
      <c r="E9" t="s">
        <v>559</v>
      </c>
      <c r="F9">
        <v>3</v>
      </c>
      <c r="G9" t="s">
        <v>2050</v>
      </c>
      <c r="H9" t="s">
        <v>2051</v>
      </c>
      <c r="I9" t="s">
        <v>53</v>
      </c>
      <c r="J9" t="s">
        <v>67</v>
      </c>
      <c r="K9" t="s">
        <v>68</v>
      </c>
      <c r="L9" t="s">
        <v>2052</v>
      </c>
      <c r="M9" t="s">
        <v>2064</v>
      </c>
      <c r="N9">
        <v>0</v>
      </c>
      <c r="O9">
        <v>0</v>
      </c>
      <c r="P9">
        <v>0</v>
      </c>
      <c r="Q9">
        <v>900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77</v>
      </c>
      <c r="AH9" s="21" t="s">
        <v>3424</v>
      </c>
      <c r="AI9" s="21">
        <v>67.5</v>
      </c>
      <c r="AJ9" s="21">
        <v>100</v>
      </c>
      <c r="AK9" s="21" t="s">
        <v>2055</v>
      </c>
      <c r="AL9" t="s">
        <v>70</v>
      </c>
      <c r="AM9" t="s">
        <v>2028</v>
      </c>
    </row>
    <row r="10" spans="1:39" ht="15" hidden="1" thickTop="1" x14ac:dyDescent="0.35">
      <c r="A10" t="s">
        <v>2057</v>
      </c>
      <c r="B10" t="s">
        <v>2098</v>
      </c>
      <c r="C10" t="s">
        <v>78</v>
      </c>
      <c r="D10" t="s">
        <v>2099</v>
      </c>
      <c r="E10" t="s">
        <v>559</v>
      </c>
      <c r="F10">
        <v>2</v>
      </c>
      <c r="G10" t="s">
        <v>2050</v>
      </c>
      <c r="H10" t="s">
        <v>2051</v>
      </c>
      <c r="I10" t="s">
        <v>53</v>
      </c>
      <c r="J10" t="s">
        <v>67</v>
      </c>
      <c r="K10" t="s">
        <v>68</v>
      </c>
      <c r="L10" t="s">
        <v>2052</v>
      </c>
      <c r="M10" t="s">
        <v>2064</v>
      </c>
      <c r="N10">
        <v>0</v>
      </c>
      <c r="O10">
        <v>0</v>
      </c>
      <c r="P10">
        <v>0</v>
      </c>
      <c r="Q10">
        <v>900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80</v>
      </c>
      <c r="AH10" s="21" t="s">
        <v>3424</v>
      </c>
      <c r="AI10" s="21">
        <v>67.5</v>
      </c>
      <c r="AJ10" s="21">
        <v>100</v>
      </c>
      <c r="AK10" s="21" t="s">
        <v>2055</v>
      </c>
      <c r="AL10" t="s">
        <v>70</v>
      </c>
      <c r="AM10" t="s">
        <v>2029</v>
      </c>
    </row>
    <row r="11" spans="1:39" ht="15" hidden="1" thickTop="1" x14ac:dyDescent="0.35">
      <c r="A11" t="s">
        <v>2058</v>
      </c>
      <c r="B11" t="s">
        <v>2101</v>
      </c>
      <c r="C11" t="s">
        <v>565</v>
      </c>
      <c r="D11" t="s">
        <v>2102</v>
      </c>
      <c r="E11" t="s">
        <v>559</v>
      </c>
      <c r="F11">
        <v>1</v>
      </c>
      <c r="G11" t="s">
        <v>2050</v>
      </c>
      <c r="H11" t="s">
        <v>2051</v>
      </c>
      <c r="I11" t="s">
        <v>53</v>
      </c>
      <c r="J11" t="s">
        <v>427</v>
      </c>
      <c r="K11" t="s">
        <v>68</v>
      </c>
      <c r="L11" t="s">
        <v>2052</v>
      </c>
      <c r="M11" t="s">
        <v>2053</v>
      </c>
      <c r="N11">
        <v>0</v>
      </c>
      <c r="O11">
        <v>0</v>
      </c>
      <c r="P11">
        <v>0</v>
      </c>
      <c r="Q11">
        <v>1440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83</v>
      </c>
      <c r="AH11" s="21" t="s">
        <v>3425</v>
      </c>
      <c r="AI11" s="21">
        <v>107.92500000000001</v>
      </c>
      <c r="AJ11" s="21">
        <v>100</v>
      </c>
      <c r="AK11" s="21" t="s">
        <v>2054</v>
      </c>
      <c r="AL11" t="s">
        <v>70</v>
      </c>
      <c r="AM11" t="s">
        <v>2029</v>
      </c>
    </row>
    <row r="12" spans="1:39" ht="15" hidden="1" thickTop="1" x14ac:dyDescent="0.35">
      <c r="A12" t="s">
        <v>2059</v>
      </c>
      <c r="B12" t="s">
        <v>2103</v>
      </c>
      <c r="C12" t="s">
        <v>565</v>
      </c>
      <c r="D12" t="s">
        <v>2104</v>
      </c>
      <c r="E12" t="s">
        <v>559</v>
      </c>
      <c r="F12">
        <v>2</v>
      </c>
      <c r="G12" t="s">
        <v>2050</v>
      </c>
      <c r="H12" t="s">
        <v>2051</v>
      </c>
      <c r="I12" t="s">
        <v>53</v>
      </c>
      <c r="J12" t="s">
        <v>427</v>
      </c>
      <c r="K12" t="s">
        <v>68</v>
      </c>
      <c r="L12" t="s">
        <v>2052</v>
      </c>
      <c r="M12" t="s">
        <v>2063</v>
      </c>
      <c r="N12">
        <v>0</v>
      </c>
      <c r="O12">
        <v>0</v>
      </c>
      <c r="P12">
        <v>0</v>
      </c>
      <c r="Q12">
        <v>1020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84</v>
      </c>
      <c r="AH12" s="21" t="s">
        <v>3425</v>
      </c>
      <c r="AI12" s="21">
        <v>76.500000000000014</v>
      </c>
      <c r="AJ12" s="21">
        <v>100</v>
      </c>
      <c r="AK12" s="21" t="s">
        <v>2054</v>
      </c>
      <c r="AL12" t="s">
        <v>70</v>
      </c>
      <c r="AM12" t="s">
        <v>2027</v>
      </c>
    </row>
    <row r="13" spans="1:39" ht="15" hidden="1" thickTop="1" x14ac:dyDescent="0.35">
      <c r="A13" t="s">
        <v>2105</v>
      </c>
      <c r="B13" t="s">
        <v>2107</v>
      </c>
      <c r="C13" t="s">
        <v>81</v>
      </c>
      <c r="D13" t="s">
        <v>2108</v>
      </c>
      <c r="E13" t="s">
        <v>559</v>
      </c>
      <c r="F13">
        <v>1</v>
      </c>
      <c r="G13" t="s">
        <v>2050</v>
      </c>
      <c r="H13" t="s">
        <v>2051</v>
      </c>
      <c r="I13" t="s">
        <v>53</v>
      </c>
      <c r="J13" t="s">
        <v>82</v>
      </c>
      <c r="K13" t="s">
        <v>68</v>
      </c>
      <c r="L13" t="s">
        <v>2052</v>
      </c>
      <c r="M13" t="s">
        <v>2100</v>
      </c>
      <c r="N13">
        <v>0</v>
      </c>
      <c r="O13">
        <v>0</v>
      </c>
      <c r="P13">
        <v>0</v>
      </c>
      <c r="Q13">
        <v>840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85</v>
      </c>
      <c r="AH13" s="21" t="s">
        <v>3425</v>
      </c>
      <c r="AI13" s="21">
        <v>62.999999999999986</v>
      </c>
      <c r="AJ13" s="21">
        <v>100</v>
      </c>
      <c r="AK13" s="21" t="s">
        <v>2055</v>
      </c>
      <c r="AL13" t="s">
        <v>70</v>
      </c>
      <c r="AM13" t="s">
        <v>2030</v>
      </c>
    </row>
    <row r="14" spans="1:39" ht="15" hidden="1" thickTop="1" x14ac:dyDescent="0.35">
      <c r="A14" t="s">
        <v>2106</v>
      </c>
      <c r="B14" t="s">
        <v>2109</v>
      </c>
      <c r="C14" t="s">
        <v>820</v>
      </c>
      <c r="D14" t="s">
        <v>2110</v>
      </c>
      <c r="E14" t="s">
        <v>72</v>
      </c>
      <c r="F14">
        <v>2</v>
      </c>
      <c r="G14" t="s">
        <v>2050</v>
      </c>
      <c r="H14" t="s">
        <v>2051</v>
      </c>
      <c r="I14" t="s">
        <v>53</v>
      </c>
      <c r="J14" t="s">
        <v>424</v>
      </c>
      <c r="K14" t="s">
        <v>68</v>
      </c>
      <c r="L14" t="s">
        <v>2052</v>
      </c>
      <c r="M14" t="s">
        <v>2053</v>
      </c>
      <c r="N14">
        <v>0</v>
      </c>
      <c r="O14">
        <v>0</v>
      </c>
      <c r="P14">
        <v>0</v>
      </c>
      <c r="Q14">
        <v>1440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87</v>
      </c>
      <c r="AH14" s="21" t="s">
        <v>3425</v>
      </c>
      <c r="AI14" s="21">
        <v>107.92500000000001</v>
      </c>
      <c r="AJ14" s="21">
        <v>100</v>
      </c>
      <c r="AK14" s="21" t="s">
        <v>2054</v>
      </c>
      <c r="AL14" t="s">
        <v>75</v>
      </c>
      <c r="AM14" t="s">
        <v>2027</v>
      </c>
    </row>
    <row r="15" spans="1:39" ht="15" hidden="1" thickTop="1" x14ac:dyDescent="0.35">
      <c r="A15" t="s">
        <v>2111</v>
      </c>
      <c r="B15" t="s">
        <v>2112</v>
      </c>
      <c r="C15" t="s">
        <v>78</v>
      </c>
      <c r="D15" t="s">
        <v>2113</v>
      </c>
      <c r="E15" t="s">
        <v>559</v>
      </c>
      <c r="F15">
        <v>1</v>
      </c>
      <c r="G15" t="s">
        <v>2050</v>
      </c>
      <c r="H15" t="s">
        <v>2051</v>
      </c>
      <c r="I15" t="s">
        <v>53</v>
      </c>
      <c r="J15" t="s">
        <v>67</v>
      </c>
      <c r="K15" t="s">
        <v>68</v>
      </c>
      <c r="L15" t="s">
        <v>2052</v>
      </c>
      <c r="M15" t="s">
        <v>2053</v>
      </c>
      <c r="N15">
        <v>0</v>
      </c>
      <c r="O15">
        <v>0</v>
      </c>
      <c r="P15">
        <v>0</v>
      </c>
      <c r="Q15">
        <v>1440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89</v>
      </c>
      <c r="AH15" s="21" t="s">
        <v>3425</v>
      </c>
      <c r="AI15" s="21">
        <v>107.92500000000001</v>
      </c>
      <c r="AJ15" s="21">
        <v>100</v>
      </c>
      <c r="AK15" s="21" t="s">
        <v>2054</v>
      </c>
      <c r="AL15" t="s">
        <v>70</v>
      </c>
      <c r="AM15" t="s">
        <v>2030</v>
      </c>
    </row>
    <row r="16" spans="1:39" ht="15" hidden="1" thickTop="1" x14ac:dyDescent="0.35">
      <c r="A16" t="s">
        <v>2114</v>
      </c>
      <c r="B16" t="s">
        <v>2116</v>
      </c>
      <c r="C16" t="s">
        <v>71</v>
      </c>
      <c r="D16" t="s">
        <v>2117</v>
      </c>
      <c r="E16" t="s">
        <v>72</v>
      </c>
      <c r="F16">
        <v>1</v>
      </c>
      <c r="G16" t="s">
        <v>2050</v>
      </c>
      <c r="H16" t="s">
        <v>2051</v>
      </c>
      <c r="I16" t="s">
        <v>53</v>
      </c>
      <c r="J16" t="s">
        <v>73</v>
      </c>
      <c r="K16" t="s">
        <v>68</v>
      </c>
      <c r="L16" t="s">
        <v>2052</v>
      </c>
      <c r="M16" t="s">
        <v>2053</v>
      </c>
      <c r="N16">
        <v>0</v>
      </c>
      <c r="O16">
        <v>0</v>
      </c>
      <c r="P16">
        <v>0</v>
      </c>
      <c r="Q16">
        <v>1440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90</v>
      </c>
      <c r="AH16" s="21" t="s">
        <v>3426</v>
      </c>
      <c r="AI16" s="21">
        <v>107.92500000000001</v>
      </c>
      <c r="AJ16" s="21">
        <v>100</v>
      </c>
      <c r="AK16" s="21" t="s">
        <v>2055</v>
      </c>
      <c r="AL16" t="s">
        <v>75</v>
      </c>
      <c r="AM16" t="s">
        <v>2028</v>
      </c>
    </row>
    <row r="17" spans="1:39" ht="15" hidden="1" thickTop="1" x14ac:dyDescent="0.35">
      <c r="A17" t="s">
        <v>2115</v>
      </c>
      <c r="B17" t="s">
        <v>2118</v>
      </c>
      <c r="C17" t="s">
        <v>66</v>
      </c>
      <c r="D17" t="s">
        <v>2119</v>
      </c>
      <c r="E17" t="s">
        <v>559</v>
      </c>
      <c r="F17">
        <v>2</v>
      </c>
      <c r="G17" t="s">
        <v>2050</v>
      </c>
      <c r="H17" t="s">
        <v>2051</v>
      </c>
      <c r="I17" t="s">
        <v>53</v>
      </c>
      <c r="J17" t="s">
        <v>67</v>
      </c>
      <c r="K17" t="s">
        <v>68</v>
      </c>
      <c r="L17" t="s">
        <v>2052</v>
      </c>
      <c r="M17" t="s">
        <v>2064</v>
      </c>
      <c r="N17">
        <v>0</v>
      </c>
      <c r="O17">
        <v>0</v>
      </c>
      <c r="P17">
        <v>0</v>
      </c>
      <c r="Q17">
        <v>900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91</v>
      </c>
      <c r="AH17" s="21" t="s">
        <v>3427</v>
      </c>
      <c r="AI17" s="21">
        <v>67.5</v>
      </c>
      <c r="AJ17" s="21">
        <v>100</v>
      </c>
      <c r="AK17" s="21" t="s">
        <v>2055</v>
      </c>
      <c r="AL17" t="s">
        <v>70</v>
      </c>
      <c r="AM17" t="s">
        <v>2029</v>
      </c>
    </row>
    <row r="18" spans="1:39" ht="15" hidden="1" thickTop="1" x14ac:dyDescent="0.35">
      <c r="A18" t="s">
        <v>2120</v>
      </c>
      <c r="B18" t="s">
        <v>2123</v>
      </c>
      <c r="C18" t="s">
        <v>66</v>
      </c>
      <c r="D18" t="s">
        <v>2124</v>
      </c>
      <c r="E18" t="s">
        <v>559</v>
      </c>
      <c r="F18">
        <v>1</v>
      </c>
      <c r="G18" t="s">
        <v>2050</v>
      </c>
      <c r="H18" t="s">
        <v>2051</v>
      </c>
      <c r="I18" t="s">
        <v>53</v>
      </c>
      <c r="J18" t="s">
        <v>67</v>
      </c>
      <c r="K18" t="s">
        <v>68</v>
      </c>
      <c r="L18" t="s">
        <v>2052</v>
      </c>
      <c r="M18" t="s">
        <v>2053</v>
      </c>
      <c r="N18">
        <v>0</v>
      </c>
      <c r="O18">
        <v>0</v>
      </c>
      <c r="P18">
        <v>0</v>
      </c>
      <c r="Q18">
        <v>1440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93</v>
      </c>
      <c r="AH18" s="21" t="s">
        <v>3427</v>
      </c>
      <c r="AI18" s="21">
        <v>107.92500000000001</v>
      </c>
      <c r="AJ18" s="21">
        <v>100</v>
      </c>
      <c r="AK18" s="21" t="s">
        <v>2054</v>
      </c>
      <c r="AL18" t="s">
        <v>70</v>
      </c>
      <c r="AM18" t="s">
        <v>2031</v>
      </c>
    </row>
    <row r="19" spans="1:39" ht="15" hidden="1" thickTop="1" x14ac:dyDescent="0.35">
      <c r="A19" t="s">
        <v>2121</v>
      </c>
      <c r="B19" t="s">
        <v>2125</v>
      </c>
      <c r="C19" t="s">
        <v>1515</v>
      </c>
      <c r="D19" t="s">
        <v>2126</v>
      </c>
      <c r="E19" t="s">
        <v>95</v>
      </c>
      <c r="F19">
        <v>1</v>
      </c>
      <c r="G19" t="s">
        <v>2050</v>
      </c>
      <c r="H19" t="s">
        <v>2051</v>
      </c>
      <c r="I19" t="s">
        <v>53</v>
      </c>
      <c r="J19" t="s">
        <v>1516</v>
      </c>
      <c r="K19" t="s">
        <v>68</v>
      </c>
      <c r="L19" t="s">
        <v>2052</v>
      </c>
      <c r="M19" t="s">
        <v>2053</v>
      </c>
      <c r="N19">
        <v>0</v>
      </c>
      <c r="O19">
        <v>0</v>
      </c>
      <c r="P19">
        <v>0</v>
      </c>
      <c r="Q19">
        <v>1440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97</v>
      </c>
      <c r="AH19" s="21" t="s">
        <v>3427</v>
      </c>
      <c r="AI19" s="21">
        <v>107.92500000000001</v>
      </c>
      <c r="AJ19" s="21">
        <v>100</v>
      </c>
      <c r="AK19" s="21" t="s">
        <v>2055</v>
      </c>
      <c r="AL19" t="s">
        <v>75</v>
      </c>
      <c r="AM19" t="s">
        <v>2027</v>
      </c>
    </row>
    <row r="20" spans="1:39" ht="15" hidden="1" thickTop="1" x14ac:dyDescent="0.35">
      <c r="A20" t="s">
        <v>2122</v>
      </c>
      <c r="B20" t="s">
        <v>2127</v>
      </c>
      <c r="C20" t="s">
        <v>71</v>
      </c>
      <c r="D20" t="s">
        <v>2128</v>
      </c>
      <c r="E20" t="s">
        <v>72</v>
      </c>
      <c r="F20">
        <v>1</v>
      </c>
      <c r="G20" t="s">
        <v>2050</v>
      </c>
      <c r="H20" t="s">
        <v>2051</v>
      </c>
      <c r="I20" t="s">
        <v>53</v>
      </c>
      <c r="J20" t="s">
        <v>73</v>
      </c>
      <c r="K20" t="s">
        <v>68</v>
      </c>
      <c r="L20" t="s">
        <v>2052</v>
      </c>
      <c r="M20" t="s">
        <v>2053</v>
      </c>
      <c r="N20">
        <v>0</v>
      </c>
      <c r="O20">
        <v>0</v>
      </c>
      <c r="P20">
        <v>0</v>
      </c>
      <c r="Q20">
        <v>1440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98</v>
      </c>
      <c r="AH20" s="21" t="s">
        <v>3427</v>
      </c>
      <c r="AI20" s="21">
        <v>107.92500000000001</v>
      </c>
      <c r="AJ20" s="21">
        <v>100</v>
      </c>
      <c r="AK20" s="21" t="s">
        <v>2054</v>
      </c>
      <c r="AL20" t="s">
        <v>75</v>
      </c>
      <c r="AM20" t="s">
        <v>2028</v>
      </c>
    </row>
    <row r="21" spans="1:39" ht="15" hidden="1" thickTop="1" x14ac:dyDescent="0.35">
      <c r="A21" t="s">
        <v>2129</v>
      </c>
      <c r="B21" t="s">
        <v>2132</v>
      </c>
      <c r="C21" t="s">
        <v>78</v>
      </c>
      <c r="D21" t="s">
        <v>2133</v>
      </c>
      <c r="E21" t="s">
        <v>559</v>
      </c>
      <c r="F21">
        <v>1</v>
      </c>
      <c r="G21" t="s">
        <v>2050</v>
      </c>
      <c r="H21" t="s">
        <v>2051</v>
      </c>
      <c r="I21" t="s">
        <v>53</v>
      </c>
      <c r="J21" t="s">
        <v>67</v>
      </c>
      <c r="K21" t="s">
        <v>68</v>
      </c>
      <c r="L21" t="s">
        <v>2052</v>
      </c>
      <c r="M21" t="s">
        <v>2053</v>
      </c>
      <c r="N21">
        <v>0</v>
      </c>
      <c r="O21">
        <v>0</v>
      </c>
      <c r="P21">
        <v>0</v>
      </c>
      <c r="Q21">
        <v>1440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99</v>
      </c>
      <c r="AH21" s="21" t="s">
        <v>3427</v>
      </c>
      <c r="AI21" s="21">
        <v>107.92500000000001</v>
      </c>
      <c r="AJ21" s="21">
        <v>100</v>
      </c>
      <c r="AK21" s="21" t="s">
        <v>2054</v>
      </c>
      <c r="AL21" t="s">
        <v>70</v>
      </c>
      <c r="AM21" t="s">
        <v>2027</v>
      </c>
    </row>
    <row r="22" spans="1:39" ht="15" hidden="1" thickTop="1" x14ac:dyDescent="0.35">
      <c r="A22" t="s">
        <v>2130</v>
      </c>
      <c r="B22" t="s">
        <v>2134</v>
      </c>
      <c r="C22" t="s">
        <v>100</v>
      </c>
      <c r="D22" t="s">
        <v>2135</v>
      </c>
      <c r="E22" t="s">
        <v>559</v>
      </c>
      <c r="F22">
        <v>1</v>
      </c>
      <c r="G22" t="s">
        <v>2050</v>
      </c>
      <c r="H22" t="s">
        <v>2051</v>
      </c>
      <c r="I22" t="s">
        <v>53</v>
      </c>
      <c r="J22" t="s">
        <v>67</v>
      </c>
      <c r="K22" t="s">
        <v>68</v>
      </c>
      <c r="L22" t="s">
        <v>2052</v>
      </c>
      <c r="M22" t="s">
        <v>2053</v>
      </c>
      <c r="N22">
        <v>0</v>
      </c>
      <c r="O22">
        <v>0</v>
      </c>
      <c r="P22">
        <v>0</v>
      </c>
      <c r="Q22">
        <v>1440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101</v>
      </c>
      <c r="AH22" s="21" t="s">
        <v>3424</v>
      </c>
      <c r="AI22" s="21">
        <v>107.92500000000001</v>
      </c>
      <c r="AJ22" s="21">
        <v>100</v>
      </c>
      <c r="AK22" s="21" t="s">
        <v>2054</v>
      </c>
      <c r="AL22" t="s">
        <v>70</v>
      </c>
      <c r="AM22" t="s">
        <v>2028</v>
      </c>
    </row>
    <row r="23" spans="1:39" ht="15" hidden="1" thickTop="1" x14ac:dyDescent="0.35">
      <c r="A23" t="s">
        <v>2131</v>
      </c>
      <c r="B23" t="s">
        <v>2136</v>
      </c>
      <c r="C23" t="s">
        <v>102</v>
      </c>
      <c r="D23" t="s">
        <v>2137</v>
      </c>
      <c r="E23" t="s">
        <v>559</v>
      </c>
      <c r="F23">
        <v>1</v>
      </c>
      <c r="G23" t="s">
        <v>2050</v>
      </c>
      <c r="H23" t="s">
        <v>2051</v>
      </c>
      <c r="I23" t="s">
        <v>53</v>
      </c>
      <c r="J23" t="s">
        <v>67</v>
      </c>
      <c r="K23" t="s">
        <v>68</v>
      </c>
      <c r="L23" t="s">
        <v>2052</v>
      </c>
      <c r="M23" t="s">
        <v>2053</v>
      </c>
      <c r="N23">
        <v>0</v>
      </c>
      <c r="O23">
        <v>0</v>
      </c>
      <c r="P23">
        <v>0</v>
      </c>
      <c r="Q23">
        <v>1440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103</v>
      </c>
      <c r="AH23" s="21" t="s">
        <v>3425</v>
      </c>
      <c r="AI23" s="21">
        <v>107.92500000000001</v>
      </c>
      <c r="AJ23" s="21">
        <v>100</v>
      </c>
      <c r="AK23" s="21" t="s">
        <v>2054</v>
      </c>
      <c r="AL23" t="s">
        <v>70</v>
      </c>
      <c r="AM23" t="s">
        <v>2027</v>
      </c>
    </row>
    <row r="24" spans="1:39" ht="15" hidden="1" thickTop="1" x14ac:dyDescent="0.35">
      <c r="A24" t="s">
        <v>2138</v>
      </c>
      <c r="B24" t="s">
        <v>2140</v>
      </c>
      <c r="C24" t="s">
        <v>66</v>
      </c>
      <c r="D24" t="s">
        <v>2141</v>
      </c>
      <c r="E24" t="s">
        <v>559</v>
      </c>
      <c r="F24">
        <v>2</v>
      </c>
      <c r="G24" t="s">
        <v>2050</v>
      </c>
      <c r="H24" t="s">
        <v>2051</v>
      </c>
      <c r="I24" t="s">
        <v>53</v>
      </c>
      <c r="J24" t="s">
        <v>67</v>
      </c>
      <c r="K24" t="s">
        <v>68</v>
      </c>
      <c r="L24" t="s">
        <v>2052</v>
      </c>
      <c r="M24" t="s">
        <v>2053</v>
      </c>
      <c r="N24">
        <v>0</v>
      </c>
      <c r="O24">
        <v>0</v>
      </c>
      <c r="P24">
        <v>0</v>
      </c>
      <c r="Q24">
        <v>1440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104</v>
      </c>
      <c r="AH24" s="21" t="s">
        <v>3428</v>
      </c>
      <c r="AI24" s="21">
        <v>107.92500000000001</v>
      </c>
      <c r="AJ24" s="21">
        <v>100</v>
      </c>
      <c r="AK24" s="21" t="s">
        <v>2054</v>
      </c>
      <c r="AL24" t="s">
        <v>70</v>
      </c>
      <c r="AM24" t="s">
        <v>2028</v>
      </c>
    </row>
    <row r="25" spans="1:39" ht="15" hidden="1" thickTop="1" x14ac:dyDescent="0.35">
      <c r="A25" t="s">
        <v>2060</v>
      </c>
      <c r="B25" t="s">
        <v>2147</v>
      </c>
      <c r="C25" t="s">
        <v>76</v>
      </c>
      <c r="D25" t="s">
        <v>2148</v>
      </c>
      <c r="E25" t="s">
        <v>559</v>
      </c>
      <c r="F25">
        <v>1</v>
      </c>
      <c r="G25" t="s">
        <v>2050</v>
      </c>
      <c r="H25" t="s">
        <v>2051</v>
      </c>
      <c r="I25" t="s">
        <v>53</v>
      </c>
      <c r="J25" t="s">
        <v>67</v>
      </c>
      <c r="K25" t="s">
        <v>68</v>
      </c>
      <c r="L25" t="s">
        <v>2052</v>
      </c>
      <c r="M25" t="s">
        <v>2064</v>
      </c>
      <c r="N25">
        <v>0</v>
      </c>
      <c r="O25">
        <v>0</v>
      </c>
      <c r="P25">
        <v>0</v>
      </c>
      <c r="Q25">
        <v>900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105</v>
      </c>
      <c r="AH25" s="21" t="s">
        <v>3425</v>
      </c>
      <c r="AI25" s="21">
        <v>67.5</v>
      </c>
      <c r="AJ25" s="21">
        <v>100</v>
      </c>
      <c r="AK25" s="21" t="s">
        <v>2054</v>
      </c>
      <c r="AL25" t="s">
        <v>70</v>
      </c>
      <c r="AM25" t="s">
        <v>2029</v>
      </c>
    </row>
    <row r="26" spans="1:39" ht="15" hidden="1" thickTop="1" x14ac:dyDescent="0.35">
      <c r="A26" t="s">
        <v>2142</v>
      </c>
      <c r="B26" t="s">
        <v>2149</v>
      </c>
      <c r="C26" t="s">
        <v>76</v>
      </c>
      <c r="D26" t="s">
        <v>2150</v>
      </c>
      <c r="E26" t="s">
        <v>559</v>
      </c>
      <c r="F26">
        <v>1</v>
      </c>
      <c r="G26" t="s">
        <v>2050</v>
      </c>
      <c r="H26" t="s">
        <v>2051</v>
      </c>
      <c r="I26" t="s">
        <v>53</v>
      </c>
      <c r="J26" t="s">
        <v>67</v>
      </c>
      <c r="K26" t="s">
        <v>68</v>
      </c>
      <c r="L26" t="s">
        <v>2052</v>
      </c>
      <c r="M26" t="s">
        <v>2064</v>
      </c>
      <c r="N26">
        <v>0</v>
      </c>
      <c r="O26">
        <v>0</v>
      </c>
      <c r="P26">
        <v>0</v>
      </c>
      <c r="Q26">
        <v>900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106</v>
      </c>
      <c r="AH26" s="21" t="s">
        <v>3424</v>
      </c>
      <c r="AI26" s="21">
        <v>67.5</v>
      </c>
      <c r="AJ26" s="21">
        <v>100</v>
      </c>
      <c r="AK26" s="21" t="s">
        <v>2054</v>
      </c>
      <c r="AL26" t="s">
        <v>70</v>
      </c>
      <c r="AM26" t="s">
        <v>2028</v>
      </c>
    </row>
    <row r="27" spans="1:39" ht="15" hidden="1" thickTop="1" x14ac:dyDescent="0.35">
      <c r="A27" t="s">
        <v>2143</v>
      </c>
      <c r="B27" t="s">
        <v>2151</v>
      </c>
      <c r="C27" t="s">
        <v>86</v>
      </c>
      <c r="D27" t="s">
        <v>2152</v>
      </c>
      <c r="E27" t="s">
        <v>72</v>
      </c>
      <c r="F27">
        <v>1</v>
      </c>
      <c r="G27" t="s">
        <v>2050</v>
      </c>
      <c r="H27" t="s">
        <v>2051</v>
      </c>
      <c r="I27" t="s">
        <v>53</v>
      </c>
      <c r="J27" t="s">
        <v>73</v>
      </c>
      <c r="K27" t="s">
        <v>68</v>
      </c>
      <c r="L27" t="s">
        <v>2052</v>
      </c>
      <c r="M27" t="s">
        <v>2064</v>
      </c>
      <c r="N27">
        <v>0</v>
      </c>
      <c r="O27">
        <v>0</v>
      </c>
      <c r="P27">
        <v>0</v>
      </c>
      <c r="Q27">
        <v>900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107</v>
      </c>
      <c r="AH27" s="21" t="s">
        <v>3424</v>
      </c>
      <c r="AI27" s="21">
        <v>67.5</v>
      </c>
      <c r="AJ27" s="21">
        <v>100</v>
      </c>
      <c r="AK27" s="21" t="s">
        <v>2054</v>
      </c>
      <c r="AL27" t="s">
        <v>75</v>
      </c>
      <c r="AM27" t="s">
        <v>2029</v>
      </c>
    </row>
    <row r="28" spans="1:39" ht="15" hidden="1" thickTop="1" x14ac:dyDescent="0.35">
      <c r="A28" t="s">
        <v>2145</v>
      </c>
      <c r="B28" t="s">
        <v>2156</v>
      </c>
      <c r="C28" t="s">
        <v>102</v>
      </c>
      <c r="D28" t="s">
        <v>2157</v>
      </c>
      <c r="E28" t="s">
        <v>559</v>
      </c>
      <c r="F28">
        <v>1</v>
      </c>
      <c r="G28" t="s">
        <v>2050</v>
      </c>
      <c r="H28" t="s">
        <v>2051</v>
      </c>
      <c r="I28" t="s">
        <v>53</v>
      </c>
      <c r="J28" t="s">
        <v>67</v>
      </c>
      <c r="K28" t="s">
        <v>68</v>
      </c>
      <c r="L28" t="s">
        <v>2052</v>
      </c>
      <c r="M28" t="s">
        <v>2053</v>
      </c>
      <c r="N28">
        <v>0</v>
      </c>
      <c r="O28">
        <v>0</v>
      </c>
      <c r="P28">
        <v>0</v>
      </c>
      <c r="Q28">
        <v>1440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108</v>
      </c>
      <c r="AH28" s="21" t="s">
        <v>3425</v>
      </c>
      <c r="AI28" s="21">
        <v>107.92500000000001</v>
      </c>
      <c r="AJ28" s="21">
        <v>100</v>
      </c>
      <c r="AK28" s="21" t="s">
        <v>2054</v>
      </c>
      <c r="AL28" t="s">
        <v>70</v>
      </c>
      <c r="AM28" t="s">
        <v>2027</v>
      </c>
    </row>
    <row r="29" spans="1:39" ht="15" hidden="1" thickTop="1" x14ac:dyDescent="0.35">
      <c r="A29" t="s">
        <v>2153</v>
      </c>
      <c r="B29" t="s">
        <v>2160</v>
      </c>
      <c r="C29" t="s">
        <v>102</v>
      </c>
      <c r="D29" t="s">
        <v>2161</v>
      </c>
      <c r="E29" t="s">
        <v>559</v>
      </c>
      <c r="F29">
        <v>1</v>
      </c>
      <c r="G29" t="s">
        <v>2050</v>
      </c>
      <c r="H29" t="s">
        <v>2051</v>
      </c>
      <c r="I29" t="s">
        <v>53</v>
      </c>
      <c r="J29" t="s">
        <v>67</v>
      </c>
      <c r="K29" t="s">
        <v>68</v>
      </c>
      <c r="L29" t="s">
        <v>2052</v>
      </c>
      <c r="M29" t="s">
        <v>2053</v>
      </c>
      <c r="N29">
        <v>0</v>
      </c>
      <c r="O29">
        <v>0</v>
      </c>
      <c r="P29">
        <v>0</v>
      </c>
      <c r="Q29">
        <v>1440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109</v>
      </c>
      <c r="AH29" s="21" t="s">
        <v>3429</v>
      </c>
      <c r="AI29" s="21">
        <v>107.92500000000001</v>
      </c>
      <c r="AJ29" s="21">
        <v>100</v>
      </c>
      <c r="AK29" s="21" t="s">
        <v>2054</v>
      </c>
      <c r="AL29" t="s">
        <v>70</v>
      </c>
      <c r="AM29" t="s">
        <v>2028</v>
      </c>
    </row>
    <row r="30" spans="1:39" ht="15" hidden="1" thickTop="1" x14ac:dyDescent="0.35">
      <c r="A30" t="s">
        <v>2154</v>
      </c>
      <c r="B30" t="s">
        <v>2162</v>
      </c>
      <c r="C30" t="s">
        <v>78</v>
      </c>
      <c r="D30" t="s">
        <v>2163</v>
      </c>
      <c r="E30" t="s">
        <v>559</v>
      </c>
      <c r="F30">
        <v>1</v>
      </c>
      <c r="G30" t="s">
        <v>2050</v>
      </c>
      <c r="H30" t="s">
        <v>2051</v>
      </c>
      <c r="I30" t="s">
        <v>53</v>
      </c>
      <c r="J30" t="s">
        <v>67</v>
      </c>
      <c r="K30" t="s">
        <v>68</v>
      </c>
      <c r="L30" t="s">
        <v>2052</v>
      </c>
      <c r="M30" t="s">
        <v>2053</v>
      </c>
      <c r="N30">
        <v>0</v>
      </c>
      <c r="O30">
        <v>0</v>
      </c>
      <c r="P30">
        <v>0</v>
      </c>
      <c r="Q30">
        <v>1440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110</v>
      </c>
      <c r="AH30" s="21" t="s">
        <v>3424</v>
      </c>
      <c r="AI30" s="21">
        <v>107.92500000000001</v>
      </c>
      <c r="AJ30" s="21">
        <v>100</v>
      </c>
      <c r="AK30" s="21" t="s">
        <v>2054</v>
      </c>
      <c r="AL30" t="s">
        <v>70</v>
      </c>
      <c r="AM30" t="s">
        <v>2029</v>
      </c>
    </row>
    <row r="31" spans="1:39" ht="15" hidden="1" thickTop="1" x14ac:dyDescent="0.35">
      <c r="A31" t="s">
        <v>2158</v>
      </c>
      <c r="B31" t="s">
        <v>2164</v>
      </c>
      <c r="C31" t="s">
        <v>111</v>
      </c>
      <c r="D31" t="s">
        <v>2165</v>
      </c>
      <c r="E31" t="s">
        <v>112</v>
      </c>
      <c r="F31">
        <v>1</v>
      </c>
      <c r="G31" t="s">
        <v>2050</v>
      </c>
      <c r="H31" t="s">
        <v>2051</v>
      </c>
      <c r="I31" t="s">
        <v>53</v>
      </c>
      <c r="J31" t="s">
        <v>113</v>
      </c>
      <c r="K31" t="s">
        <v>68</v>
      </c>
      <c r="L31" t="s">
        <v>2052</v>
      </c>
      <c r="M31" t="s">
        <v>2053</v>
      </c>
      <c r="N31">
        <v>0</v>
      </c>
      <c r="O31">
        <v>0</v>
      </c>
      <c r="P31">
        <v>0</v>
      </c>
      <c r="Q31">
        <v>1440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114</v>
      </c>
      <c r="AH31" s="21" t="s">
        <v>3424</v>
      </c>
      <c r="AI31" s="21">
        <v>107.92500000000001</v>
      </c>
      <c r="AJ31" s="21">
        <v>100</v>
      </c>
      <c r="AK31" s="21" t="s">
        <v>2054</v>
      </c>
      <c r="AL31" t="s">
        <v>115</v>
      </c>
      <c r="AM31" t="s">
        <v>2027</v>
      </c>
    </row>
    <row r="32" spans="1:39" ht="15" hidden="1" thickTop="1" x14ac:dyDescent="0.35">
      <c r="A32" t="s">
        <v>2166</v>
      </c>
      <c r="B32" t="s">
        <v>2171</v>
      </c>
      <c r="C32" t="s">
        <v>117</v>
      </c>
      <c r="D32" t="s">
        <v>2172</v>
      </c>
      <c r="E32" t="s">
        <v>559</v>
      </c>
      <c r="F32">
        <v>1</v>
      </c>
      <c r="G32" t="s">
        <v>2050</v>
      </c>
      <c r="H32" t="s">
        <v>2051</v>
      </c>
      <c r="I32" t="s">
        <v>53</v>
      </c>
      <c r="J32" t="s">
        <v>67</v>
      </c>
      <c r="K32" t="s">
        <v>68</v>
      </c>
      <c r="L32" t="s">
        <v>2052</v>
      </c>
      <c r="M32" t="s">
        <v>2066</v>
      </c>
      <c r="N32">
        <v>0</v>
      </c>
      <c r="O32">
        <v>0</v>
      </c>
      <c r="P32">
        <v>0</v>
      </c>
      <c r="Q32">
        <v>780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118</v>
      </c>
      <c r="AH32" s="21" t="s">
        <v>3425</v>
      </c>
      <c r="AI32" s="21">
        <v>58.5</v>
      </c>
      <c r="AJ32" s="21">
        <v>100</v>
      </c>
      <c r="AK32" s="21" t="s">
        <v>2054</v>
      </c>
      <c r="AL32" t="s">
        <v>70</v>
      </c>
      <c r="AM32" t="s">
        <v>2029</v>
      </c>
    </row>
    <row r="33" spans="1:39" ht="15" hidden="1" thickTop="1" x14ac:dyDescent="0.35">
      <c r="A33" t="s">
        <v>2168</v>
      </c>
      <c r="B33" t="s">
        <v>2173</v>
      </c>
      <c r="C33" t="s">
        <v>76</v>
      </c>
      <c r="D33" t="s">
        <v>2174</v>
      </c>
      <c r="E33" t="s">
        <v>119</v>
      </c>
      <c r="F33">
        <v>1</v>
      </c>
      <c r="G33" t="s">
        <v>2050</v>
      </c>
      <c r="H33" t="s">
        <v>2051</v>
      </c>
      <c r="I33" t="s">
        <v>53</v>
      </c>
      <c r="J33" t="s">
        <v>67</v>
      </c>
      <c r="K33" t="s">
        <v>68</v>
      </c>
      <c r="L33" t="s">
        <v>2052</v>
      </c>
      <c r="M33" t="s">
        <v>2053</v>
      </c>
      <c r="N33">
        <v>0</v>
      </c>
      <c r="O33">
        <v>0</v>
      </c>
      <c r="P33">
        <v>0</v>
      </c>
      <c r="Q33">
        <v>1440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120</v>
      </c>
      <c r="AH33" s="21" t="s">
        <v>3425</v>
      </c>
      <c r="AI33" s="21">
        <v>107.92500000000001</v>
      </c>
      <c r="AJ33" s="21">
        <v>100</v>
      </c>
      <c r="AK33" s="21" t="s">
        <v>2054</v>
      </c>
      <c r="AL33" t="s">
        <v>70</v>
      </c>
      <c r="AM33" t="s">
        <v>2028</v>
      </c>
    </row>
    <row r="34" spans="1:39" ht="15" hidden="1" thickTop="1" x14ac:dyDescent="0.35">
      <c r="A34" t="s">
        <v>2169</v>
      </c>
      <c r="B34" t="s">
        <v>2175</v>
      </c>
      <c r="C34" t="s">
        <v>76</v>
      </c>
      <c r="D34" t="s">
        <v>2176</v>
      </c>
      <c r="E34" t="s">
        <v>559</v>
      </c>
      <c r="F34">
        <v>2</v>
      </c>
      <c r="G34" t="s">
        <v>2050</v>
      </c>
      <c r="H34" t="s">
        <v>2051</v>
      </c>
      <c r="I34" t="s">
        <v>53</v>
      </c>
      <c r="J34" t="s">
        <v>67</v>
      </c>
      <c r="K34" t="s">
        <v>68</v>
      </c>
      <c r="L34" t="s">
        <v>2052</v>
      </c>
      <c r="M34" t="s">
        <v>2053</v>
      </c>
      <c r="N34">
        <v>1</v>
      </c>
      <c r="O34">
        <v>217</v>
      </c>
      <c r="P34">
        <v>15.07</v>
      </c>
      <c r="Q34">
        <v>1440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217</v>
      </c>
      <c r="Z34">
        <v>15.07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121</v>
      </c>
      <c r="AH34" s="21" t="s">
        <v>3425</v>
      </c>
      <c r="AI34" s="21">
        <v>107.92500000000001</v>
      </c>
      <c r="AJ34" s="21">
        <v>84.930555555555557</v>
      </c>
      <c r="AK34" s="21" t="s">
        <v>2055</v>
      </c>
      <c r="AL34" t="s">
        <v>70</v>
      </c>
      <c r="AM34" t="s">
        <v>2030</v>
      </c>
    </row>
    <row r="35" spans="1:39" ht="15" hidden="1" thickTop="1" x14ac:dyDescent="0.35">
      <c r="A35" t="s">
        <v>2177</v>
      </c>
      <c r="B35" t="s">
        <v>2183</v>
      </c>
      <c r="C35" t="s">
        <v>76</v>
      </c>
      <c r="D35" t="s">
        <v>2184</v>
      </c>
      <c r="E35" t="s">
        <v>559</v>
      </c>
      <c r="F35">
        <v>2</v>
      </c>
      <c r="G35" t="s">
        <v>2050</v>
      </c>
      <c r="H35" t="s">
        <v>2051</v>
      </c>
      <c r="I35" t="s">
        <v>53</v>
      </c>
      <c r="J35" t="s">
        <v>67</v>
      </c>
      <c r="K35" t="s">
        <v>68</v>
      </c>
      <c r="L35" t="s">
        <v>2052</v>
      </c>
      <c r="M35" t="s">
        <v>2064</v>
      </c>
      <c r="N35">
        <v>0</v>
      </c>
      <c r="O35">
        <v>0</v>
      </c>
      <c r="P35">
        <v>0</v>
      </c>
      <c r="Q35">
        <v>900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122</v>
      </c>
      <c r="AH35" s="21" t="s">
        <v>3424</v>
      </c>
      <c r="AI35" s="21">
        <v>67.5</v>
      </c>
      <c r="AJ35" s="21">
        <v>100</v>
      </c>
      <c r="AK35" s="21" t="s">
        <v>2055</v>
      </c>
      <c r="AL35" t="s">
        <v>70</v>
      </c>
      <c r="AM35" t="s">
        <v>2029</v>
      </c>
    </row>
    <row r="36" spans="1:39" ht="15" hidden="1" thickTop="1" x14ac:dyDescent="0.35">
      <c r="A36" t="s">
        <v>2178</v>
      </c>
      <c r="B36" t="s">
        <v>2185</v>
      </c>
      <c r="C36" t="s">
        <v>81</v>
      </c>
      <c r="D36" t="s">
        <v>2186</v>
      </c>
      <c r="E36" t="s">
        <v>559</v>
      </c>
      <c r="F36">
        <v>2</v>
      </c>
      <c r="G36" t="s">
        <v>2050</v>
      </c>
      <c r="H36" t="s">
        <v>2051</v>
      </c>
      <c r="I36" t="s">
        <v>53</v>
      </c>
      <c r="J36" t="s">
        <v>82</v>
      </c>
      <c r="K36" t="s">
        <v>68</v>
      </c>
      <c r="L36" t="s">
        <v>2052</v>
      </c>
      <c r="M36" t="s">
        <v>2053</v>
      </c>
      <c r="N36">
        <v>0</v>
      </c>
      <c r="O36">
        <v>0</v>
      </c>
      <c r="P36">
        <v>0</v>
      </c>
      <c r="Q36">
        <v>1440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123</v>
      </c>
      <c r="AH36" s="21" t="s">
        <v>3425</v>
      </c>
      <c r="AI36" s="21">
        <v>107.92500000000001</v>
      </c>
      <c r="AJ36" s="21">
        <v>100</v>
      </c>
      <c r="AK36" s="21" t="s">
        <v>2054</v>
      </c>
      <c r="AL36" t="s">
        <v>70</v>
      </c>
      <c r="AM36" t="s">
        <v>2027</v>
      </c>
    </row>
    <row r="37" spans="1:39" ht="15" hidden="1" thickTop="1" x14ac:dyDescent="0.35">
      <c r="A37" t="s">
        <v>2179</v>
      </c>
      <c r="B37" t="s">
        <v>2187</v>
      </c>
      <c r="C37" t="s">
        <v>100</v>
      </c>
      <c r="D37" t="s">
        <v>2188</v>
      </c>
      <c r="E37" t="s">
        <v>559</v>
      </c>
      <c r="F37">
        <v>1</v>
      </c>
      <c r="G37" t="s">
        <v>2050</v>
      </c>
      <c r="H37" t="s">
        <v>2051</v>
      </c>
      <c r="I37" t="s">
        <v>53</v>
      </c>
      <c r="J37" t="s">
        <v>67</v>
      </c>
      <c r="K37" t="s">
        <v>68</v>
      </c>
      <c r="L37" t="s">
        <v>2052</v>
      </c>
      <c r="M37" t="s">
        <v>2053</v>
      </c>
      <c r="N37">
        <v>0</v>
      </c>
      <c r="O37">
        <v>0</v>
      </c>
      <c r="P37">
        <v>0</v>
      </c>
      <c r="Q37">
        <v>1440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124</v>
      </c>
      <c r="AH37" s="21" t="s">
        <v>3424</v>
      </c>
      <c r="AI37" s="21">
        <v>107.92500000000001</v>
      </c>
      <c r="AJ37" s="21">
        <v>100</v>
      </c>
      <c r="AK37" s="21" t="s">
        <v>2054</v>
      </c>
      <c r="AL37" t="s">
        <v>70</v>
      </c>
      <c r="AM37" t="s">
        <v>2031</v>
      </c>
    </row>
    <row r="38" spans="1:39" ht="15" hidden="1" thickTop="1" x14ac:dyDescent="0.35">
      <c r="A38" t="s">
        <v>2181</v>
      </c>
      <c r="B38" t="s">
        <v>2189</v>
      </c>
      <c r="C38" t="s">
        <v>76</v>
      </c>
      <c r="D38" t="s">
        <v>2190</v>
      </c>
      <c r="E38" t="s">
        <v>559</v>
      </c>
      <c r="F38">
        <v>2</v>
      </c>
      <c r="G38" t="s">
        <v>2050</v>
      </c>
      <c r="H38" t="s">
        <v>2051</v>
      </c>
      <c r="I38" t="s">
        <v>53</v>
      </c>
      <c r="J38" t="s">
        <v>67</v>
      </c>
      <c r="K38" t="s">
        <v>68</v>
      </c>
      <c r="L38" t="s">
        <v>2052</v>
      </c>
      <c r="M38" t="s">
        <v>2084</v>
      </c>
      <c r="N38">
        <v>0</v>
      </c>
      <c r="O38">
        <v>0</v>
      </c>
      <c r="P38">
        <v>0</v>
      </c>
      <c r="Q38">
        <v>840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125</v>
      </c>
      <c r="AH38" s="21" t="s">
        <v>3424</v>
      </c>
      <c r="AI38" s="21">
        <v>62.999999999999986</v>
      </c>
      <c r="AJ38" s="21">
        <v>100</v>
      </c>
      <c r="AK38" s="21" t="s">
        <v>2055</v>
      </c>
      <c r="AL38" t="s">
        <v>70</v>
      </c>
      <c r="AM38" t="s">
        <v>2027</v>
      </c>
    </row>
    <row r="39" spans="1:39" ht="15" hidden="1" thickTop="1" x14ac:dyDescent="0.35">
      <c r="A39" t="s">
        <v>2191</v>
      </c>
      <c r="B39" t="s">
        <v>2195</v>
      </c>
      <c r="C39" t="s">
        <v>565</v>
      </c>
      <c r="D39" t="s">
        <v>2196</v>
      </c>
      <c r="E39" t="s">
        <v>559</v>
      </c>
      <c r="F39">
        <v>2</v>
      </c>
      <c r="G39" t="s">
        <v>2050</v>
      </c>
      <c r="H39" t="s">
        <v>2051</v>
      </c>
      <c r="I39" t="s">
        <v>53</v>
      </c>
      <c r="J39" t="s">
        <v>427</v>
      </c>
      <c r="K39" t="s">
        <v>68</v>
      </c>
      <c r="L39" t="s">
        <v>2052</v>
      </c>
      <c r="M39" t="s">
        <v>2053</v>
      </c>
      <c r="N39">
        <v>0</v>
      </c>
      <c r="O39">
        <v>0</v>
      </c>
      <c r="P39">
        <v>0</v>
      </c>
      <c r="Q39">
        <v>1440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127</v>
      </c>
      <c r="AH39" s="21" t="s">
        <v>3425</v>
      </c>
      <c r="AI39" s="21">
        <v>107.92500000000001</v>
      </c>
      <c r="AJ39" s="21">
        <v>100</v>
      </c>
      <c r="AK39" s="21" t="s">
        <v>2055</v>
      </c>
      <c r="AL39" t="s">
        <v>70</v>
      </c>
      <c r="AM39" t="s">
        <v>2029</v>
      </c>
    </row>
    <row r="40" spans="1:39" ht="15" hidden="1" thickTop="1" x14ac:dyDescent="0.35">
      <c r="A40" t="s">
        <v>2193</v>
      </c>
      <c r="B40" t="s">
        <v>2197</v>
      </c>
      <c r="C40" t="s">
        <v>128</v>
      </c>
      <c r="D40" t="s">
        <v>2198</v>
      </c>
      <c r="E40" t="s">
        <v>112</v>
      </c>
      <c r="F40">
        <v>1</v>
      </c>
      <c r="G40" t="s">
        <v>2050</v>
      </c>
      <c r="H40" t="s">
        <v>2051</v>
      </c>
      <c r="I40" t="s">
        <v>53</v>
      </c>
      <c r="J40" t="s">
        <v>113</v>
      </c>
      <c r="K40" t="s">
        <v>68</v>
      </c>
      <c r="L40" t="s">
        <v>2052</v>
      </c>
      <c r="M40" t="s">
        <v>2053</v>
      </c>
      <c r="N40">
        <v>0</v>
      </c>
      <c r="O40">
        <v>0</v>
      </c>
      <c r="P40">
        <v>0</v>
      </c>
      <c r="Q40">
        <v>1440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129</v>
      </c>
      <c r="AH40" s="21" t="s">
        <v>3425</v>
      </c>
      <c r="AI40" s="21">
        <v>107.92500000000001</v>
      </c>
      <c r="AJ40" s="21">
        <v>100</v>
      </c>
      <c r="AK40" s="21" t="s">
        <v>2055</v>
      </c>
      <c r="AL40" t="s">
        <v>115</v>
      </c>
      <c r="AM40" t="s">
        <v>2027</v>
      </c>
    </row>
    <row r="41" spans="1:39" ht="15" hidden="1" thickTop="1" x14ac:dyDescent="0.35">
      <c r="A41" t="s">
        <v>2061</v>
      </c>
      <c r="B41" t="s">
        <v>2200</v>
      </c>
      <c r="C41" t="s">
        <v>117</v>
      </c>
      <c r="D41" t="s">
        <v>2201</v>
      </c>
      <c r="E41" t="s">
        <v>559</v>
      </c>
      <c r="F41">
        <v>1</v>
      </c>
      <c r="G41" t="s">
        <v>2050</v>
      </c>
      <c r="H41" t="s">
        <v>2051</v>
      </c>
      <c r="I41" t="s">
        <v>53</v>
      </c>
      <c r="J41" t="s">
        <v>67</v>
      </c>
      <c r="K41" t="s">
        <v>68</v>
      </c>
      <c r="L41" t="s">
        <v>2052</v>
      </c>
      <c r="M41" t="s">
        <v>2053</v>
      </c>
      <c r="N41">
        <v>0</v>
      </c>
      <c r="O41">
        <v>0</v>
      </c>
      <c r="P41">
        <v>0</v>
      </c>
      <c r="Q41">
        <v>1440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130</v>
      </c>
      <c r="AH41" s="21" t="s">
        <v>3424</v>
      </c>
      <c r="AI41" s="21">
        <v>107.92500000000001</v>
      </c>
      <c r="AJ41" s="21">
        <v>100</v>
      </c>
      <c r="AK41" s="21" t="s">
        <v>2054</v>
      </c>
      <c r="AL41" t="s">
        <v>70</v>
      </c>
      <c r="AM41" t="s">
        <v>2029</v>
      </c>
    </row>
    <row r="42" spans="1:39" ht="15" hidden="1" thickTop="1" x14ac:dyDescent="0.35">
      <c r="A42" t="s">
        <v>2202</v>
      </c>
      <c r="B42" t="s">
        <v>2207</v>
      </c>
      <c r="C42" t="s">
        <v>86</v>
      </c>
      <c r="D42" t="s">
        <v>2208</v>
      </c>
      <c r="E42" t="s">
        <v>72</v>
      </c>
      <c r="F42">
        <v>1</v>
      </c>
      <c r="G42" t="s">
        <v>2050</v>
      </c>
      <c r="H42" t="s">
        <v>2051</v>
      </c>
      <c r="I42" t="s">
        <v>53</v>
      </c>
      <c r="J42" t="s">
        <v>73</v>
      </c>
      <c r="K42" t="s">
        <v>68</v>
      </c>
      <c r="L42" t="s">
        <v>2052</v>
      </c>
      <c r="M42" t="s">
        <v>2063</v>
      </c>
      <c r="N42">
        <v>0</v>
      </c>
      <c r="O42">
        <v>0</v>
      </c>
      <c r="P42">
        <v>0</v>
      </c>
      <c r="Q42">
        <v>1020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131</v>
      </c>
      <c r="AH42" s="21" t="s">
        <v>3430</v>
      </c>
      <c r="AI42" s="21">
        <v>76.500000000000014</v>
      </c>
      <c r="AJ42" s="21">
        <v>100</v>
      </c>
      <c r="AK42" s="21" t="s">
        <v>2054</v>
      </c>
      <c r="AL42" t="s">
        <v>75</v>
      </c>
      <c r="AM42" t="s">
        <v>2027</v>
      </c>
    </row>
    <row r="43" spans="1:39" ht="15" hidden="1" thickTop="1" x14ac:dyDescent="0.35">
      <c r="A43" t="s">
        <v>2062</v>
      </c>
      <c r="B43" t="s">
        <v>2213</v>
      </c>
      <c r="C43" t="s">
        <v>820</v>
      </c>
      <c r="D43" t="s">
        <v>2214</v>
      </c>
      <c r="E43" t="s">
        <v>72</v>
      </c>
      <c r="F43">
        <v>1</v>
      </c>
      <c r="G43" t="s">
        <v>2050</v>
      </c>
      <c r="H43" t="s">
        <v>2051</v>
      </c>
      <c r="I43" t="s">
        <v>53</v>
      </c>
      <c r="J43" t="s">
        <v>424</v>
      </c>
      <c r="K43" t="s">
        <v>68</v>
      </c>
      <c r="L43" t="s">
        <v>2052</v>
      </c>
      <c r="M43" t="s">
        <v>2053</v>
      </c>
      <c r="N43">
        <v>0</v>
      </c>
      <c r="O43">
        <v>0</v>
      </c>
      <c r="P43">
        <v>0</v>
      </c>
      <c r="Q43">
        <v>1440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133</v>
      </c>
      <c r="AH43" s="21" t="s">
        <v>3425</v>
      </c>
      <c r="AI43" s="21">
        <v>107.92500000000001</v>
      </c>
      <c r="AJ43" s="21">
        <v>100</v>
      </c>
      <c r="AK43" s="21" t="s">
        <v>2054</v>
      </c>
      <c r="AL43" t="s">
        <v>75</v>
      </c>
      <c r="AM43" t="s">
        <v>2027</v>
      </c>
    </row>
    <row r="44" spans="1:39" ht="15" hidden="1" thickTop="1" x14ac:dyDescent="0.35">
      <c r="A44" t="s">
        <v>2205</v>
      </c>
      <c r="B44" t="s">
        <v>2215</v>
      </c>
      <c r="C44" t="s">
        <v>3376</v>
      </c>
      <c r="D44" t="s">
        <v>2216</v>
      </c>
      <c r="E44" t="s">
        <v>559</v>
      </c>
      <c r="F44">
        <v>1</v>
      </c>
      <c r="G44" t="s">
        <v>2050</v>
      </c>
      <c r="H44" t="s">
        <v>2051</v>
      </c>
      <c r="I44" t="s">
        <v>53</v>
      </c>
      <c r="J44" t="s">
        <v>67</v>
      </c>
      <c r="K44" t="s">
        <v>68</v>
      </c>
      <c r="L44" t="s">
        <v>2052</v>
      </c>
      <c r="M44" t="s">
        <v>2053</v>
      </c>
      <c r="N44">
        <v>0</v>
      </c>
      <c r="O44">
        <v>0</v>
      </c>
      <c r="P44">
        <v>0</v>
      </c>
      <c r="Q44">
        <v>1440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134</v>
      </c>
      <c r="AH44" s="21" t="s">
        <v>3425</v>
      </c>
      <c r="AI44" s="21">
        <v>107.92500000000001</v>
      </c>
      <c r="AJ44" s="21">
        <v>100</v>
      </c>
      <c r="AK44" s="21" t="s">
        <v>2054</v>
      </c>
      <c r="AL44" t="s">
        <v>70</v>
      </c>
      <c r="AM44" t="s">
        <v>2027</v>
      </c>
    </row>
    <row r="45" spans="1:39" ht="15" hidden="1" thickTop="1" x14ac:dyDescent="0.35">
      <c r="A45" t="s">
        <v>2209</v>
      </c>
      <c r="B45" t="s">
        <v>2220</v>
      </c>
      <c r="C45" t="s">
        <v>135</v>
      </c>
      <c r="D45" t="s">
        <v>2221</v>
      </c>
      <c r="E45" t="s">
        <v>136</v>
      </c>
      <c r="F45">
        <v>1</v>
      </c>
      <c r="G45" t="s">
        <v>2050</v>
      </c>
      <c r="H45" t="s">
        <v>2051</v>
      </c>
      <c r="I45" t="s">
        <v>53</v>
      </c>
      <c r="J45" t="s">
        <v>137</v>
      </c>
      <c r="K45" t="s">
        <v>68</v>
      </c>
      <c r="L45" t="s">
        <v>2052</v>
      </c>
      <c r="M45" t="s">
        <v>2053</v>
      </c>
      <c r="N45">
        <v>0</v>
      </c>
      <c r="O45">
        <v>0</v>
      </c>
      <c r="P45">
        <v>0</v>
      </c>
      <c r="Q45">
        <v>1440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138</v>
      </c>
      <c r="AH45" s="21" t="s">
        <v>3425</v>
      </c>
      <c r="AI45" s="21">
        <v>107.92500000000001</v>
      </c>
      <c r="AJ45" s="21">
        <v>100</v>
      </c>
      <c r="AK45" s="21" t="s">
        <v>2054</v>
      </c>
      <c r="AL45" t="s">
        <v>115</v>
      </c>
      <c r="AM45" t="s">
        <v>2027</v>
      </c>
    </row>
    <row r="46" spans="1:39" ht="15" hidden="1" thickTop="1" x14ac:dyDescent="0.35">
      <c r="A46" t="s">
        <v>2211</v>
      </c>
      <c r="B46" t="s">
        <v>2222</v>
      </c>
      <c r="C46" t="s">
        <v>3376</v>
      </c>
      <c r="D46" t="s">
        <v>2223</v>
      </c>
      <c r="E46" t="s">
        <v>559</v>
      </c>
      <c r="F46">
        <v>1</v>
      </c>
      <c r="G46" t="s">
        <v>2050</v>
      </c>
      <c r="H46" t="s">
        <v>2051</v>
      </c>
      <c r="I46" t="s">
        <v>53</v>
      </c>
      <c r="J46" t="s">
        <v>67</v>
      </c>
      <c r="K46" t="s">
        <v>68</v>
      </c>
      <c r="L46" t="s">
        <v>2052</v>
      </c>
      <c r="M46" t="s">
        <v>2053</v>
      </c>
      <c r="N46">
        <v>0</v>
      </c>
      <c r="O46">
        <v>0</v>
      </c>
      <c r="P46">
        <v>0</v>
      </c>
      <c r="Q46">
        <v>1440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139</v>
      </c>
      <c r="AH46" s="21" t="s">
        <v>3425</v>
      </c>
      <c r="AI46" s="21">
        <v>107.92500000000001</v>
      </c>
      <c r="AJ46" s="21">
        <v>100</v>
      </c>
      <c r="AK46" s="21" t="s">
        <v>2054</v>
      </c>
      <c r="AL46" t="s">
        <v>70</v>
      </c>
      <c r="AM46" t="s">
        <v>2027</v>
      </c>
    </row>
    <row r="47" spans="1:39" ht="15" hidden="1" thickTop="1" x14ac:dyDescent="0.35">
      <c r="A47" t="s">
        <v>2217</v>
      </c>
      <c r="B47" t="s">
        <v>2230</v>
      </c>
      <c r="C47" t="s">
        <v>78</v>
      </c>
      <c r="D47" t="s">
        <v>2231</v>
      </c>
      <c r="E47" t="s">
        <v>559</v>
      </c>
      <c r="F47">
        <v>1</v>
      </c>
      <c r="G47" t="s">
        <v>2050</v>
      </c>
      <c r="H47" t="s">
        <v>2051</v>
      </c>
      <c r="I47" t="s">
        <v>53</v>
      </c>
      <c r="J47" t="s">
        <v>67</v>
      </c>
      <c r="K47" t="s">
        <v>68</v>
      </c>
      <c r="L47" t="s">
        <v>2052</v>
      </c>
      <c r="M47" t="s">
        <v>2053</v>
      </c>
      <c r="N47">
        <v>0</v>
      </c>
      <c r="O47">
        <v>0</v>
      </c>
      <c r="P47">
        <v>0</v>
      </c>
      <c r="Q47">
        <v>1440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140</v>
      </c>
      <c r="AH47" s="21" t="s">
        <v>3425</v>
      </c>
      <c r="AI47" s="21">
        <v>107.92500000000001</v>
      </c>
      <c r="AJ47" s="21">
        <v>100</v>
      </c>
      <c r="AK47" s="21" t="s">
        <v>2054</v>
      </c>
      <c r="AL47" t="s">
        <v>70</v>
      </c>
      <c r="AM47" t="s">
        <v>2029</v>
      </c>
    </row>
    <row r="48" spans="1:39" ht="15" hidden="1" thickTop="1" x14ac:dyDescent="0.35">
      <c r="A48" t="s">
        <v>2218</v>
      </c>
      <c r="B48" t="s">
        <v>2232</v>
      </c>
      <c r="C48" t="s">
        <v>92</v>
      </c>
      <c r="D48" t="s">
        <v>2233</v>
      </c>
      <c r="E48" t="s">
        <v>119</v>
      </c>
      <c r="F48">
        <v>1</v>
      </c>
      <c r="G48" t="s">
        <v>2050</v>
      </c>
      <c r="H48" t="s">
        <v>2051</v>
      </c>
      <c r="I48" t="s">
        <v>53</v>
      </c>
      <c r="J48" t="s">
        <v>67</v>
      </c>
      <c r="K48" t="s">
        <v>68</v>
      </c>
      <c r="L48" t="s">
        <v>2052</v>
      </c>
      <c r="M48" t="s">
        <v>2053</v>
      </c>
      <c r="N48">
        <v>0</v>
      </c>
      <c r="O48">
        <v>0</v>
      </c>
      <c r="P48">
        <v>0</v>
      </c>
      <c r="Q48">
        <v>1440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141</v>
      </c>
      <c r="AH48" s="21" t="s">
        <v>3427</v>
      </c>
      <c r="AI48" s="21">
        <v>107.92500000000001</v>
      </c>
      <c r="AJ48" s="21">
        <v>100</v>
      </c>
      <c r="AK48" s="21" t="s">
        <v>2054</v>
      </c>
      <c r="AL48" t="s">
        <v>70</v>
      </c>
      <c r="AM48" t="s">
        <v>2027</v>
      </c>
    </row>
    <row r="49" spans="1:39" ht="15" hidden="1" thickTop="1" x14ac:dyDescent="0.35">
      <c r="A49" t="s">
        <v>2224</v>
      </c>
      <c r="B49" t="s">
        <v>2238</v>
      </c>
      <c r="C49" t="s">
        <v>81</v>
      </c>
      <c r="D49" t="s">
        <v>2239</v>
      </c>
      <c r="E49" t="s">
        <v>559</v>
      </c>
      <c r="F49">
        <v>1</v>
      </c>
      <c r="G49" t="s">
        <v>2050</v>
      </c>
      <c r="H49" t="s">
        <v>2051</v>
      </c>
      <c r="I49" t="s">
        <v>53</v>
      </c>
      <c r="J49" t="s">
        <v>82</v>
      </c>
      <c r="K49" t="s">
        <v>68</v>
      </c>
      <c r="L49" t="s">
        <v>2052</v>
      </c>
      <c r="M49" t="s">
        <v>2053</v>
      </c>
      <c r="N49">
        <v>0</v>
      </c>
      <c r="O49">
        <v>0</v>
      </c>
      <c r="P49">
        <v>0</v>
      </c>
      <c r="Q49">
        <v>1440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142</v>
      </c>
      <c r="AH49" s="21" t="s">
        <v>3425</v>
      </c>
      <c r="AI49" s="21">
        <v>107.92500000000001</v>
      </c>
      <c r="AJ49" s="21">
        <v>100</v>
      </c>
      <c r="AK49" s="21" t="s">
        <v>2054</v>
      </c>
      <c r="AL49" t="s">
        <v>70</v>
      </c>
      <c r="AM49" t="s">
        <v>2029</v>
      </c>
    </row>
    <row r="50" spans="1:39" ht="15" hidden="1" thickTop="1" x14ac:dyDescent="0.35">
      <c r="A50" t="s">
        <v>2225</v>
      </c>
      <c r="B50" t="s">
        <v>2240</v>
      </c>
      <c r="C50" t="s">
        <v>76</v>
      </c>
      <c r="D50" t="s">
        <v>2241</v>
      </c>
      <c r="E50" t="s">
        <v>119</v>
      </c>
      <c r="F50">
        <v>1</v>
      </c>
      <c r="G50" t="s">
        <v>2050</v>
      </c>
      <c r="H50" t="s">
        <v>2051</v>
      </c>
      <c r="I50" t="s">
        <v>53</v>
      </c>
      <c r="J50" t="s">
        <v>67</v>
      </c>
      <c r="K50" t="s">
        <v>68</v>
      </c>
      <c r="L50" t="s">
        <v>2052</v>
      </c>
      <c r="M50" t="s">
        <v>2053</v>
      </c>
      <c r="N50">
        <v>0</v>
      </c>
      <c r="O50">
        <v>0</v>
      </c>
      <c r="P50">
        <v>0</v>
      </c>
      <c r="Q50">
        <v>1440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143</v>
      </c>
      <c r="AH50" s="21" t="s">
        <v>3424</v>
      </c>
      <c r="AI50" s="21">
        <v>107.92500000000001</v>
      </c>
      <c r="AJ50" s="21">
        <v>100</v>
      </c>
      <c r="AK50" s="21" t="s">
        <v>2054</v>
      </c>
      <c r="AL50" t="s">
        <v>70</v>
      </c>
      <c r="AM50" t="s">
        <v>2029</v>
      </c>
    </row>
    <row r="51" spans="1:39" ht="15" hidden="1" thickTop="1" x14ac:dyDescent="0.35">
      <c r="A51" t="s">
        <v>2227</v>
      </c>
      <c r="B51" t="s">
        <v>2244</v>
      </c>
      <c r="C51" t="s">
        <v>78</v>
      </c>
      <c r="D51" t="s">
        <v>2245</v>
      </c>
      <c r="E51" t="s">
        <v>559</v>
      </c>
      <c r="F51">
        <v>1</v>
      </c>
      <c r="G51" t="s">
        <v>2050</v>
      </c>
      <c r="H51" t="s">
        <v>2051</v>
      </c>
      <c r="I51" t="s">
        <v>53</v>
      </c>
      <c r="J51" t="s">
        <v>67</v>
      </c>
      <c r="K51" t="s">
        <v>68</v>
      </c>
      <c r="L51" t="s">
        <v>2052</v>
      </c>
      <c r="M51" t="s">
        <v>2053</v>
      </c>
      <c r="N51">
        <v>0</v>
      </c>
      <c r="O51">
        <v>0</v>
      </c>
      <c r="P51">
        <v>0</v>
      </c>
      <c r="Q51">
        <v>1440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144</v>
      </c>
      <c r="AH51" s="21" t="s">
        <v>3425</v>
      </c>
      <c r="AI51" s="21">
        <v>107.92500000000001</v>
      </c>
      <c r="AJ51" s="21">
        <v>100</v>
      </c>
      <c r="AK51" s="21" t="s">
        <v>2054</v>
      </c>
      <c r="AL51" t="s">
        <v>70</v>
      </c>
      <c r="AM51" t="s">
        <v>2030</v>
      </c>
    </row>
    <row r="52" spans="1:39" ht="15" hidden="1" thickTop="1" x14ac:dyDescent="0.35">
      <c r="A52" t="s">
        <v>2228</v>
      </c>
      <c r="B52" t="s">
        <v>2247</v>
      </c>
      <c r="C52" t="s">
        <v>66</v>
      </c>
      <c r="D52" t="s">
        <v>2248</v>
      </c>
      <c r="E52" t="s">
        <v>559</v>
      </c>
      <c r="F52">
        <v>1</v>
      </c>
      <c r="G52" t="s">
        <v>2050</v>
      </c>
      <c r="H52" t="s">
        <v>2051</v>
      </c>
      <c r="I52" t="s">
        <v>53</v>
      </c>
      <c r="J52" t="s">
        <v>67</v>
      </c>
      <c r="K52" t="s">
        <v>68</v>
      </c>
      <c r="L52" t="s">
        <v>2052</v>
      </c>
      <c r="M52" t="s">
        <v>2084</v>
      </c>
      <c r="N52">
        <v>0</v>
      </c>
      <c r="O52">
        <v>0</v>
      </c>
      <c r="P52">
        <v>0</v>
      </c>
      <c r="Q52">
        <v>840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145</v>
      </c>
      <c r="AH52" s="21" t="s">
        <v>3427</v>
      </c>
      <c r="AI52" s="21">
        <v>62.999999999999986</v>
      </c>
      <c r="AJ52" s="21">
        <v>100</v>
      </c>
      <c r="AK52" s="21" t="s">
        <v>2055</v>
      </c>
      <c r="AL52" t="s">
        <v>70</v>
      </c>
      <c r="AM52" t="s">
        <v>2028</v>
      </c>
    </row>
    <row r="53" spans="1:39" ht="15" hidden="1" thickTop="1" x14ac:dyDescent="0.35">
      <c r="A53" t="s">
        <v>2234</v>
      </c>
      <c r="B53" t="s">
        <v>2251</v>
      </c>
      <c r="C53" t="s">
        <v>92</v>
      </c>
      <c r="D53" t="s">
        <v>2252</v>
      </c>
      <c r="E53" t="s">
        <v>119</v>
      </c>
      <c r="F53">
        <v>1</v>
      </c>
      <c r="G53" t="s">
        <v>2050</v>
      </c>
      <c r="H53" t="s">
        <v>2051</v>
      </c>
      <c r="I53" t="s">
        <v>53</v>
      </c>
      <c r="J53" t="s">
        <v>67</v>
      </c>
      <c r="K53" t="s">
        <v>68</v>
      </c>
      <c r="L53" t="s">
        <v>2052</v>
      </c>
      <c r="M53" t="s">
        <v>2053</v>
      </c>
      <c r="N53">
        <v>0</v>
      </c>
      <c r="O53">
        <v>0</v>
      </c>
      <c r="P53">
        <v>0</v>
      </c>
      <c r="Q53">
        <v>1440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147</v>
      </c>
      <c r="AH53" s="21" t="s">
        <v>3424</v>
      </c>
      <c r="AI53" s="21">
        <v>107.92500000000001</v>
      </c>
      <c r="AJ53" s="21">
        <v>100</v>
      </c>
      <c r="AK53" s="21" t="s">
        <v>2054</v>
      </c>
      <c r="AL53" t="s">
        <v>70</v>
      </c>
      <c r="AM53" t="s">
        <v>2029</v>
      </c>
    </row>
    <row r="54" spans="1:39" ht="15" hidden="1" thickTop="1" x14ac:dyDescent="0.35">
      <c r="A54" t="s">
        <v>2236</v>
      </c>
      <c r="B54" t="s">
        <v>2256</v>
      </c>
      <c r="C54" t="s">
        <v>102</v>
      </c>
      <c r="D54" t="s">
        <v>2257</v>
      </c>
      <c r="E54" t="s">
        <v>559</v>
      </c>
      <c r="F54">
        <v>1</v>
      </c>
      <c r="G54" t="s">
        <v>2050</v>
      </c>
      <c r="H54" t="s">
        <v>2051</v>
      </c>
      <c r="I54" t="s">
        <v>53</v>
      </c>
      <c r="J54" t="s">
        <v>67</v>
      </c>
      <c r="K54" t="s">
        <v>68</v>
      </c>
      <c r="L54" t="s">
        <v>2052</v>
      </c>
      <c r="M54" t="s">
        <v>2053</v>
      </c>
      <c r="N54">
        <v>0</v>
      </c>
      <c r="O54">
        <v>0</v>
      </c>
      <c r="P54">
        <v>0</v>
      </c>
      <c r="Q54">
        <v>1440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148</v>
      </c>
      <c r="AH54" s="21" t="s">
        <v>3425</v>
      </c>
      <c r="AI54" s="21">
        <v>107.92500000000001</v>
      </c>
      <c r="AJ54" s="21">
        <v>100</v>
      </c>
      <c r="AK54" s="21" t="s">
        <v>2054</v>
      </c>
      <c r="AL54" t="s">
        <v>70</v>
      </c>
      <c r="AM54" t="s">
        <v>2029</v>
      </c>
    </row>
    <row r="55" spans="1:39" ht="15" hidden="1" thickTop="1" x14ac:dyDescent="0.35">
      <c r="A55" t="s">
        <v>2242</v>
      </c>
      <c r="B55" t="s">
        <v>2262</v>
      </c>
      <c r="C55" t="s">
        <v>66</v>
      </c>
      <c r="D55" t="s">
        <v>2263</v>
      </c>
      <c r="E55" t="s">
        <v>559</v>
      </c>
      <c r="F55">
        <v>1</v>
      </c>
      <c r="G55" t="s">
        <v>2050</v>
      </c>
      <c r="H55" t="s">
        <v>2051</v>
      </c>
      <c r="I55" t="s">
        <v>53</v>
      </c>
      <c r="J55" t="s">
        <v>67</v>
      </c>
      <c r="K55" t="s">
        <v>68</v>
      </c>
      <c r="L55" t="s">
        <v>2052</v>
      </c>
      <c r="M55" t="s">
        <v>2063</v>
      </c>
      <c r="N55">
        <v>0</v>
      </c>
      <c r="O55">
        <v>0</v>
      </c>
      <c r="P55">
        <v>0</v>
      </c>
      <c r="Q55">
        <v>1020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150</v>
      </c>
      <c r="AH55" s="21" t="s">
        <v>3427</v>
      </c>
      <c r="AI55" s="21">
        <v>76.500000000000014</v>
      </c>
      <c r="AJ55" s="21">
        <v>100</v>
      </c>
      <c r="AK55" s="21" t="s">
        <v>2054</v>
      </c>
      <c r="AL55" t="s">
        <v>70</v>
      </c>
      <c r="AM55" t="s">
        <v>2029</v>
      </c>
    </row>
    <row r="56" spans="1:39" ht="15" hidden="1" thickTop="1" x14ac:dyDescent="0.35">
      <c r="A56" t="s">
        <v>2243</v>
      </c>
      <c r="B56" t="s">
        <v>2265</v>
      </c>
      <c r="C56" t="s">
        <v>66</v>
      </c>
      <c r="D56" t="s">
        <v>2266</v>
      </c>
      <c r="E56" t="s">
        <v>559</v>
      </c>
      <c r="F56">
        <v>1</v>
      </c>
      <c r="G56" t="s">
        <v>2050</v>
      </c>
      <c r="H56" t="s">
        <v>2051</v>
      </c>
      <c r="I56" t="s">
        <v>53</v>
      </c>
      <c r="J56" t="s">
        <v>67</v>
      </c>
      <c r="K56" t="s">
        <v>68</v>
      </c>
      <c r="L56" t="s">
        <v>2052</v>
      </c>
      <c r="M56" t="s">
        <v>2064</v>
      </c>
      <c r="N56">
        <v>0</v>
      </c>
      <c r="O56">
        <v>0</v>
      </c>
      <c r="P56">
        <v>0</v>
      </c>
      <c r="Q56">
        <v>900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151</v>
      </c>
      <c r="AH56" s="21" t="s">
        <v>3427</v>
      </c>
      <c r="AI56" s="21">
        <v>67.5</v>
      </c>
      <c r="AJ56" s="21">
        <v>100</v>
      </c>
      <c r="AK56" s="21" t="s">
        <v>2054</v>
      </c>
      <c r="AL56" t="s">
        <v>70</v>
      </c>
      <c r="AM56" t="s">
        <v>2029</v>
      </c>
    </row>
    <row r="57" spans="1:39" ht="15" hidden="1" thickTop="1" x14ac:dyDescent="0.35">
      <c r="A57" t="s">
        <v>2249</v>
      </c>
      <c r="B57" t="s">
        <v>2269</v>
      </c>
      <c r="C57" t="s">
        <v>565</v>
      </c>
      <c r="D57" t="s">
        <v>2270</v>
      </c>
      <c r="E57" t="s">
        <v>559</v>
      </c>
      <c r="F57">
        <v>1</v>
      </c>
      <c r="G57" t="s">
        <v>2050</v>
      </c>
      <c r="H57" t="s">
        <v>2051</v>
      </c>
      <c r="I57" t="s">
        <v>53</v>
      </c>
      <c r="J57" t="s">
        <v>427</v>
      </c>
      <c r="K57" t="s">
        <v>68</v>
      </c>
      <c r="L57" t="s">
        <v>2052</v>
      </c>
      <c r="M57" t="s">
        <v>2053</v>
      </c>
      <c r="N57">
        <v>0</v>
      </c>
      <c r="O57">
        <v>0</v>
      </c>
      <c r="P57">
        <v>0</v>
      </c>
      <c r="Q57">
        <v>1440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152</v>
      </c>
      <c r="AH57" s="21" t="s">
        <v>3425</v>
      </c>
      <c r="AI57" s="21">
        <v>107.92500000000001</v>
      </c>
      <c r="AJ57" s="21">
        <v>100</v>
      </c>
      <c r="AK57" s="21" t="s">
        <v>2054</v>
      </c>
      <c r="AL57" t="s">
        <v>70</v>
      </c>
      <c r="AM57" t="s">
        <v>2028</v>
      </c>
    </row>
    <row r="58" spans="1:39" ht="15" hidden="1" thickTop="1" x14ac:dyDescent="0.35">
      <c r="A58" t="s">
        <v>2253</v>
      </c>
      <c r="B58" t="s">
        <v>2273</v>
      </c>
      <c r="C58" t="s">
        <v>100</v>
      </c>
      <c r="D58" t="s">
        <v>2274</v>
      </c>
      <c r="E58" t="s">
        <v>559</v>
      </c>
      <c r="F58">
        <v>1</v>
      </c>
      <c r="G58" t="s">
        <v>2050</v>
      </c>
      <c r="H58" t="s">
        <v>2051</v>
      </c>
      <c r="I58" t="s">
        <v>53</v>
      </c>
      <c r="J58" t="s">
        <v>67</v>
      </c>
      <c r="K58" t="s">
        <v>68</v>
      </c>
      <c r="L58" t="s">
        <v>2052</v>
      </c>
      <c r="M58" t="s">
        <v>2053</v>
      </c>
      <c r="N58">
        <v>0</v>
      </c>
      <c r="O58">
        <v>0</v>
      </c>
      <c r="P58">
        <v>0</v>
      </c>
      <c r="Q58">
        <v>1440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153</v>
      </c>
      <c r="AH58" s="21" t="s">
        <v>3425</v>
      </c>
      <c r="AI58" s="21">
        <v>107.92500000000001</v>
      </c>
      <c r="AJ58" s="21">
        <v>100</v>
      </c>
      <c r="AK58" s="21" t="s">
        <v>2054</v>
      </c>
      <c r="AL58" t="s">
        <v>70</v>
      </c>
      <c r="AM58" t="s">
        <v>2028</v>
      </c>
    </row>
    <row r="59" spans="1:39" ht="15" hidden="1" thickTop="1" x14ac:dyDescent="0.35">
      <c r="A59" t="s">
        <v>2254</v>
      </c>
      <c r="B59" t="s">
        <v>2275</v>
      </c>
      <c r="C59" t="s">
        <v>66</v>
      </c>
      <c r="D59" t="s">
        <v>2276</v>
      </c>
      <c r="E59" t="s">
        <v>559</v>
      </c>
      <c r="F59">
        <v>1</v>
      </c>
      <c r="G59" t="s">
        <v>2050</v>
      </c>
      <c r="H59" t="s">
        <v>2051</v>
      </c>
      <c r="I59" t="s">
        <v>53</v>
      </c>
      <c r="J59" t="s">
        <v>67</v>
      </c>
      <c r="K59" t="s">
        <v>68</v>
      </c>
      <c r="L59" t="s">
        <v>2052</v>
      </c>
      <c r="M59" t="s">
        <v>2053</v>
      </c>
      <c r="N59">
        <v>0</v>
      </c>
      <c r="O59">
        <v>0</v>
      </c>
      <c r="P59">
        <v>0</v>
      </c>
      <c r="Q59">
        <v>1440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154</v>
      </c>
      <c r="AH59" s="21" t="s">
        <v>3424</v>
      </c>
      <c r="AI59" s="21">
        <v>107.92500000000001</v>
      </c>
      <c r="AJ59" s="21">
        <v>100</v>
      </c>
      <c r="AK59" s="21" t="s">
        <v>2054</v>
      </c>
      <c r="AL59" t="s">
        <v>70</v>
      </c>
      <c r="AM59" t="s">
        <v>2030</v>
      </c>
    </row>
    <row r="60" spans="1:39" ht="15" hidden="1" thickTop="1" x14ac:dyDescent="0.35">
      <c r="A60" t="s">
        <v>2258</v>
      </c>
      <c r="B60" t="s">
        <v>2277</v>
      </c>
      <c r="C60" t="s">
        <v>81</v>
      </c>
      <c r="D60" t="s">
        <v>2278</v>
      </c>
      <c r="E60" t="s">
        <v>559</v>
      </c>
      <c r="F60">
        <v>1</v>
      </c>
      <c r="G60" t="s">
        <v>2050</v>
      </c>
      <c r="H60" t="s">
        <v>2051</v>
      </c>
      <c r="I60" t="s">
        <v>53</v>
      </c>
      <c r="J60" t="s">
        <v>82</v>
      </c>
      <c r="K60" t="s">
        <v>68</v>
      </c>
      <c r="L60" t="s">
        <v>2052</v>
      </c>
      <c r="M60" t="s">
        <v>2053</v>
      </c>
      <c r="N60">
        <v>0</v>
      </c>
      <c r="O60">
        <v>0</v>
      </c>
      <c r="P60">
        <v>0</v>
      </c>
      <c r="Q60">
        <v>1440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155</v>
      </c>
      <c r="AH60" s="21" t="s">
        <v>3427</v>
      </c>
      <c r="AI60" s="21">
        <v>107.92500000000001</v>
      </c>
      <c r="AJ60" s="21">
        <v>100</v>
      </c>
      <c r="AK60" s="21" t="s">
        <v>2054</v>
      </c>
      <c r="AL60" t="s">
        <v>70</v>
      </c>
      <c r="AM60" t="s">
        <v>2030</v>
      </c>
    </row>
    <row r="61" spans="1:39" ht="15" hidden="1" thickTop="1" x14ac:dyDescent="0.35">
      <c r="A61" t="s">
        <v>2260</v>
      </c>
      <c r="B61" t="s">
        <v>2279</v>
      </c>
      <c r="C61" t="s">
        <v>102</v>
      </c>
      <c r="D61" t="s">
        <v>2280</v>
      </c>
      <c r="E61" t="s">
        <v>559</v>
      </c>
      <c r="F61">
        <v>1</v>
      </c>
      <c r="G61" t="s">
        <v>2050</v>
      </c>
      <c r="H61" t="s">
        <v>2051</v>
      </c>
      <c r="I61" t="s">
        <v>53</v>
      </c>
      <c r="J61" t="s">
        <v>67</v>
      </c>
      <c r="K61" t="s">
        <v>68</v>
      </c>
      <c r="L61" t="s">
        <v>2052</v>
      </c>
      <c r="M61" t="s">
        <v>2053</v>
      </c>
      <c r="N61">
        <v>0</v>
      </c>
      <c r="O61">
        <v>0</v>
      </c>
      <c r="P61">
        <v>0</v>
      </c>
      <c r="Q61">
        <v>1440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156</v>
      </c>
      <c r="AH61" s="21" t="s">
        <v>3427</v>
      </c>
      <c r="AI61" s="21">
        <v>107.92500000000001</v>
      </c>
      <c r="AJ61" s="21">
        <v>100</v>
      </c>
      <c r="AK61" s="21" t="s">
        <v>2055</v>
      </c>
      <c r="AL61" t="s">
        <v>70</v>
      </c>
      <c r="AM61" t="s">
        <v>2030</v>
      </c>
    </row>
    <row r="62" spans="1:39" ht="15" hidden="1" thickTop="1" x14ac:dyDescent="0.35">
      <c r="A62" t="s">
        <v>2261</v>
      </c>
      <c r="B62" t="s">
        <v>2281</v>
      </c>
      <c r="C62" t="s">
        <v>76</v>
      </c>
      <c r="D62" t="s">
        <v>2282</v>
      </c>
      <c r="E62" t="s">
        <v>559</v>
      </c>
      <c r="F62">
        <v>1</v>
      </c>
      <c r="G62" t="s">
        <v>2050</v>
      </c>
      <c r="H62" t="s">
        <v>2051</v>
      </c>
      <c r="I62" t="s">
        <v>53</v>
      </c>
      <c r="J62" t="s">
        <v>67</v>
      </c>
      <c r="K62" t="s">
        <v>68</v>
      </c>
      <c r="L62" t="s">
        <v>2052</v>
      </c>
      <c r="M62" t="s">
        <v>2053</v>
      </c>
      <c r="N62">
        <v>0</v>
      </c>
      <c r="O62">
        <v>0</v>
      </c>
      <c r="P62">
        <v>0</v>
      </c>
      <c r="Q62">
        <v>1440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157</v>
      </c>
      <c r="AH62" s="21" t="s">
        <v>3427</v>
      </c>
      <c r="AI62" s="21">
        <v>107.92500000000001</v>
      </c>
      <c r="AJ62" s="21">
        <v>100</v>
      </c>
      <c r="AK62" s="21" t="s">
        <v>2054</v>
      </c>
      <c r="AL62" t="s">
        <v>70</v>
      </c>
      <c r="AM62" t="s">
        <v>2029</v>
      </c>
    </row>
    <row r="63" spans="1:39" ht="15" hidden="1" thickTop="1" x14ac:dyDescent="0.35">
      <c r="A63" t="s">
        <v>2267</v>
      </c>
      <c r="B63" t="s">
        <v>2283</v>
      </c>
      <c r="C63" t="s">
        <v>3376</v>
      </c>
      <c r="D63" t="s">
        <v>2284</v>
      </c>
      <c r="E63" t="s">
        <v>559</v>
      </c>
      <c r="F63">
        <v>1</v>
      </c>
      <c r="G63" t="s">
        <v>2050</v>
      </c>
      <c r="H63" t="s">
        <v>2051</v>
      </c>
      <c r="I63" t="s">
        <v>53</v>
      </c>
      <c r="J63" t="s">
        <v>67</v>
      </c>
      <c r="K63" t="s">
        <v>68</v>
      </c>
      <c r="L63" t="s">
        <v>2052</v>
      </c>
      <c r="M63" t="s">
        <v>2053</v>
      </c>
      <c r="N63">
        <v>0</v>
      </c>
      <c r="O63">
        <v>0</v>
      </c>
      <c r="P63">
        <v>0</v>
      </c>
      <c r="Q63">
        <v>1440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158</v>
      </c>
      <c r="AH63" s="21" t="s">
        <v>3424</v>
      </c>
      <c r="AI63" s="21">
        <v>107.92500000000001</v>
      </c>
      <c r="AJ63" s="21">
        <v>100</v>
      </c>
      <c r="AK63" s="21" t="s">
        <v>2055</v>
      </c>
      <c r="AL63" t="s">
        <v>70</v>
      </c>
      <c r="AM63" t="s">
        <v>2029</v>
      </c>
    </row>
    <row r="64" spans="1:39" ht="15" hidden="1" thickTop="1" x14ac:dyDescent="0.35">
      <c r="A64" t="s">
        <v>2271</v>
      </c>
      <c r="B64" t="s">
        <v>2285</v>
      </c>
      <c r="C64" t="s">
        <v>117</v>
      </c>
      <c r="D64" t="s">
        <v>2286</v>
      </c>
      <c r="E64" t="s">
        <v>559</v>
      </c>
      <c r="F64">
        <v>1</v>
      </c>
      <c r="G64" t="s">
        <v>2050</v>
      </c>
      <c r="H64" t="s">
        <v>2051</v>
      </c>
      <c r="I64" t="s">
        <v>53</v>
      </c>
      <c r="J64" t="s">
        <v>67</v>
      </c>
      <c r="K64" t="s">
        <v>68</v>
      </c>
      <c r="L64" t="s">
        <v>2052</v>
      </c>
      <c r="M64" t="s">
        <v>2053</v>
      </c>
      <c r="N64">
        <v>0</v>
      </c>
      <c r="O64">
        <v>0</v>
      </c>
      <c r="P64">
        <v>0</v>
      </c>
      <c r="Q64">
        <v>1440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159</v>
      </c>
      <c r="AH64" s="21" t="s">
        <v>3424</v>
      </c>
      <c r="AI64" s="21">
        <v>107.92500000000001</v>
      </c>
      <c r="AJ64" s="21">
        <v>100</v>
      </c>
      <c r="AK64" s="21" t="s">
        <v>2054</v>
      </c>
      <c r="AL64" t="s">
        <v>70</v>
      </c>
      <c r="AM64" t="s">
        <v>2030</v>
      </c>
    </row>
    <row r="65" spans="1:39" ht="15" hidden="1" thickTop="1" x14ac:dyDescent="0.35">
      <c r="A65" t="s">
        <v>2287</v>
      </c>
      <c r="B65" t="s">
        <v>2291</v>
      </c>
      <c r="C65" t="s">
        <v>66</v>
      </c>
      <c r="D65" t="s">
        <v>2292</v>
      </c>
      <c r="E65" t="s">
        <v>559</v>
      </c>
      <c r="F65">
        <v>2</v>
      </c>
      <c r="G65" t="s">
        <v>2050</v>
      </c>
      <c r="H65" t="s">
        <v>2051</v>
      </c>
      <c r="I65" t="s">
        <v>53</v>
      </c>
      <c r="J65" t="s">
        <v>67</v>
      </c>
      <c r="K65" t="s">
        <v>68</v>
      </c>
      <c r="L65" t="s">
        <v>2052</v>
      </c>
      <c r="M65" t="s">
        <v>2053</v>
      </c>
      <c r="N65">
        <v>0</v>
      </c>
      <c r="O65">
        <v>0</v>
      </c>
      <c r="P65">
        <v>0</v>
      </c>
      <c r="Q65">
        <v>1440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160</v>
      </c>
      <c r="AH65" s="21" t="s">
        <v>3424</v>
      </c>
      <c r="AI65" s="21">
        <v>107.92500000000001</v>
      </c>
      <c r="AJ65" s="21">
        <v>100</v>
      </c>
      <c r="AK65" s="21" t="s">
        <v>2054</v>
      </c>
      <c r="AL65" t="s">
        <v>70</v>
      </c>
      <c r="AM65" t="s">
        <v>2029</v>
      </c>
    </row>
    <row r="66" spans="1:39" ht="15" hidden="1" thickTop="1" x14ac:dyDescent="0.35">
      <c r="A66" t="s">
        <v>2289</v>
      </c>
      <c r="B66" t="s">
        <v>2294</v>
      </c>
      <c r="C66" t="s">
        <v>66</v>
      </c>
      <c r="D66" t="s">
        <v>2295</v>
      </c>
      <c r="E66" t="s">
        <v>559</v>
      </c>
      <c r="F66">
        <v>1</v>
      </c>
      <c r="G66" t="s">
        <v>2050</v>
      </c>
      <c r="H66" t="s">
        <v>2051</v>
      </c>
      <c r="I66" t="s">
        <v>53</v>
      </c>
      <c r="J66" t="s">
        <v>67</v>
      </c>
      <c r="K66" t="s">
        <v>68</v>
      </c>
      <c r="L66" t="s">
        <v>2052</v>
      </c>
      <c r="M66" t="s">
        <v>2053</v>
      </c>
      <c r="N66">
        <v>0</v>
      </c>
      <c r="O66">
        <v>0</v>
      </c>
      <c r="P66">
        <v>0</v>
      </c>
      <c r="Q66">
        <v>1440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161</v>
      </c>
      <c r="AH66" s="21" t="s">
        <v>3424</v>
      </c>
      <c r="AI66" s="21">
        <v>107.92500000000001</v>
      </c>
      <c r="AJ66" s="21">
        <v>100</v>
      </c>
      <c r="AK66" s="21" t="s">
        <v>2054</v>
      </c>
      <c r="AL66" t="s">
        <v>70</v>
      </c>
      <c r="AM66" t="s">
        <v>2028</v>
      </c>
    </row>
    <row r="67" spans="1:39" ht="15" hidden="1" thickTop="1" x14ac:dyDescent="0.35">
      <c r="A67" t="s">
        <v>2290</v>
      </c>
      <c r="B67" t="s">
        <v>2296</v>
      </c>
      <c r="C67" t="s">
        <v>78</v>
      </c>
      <c r="D67" t="s">
        <v>2297</v>
      </c>
      <c r="E67" t="s">
        <v>559</v>
      </c>
      <c r="F67">
        <v>1</v>
      </c>
      <c r="G67" t="s">
        <v>2050</v>
      </c>
      <c r="H67" t="s">
        <v>2051</v>
      </c>
      <c r="I67" t="s">
        <v>53</v>
      </c>
      <c r="J67" t="s">
        <v>67</v>
      </c>
      <c r="K67" t="s">
        <v>68</v>
      </c>
      <c r="L67" t="s">
        <v>2052</v>
      </c>
      <c r="M67" t="s">
        <v>2053</v>
      </c>
      <c r="N67">
        <v>0</v>
      </c>
      <c r="O67">
        <v>0</v>
      </c>
      <c r="P67">
        <v>0</v>
      </c>
      <c r="Q67">
        <v>1440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162</v>
      </c>
      <c r="AH67" s="21" t="s">
        <v>3424</v>
      </c>
      <c r="AI67" s="21">
        <v>107.92500000000001</v>
      </c>
      <c r="AJ67" s="21">
        <v>100</v>
      </c>
      <c r="AK67" s="21" t="s">
        <v>2054</v>
      </c>
      <c r="AL67" t="s">
        <v>70</v>
      </c>
      <c r="AM67" t="s">
        <v>2028</v>
      </c>
    </row>
    <row r="68" spans="1:39" ht="15" hidden="1" thickTop="1" x14ac:dyDescent="0.35">
      <c r="A68" t="s">
        <v>2298</v>
      </c>
      <c r="B68" t="s">
        <v>2300</v>
      </c>
      <c r="C68" t="s">
        <v>78</v>
      </c>
      <c r="D68" t="s">
        <v>2301</v>
      </c>
      <c r="E68" t="s">
        <v>559</v>
      </c>
      <c r="F68">
        <v>1</v>
      </c>
      <c r="G68" t="s">
        <v>2050</v>
      </c>
      <c r="H68" t="s">
        <v>2051</v>
      </c>
      <c r="I68" t="s">
        <v>53</v>
      </c>
      <c r="J68" t="s">
        <v>67</v>
      </c>
      <c r="K68" t="s">
        <v>68</v>
      </c>
      <c r="L68" t="s">
        <v>2052</v>
      </c>
      <c r="M68" t="s">
        <v>2064</v>
      </c>
      <c r="N68">
        <v>0</v>
      </c>
      <c r="O68">
        <v>0</v>
      </c>
      <c r="P68">
        <v>0</v>
      </c>
      <c r="Q68">
        <v>900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163</v>
      </c>
      <c r="AH68" s="21" t="s">
        <v>3425</v>
      </c>
      <c r="AI68" s="21">
        <v>67.5</v>
      </c>
      <c r="AJ68" s="21">
        <v>100</v>
      </c>
      <c r="AK68" s="21" t="s">
        <v>2054</v>
      </c>
      <c r="AL68" t="s">
        <v>70</v>
      </c>
      <c r="AM68" t="s">
        <v>2029</v>
      </c>
    </row>
    <row r="69" spans="1:39" ht="15" hidden="1" thickTop="1" x14ac:dyDescent="0.35">
      <c r="A69" t="s">
        <v>2302</v>
      </c>
      <c r="B69" t="s">
        <v>2309</v>
      </c>
      <c r="C69" t="s">
        <v>117</v>
      </c>
      <c r="D69" t="s">
        <v>2310</v>
      </c>
      <c r="E69" t="s">
        <v>559</v>
      </c>
      <c r="F69">
        <v>1</v>
      </c>
      <c r="G69" t="s">
        <v>2050</v>
      </c>
      <c r="H69" t="s">
        <v>2051</v>
      </c>
      <c r="I69" t="s">
        <v>53</v>
      </c>
      <c r="J69" t="s">
        <v>67</v>
      </c>
      <c r="K69" t="s">
        <v>68</v>
      </c>
      <c r="L69" t="s">
        <v>2052</v>
      </c>
      <c r="M69" t="s">
        <v>2063</v>
      </c>
      <c r="N69">
        <v>0</v>
      </c>
      <c r="O69">
        <v>0</v>
      </c>
      <c r="P69">
        <v>0</v>
      </c>
      <c r="Q69">
        <v>1020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164</v>
      </c>
      <c r="AH69" s="21" t="s">
        <v>3425</v>
      </c>
      <c r="AI69" s="21">
        <v>76.500000000000014</v>
      </c>
      <c r="AJ69" s="21">
        <v>100</v>
      </c>
      <c r="AK69" s="21" t="s">
        <v>2054</v>
      </c>
      <c r="AL69" t="s">
        <v>70</v>
      </c>
      <c r="AM69" t="s">
        <v>2027</v>
      </c>
    </row>
    <row r="70" spans="1:39" ht="15" hidden="1" thickTop="1" x14ac:dyDescent="0.35">
      <c r="A70" t="s">
        <v>2304</v>
      </c>
      <c r="B70" t="s">
        <v>2311</v>
      </c>
      <c r="C70" t="s">
        <v>76</v>
      </c>
      <c r="D70" t="s">
        <v>2312</v>
      </c>
      <c r="E70" t="s">
        <v>559</v>
      </c>
      <c r="F70">
        <v>1</v>
      </c>
      <c r="G70" t="s">
        <v>2050</v>
      </c>
      <c r="H70" t="s">
        <v>2051</v>
      </c>
      <c r="I70" t="s">
        <v>53</v>
      </c>
      <c r="J70" t="s">
        <v>67</v>
      </c>
      <c r="K70" t="s">
        <v>68</v>
      </c>
      <c r="L70" t="s">
        <v>2052</v>
      </c>
      <c r="M70" t="s">
        <v>2068</v>
      </c>
      <c r="N70">
        <v>0</v>
      </c>
      <c r="O70">
        <v>0</v>
      </c>
      <c r="P70">
        <v>0</v>
      </c>
      <c r="Q70">
        <v>720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561</v>
      </c>
      <c r="AH70" s="21" t="s">
        <v>3425</v>
      </c>
      <c r="AI70" s="21">
        <v>54</v>
      </c>
      <c r="AJ70" s="21">
        <v>100</v>
      </c>
      <c r="AK70" s="21" t="s">
        <v>2054</v>
      </c>
      <c r="AL70" t="s">
        <v>70</v>
      </c>
      <c r="AM70" t="s">
        <v>2027</v>
      </c>
    </row>
    <row r="71" spans="1:39" ht="15" hidden="1" thickTop="1" x14ac:dyDescent="0.35">
      <c r="A71" t="s">
        <v>2305</v>
      </c>
      <c r="B71" t="s">
        <v>2313</v>
      </c>
      <c r="C71" t="s">
        <v>100</v>
      </c>
      <c r="D71" t="s">
        <v>2314</v>
      </c>
      <c r="E71" t="s">
        <v>559</v>
      </c>
      <c r="F71">
        <v>1</v>
      </c>
      <c r="G71" t="s">
        <v>2050</v>
      </c>
      <c r="H71" t="s">
        <v>2051</v>
      </c>
      <c r="I71" t="s">
        <v>53</v>
      </c>
      <c r="J71" t="s">
        <v>67</v>
      </c>
      <c r="K71" t="s">
        <v>68</v>
      </c>
      <c r="L71" t="s">
        <v>2052</v>
      </c>
      <c r="M71" t="s">
        <v>2053</v>
      </c>
      <c r="N71">
        <v>0</v>
      </c>
      <c r="O71">
        <v>0</v>
      </c>
      <c r="P71">
        <v>0</v>
      </c>
      <c r="Q71">
        <v>1440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165</v>
      </c>
      <c r="AH71" s="21" t="s">
        <v>3425</v>
      </c>
      <c r="AI71" s="21">
        <v>107.92500000000001</v>
      </c>
      <c r="AJ71" s="21">
        <v>100</v>
      </c>
      <c r="AK71" s="21" t="s">
        <v>2054</v>
      </c>
      <c r="AL71" t="s">
        <v>70</v>
      </c>
      <c r="AM71" t="s">
        <v>2029</v>
      </c>
    </row>
    <row r="72" spans="1:39" ht="15" hidden="1" thickTop="1" x14ac:dyDescent="0.35">
      <c r="A72" t="s">
        <v>2307</v>
      </c>
      <c r="B72" t="s">
        <v>2315</v>
      </c>
      <c r="C72" t="s">
        <v>78</v>
      </c>
      <c r="D72" t="s">
        <v>2316</v>
      </c>
      <c r="E72" t="s">
        <v>559</v>
      </c>
      <c r="F72">
        <v>1</v>
      </c>
      <c r="G72" t="s">
        <v>2050</v>
      </c>
      <c r="H72" t="s">
        <v>2051</v>
      </c>
      <c r="I72" t="s">
        <v>53</v>
      </c>
      <c r="J72" t="s">
        <v>67</v>
      </c>
      <c r="K72" t="s">
        <v>68</v>
      </c>
      <c r="L72" t="s">
        <v>2052</v>
      </c>
      <c r="M72" t="s">
        <v>2053</v>
      </c>
      <c r="N72">
        <v>0</v>
      </c>
      <c r="O72">
        <v>0</v>
      </c>
      <c r="P72">
        <v>0</v>
      </c>
      <c r="Q72">
        <v>1440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1514</v>
      </c>
      <c r="AH72" s="21" t="s">
        <v>3425</v>
      </c>
      <c r="AI72" s="21">
        <v>107.92500000000001</v>
      </c>
      <c r="AJ72" s="21">
        <v>100</v>
      </c>
      <c r="AK72" s="21" t="s">
        <v>2055</v>
      </c>
      <c r="AL72" t="s">
        <v>70</v>
      </c>
      <c r="AM72" t="s">
        <v>2029</v>
      </c>
    </row>
    <row r="73" spans="1:39" ht="15" hidden="1" thickTop="1" x14ac:dyDescent="0.35">
      <c r="A73" t="s">
        <v>2318</v>
      </c>
      <c r="B73" t="s">
        <v>2330</v>
      </c>
      <c r="C73" t="s">
        <v>102</v>
      </c>
      <c r="D73" t="s">
        <v>2331</v>
      </c>
      <c r="E73" t="s">
        <v>559</v>
      </c>
      <c r="F73">
        <v>1</v>
      </c>
      <c r="G73" t="s">
        <v>2050</v>
      </c>
      <c r="H73" t="s">
        <v>2051</v>
      </c>
      <c r="I73" t="s">
        <v>53</v>
      </c>
      <c r="J73" t="s">
        <v>67</v>
      </c>
      <c r="K73" t="s">
        <v>68</v>
      </c>
      <c r="L73" t="s">
        <v>2052</v>
      </c>
      <c r="M73" t="s">
        <v>2053</v>
      </c>
      <c r="N73">
        <v>0</v>
      </c>
      <c r="O73">
        <v>0</v>
      </c>
      <c r="P73">
        <v>0</v>
      </c>
      <c r="Q73">
        <v>1440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166</v>
      </c>
      <c r="AH73" s="21" t="s">
        <v>3430</v>
      </c>
      <c r="AI73" s="21">
        <v>107.92500000000001</v>
      </c>
      <c r="AJ73" s="21">
        <v>100</v>
      </c>
      <c r="AK73" s="21" t="s">
        <v>2054</v>
      </c>
      <c r="AL73" t="s">
        <v>70</v>
      </c>
      <c r="AM73" t="s">
        <v>2027</v>
      </c>
    </row>
    <row r="74" spans="1:39" ht="15" hidden="1" thickTop="1" x14ac:dyDescent="0.35">
      <c r="A74" t="s">
        <v>2320</v>
      </c>
      <c r="B74" t="s">
        <v>2332</v>
      </c>
      <c r="C74" t="s">
        <v>117</v>
      </c>
      <c r="D74" t="s">
        <v>2333</v>
      </c>
      <c r="E74" t="s">
        <v>559</v>
      </c>
      <c r="F74">
        <v>1</v>
      </c>
      <c r="G74" t="s">
        <v>2050</v>
      </c>
      <c r="H74" t="s">
        <v>2051</v>
      </c>
      <c r="I74" t="s">
        <v>53</v>
      </c>
      <c r="J74" t="s">
        <v>67</v>
      </c>
      <c r="K74" t="s">
        <v>68</v>
      </c>
      <c r="L74" t="s">
        <v>2052</v>
      </c>
      <c r="M74" t="s">
        <v>2053</v>
      </c>
      <c r="N74">
        <v>0</v>
      </c>
      <c r="O74">
        <v>0</v>
      </c>
      <c r="P74">
        <v>0</v>
      </c>
      <c r="Q74">
        <v>1440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167</v>
      </c>
      <c r="AH74" s="21" t="s">
        <v>3425</v>
      </c>
      <c r="AI74" s="21">
        <v>107.92500000000001</v>
      </c>
      <c r="AJ74" s="21">
        <v>100</v>
      </c>
      <c r="AK74" s="21" t="s">
        <v>2054</v>
      </c>
      <c r="AL74" t="s">
        <v>70</v>
      </c>
      <c r="AM74" t="s">
        <v>2027</v>
      </c>
    </row>
    <row r="75" spans="1:39" ht="15" hidden="1" thickTop="1" x14ac:dyDescent="0.35">
      <c r="A75" t="s">
        <v>2322</v>
      </c>
      <c r="B75" t="s">
        <v>2335</v>
      </c>
      <c r="C75" t="s">
        <v>100</v>
      </c>
      <c r="D75" t="s">
        <v>2336</v>
      </c>
      <c r="E75" t="s">
        <v>119</v>
      </c>
      <c r="F75">
        <v>1</v>
      </c>
      <c r="G75" t="s">
        <v>2050</v>
      </c>
      <c r="H75" t="s">
        <v>2051</v>
      </c>
      <c r="I75" t="s">
        <v>53</v>
      </c>
      <c r="J75" t="s">
        <v>67</v>
      </c>
      <c r="K75" t="s">
        <v>68</v>
      </c>
      <c r="L75" t="s">
        <v>2052</v>
      </c>
      <c r="M75" t="s">
        <v>2064</v>
      </c>
      <c r="N75">
        <v>0</v>
      </c>
      <c r="O75">
        <v>0</v>
      </c>
      <c r="P75">
        <v>0</v>
      </c>
      <c r="Q75">
        <v>900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168</v>
      </c>
      <c r="AH75" s="21" t="s">
        <v>3424</v>
      </c>
      <c r="AI75" s="21">
        <v>67.5</v>
      </c>
      <c r="AJ75" s="21">
        <v>100</v>
      </c>
      <c r="AK75" s="21" t="s">
        <v>2054</v>
      </c>
      <c r="AL75" t="s">
        <v>70</v>
      </c>
      <c r="AM75" t="s">
        <v>2029</v>
      </c>
    </row>
    <row r="76" spans="1:39" ht="15" hidden="1" thickTop="1" x14ac:dyDescent="0.35">
      <c r="A76" t="s">
        <v>2323</v>
      </c>
      <c r="B76" t="s">
        <v>2338</v>
      </c>
      <c r="C76" t="s">
        <v>76</v>
      </c>
      <c r="D76" t="s">
        <v>2339</v>
      </c>
      <c r="E76" t="s">
        <v>559</v>
      </c>
      <c r="F76">
        <v>1</v>
      </c>
      <c r="G76" t="s">
        <v>2050</v>
      </c>
      <c r="H76" t="s">
        <v>2051</v>
      </c>
      <c r="I76" t="s">
        <v>53</v>
      </c>
      <c r="J76" t="s">
        <v>67</v>
      </c>
      <c r="K76" t="s">
        <v>68</v>
      </c>
      <c r="L76" t="s">
        <v>2052</v>
      </c>
      <c r="M76" t="s">
        <v>2053</v>
      </c>
      <c r="N76">
        <v>0</v>
      </c>
      <c r="O76">
        <v>0</v>
      </c>
      <c r="P76">
        <v>0</v>
      </c>
      <c r="Q76">
        <v>1440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169</v>
      </c>
      <c r="AH76" s="21" t="s">
        <v>3425</v>
      </c>
      <c r="AI76" s="21">
        <v>107.92500000000001</v>
      </c>
      <c r="AJ76" s="21">
        <v>100</v>
      </c>
      <c r="AK76" s="21" t="s">
        <v>2054</v>
      </c>
      <c r="AL76" t="s">
        <v>70</v>
      </c>
      <c r="AM76" t="s">
        <v>2028</v>
      </c>
    </row>
    <row r="77" spans="1:39" ht="15" hidden="1" thickTop="1" x14ac:dyDescent="0.35">
      <c r="A77" t="s">
        <v>2065</v>
      </c>
      <c r="B77" t="s">
        <v>2340</v>
      </c>
      <c r="C77" t="s">
        <v>565</v>
      </c>
      <c r="D77" t="s">
        <v>2341</v>
      </c>
      <c r="E77" t="s">
        <v>559</v>
      </c>
      <c r="F77">
        <v>1</v>
      </c>
      <c r="G77" t="s">
        <v>2050</v>
      </c>
      <c r="H77" t="s">
        <v>2051</v>
      </c>
      <c r="I77" t="s">
        <v>53</v>
      </c>
      <c r="J77" t="s">
        <v>427</v>
      </c>
      <c r="K77" t="s">
        <v>68</v>
      </c>
      <c r="L77" t="s">
        <v>2052</v>
      </c>
      <c r="M77" t="s">
        <v>2053</v>
      </c>
      <c r="N77">
        <v>0</v>
      </c>
      <c r="O77">
        <v>0</v>
      </c>
      <c r="P77">
        <v>0</v>
      </c>
      <c r="Q77">
        <v>1440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170</v>
      </c>
      <c r="AH77" s="21" t="s">
        <v>3424</v>
      </c>
      <c r="AI77" s="21">
        <v>107.92500000000001</v>
      </c>
      <c r="AJ77" s="21">
        <v>100</v>
      </c>
      <c r="AK77" s="21" t="s">
        <v>2054</v>
      </c>
      <c r="AL77" t="s">
        <v>70</v>
      </c>
      <c r="AM77" t="s">
        <v>2029</v>
      </c>
    </row>
    <row r="78" spans="1:39" ht="15" hidden="1" thickTop="1" x14ac:dyDescent="0.35">
      <c r="A78" t="s">
        <v>2326</v>
      </c>
      <c r="B78" t="s">
        <v>2344</v>
      </c>
      <c r="C78" t="s">
        <v>100</v>
      </c>
      <c r="D78" t="s">
        <v>2345</v>
      </c>
      <c r="E78" t="s">
        <v>559</v>
      </c>
      <c r="F78">
        <v>1</v>
      </c>
      <c r="G78" t="s">
        <v>2050</v>
      </c>
      <c r="H78" t="s">
        <v>2051</v>
      </c>
      <c r="I78" t="s">
        <v>53</v>
      </c>
      <c r="J78" t="s">
        <v>67</v>
      </c>
      <c r="K78" t="s">
        <v>68</v>
      </c>
      <c r="L78" t="s">
        <v>2052</v>
      </c>
      <c r="M78" t="s">
        <v>2053</v>
      </c>
      <c r="N78">
        <v>0</v>
      </c>
      <c r="O78">
        <v>0</v>
      </c>
      <c r="P78">
        <v>0</v>
      </c>
      <c r="Q78">
        <v>1440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173</v>
      </c>
      <c r="AH78" s="21" t="s">
        <v>3425</v>
      </c>
      <c r="AI78" s="21">
        <v>107.92500000000001</v>
      </c>
      <c r="AJ78" s="21">
        <v>100</v>
      </c>
      <c r="AK78" s="21" t="s">
        <v>2054</v>
      </c>
      <c r="AL78" t="s">
        <v>70</v>
      </c>
      <c r="AM78" t="s">
        <v>2028</v>
      </c>
    </row>
    <row r="79" spans="1:39" ht="15" hidden="1" thickTop="1" x14ac:dyDescent="0.35">
      <c r="A79" t="s">
        <v>2327</v>
      </c>
      <c r="B79" t="s">
        <v>2346</v>
      </c>
      <c r="C79" t="s">
        <v>78</v>
      </c>
      <c r="D79" t="s">
        <v>2347</v>
      </c>
      <c r="E79" t="s">
        <v>559</v>
      </c>
      <c r="F79">
        <v>1</v>
      </c>
      <c r="G79" t="s">
        <v>2050</v>
      </c>
      <c r="H79" t="s">
        <v>2051</v>
      </c>
      <c r="I79" t="s">
        <v>53</v>
      </c>
      <c r="J79" t="s">
        <v>67</v>
      </c>
      <c r="K79" t="s">
        <v>68</v>
      </c>
      <c r="L79" t="s">
        <v>2052</v>
      </c>
      <c r="M79" t="s">
        <v>2064</v>
      </c>
      <c r="N79">
        <v>0</v>
      </c>
      <c r="O79">
        <v>0</v>
      </c>
      <c r="P79">
        <v>0</v>
      </c>
      <c r="Q79">
        <v>900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174</v>
      </c>
      <c r="AH79" s="21" t="s">
        <v>3425</v>
      </c>
      <c r="AI79" s="21">
        <v>67.5</v>
      </c>
      <c r="AJ79" s="21">
        <v>100</v>
      </c>
      <c r="AK79" s="21" t="s">
        <v>2054</v>
      </c>
      <c r="AL79" t="s">
        <v>70</v>
      </c>
      <c r="AM79" t="s">
        <v>2028</v>
      </c>
    </row>
    <row r="80" spans="1:39" ht="15" hidden="1" thickTop="1" x14ac:dyDescent="0.35">
      <c r="A80" t="s">
        <v>2328</v>
      </c>
      <c r="B80" t="s">
        <v>2348</v>
      </c>
      <c r="C80" t="s">
        <v>100</v>
      </c>
      <c r="D80" t="s">
        <v>2349</v>
      </c>
      <c r="E80" t="s">
        <v>559</v>
      </c>
      <c r="F80">
        <v>1</v>
      </c>
      <c r="G80" t="s">
        <v>2050</v>
      </c>
      <c r="H80" t="s">
        <v>2051</v>
      </c>
      <c r="I80" t="s">
        <v>53</v>
      </c>
      <c r="J80" t="s">
        <v>67</v>
      </c>
      <c r="K80" t="s">
        <v>68</v>
      </c>
      <c r="L80" t="s">
        <v>2052</v>
      </c>
      <c r="M80" t="s">
        <v>2053</v>
      </c>
      <c r="N80">
        <v>0</v>
      </c>
      <c r="O80">
        <v>0</v>
      </c>
      <c r="P80">
        <v>0</v>
      </c>
      <c r="Q80">
        <v>1440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175</v>
      </c>
      <c r="AH80" s="21" t="s">
        <v>3425</v>
      </c>
      <c r="AI80" s="21">
        <v>107.92500000000001</v>
      </c>
      <c r="AJ80" s="21">
        <v>100</v>
      </c>
      <c r="AK80" s="21" t="s">
        <v>2054</v>
      </c>
      <c r="AL80" t="s">
        <v>70</v>
      </c>
      <c r="AM80" t="s">
        <v>2030</v>
      </c>
    </row>
    <row r="81" spans="1:39" ht="15" hidden="1" thickTop="1" x14ac:dyDescent="0.35">
      <c r="A81" t="s">
        <v>2334</v>
      </c>
      <c r="B81" t="s">
        <v>2350</v>
      </c>
      <c r="C81" t="s">
        <v>565</v>
      </c>
      <c r="D81" t="s">
        <v>2351</v>
      </c>
      <c r="E81" t="s">
        <v>559</v>
      </c>
      <c r="F81">
        <v>2</v>
      </c>
      <c r="G81" t="s">
        <v>2050</v>
      </c>
      <c r="H81" t="s">
        <v>2051</v>
      </c>
      <c r="I81" t="s">
        <v>53</v>
      </c>
      <c r="J81" t="s">
        <v>427</v>
      </c>
      <c r="K81" t="s">
        <v>68</v>
      </c>
      <c r="L81" t="s">
        <v>2052</v>
      </c>
      <c r="M81" t="s">
        <v>2053</v>
      </c>
      <c r="N81">
        <v>0</v>
      </c>
      <c r="O81">
        <v>0</v>
      </c>
      <c r="P81">
        <v>0</v>
      </c>
      <c r="Q81">
        <v>1440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176</v>
      </c>
      <c r="AH81" s="21" t="s">
        <v>3428</v>
      </c>
      <c r="AI81" s="21">
        <v>107.92500000000001</v>
      </c>
      <c r="AJ81" s="21">
        <v>100</v>
      </c>
      <c r="AK81" s="21" t="s">
        <v>2054</v>
      </c>
      <c r="AL81" t="s">
        <v>70</v>
      </c>
      <c r="AM81" t="s">
        <v>2029</v>
      </c>
    </row>
    <row r="82" spans="1:39" ht="15" hidden="1" thickTop="1" x14ac:dyDescent="0.35">
      <c r="A82" t="s">
        <v>2342</v>
      </c>
      <c r="B82" t="s">
        <v>2352</v>
      </c>
      <c r="C82" t="s">
        <v>76</v>
      </c>
      <c r="D82" t="s">
        <v>2353</v>
      </c>
      <c r="E82" t="s">
        <v>559</v>
      </c>
      <c r="F82">
        <v>1</v>
      </c>
      <c r="G82" t="s">
        <v>2050</v>
      </c>
      <c r="H82" t="s">
        <v>2051</v>
      </c>
      <c r="I82" t="s">
        <v>53</v>
      </c>
      <c r="J82" t="s">
        <v>67</v>
      </c>
      <c r="K82" t="s">
        <v>68</v>
      </c>
      <c r="L82" t="s">
        <v>2052</v>
      </c>
      <c r="M82" t="s">
        <v>2064</v>
      </c>
      <c r="N82">
        <v>0</v>
      </c>
      <c r="O82">
        <v>0</v>
      </c>
      <c r="P82">
        <v>0</v>
      </c>
      <c r="Q82">
        <v>900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177</v>
      </c>
      <c r="AH82" s="21" t="s">
        <v>3424</v>
      </c>
      <c r="AI82" s="21">
        <v>67.5</v>
      </c>
      <c r="AJ82" s="21">
        <v>100</v>
      </c>
      <c r="AK82" s="21" t="s">
        <v>2054</v>
      </c>
      <c r="AL82" t="s">
        <v>70</v>
      </c>
      <c r="AM82" t="s">
        <v>2029</v>
      </c>
    </row>
    <row r="83" spans="1:39" ht="15" hidden="1" thickTop="1" x14ac:dyDescent="0.35">
      <c r="A83" t="s">
        <v>2354</v>
      </c>
      <c r="B83" t="s">
        <v>2358</v>
      </c>
      <c r="C83" t="s">
        <v>81</v>
      </c>
      <c r="D83" t="s">
        <v>2359</v>
      </c>
      <c r="E83" t="s">
        <v>559</v>
      </c>
      <c r="F83">
        <v>2</v>
      </c>
      <c r="G83" t="s">
        <v>2050</v>
      </c>
      <c r="H83" t="s">
        <v>2051</v>
      </c>
      <c r="I83" t="s">
        <v>53</v>
      </c>
      <c r="J83" t="s">
        <v>82</v>
      </c>
      <c r="K83" t="s">
        <v>68</v>
      </c>
      <c r="L83" t="s">
        <v>2052</v>
      </c>
      <c r="M83" t="s">
        <v>2053</v>
      </c>
      <c r="N83">
        <v>0</v>
      </c>
      <c r="O83">
        <v>0</v>
      </c>
      <c r="P83">
        <v>0</v>
      </c>
      <c r="Q83">
        <v>1440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272</v>
      </c>
      <c r="AH83" s="21" t="s">
        <v>3424</v>
      </c>
      <c r="AI83" s="21">
        <v>107.92500000000001</v>
      </c>
      <c r="AJ83" s="21">
        <v>100</v>
      </c>
      <c r="AK83" s="21" t="s">
        <v>2054</v>
      </c>
      <c r="AL83" t="s">
        <v>70</v>
      </c>
      <c r="AM83" t="s">
        <v>2029</v>
      </c>
    </row>
    <row r="84" spans="1:39" ht="15" hidden="1" thickTop="1" x14ac:dyDescent="0.35">
      <c r="A84" t="s">
        <v>2356</v>
      </c>
      <c r="B84" t="s">
        <v>2360</v>
      </c>
      <c r="C84" t="s">
        <v>92</v>
      </c>
      <c r="D84" t="s">
        <v>2361</v>
      </c>
      <c r="E84" t="s">
        <v>119</v>
      </c>
      <c r="F84">
        <v>1</v>
      </c>
      <c r="G84" t="s">
        <v>2050</v>
      </c>
      <c r="H84" t="s">
        <v>2051</v>
      </c>
      <c r="I84" t="s">
        <v>53</v>
      </c>
      <c r="J84" t="s">
        <v>67</v>
      </c>
      <c r="K84" t="s">
        <v>68</v>
      </c>
      <c r="L84" t="s">
        <v>2052</v>
      </c>
      <c r="M84" t="s">
        <v>2053</v>
      </c>
      <c r="N84">
        <v>0</v>
      </c>
      <c r="O84">
        <v>0</v>
      </c>
      <c r="P84">
        <v>0</v>
      </c>
      <c r="Q84">
        <v>1440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221</v>
      </c>
      <c r="AH84" s="21" t="s">
        <v>3424</v>
      </c>
      <c r="AI84" s="21">
        <v>107.92500000000001</v>
      </c>
      <c r="AJ84" s="21">
        <v>100</v>
      </c>
      <c r="AK84" s="21" t="s">
        <v>2054</v>
      </c>
      <c r="AL84" t="s">
        <v>70</v>
      </c>
      <c r="AM84" t="s">
        <v>2029</v>
      </c>
    </row>
    <row r="85" spans="1:39" ht="15" hidden="1" thickTop="1" x14ac:dyDescent="0.35">
      <c r="A85" t="s">
        <v>2362</v>
      </c>
      <c r="B85" t="s">
        <v>2365</v>
      </c>
      <c r="C85" t="s">
        <v>66</v>
      </c>
      <c r="D85" t="s">
        <v>2366</v>
      </c>
      <c r="E85" t="s">
        <v>559</v>
      </c>
      <c r="F85">
        <v>1</v>
      </c>
      <c r="G85" t="s">
        <v>2050</v>
      </c>
      <c r="H85" t="s">
        <v>2051</v>
      </c>
      <c r="I85" t="s">
        <v>53</v>
      </c>
      <c r="J85" t="s">
        <v>67</v>
      </c>
      <c r="K85" t="s">
        <v>68</v>
      </c>
      <c r="L85" t="s">
        <v>2052</v>
      </c>
      <c r="M85" t="s">
        <v>2053</v>
      </c>
      <c r="N85">
        <v>0</v>
      </c>
      <c r="O85">
        <v>0</v>
      </c>
      <c r="P85">
        <v>0</v>
      </c>
      <c r="Q85">
        <v>1440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267</v>
      </c>
      <c r="AH85" s="21" t="s">
        <v>3424</v>
      </c>
      <c r="AI85" s="21">
        <v>107.92500000000001</v>
      </c>
      <c r="AJ85" s="21">
        <v>100</v>
      </c>
      <c r="AK85" s="21" t="s">
        <v>2054</v>
      </c>
      <c r="AL85" t="s">
        <v>70</v>
      </c>
      <c r="AM85" t="s">
        <v>2028</v>
      </c>
    </row>
    <row r="86" spans="1:39" ht="15" hidden="1" thickTop="1" x14ac:dyDescent="0.35">
      <c r="A86" t="s">
        <v>2363</v>
      </c>
      <c r="B86" t="s">
        <v>2367</v>
      </c>
      <c r="C86" t="s">
        <v>76</v>
      </c>
      <c r="D86" t="s">
        <v>2368</v>
      </c>
      <c r="E86" t="s">
        <v>559</v>
      </c>
      <c r="F86">
        <v>2</v>
      </c>
      <c r="G86" t="s">
        <v>2050</v>
      </c>
      <c r="H86" t="s">
        <v>2051</v>
      </c>
      <c r="I86" t="s">
        <v>53</v>
      </c>
      <c r="J86" t="s">
        <v>67</v>
      </c>
      <c r="K86" t="s">
        <v>68</v>
      </c>
      <c r="L86" t="s">
        <v>2052</v>
      </c>
      <c r="M86" t="s">
        <v>2053</v>
      </c>
      <c r="N86">
        <v>0</v>
      </c>
      <c r="O86">
        <v>0</v>
      </c>
      <c r="P86">
        <v>0</v>
      </c>
      <c r="Q86">
        <v>1440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352</v>
      </c>
      <c r="AH86" s="21" t="s">
        <v>3424</v>
      </c>
      <c r="AI86" s="21">
        <v>107.92500000000001</v>
      </c>
      <c r="AJ86" s="21">
        <v>100</v>
      </c>
      <c r="AK86" s="21" t="s">
        <v>2055</v>
      </c>
      <c r="AL86" t="s">
        <v>70</v>
      </c>
      <c r="AM86" t="s">
        <v>2030</v>
      </c>
    </row>
    <row r="87" spans="1:39" ht="15" hidden="1" thickTop="1" x14ac:dyDescent="0.35">
      <c r="A87" t="s">
        <v>2369</v>
      </c>
      <c r="B87" t="s">
        <v>2375</v>
      </c>
      <c r="C87" t="s">
        <v>92</v>
      </c>
      <c r="D87" t="s">
        <v>2376</v>
      </c>
      <c r="E87" t="s">
        <v>119</v>
      </c>
      <c r="F87">
        <v>1</v>
      </c>
      <c r="G87" t="s">
        <v>2050</v>
      </c>
      <c r="H87" t="s">
        <v>2051</v>
      </c>
      <c r="I87" t="s">
        <v>53</v>
      </c>
      <c r="J87" t="s">
        <v>67</v>
      </c>
      <c r="K87" t="s">
        <v>68</v>
      </c>
      <c r="L87" t="s">
        <v>2052</v>
      </c>
      <c r="M87" t="s">
        <v>2053</v>
      </c>
      <c r="N87">
        <v>0</v>
      </c>
      <c r="O87">
        <v>0</v>
      </c>
      <c r="P87">
        <v>0</v>
      </c>
      <c r="Q87">
        <v>1440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183</v>
      </c>
      <c r="AH87" s="21" t="s">
        <v>3425</v>
      </c>
      <c r="AI87" s="21">
        <v>107.92500000000001</v>
      </c>
      <c r="AJ87" s="21">
        <v>100</v>
      </c>
      <c r="AK87" s="21" t="s">
        <v>2054</v>
      </c>
      <c r="AL87" t="s">
        <v>70</v>
      </c>
      <c r="AM87" t="s">
        <v>2027</v>
      </c>
    </row>
    <row r="88" spans="1:39" ht="15" hidden="1" thickTop="1" x14ac:dyDescent="0.35">
      <c r="A88" t="s">
        <v>2371</v>
      </c>
      <c r="B88" t="s">
        <v>2377</v>
      </c>
      <c r="C88" t="s">
        <v>102</v>
      </c>
      <c r="D88" t="s">
        <v>2378</v>
      </c>
      <c r="E88" t="s">
        <v>559</v>
      </c>
      <c r="F88">
        <v>1</v>
      </c>
      <c r="G88" t="s">
        <v>2050</v>
      </c>
      <c r="H88" t="s">
        <v>2051</v>
      </c>
      <c r="I88" t="s">
        <v>53</v>
      </c>
      <c r="J88" t="s">
        <v>67</v>
      </c>
      <c r="K88" t="s">
        <v>68</v>
      </c>
      <c r="L88" t="s">
        <v>2052</v>
      </c>
      <c r="M88" t="s">
        <v>2053</v>
      </c>
      <c r="N88">
        <v>0</v>
      </c>
      <c r="O88">
        <v>0</v>
      </c>
      <c r="P88">
        <v>0</v>
      </c>
      <c r="Q88">
        <v>1440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195</v>
      </c>
      <c r="AH88" s="21" t="s">
        <v>3429</v>
      </c>
      <c r="AI88" s="21">
        <v>107.92500000000001</v>
      </c>
      <c r="AJ88" s="21">
        <v>100</v>
      </c>
      <c r="AK88" s="21" t="s">
        <v>2054</v>
      </c>
      <c r="AL88" t="s">
        <v>70</v>
      </c>
      <c r="AM88" t="s">
        <v>2027</v>
      </c>
    </row>
    <row r="89" spans="1:39" ht="15" hidden="1" thickTop="1" x14ac:dyDescent="0.35">
      <c r="A89" t="s">
        <v>2373</v>
      </c>
      <c r="B89" t="s">
        <v>2379</v>
      </c>
      <c r="C89" t="s">
        <v>100</v>
      </c>
      <c r="D89" t="s">
        <v>2380</v>
      </c>
      <c r="E89" t="s">
        <v>559</v>
      </c>
      <c r="F89">
        <v>1</v>
      </c>
      <c r="G89" t="s">
        <v>2050</v>
      </c>
      <c r="H89" t="s">
        <v>2051</v>
      </c>
      <c r="I89" t="s">
        <v>53</v>
      </c>
      <c r="J89" t="s">
        <v>67</v>
      </c>
      <c r="K89" t="s">
        <v>68</v>
      </c>
      <c r="L89" t="s">
        <v>2052</v>
      </c>
      <c r="M89" t="s">
        <v>2053</v>
      </c>
      <c r="N89">
        <v>0</v>
      </c>
      <c r="O89">
        <v>0</v>
      </c>
      <c r="P89">
        <v>0</v>
      </c>
      <c r="Q89">
        <v>1440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171</v>
      </c>
      <c r="AH89" s="21" t="s">
        <v>3424</v>
      </c>
      <c r="AI89" s="21">
        <v>107.92500000000001</v>
      </c>
      <c r="AJ89" s="21">
        <v>100</v>
      </c>
      <c r="AK89" s="21" t="s">
        <v>2055</v>
      </c>
      <c r="AL89" t="s">
        <v>70</v>
      </c>
      <c r="AM89" t="s">
        <v>2030</v>
      </c>
    </row>
    <row r="90" spans="1:39" ht="15" hidden="1" thickTop="1" x14ac:dyDescent="0.35">
      <c r="A90" t="s">
        <v>2381</v>
      </c>
      <c r="B90" t="s">
        <v>2386</v>
      </c>
      <c r="C90" t="s">
        <v>92</v>
      </c>
      <c r="D90" t="s">
        <v>2387</v>
      </c>
      <c r="E90" t="s">
        <v>559</v>
      </c>
      <c r="F90">
        <v>1</v>
      </c>
      <c r="G90" t="s">
        <v>2050</v>
      </c>
      <c r="H90" t="s">
        <v>2051</v>
      </c>
      <c r="I90" t="s">
        <v>53</v>
      </c>
      <c r="J90" t="s">
        <v>67</v>
      </c>
      <c r="K90" t="s">
        <v>68</v>
      </c>
      <c r="L90" t="s">
        <v>2052</v>
      </c>
      <c r="M90" t="s">
        <v>2064</v>
      </c>
      <c r="N90">
        <v>0</v>
      </c>
      <c r="O90">
        <v>0</v>
      </c>
      <c r="P90">
        <v>0</v>
      </c>
      <c r="Q90">
        <v>900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338</v>
      </c>
      <c r="AH90" s="21" t="s">
        <v>3424</v>
      </c>
      <c r="AI90" s="21">
        <v>67.5</v>
      </c>
      <c r="AJ90" s="21">
        <v>100</v>
      </c>
      <c r="AK90" s="21" t="s">
        <v>2054</v>
      </c>
      <c r="AL90" t="s">
        <v>70</v>
      </c>
      <c r="AM90" t="s">
        <v>2029</v>
      </c>
    </row>
    <row r="91" spans="1:39" ht="15" hidden="1" thickTop="1" x14ac:dyDescent="0.35">
      <c r="A91" t="s">
        <v>2067</v>
      </c>
      <c r="B91" t="s">
        <v>2388</v>
      </c>
      <c r="C91" t="s">
        <v>100</v>
      </c>
      <c r="D91" t="s">
        <v>2389</v>
      </c>
      <c r="E91" t="s">
        <v>119</v>
      </c>
      <c r="F91">
        <v>1</v>
      </c>
      <c r="G91" t="s">
        <v>2050</v>
      </c>
      <c r="H91" t="s">
        <v>2051</v>
      </c>
      <c r="I91" t="s">
        <v>53</v>
      </c>
      <c r="J91" t="s">
        <v>67</v>
      </c>
      <c r="K91" t="s">
        <v>68</v>
      </c>
      <c r="L91" t="s">
        <v>2052</v>
      </c>
      <c r="M91" t="s">
        <v>2064</v>
      </c>
      <c r="N91">
        <v>0</v>
      </c>
      <c r="O91">
        <v>0</v>
      </c>
      <c r="P91">
        <v>0</v>
      </c>
      <c r="Q91">
        <v>900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357</v>
      </c>
      <c r="AH91" s="21" t="s">
        <v>3425</v>
      </c>
      <c r="AI91" s="21">
        <v>67.5</v>
      </c>
      <c r="AJ91" s="21">
        <v>100</v>
      </c>
      <c r="AK91" s="21" t="s">
        <v>2054</v>
      </c>
      <c r="AL91" t="s">
        <v>70</v>
      </c>
      <c r="AM91" t="s">
        <v>2028</v>
      </c>
    </row>
    <row r="92" spans="1:39" ht="15" hidden="1" thickTop="1" x14ac:dyDescent="0.35">
      <c r="A92" t="s">
        <v>2384</v>
      </c>
      <c r="B92" t="s">
        <v>3409</v>
      </c>
      <c r="C92" t="s">
        <v>71</v>
      </c>
      <c r="D92" t="s">
        <v>3410</v>
      </c>
      <c r="E92" t="s">
        <v>72</v>
      </c>
      <c r="F92">
        <v>1</v>
      </c>
      <c r="G92" t="s">
        <v>2050</v>
      </c>
      <c r="H92" t="s">
        <v>2051</v>
      </c>
      <c r="I92" t="s">
        <v>53</v>
      </c>
      <c r="J92" t="s">
        <v>73</v>
      </c>
      <c r="K92" t="s">
        <v>68</v>
      </c>
      <c r="L92" t="s">
        <v>2052</v>
      </c>
      <c r="M92" t="s">
        <v>2053</v>
      </c>
      <c r="N92">
        <v>0</v>
      </c>
      <c r="O92">
        <v>0</v>
      </c>
      <c r="P92">
        <v>0</v>
      </c>
      <c r="Q92">
        <v>1440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295</v>
      </c>
      <c r="AH92" s="21" t="s">
        <v>3427</v>
      </c>
      <c r="AI92" s="21">
        <v>107.92500000000001</v>
      </c>
      <c r="AJ92" s="21">
        <v>100</v>
      </c>
      <c r="AK92" s="21" t="s">
        <v>2054</v>
      </c>
      <c r="AL92" t="s">
        <v>75</v>
      </c>
      <c r="AM92" t="s">
        <v>2032</v>
      </c>
    </row>
    <row r="93" spans="1:39" ht="15" hidden="1" thickTop="1" x14ac:dyDescent="0.35">
      <c r="A93" t="s">
        <v>2390</v>
      </c>
      <c r="B93" t="s">
        <v>3402</v>
      </c>
      <c r="C93" t="s">
        <v>66</v>
      </c>
      <c r="D93" t="s">
        <v>3403</v>
      </c>
      <c r="E93" t="s">
        <v>559</v>
      </c>
      <c r="F93">
        <v>1</v>
      </c>
      <c r="G93" t="s">
        <v>2050</v>
      </c>
      <c r="H93" t="s">
        <v>2051</v>
      </c>
      <c r="I93" t="s">
        <v>53</v>
      </c>
      <c r="J93" t="s">
        <v>67</v>
      </c>
      <c r="K93" t="s">
        <v>68</v>
      </c>
      <c r="L93" t="s">
        <v>2052</v>
      </c>
      <c r="M93" t="s">
        <v>2064</v>
      </c>
      <c r="N93">
        <v>0</v>
      </c>
      <c r="O93">
        <v>0</v>
      </c>
      <c r="P93">
        <v>0</v>
      </c>
      <c r="Q93">
        <v>900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172</v>
      </c>
      <c r="AH93" s="21" t="s">
        <v>3425</v>
      </c>
      <c r="AI93" s="21">
        <v>67.5</v>
      </c>
      <c r="AJ93" s="21">
        <v>100</v>
      </c>
      <c r="AK93" s="21" t="s">
        <v>2054</v>
      </c>
      <c r="AL93" t="s">
        <v>70</v>
      </c>
      <c r="AM93" t="s">
        <v>2032</v>
      </c>
    </row>
    <row r="94" spans="1:39" ht="15" hidden="1" thickTop="1" x14ac:dyDescent="0.35">
      <c r="A94" t="s">
        <v>2405</v>
      </c>
      <c r="B94" t="s">
        <v>2392</v>
      </c>
      <c r="C94" t="s">
        <v>78</v>
      </c>
      <c r="D94" t="s">
        <v>2393</v>
      </c>
      <c r="E94" t="s">
        <v>559</v>
      </c>
      <c r="F94">
        <v>1</v>
      </c>
      <c r="G94" t="s">
        <v>2050</v>
      </c>
      <c r="H94" t="s">
        <v>2051</v>
      </c>
      <c r="I94" t="s">
        <v>53</v>
      </c>
      <c r="J94" t="s">
        <v>67</v>
      </c>
      <c r="K94" t="s">
        <v>68</v>
      </c>
      <c r="L94" t="s">
        <v>2052</v>
      </c>
      <c r="M94" t="s">
        <v>2053</v>
      </c>
      <c r="N94">
        <v>0</v>
      </c>
      <c r="O94">
        <v>0</v>
      </c>
      <c r="P94">
        <v>0</v>
      </c>
      <c r="Q94">
        <v>1440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178</v>
      </c>
      <c r="AH94" s="21" t="s">
        <v>3425</v>
      </c>
      <c r="AI94" s="21">
        <v>107.92500000000001</v>
      </c>
      <c r="AJ94" s="21">
        <v>100</v>
      </c>
      <c r="AK94" s="21" t="s">
        <v>2055</v>
      </c>
      <c r="AL94" t="s">
        <v>70</v>
      </c>
      <c r="AM94" t="s">
        <v>2030</v>
      </c>
    </row>
    <row r="95" spans="1:39" ht="15" hidden="1" thickTop="1" x14ac:dyDescent="0.35">
      <c r="A95" t="s">
        <v>2406</v>
      </c>
      <c r="B95" t="s">
        <v>2394</v>
      </c>
      <c r="C95" t="s">
        <v>92</v>
      </c>
      <c r="D95" t="s">
        <v>2395</v>
      </c>
      <c r="E95" t="s">
        <v>559</v>
      </c>
      <c r="F95">
        <v>1</v>
      </c>
      <c r="G95" t="s">
        <v>2050</v>
      </c>
      <c r="H95" t="s">
        <v>2051</v>
      </c>
      <c r="I95" t="s">
        <v>53</v>
      </c>
      <c r="J95" t="s">
        <v>67</v>
      </c>
      <c r="K95" t="s">
        <v>68</v>
      </c>
      <c r="L95" t="s">
        <v>2052</v>
      </c>
      <c r="M95" t="s">
        <v>2053</v>
      </c>
      <c r="N95">
        <v>0</v>
      </c>
      <c r="O95">
        <v>0</v>
      </c>
      <c r="P95">
        <v>0</v>
      </c>
      <c r="Q95">
        <v>1440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179</v>
      </c>
      <c r="AH95" s="21" t="s">
        <v>3424</v>
      </c>
      <c r="AI95" s="21">
        <v>107.92500000000001</v>
      </c>
      <c r="AJ95" s="21">
        <v>100</v>
      </c>
      <c r="AK95" s="21" t="s">
        <v>2054</v>
      </c>
      <c r="AL95" t="s">
        <v>70</v>
      </c>
      <c r="AM95" t="s">
        <v>2027</v>
      </c>
    </row>
    <row r="96" spans="1:39" ht="15" hidden="1" thickTop="1" x14ac:dyDescent="0.35">
      <c r="A96" t="s">
        <v>2407</v>
      </c>
      <c r="B96" t="s">
        <v>2396</v>
      </c>
      <c r="C96" t="s">
        <v>117</v>
      </c>
      <c r="D96" t="s">
        <v>2397</v>
      </c>
      <c r="E96" t="s">
        <v>559</v>
      </c>
      <c r="F96">
        <v>1</v>
      </c>
      <c r="G96" t="s">
        <v>2050</v>
      </c>
      <c r="H96" t="s">
        <v>2051</v>
      </c>
      <c r="I96" t="s">
        <v>53</v>
      </c>
      <c r="J96" t="s">
        <v>67</v>
      </c>
      <c r="K96" t="s">
        <v>68</v>
      </c>
      <c r="L96" t="s">
        <v>2052</v>
      </c>
      <c r="M96" t="s">
        <v>2053</v>
      </c>
      <c r="N96">
        <v>0</v>
      </c>
      <c r="O96">
        <v>0</v>
      </c>
      <c r="P96">
        <v>0</v>
      </c>
      <c r="Q96">
        <v>1440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180</v>
      </c>
      <c r="AH96" s="21" t="s">
        <v>3424</v>
      </c>
      <c r="AI96" s="21">
        <v>107.92500000000001</v>
      </c>
      <c r="AJ96" s="21">
        <v>100</v>
      </c>
      <c r="AK96" s="21" t="s">
        <v>2054</v>
      </c>
      <c r="AL96" t="s">
        <v>70</v>
      </c>
      <c r="AM96" t="s">
        <v>2027</v>
      </c>
    </row>
    <row r="97" spans="1:39" ht="15" hidden="1" thickTop="1" x14ac:dyDescent="0.35">
      <c r="A97" t="s">
        <v>2408</v>
      </c>
      <c r="B97" t="s">
        <v>2398</v>
      </c>
      <c r="C97" t="s">
        <v>66</v>
      </c>
      <c r="D97" t="s">
        <v>2399</v>
      </c>
      <c r="E97" t="s">
        <v>559</v>
      </c>
      <c r="F97">
        <v>1</v>
      </c>
      <c r="G97" t="s">
        <v>2050</v>
      </c>
      <c r="H97" t="s">
        <v>2051</v>
      </c>
      <c r="I97" t="s">
        <v>53</v>
      </c>
      <c r="J97" t="s">
        <v>67</v>
      </c>
      <c r="K97" t="s">
        <v>68</v>
      </c>
      <c r="L97" t="s">
        <v>2052</v>
      </c>
      <c r="M97" t="s">
        <v>2053</v>
      </c>
      <c r="N97">
        <v>0</v>
      </c>
      <c r="O97">
        <v>0</v>
      </c>
      <c r="P97">
        <v>0</v>
      </c>
      <c r="Q97">
        <v>1440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181</v>
      </c>
      <c r="AH97" s="21" t="s">
        <v>3429</v>
      </c>
      <c r="AI97" s="21">
        <v>107.92500000000001</v>
      </c>
      <c r="AJ97" s="21">
        <v>100</v>
      </c>
      <c r="AK97" s="21" t="s">
        <v>2055</v>
      </c>
      <c r="AL97" t="s">
        <v>70</v>
      </c>
      <c r="AM97" t="s">
        <v>2027</v>
      </c>
    </row>
    <row r="98" spans="1:39" ht="15" hidden="1" thickTop="1" x14ac:dyDescent="0.35">
      <c r="A98" t="s">
        <v>2409</v>
      </c>
      <c r="B98" t="s">
        <v>2400</v>
      </c>
      <c r="C98" t="s">
        <v>3376</v>
      </c>
      <c r="D98" t="s">
        <v>2401</v>
      </c>
      <c r="E98" t="s">
        <v>559</v>
      </c>
      <c r="F98">
        <v>1</v>
      </c>
      <c r="G98" t="s">
        <v>2050</v>
      </c>
      <c r="H98" t="s">
        <v>2051</v>
      </c>
      <c r="I98" t="s">
        <v>53</v>
      </c>
      <c r="J98" t="s">
        <v>67</v>
      </c>
      <c r="K98" t="s">
        <v>68</v>
      </c>
      <c r="L98" t="s">
        <v>2052</v>
      </c>
      <c r="M98" t="s">
        <v>2053</v>
      </c>
      <c r="N98">
        <v>0</v>
      </c>
      <c r="O98">
        <v>0</v>
      </c>
      <c r="P98">
        <v>0</v>
      </c>
      <c r="Q98">
        <v>1440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182</v>
      </c>
      <c r="AH98" s="21" t="s">
        <v>3424</v>
      </c>
      <c r="AI98" s="21">
        <v>107.92500000000001</v>
      </c>
      <c r="AJ98" s="21">
        <v>100</v>
      </c>
      <c r="AK98" s="21" t="s">
        <v>2054</v>
      </c>
      <c r="AL98" t="s">
        <v>70</v>
      </c>
      <c r="AM98" t="s">
        <v>2029</v>
      </c>
    </row>
    <row r="99" spans="1:39" ht="15" hidden="1" thickTop="1" x14ac:dyDescent="0.35">
      <c r="A99" t="s">
        <v>2414</v>
      </c>
      <c r="B99" t="s">
        <v>2402</v>
      </c>
      <c r="C99" t="s">
        <v>111</v>
      </c>
      <c r="D99" t="s">
        <v>2403</v>
      </c>
      <c r="E99" t="s">
        <v>112</v>
      </c>
      <c r="F99">
        <v>1</v>
      </c>
      <c r="G99" t="s">
        <v>2050</v>
      </c>
      <c r="H99" t="s">
        <v>2051</v>
      </c>
      <c r="I99" t="s">
        <v>53</v>
      </c>
      <c r="J99" t="s">
        <v>113</v>
      </c>
      <c r="K99" t="s">
        <v>68</v>
      </c>
      <c r="L99" t="s">
        <v>2052</v>
      </c>
      <c r="M99" t="s">
        <v>2053</v>
      </c>
      <c r="N99">
        <v>0</v>
      </c>
      <c r="O99">
        <v>0</v>
      </c>
      <c r="P99">
        <v>0</v>
      </c>
      <c r="Q99">
        <v>1440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184</v>
      </c>
      <c r="AH99" s="21" t="s">
        <v>3430</v>
      </c>
      <c r="AI99" s="21">
        <v>107.92500000000001</v>
      </c>
      <c r="AJ99" s="21">
        <v>100</v>
      </c>
      <c r="AK99" s="21" t="s">
        <v>2054</v>
      </c>
      <c r="AL99" t="s">
        <v>115</v>
      </c>
      <c r="AM99" t="s">
        <v>2027</v>
      </c>
    </row>
    <row r="100" spans="1:39" ht="15" hidden="1" thickTop="1" x14ac:dyDescent="0.35">
      <c r="A100" t="s">
        <v>2426</v>
      </c>
      <c r="B100" t="s">
        <v>2418</v>
      </c>
      <c r="C100" t="s">
        <v>117</v>
      </c>
      <c r="D100" t="s">
        <v>2419</v>
      </c>
      <c r="E100" t="s">
        <v>559</v>
      </c>
      <c r="F100">
        <v>1</v>
      </c>
      <c r="G100" t="s">
        <v>2050</v>
      </c>
      <c r="H100" t="s">
        <v>2051</v>
      </c>
      <c r="I100" t="s">
        <v>53</v>
      </c>
      <c r="J100" t="s">
        <v>67</v>
      </c>
      <c r="K100" t="s">
        <v>68</v>
      </c>
      <c r="L100" t="s">
        <v>2052</v>
      </c>
      <c r="M100" t="s">
        <v>2053</v>
      </c>
      <c r="N100">
        <v>0</v>
      </c>
      <c r="O100">
        <v>0</v>
      </c>
      <c r="P100">
        <v>0</v>
      </c>
      <c r="Q100">
        <v>1440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185</v>
      </c>
      <c r="AH100" s="21" t="s">
        <v>3427</v>
      </c>
      <c r="AI100" s="21">
        <v>107.92500000000001</v>
      </c>
      <c r="AJ100" s="21">
        <v>100</v>
      </c>
      <c r="AK100" s="21" t="s">
        <v>2054</v>
      </c>
      <c r="AL100" t="s">
        <v>70</v>
      </c>
      <c r="AM100" t="s">
        <v>2027</v>
      </c>
    </row>
    <row r="101" spans="1:39" ht="15" hidden="1" thickTop="1" x14ac:dyDescent="0.35">
      <c r="A101" t="s">
        <v>2442</v>
      </c>
      <c r="B101" t="s">
        <v>2421</v>
      </c>
      <c r="C101" t="s">
        <v>3376</v>
      </c>
      <c r="D101" t="s">
        <v>2422</v>
      </c>
      <c r="E101" t="s">
        <v>559</v>
      </c>
      <c r="F101">
        <v>1</v>
      </c>
      <c r="G101" t="s">
        <v>2050</v>
      </c>
      <c r="H101" t="s">
        <v>2051</v>
      </c>
      <c r="I101" t="s">
        <v>53</v>
      </c>
      <c r="J101" t="s">
        <v>67</v>
      </c>
      <c r="K101" t="s">
        <v>68</v>
      </c>
      <c r="L101" t="s">
        <v>2052</v>
      </c>
      <c r="M101" t="s">
        <v>2053</v>
      </c>
      <c r="N101">
        <v>0</v>
      </c>
      <c r="O101">
        <v>0</v>
      </c>
      <c r="P101">
        <v>0</v>
      </c>
      <c r="Q101">
        <v>1440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186</v>
      </c>
      <c r="AH101" s="21" t="s">
        <v>3425</v>
      </c>
      <c r="AI101" s="21">
        <v>107.92500000000001</v>
      </c>
      <c r="AJ101" s="21">
        <v>100</v>
      </c>
      <c r="AK101" s="21" t="s">
        <v>2054</v>
      </c>
      <c r="AL101" t="s">
        <v>70</v>
      </c>
      <c r="AM101" t="s">
        <v>2028</v>
      </c>
    </row>
    <row r="102" spans="1:39" ht="15" hidden="1" thickTop="1" x14ac:dyDescent="0.35">
      <c r="A102" t="s">
        <v>2443</v>
      </c>
      <c r="B102" t="s">
        <v>2424</v>
      </c>
      <c r="C102" t="s">
        <v>3376</v>
      </c>
      <c r="D102" t="s">
        <v>2425</v>
      </c>
      <c r="E102" t="s">
        <v>559</v>
      </c>
      <c r="F102">
        <v>1</v>
      </c>
      <c r="G102" t="s">
        <v>2050</v>
      </c>
      <c r="H102" t="s">
        <v>2051</v>
      </c>
      <c r="I102" t="s">
        <v>53</v>
      </c>
      <c r="J102" t="s">
        <v>67</v>
      </c>
      <c r="K102" t="s">
        <v>68</v>
      </c>
      <c r="L102" t="s">
        <v>2052</v>
      </c>
      <c r="M102" t="s">
        <v>2053</v>
      </c>
      <c r="N102">
        <v>0</v>
      </c>
      <c r="O102">
        <v>0</v>
      </c>
      <c r="P102">
        <v>0</v>
      </c>
      <c r="Q102">
        <v>1440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187</v>
      </c>
      <c r="AH102" s="21" t="s">
        <v>3425</v>
      </c>
      <c r="AI102" s="21">
        <v>107.92500000000001</v>
      </c>
      <c r="AJ102" s="21">
        <v>100</v>
      </c>
      <c r="AK102" s="21" t="s">
        <v>2054</v>
      </c>
      <c r="AL102" t="s">
        <v>70</v>
      </c>
      <c r="AM102" t="s">
        <v>2028</v>
      </c>
    </row>
    <row r="103" spans="1:39" ht="15" hidden="1" thickTop="1" x14ac:dyDescent="0.35">
      <c r="A103" t="s">
        <v>2444</v>
      </c>
      <c r="B103" t="s">
        <v>2427</v>
      </c>
      <c r="C103" t="s">
        <v>76</v>
      </c>
      <c r="D103" t="s">
        <v>2428</v>
      </c>
      <c r="E103" t="s">
        <v>559</v>
      </c>
      <c r="F103">
        <v>1</v>
      </c>
      <c r="G103" t="s">
        <v>2050</v>
      </c>
      <c r="H103" t="s">
        <v>2051</v>
      </c>
      <c r="I103" t="s">
        <v>53</v>
      </c>
      <c r="J103" t="s">
        <v>67</v>
      </c>
      <c r="K103" t="s">
        <v>68</v>
      </c>
      <c r="L103" t="s">
        <v>2052</v>
      </c>
      <c r="M103" t="s">
        <v>2053</v>
      </c>
      <c r="N103">
        <v>0</v>
      </c>
      <c r="O103">
        <v>0</v>
      </c>
      <c r="P103">
        <v>0</v>
      </c>
      <c r="Q103">
        <v>1440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188</v>
      </c>
      <c r="AH103" s="21" t="s">
        <v>3425</v>
      </c>
      <c r="AI103" s="21">
        <v>107.92500000000001</v>
      </c>
      <c r="AJ103" s="21">
        <v>100</v>
      </c>
      <c r="AK103" s="21" t="s">
        <v>2055</v>
      </c>
      <c r="AL103" t="s">
        <v>70</v>
      </c>
      <c r="AM103" t="s">
        <v>2030</v>
      </c>
    </row>
    <row r="104" spans="1:39" ht="15" hidden="1" thickTop="1" x14ac:dyDescent="0.35">
      <c r="A104" t="s">
        <v>2446</v>
      </c>
      <c r="B104" t="s">
        <v>2430</v>
      </c>
      <c r="C104" t="s">
        <v>76</v>
      </c>
      <c r="D104" t="s">
        <v>2431</v>
      </c>
      <c r="E104" t="s">
        <v>119</v>
      </c>
      <c r="F104">
        <v>1</v>
      </c>
      <c r="G104" t="s">
        <v>2050</v>
      </c>
      <c r="H104" t="s">
        <v>2051</v>
      </c>
      <c r="I104" t="s">
        <v>53</v>
      </c>
      <c r="J104" t="s">
        <v>67</v>
      </c>
      <c r="K104" t="s">
        <v>68</v>
      </c>
      <c r="L104" t="s">
        <v>2052</v>
      </c>
      <c r="M104" t="s">
        <v>2053</v>
      </c>
      <c r="N104">
        <v>0</v>
      </c>
      <c r="O104">
        <v>0</v>
      </c>
      <c r="P104">
        <v>0</v>
      </c>
      <c r="Q104">
        <v>1440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189</v>
      </c>
      <c r="AH104" s="21" t="s">
        <v>3425</v>
      </c>
      <c r="AI104" s="21">
        <v>107.92500000000001</v>
      </c>
      <c r="AJ104" s="21">
        <v>100</v>
      </c>
      <c r="AK104" s="21" t="s">
        <v>2054</v>
      </c>
      <c r="AL104" t="s">
        <v>70</v>
      </c>
      <c r="AM104" t="s">
        <v>2029</v>
      </c>
    </row>
    <row r="105" spans="1:39" ht="15" hidden="1" thickTop="1" x14ac:dyDescent="0.35">
      <c r="A105" t="s">
        <v>2451</v>
      </c>
      <c r="B105" t="s">
        <v>2434</v>
      </c>
      <c r="C105" t="s">
        <v>78</v>
      </c>
      <c r="D105" t="s">
        <v>2435</v>
      </c>
      <c r="E105" t="s">
        <v>559</v>
      </c>
      <c r="F105">
        <v>1</v>
      </c>
      <c r="G105" t="s">
        <v>2050</v>
      </c>
      <c r="H105" t="s">
        <v>2051</v>
      </c>
      <c r="I105" t="s">
        <v>53</v>
      </c>
      <c r="J105" t="s">
        <v>67</v>
      </c>
      <c r="K105" t="s">
        <v>68</v>
      </c>
      <c r="L105" t="s">
        <v>2052</v>
      </c>
      <c r="M105" t="s">
        <v>2053</v>
      </c>
      <c r="N105">
        <v>0</v>
      </c>
      <c r="O105">
        <v>0</v>
      </c>
      <c r="P105">
        <v>0</v>
      </c>
      <c r="Q105">
        <v>1440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t="s">
        <v>190</v>
      </c>
      <c r="AH105" s="21" t="s">
        <v>3425</v>
      </c>
      <c r="AI105" s="21">
        <v>107.92500000000001</v>
      </c>
      <c r="AJ105" s="21">
        <v>100</v>
      </c>
      <c r="AK105" s="21" t="s">
        <v>2055</v>
      </c>
      <c r="AL105" t="s">
        <v>70</v>
      </c>
      <c r="AM105" t="s">
        <v>2028</v>
      </c>
    </row>
    <row r="106" spans="1:39" ht="15" hidden="1" thickTop="1" x14ac:dyDescent="0.35">
      <c r="A106" t="s">
        <v>2452</v>
      </c>
      <c r="B106" t="s">
        <v>2436</v>
      </c>
      <c r="C106" t="s">
        <v>76</v>
      </c>
      <c r="D106" t="s">
        <v>2437</v>
      </c>
      <c r="E106" t="s">
        <v>559</v>
      </c>
      <c r="F106">
        <v>1</v>
      </c>
      <c r="G106" t="s">
        <v>2050</v>
      </c>
      <c r="H106" t="s">
        <v>2051</v>
      </c>
      <c r="I106" t="s">
        <v>53</v>
      </c>
      <c r="J106" t="s">
        <v>67</v>
      </c>
      <c r="K106" t="s">
        <v>68</v>
      </c>
      <c r="L106" t="s">
        <v>2052</v>
      </c>
      <c r="M106" t="s">
        <v>2053</v>
      </c>
      <c r="N106">
        <v>0</v>
      </c>
      <c r="O106">
        <v>0</v>
      </c>
      <c r="P106">
        <v>0</v>
      </c>
      <c r="Q106">
        <v>1440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191</v>
      </c>
      <c r="AH106" s="21" t="s">
        <v>3425</v>
      </c>
      <c r="AI106" s="21">
        <v>107.92500000000001</v>
      </c>
      <c r="AJ106" s="21">
        <v>100</v>
      </c>
      <c r="AK106" s="21" t="s">
        <v>2054</v>
      </c>
      <c r="AL106" t="s">
        <v>70</v>
      </c>
      <c r="AM106" t="s">
        <v>2028</v>
      </c>
    </row>
    <row r="107" spans="1:39" ht="15" hidden="1" thickTop="1" x14ac:dyDescent="0.35">
      <c r="A107" t="s">
        <v>2460</v>
      </c>
      <c r="B107" t="s">
        <v>2439</v>
      </c>
      <c r="C107" t="s">
        <v>78</v>
      </c>
      <c r="D107" t="s">
        <v>2440</v>
      </c>
      <c r="E107" t="s">
        <v>559</v>
      </c>
      <c r="F107">
        <v>1</v>
      </c>
      <c r="G107" t="s">
        <v>2050</v>
      </c>
      <c r="H107" t="s">
        <v>2051</v>
      </c>
      <c r="I107" t="s">
        <v>53</v>
      </c>
      <c r="J107" t="s">
        <v>67</v>
      </c>
      <c r="K107" t="s">
        <v>68</v>
      </c>
      <c r="L107" t="s">
        <v>2052</v>
      </c>
      <c r="M107" t="s">
        <v>2053</v>
      </c>
      <c r="N107">
        <v>0</v>
      </c>
      <c r="O107">
        <v>0</v>
      </c>
      <c r="P107">
        <v>0</v>
      </c>
      <c r="Q107">
        <v>1440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 t="s">
        <v>192</v>
      </c>
      <c r="AH107" s="21" t="s">
        <v>3425</v>
      </c>
      <c r="AI107" s="21">
        <v>107.92500000000001</v>
      </c>
      <c r="AJ107" s="21">
        <v>100</v>
      </c>
      <c r="AK107" s="21" t="s">
        <v>2054</v>
      </c>
      <c r="AL107" t="s">
        <v>70</v>
      </c>
      <c r="AM107" t="s">
        <v>2029</v>
      </c>
    </row>
    <row r="108" spans="1:39" ht="15" hidden="1" thickTop="1" x14ac:dyDescent="0.35">
      <c r="A108" t="s">
        <v>2466</v>
      </c>
      <c r="B108" t="s">
        <v>2454</v>
      </c>
      <c r="C108" t="s">
        <v>76</v>
      </c>
      <c r="D108" t="s">
        <v>2455</v>
      </c>
      <c r="E108" t="s">
        <v>559</v>
      </c>
      <c r="F108">
        <v>2</v>
      </c>
      <c r="G108" t="s">
        <v>2050</v>
      </c>
      <c r="H108" t="s">
        <v>2051</v>
      </c>
      <c r="I108" t="s">
        <v>53</v>
      </c>
      <c r="J108" t="s">
        <v>67</v>
      </c>
      <c r="K108" t="s">
        <v>68</v>
      </c>
      <c r="L108" t="s">
        <v>2052</v>
      </c>
      <c r="M108" t="s">
        <v>2053</v>
      </c>
      <c r="N108">
        <v>0</v>
      </c>
      <c r="O108">
        <v>0</v>
      </c>
      <c r="P108">
        <v>0</v>
      </c>
      <c r="Q108">
        <v>1440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193</v>
      </c>
      <c r="AH108" s="21" t="s">
        <v>3424</v>
      </c>
      <c r="AI108" s="21">
        <v>107.92500000000001</v>
      </c>
      <c r="AJ108" s="21">
        <v>100</v>
      </c>
      <c r="AK108" s="21" t="s">
        <v>2054</v>
      </c>
      <c r="AL108" t="s">
        <v>70</v>
      </c>
      <c r="AM108" t="s">
        <v>2029</v>
      </c>
    </row>
    <row r="109" spans="1:39" ht="15" hidden="1" thickTop="1" x14ac:dyDescent="0.35">
      <c r="A109" t="s">
        <v>2471</v>
      </c>
      <c r="B109" t="s">
        <v>2420</v>
      </c>
      <c r="C109" t="s">
        <v>117</v>
      </c>
      <c r="D109" t="s">
        <v>2461</v>
      </c>
      <c r="E109" t="s">
        <v>559</v>
      </c>
      <c r="F109">
        <v>1</v>
      </c>
      <c r="G109" t="s">
        <v>2050</v>
      </c>
      <c r="H109" t="s">
        <v>2051</v>
      </c>
      <c r="I109" t="s">
        <v>53</v>
      </c>
      <c r="J109" t="s">
        <v>67</v>
      </c>
      <c r="K109" t="s">
        <v>68</v>
      </c>
      <c r="L109" t="s">
        <v>2052</v>
      </c>
      <c r="M109" t="s">
        <v>2053</v>
      </c>
      <c r="N109">
        <v>0</v>
      </c>
      <c r="O109">
        <v>0</v>
      </c>
      <c r="P109">
        <v>0</v>
      </c>
      <c r="Q109">
        <v>1440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194</v>
      </c>
      <c r="AH109" s="21" t="s">
        <v>3425</v>
      </c>
      <c r="AI109" s="21">
        <v>107.92500000000001</v>
      </c>
      <c r="AJ109" s="21">
        <v>100</v>
      </c>
      <c r="AK109" s="21" t="s">
        <v>2055</v>
      </c>
      <c r="AL109" t="s">
        <v>70</v>
      </c>
      <c r="AM109" t="s">
        <v>2029</v>
      </c>
    </row>
    <row r="110" spans="1:39" ht="15" hidden="1" thickTop="1" x14ac:dyDescent="0.35">
      <c r="A110" t="s">
        <v>2493</v>
      </c>
      <c r="B110" t="s">
        <v>2477</v>
      </c>
      <c r="C110" t="s">
        <v>92</v>
      </c>
      <c r="D110" t="s">
        <v>2478</v>
      </c>
      <c r="E110" t="s">
        <v>119</v>
      </c>
      <c r="F110">
        <v>1</v>
      </c>
      <c r="G110" t="s">
        <v>2050</v>
      </c>
      <c r="H110" t="s">
        <v>2051</v>
      </c>
      <c r="I110" t="s">
        <v>53</v>
      </c>
      <c r="J110" t="s">
        <v>67</v>
      </c>
      <c r="K110" t="s">
        <v>68</v>
      </c>
      <c r="L110" t="s">
        <v>2052</v>
      </c>
      <c r="M110" t="s">
        <v>2053</v>
      </c>
      <c r="N110">
        <v>0</v>
      </c>
      <c r="O110">
        <v>0</v>
      </c>
      <c r="P110">
        <v>0</v>
      </c>
      <c r="Q110">
        <v>1440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196</v>
      </c>
      <c r="AH110" s="21" t="s">
        <v>3425</v>
      </c>
      <c r="AI110" s="21">
        <v>107.92500000000001</v>
      </c>
      <c r="AJ110" s="21">
        <v>100</v>
      </c>
      <c r="AK110" s="21" t="s">
        <v>2054</v>
      </c>
      <c r="AL110" t="s">
        <v>70</v>
      </c>
      <c r="AM110" t="s">
        <v>2029</v>
      </c>
    </row>
    <row r="111" spans="1:39" ht="15" hidden="1" thickTop="1" x14ac:dyDescent="0.35">
      <c r="A111" t="s">
        <v>2498</v>
      </c>
      <c r="B111" t="s">
        <v>2480</v>
      </c>
      <c r="C111" t="s">
        <v>117</v>
      </c>
      <c r="D111" t="s">
        <v>2481</v>
      </c>
      <c r="E111" t="s">
        <v>559</v>
      </c>
      <c r="F111">
        <v>1</v>
      </c>
      <c r="G111" t="s">
        <v>2050</v>
      </c>
      <c r="H111" t="s">
        <v>2051</v>
      </c>
      <c r="I111" t="s">
        <v>53</v>
      </c>
      <c r="J111" t="s">
        <v>67</v>
      </c>
      <c r="K111" t="s">
        <v>68</v>
      </c>
      <c r="L111" t="s">
        <v>2052</v>
      </c>
      <c r="M111" t="s">
        <v>2053</v>
      </c>
      <c r="N111">
        <v>0</v>
      </c>
      <c r="O111">
        <v>0</v>
      </c>
      <c r="P111">
        <v>0</v>
      </c>
      <c r="Q111">
        <v>1440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197</v>
      </c>
      <c r="AH111" s="21" t="s">
        <v>3429</v>
      </c>
      <c r="AI111" s="21">
        <v>107.92500000000001</v>
      </c>
      <c r="AJ111" s="21">
        <v>100</v>
      </c>
      <c r="AK111" s="21" t="s">
        <v>2054</v>
      </c>
      <c r="AL111" t="s">
        <v>70</v>
      </c>
      <c r="AM111" t="s">
        <v>2027</v>
      </c>
    </row>
    <row r="112" spans="1:39" ht="15" hidden="1" thickTop="1" x14ac:dyDescent="0.35">
      <c r="A112" t="s">
        <v>2499</v>
      </c>
      <c r="B112" t="s">
        <v>2482</v>
      </c>
      <c r="C112" t="s">
        <v>66</v>
      </c>
      <c r="D112" t="s">
        <v>2483</v>
      </c>
      <c r="E112" t="s">
        <v>559</v>
      </c>
      <c r="F112">
        <v>1</v>
      </c>
      <c r="G112" t="s">
        <v>2050</v>
      </c>
      <c r="H112" t="s">
        <v>2051</v>
      </c>
      <c r="I112" t="s">
        <v>53</v>
      </c>
      <c r="J112" t="s">
        <v>67</v>
      </c>
      <c r="K112" t="s">
        <v>68</v>
      </c>
      <c r="L112" t="s">
        <v>2052</v>
      </c>
      <c r="M112" t="s">
        <v>2053</v>
      </c>
      <c r="N112">
        <v>0</v>
      </c>
      <c r="O112">
        <v>0</v>
      </c>
      <c r="P112">
        <v>0</v>
      </c>
      <c r="Q112">
        <v>1440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198</v>
      </c>
      <c r="AH112" s="21" t="s">
        <v>3429</v>
      </c>
      <c r="AI112" s="21">
        <v>107.92500000000001</v>
      </c>
      <c r="AJ112" s="21">
        <v>100</v>
      </c>
      <c r="AK112" s="21" t="s">
        <v>2055</v>
      </c>
      <c r="AL112" t="s">
        <v>70</v>
      </c>
      <c r="AM112" t="s">
        <v>2028</v>
      </c>
    </row>
    <row r="113" spans="1:39" ht="15" hidden="1" thickTop="1" x14ac:dyDescent="0.35">
      <c r="A113" t="s">
        <v>2500</v>
      </c>
      <c r="B113" t="s">
        <v>2484</v>
      </c>
      <c r="C113" t="s">
        <v>102</v>
      </c>
      <c r="D113" t="s">
        <v>2485</v>
      </c>
      <c r="E113" t="s">
        <v>559</v>
      </c>
      <c r="F113">
        <v>1</v>
      </c>
      <c r="G113" t="s">
        <v>2050</v>
      </c>
      <c r="H113" t="s">
        <v>2051</v>
      </c>
      <c r="I113" t="s">
        <v>53</v>
      </c>
      <c r="J113" t="s">
        <v>67</v>
      </c>
      <c r="K113" t="s">
        <v>68</v>
      </c>
      <c r="L113" t="s">
        <v>2052</v>
      </c>
      <c r="M113" t="s">
        <v>2053</v>
      </c>
      <c r="N113">
        <v>0</v>
      </c>
      <c r="O113">
        <v>0</v>
      </c>
      <c r="P113">
        <v>0</v>
      </c>
      <c r="Q113">
        <v>1440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199</v>
      </c>
      <c r="AH113" s="21" t="s">
        <v>3429</v>
      </c>
      <c r="AI113" s="21">
        <v>107.92500000000001</v>
      </c>
      <c r="AJ113" s="21">
        <v>100</v>
      </c>
      <c r="AK113" s="21" t="s">
        <v>2054</v>
      </c>
      <c r="AL113" t="s">
        <v>70</v>
      </c>
      <c r="AM113" t="s">
        <v>2027</v>
      </c>
    </row>
    <row r="114" spans="1:39" ht="15" hidden="1" thickTop="1" x14ac:dyDescent="0.35">
      <c r="A114" t="s">
        <v>2475</v>
      </c>
      <c r="B114" t="s">
        <v>2486</v>
      </c>
      <c r="C114" t="s">
        <v>92</v>
      </c>
      <c r="D114" t="s">
        <v>2487</v>
      </c>
      <c r="E114" t="s">
        <v>559</v>
      </c>
      <c r="F114">
        <v>1</v>
      </c>
      <c r="G114" t="s">
        <v>2050</v>
      </c>
      <c r="H114" t="s">
        <v>2051</v>
      </c>
      <c r="I114" t="s">
        <v>53</v>
      </c>
      <c r="J114" t="s">
        <v>67</v>
      </c>
      <c r="K114" t="s">
        <v>68</v>
      </c>
      <c r="L114" t="s">
        <v>2052</v>
      </c>
      <c r="M114" t="s">
        <v>2053</v>
      </c>
      <c r="N114">
        <v>0</v>
      </c>
      <c r="O114">
        <v>0</v>
      </c>
      <c r="P114">
        <v>0</v>
      </c>
      <c r="Q114">
        <v>1440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200</v>
      </c>
      <c r="AH114" s="21" t="s">
        <v>3424</v>
      </c>
      <c r="AI114" s="21">
        <v>107.92500000000001</v>
      </c>
      <c r="AJ114" s="21">
        <v>100</v>
      </c>
      <c r="AK114" s="21" t="s">
        <v>2054</v>
      </c>
      <c r="AL114" t="s">
        <v>70</v>
      </c>
      <c r="AM114" t="s">
        <v>2028</v>
      </c>
    </row>
    <row r="115" spans="1:39" ht="15" hidden="1" thickTop="1" x14ac:dyDescent="0.35">
      <c r="A115" t="s">
        <v>2505</v>
      </c>
      <c r="B115" t="s">
        <v>2488</v>
      </c>
      <c r="C115" t="s">
        <v>76</v>
      </c>
      <c r="D115" t="s">
        <v>2489</v>
      </c>
      <c r="E115" t="s">
        <v>119</v>
      </c>
      <c r="F115">
        <v>1</v>
      </c>
      <c r="G115" t="s">
        <v>2050</v>
      </c>
      <c r="H115" t="s">
        <v>2051</v>
      </c>
      <c r="I115" t="s">
        <v>53</v>
      </c>
      <c r="J115" t="s">
        <v>67</v>
      </c>
      <c r="K115" t="s">
        <v>68</v>
      </c>
      <c r="L115" t="s">
        <v>2052</v>
      </c>
      <c r="M115" t="s">
        <v>2053</v>
      </c>
      <c r="N115">
        <v>0</v>
      </c>
      <c r="O115">
        <v>0</v>
      </c>
      <c r="P115">
        <v>0</v>
      </c>
      <c r="Q115">
        <v>1440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201</v>
      </c>
      <c r="AH115" s="21" t="s">
        <v>3429</v>
      </c>
      <c r="AI115" s="21">
        <v>107.92500000000001</v>
      </c>
      <c r="AJ115" s="21">
        <v>100</v>
      </c>
      <c r="AK115" s="21" t="s">
        <v>2054</v>
      </c>
      <c r="AL115" t="s">
        <v>70</v>
      </c>
      <c r="AM115" t="s">
        <v>2029</v>
      </c>
    </row>
    <row r="116" spans="1:39" ht="15" hidden="1" thickTop="1" x14ac:dyDescent="0.35">
      <c r="A116" t="s">
        <v>2506</v>
      </c>
      <c r="B116" t="s">
        <v>2490</v>
      </c>
      <c r="C116" t="s">
        <v>3376</v>
      </c>
      <c r="D116" t="s">
        <v>2491</v>
      </c>
      <c r="E116" t="s">
        <v>559</v>
      </c>
      <c r="F116">
        <v>1</v>
      </c>
      <c r="G116" t="s">
        <v>2050</v>
      </c>
      <c r="H116" t="s">
        <v>2051</v>
      </c>
      <c r="I116" t="s">
        <v>53</v>
      </c>
      <c r="J116" t="s">
        <v>67</v>
      </c>
      <c r="K116" t="s">
        <v>68</v>
      </c>
      <c r="L116" t="s">
        <v>2052</v>
      </c>
      <c r="M116" t="s">
        <v>2053</v>
      </c>
      <c r="N116">
        <v>0</v>
      </c>
      <c r="O116">
        <v>0</v>
      </c>
      <c r="P116">
        <v>0</v>
      </c>
      <c r="Q116">
        <v>1440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202</v>
      </c>
      <c r="AH116" s="21" t="s">
        <v>3424</v>
      </c>
      <c r="AI116" s="21">
        <v>107.92500000000001</v>
      </c>
      <c r="AJ116" s="21">
        <v>100</v>
      </c>
      <c r="AK116" s="21" t="s">
        <v>2055</v>
      </c>
      <c r="AL116" t="s">
        <v>70</v>
      </c>
      <c r="AM116" t="s">
        <v>2030</v>
      </c>
    </row>
    <row r="117" spans="1:39" ht="15" hidden="1" thickTop="1" x14ac:dyDescent="0.35">
      <c r="A117" t="s">
        <v>2519</v>
      </c>
      <c r="B117" t="s">
        <v>2512</v>
      </c>
      <c r="C117" t="s">
        <v>76</v>
      </c>
      <c r="D117" t="s">
        <v>2513</v>
      </c>
      <c r="E117" t="s">
        <v>559</v>
      </c>
      <c r="F117">
        <v>2</v>
      </c>
      <c r="G117" t="s">
        <v>2050</v>
      </c>
      <c r="H117" t="s">
        <v>2051</v>
      </c>
      <c r="I117" t="s">
        <v>53</v>
      </c>
      <c r="J117" t="s">
        <v>67</v>
      </c>
      <c r="K117" t="s">
        <v>68</v>
      </c>
      <c r="L117" t="s">
        <v>2052</v>
      </c>
      <c r="M117" t="s">
        <v>2064</v>
      </c>
      <c r="N117">
        <v>0</v>
      </c>
      <c r="O117">
        <v>0</v>
      </c>
      <c r="P117">
        <v>0</v>
      </c>
      <c r="Q117">
        <v>900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204</v>
      </c>
      <c r="AH117" s="21" t="s">
        <v>3424</v>
      </c>
      <c r="AI117" s="21">
        <v>67.5</v>
      </c>
      <c r="AJ117" s="21">
        <v>100</v>
      </c>
      <c r="AK117" s="21" t="s">
        <v>2055</v>
      </c>
      <c r="AL117" t="s">
        <v>70</v>
      </c>
      <c r="AM117" t="s">
        <v>2028</v>
      </c>
    </row>
    <row r="118" spans="1:39" ht="15" hidden="1" thickTop="1" x14ac:dyDescent="0.35">
      <c r="A118" t="s">
        <v>2520</v>
      </c>
      <c r="B118" t="s">
        <v>2514</v>
      </c>
      <c r="C118" t="s">
        <v>117</v>
      </c>
      <c r="D118" t="s">
        <v>2515</v>
      </c>
      <c r="E118" t="s">
        <v>559</v>
      </c>
      <c r="F118">
        <v>1</v>
      </c>
      <c r="G118" t="s">
        <v>2050</v>
      </c>
      <c r="H118" t="s">
        <v>2051</v>
      </c>
      <c r="I118" t="s">
        <v>53</v>
      </c>
      <c r="J118" t="s">
        <v>67</v>
      </c>
      <c r="K118" t="s">
        <v>68</v>
      </c>
      <c r="L118" t="s">
        <v>2052</v>
      </c>
      <c r="M118" t="s">
        <v>2053</v>
      </c>
      <c r="N118">
        <v>0</v>
      </c>
      <c r="O118">
        <v>0</v>
      </c>
      <c r="P118">
        <v>0</v>
      </c>
      <c r="Q118">
        <v>1440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205</v>
      </c>
      <c r="AH118" s="21" t="s">
        <v>3424</v>
      </c>
      <c r="AI118" s="21">
        <v>107.92500000000001</v>
      </c>
      <c r="AJ118" s="21">
        <v>100</v>
      </c>
      <c r="AK118" s="21" t="s">
        <v>2055</v>
      </c>
      <c r="AL118" t="s">
        <v>70</v>
      </c>
      <c r="AM118" t="s">
        <v>2029</v>
      </c>
    </row>
    <row r="119" spans="1:39" ht="15" hidden="1" thickTop="1" x14ac:dyDescent="0.35">
      <c r="A119" t="s">
        <v>2521</v>
      </c>
      <c r="B119" t="s">
        <v>2516</v>
      </c>
      <c r="C119" t="s">
        <v>111</v>
      </c>
      <c r="D119" t="s">
        <v>2517</v>
      </c>
      <c r="E119" t="s">
        <v>112</v>
      </c>
      <c r="F119">
        <v>1</v>
      </c>
      <c r="G119" t="s">
        <v>2050</v>
      </c>
      <c r="H119" t="s">
        <v>2051</v>
      </c>
      <c r="I119" t="s">
        <v>53</v>
      </c>
      <c r="J119" t="s">
        <v>113</v>
      </c>
      <c r="K119" t="s">
        <v>68</v>
      </c>
      <c r="L119" t="s">
        <v>2052</v>
      </c>
      <c r="M119" t="s">
        <v>2053</v>
      </c>
      <c r="N119">
        <v>0</v>
      </c>
      <c r="O119">
        <v>0</v>
      </c>
      <c r="P119">
        <v>0</v>
      </c>
      <c r="Q119">
        <v>1440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206</v>
      </c>
      <c r="AH119" s="21" t="s">
        <v>3430</v>
      </c>
      <c r="AI119" s="21">
        <v>107.92500000000001</v>
      </c>
      <c r="AJ119" s="21">
        <v>100</v>
      </c>
      <c r="AK119" s="21" t="s">
        <v>2054</v>
      </c>
      <c r="AL119" t="s">
        <v>115</v>
      </c>
      <c r="AM119" t="s">
        <v>2027</v>
      </c>
    </row>
    <row r="120" spans="1:39" ht="15" hidden="1" thickTop="1" x14ac:dyDescent="0.35">
      <c r="A120" t="s">
        <v>2532</v>
      </c>
      <c r="B120" t="s">
        <v>2523</v>
      </c>
      <c r="C120" t="s">
        <v>102</v>
      </c>
      <c r="D120" t="s">
        <v>2524</v>
      </c>
      <c r="E120" t="s">
        <v>559</v>
      </c>
      <c r="F120">
        <v>1</v>
      </c>
      <c r="G120" t="s">
        <v>2050</v>
      </c>
      <c r="H120" t="s">
        <v>2051</v>
      </c>
      <c r="I120" t="s">
        <v>53</v>
      </c>
      <c r="J120" t="s">
        <v>67</v>
      </c>
      <c r="K120" t="s">
        <v>68</v>
      </c>
      <c r="L120" t="s">
        <v>2052</v>
      </c>
      <c r="M120" t="s">
        <v>2053</v>
      </c>
      <c r="N120">
        <v>0</v>
      </c>
      <c r="O120">
        <v>0</v>
      </c>
      <c r="P120">
        <v>0</v>
      </c>
      <c r="Q120">
        <v>1440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t="s">
        <v>207</v>
      </c>
      <c r="AH120" s="21" t="s">
        <v>3424</v>
      </c>
      <c r="AI120" s="21">
        <v>107.92500000000001</v>
      </c>
      <c r="AJ120" s="21">
        <v>100</v>
      </c>
      <c r="AK120" s="21" t="s">
        <v>2054</v>
      </c>
      <c r="AL120" t="s">
        <v>70</v>
      </c>
      <c r="AM120" t="s">
        <v>2029</v>
      </c>
    </row>
    <row r="121" spans="1:39" ht="15" hidden="1" thickTop="1" x14ac:dyDescent="0.35">
      <c r="A121" t="s">
        <v>2540</v>
      </c>
      <c r="B121" t="s">
        <v>2527</v>
      </c>
      <c r="C121" t="s">
        <v>92</v>
      </c>
      <c r="D121" t="s">
        <v>2528</v>
      </c>
      <c r="E121" t="s">
        <v>119</v>
      </c>
      <c r="F121">
        <v>1</v>
      </c>
      <c r="G121" t="s">
        <v>2050</v>
      </c>
      <c r="H121" t="s">
        <v>2051</v>
      </c>
      <c r="I121" t="s">
        <v>53</v>
      </c>
      <c r="J121" t="s">
        <v>67</v>
      </c>
      <c r="K121" t="s">
        <v>68</v>
      </c>
      <c r="L121" t="s">
        <v>2052</v>
      </c>
      <c r="M121" t="s">
        <v>2053</v>
      </c>
      <c r="N121">
        <v>0</v>
      </c>
      <c r="O121">
        <v>0</v>
      </c>
      <c r="P121">
        <v>0</v>
      </c>
      <c r="Q121">
        <v>1440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208</v>
      </c>
      <c r="AH121" s="21" t="s">
        <v>3425</v>
      </c>
      <c r="AI121" s="21">
        <v>107.92500000000001</v>
      </c>
      <c r="AJ121" s="21">
        <v>100</v>
      </c>
      <c r="AK121" s="21" t="s">
        <v>2055</v>
      </c>
      <c r="AL121" t="s">
        <v>70</v>
      </c>
      <c r="AM121" t="s">
        <v>2030</v>
      </c>
    </row>
    <row r="122" spans="1:39" ht="15" hidden="1" thickTop="1" x14ac:dyDescent="0.35">
      <c r="A122" t="s">
        <v>2546</v>
      </c>
      <c r="B122" t="s">
        <v>2530</v>
      </c>
      <c r="C122" t="s">
        <v>76</v>
      </c>
      <c r="D122" t="s">
        <v>2531</v>
      </c>
      <c r="E122" t="s">
        <v>559</v>
      </c>
      <c r="F122">
        <v>2</v>
      </c>
      <c r="G122" t="s">
        <v>2050</v>
      </c>
      <c r="H122" t="s">
        <v>2051</v>
      </c>
      <c r="I122" t="s">
        <v>53</v>
      </c>
      <c r="J122" t="s">
        <v>67</v>
      </c>
      <c r="K122" t="s">
        <v>68</v>
      </c>
      <c r="L122" t="s">
        <v>2052</v>
      </c>
      <c r="M122" t="s">
        <v>2053</v>
      </c>
      <c r="N122">
        <v>0</v>
      </c>
      <c r="O122">
        <v>0</v>
      </c>
      <c r="P122">
        <v>0</v>
      </c>
      <c r="Q122">
        <v>1440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t="s">
        <v>209</v>
      </c>
      <c r="AH122" s="21" t="s">
        <v>3428</v>
      </c>
      <c r="AI122" s="21">
        <v>107.92500000000001</v>
      </c>
      <c r="AJ122" s="21">
        <v>100</v>
      </c>
      <c r="AK122" s="21" t="s">
        <v>2054</v>
      </c>
      <c r="AL122" t="s">
        <v>70</v>
      </c>
      <c r="AM122" t="s">
        <v>2029</v>
      </c>
    </row>
    <row r="123" spans="1:39" ht="15" hidden="1" thickTop="1" x14ac:dyDescent="0.35">
      <c r="A123" t="s">
        <v>2550</v>
      </c>
      <c r="B123" t="s">
        <v>2538</v>
      </c>
      <c r="C123" t="s">
        <v>3376</v>
      </c>
      <c r="D123" t="s">
        <v>2539</v>
      </c>
      <c r="E123" t="s">
        <v>559</v>
      </c>
      <c r="F123">
        <v>1</v>
      </c>
      <c r="G123" t="s">
        <v>2050</v>
      </c>
      <c r="H123" t="s">
        <v>2051</v>
      </c>
      <c r="I123" t="s">
        <v>53</v>
      </c>
      <c r="J123" t="s">
        <v>67</v>
      </c>
      <c r="K123" t="s">
        <v>68</v>
      </c>
      <c r="L123" t="s">
        <v>2052</v>
      </c>
      <c r="M123" t="s">
        <v>2053</v>
      </c>
      <c r="N123">
        <v>0</v>
      </c>
      <c r="O123">
        <v>0</v>
      </c>
      <c r="P123">
        <v>0</v>
      </c>
      <c r="Q123">
        <v>1440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211</v>
      </c>
      <c r="AH123" s="21" t="s">
        <v>3425</v>
      </c>
      <c r="AI123" s="21">
        <v>107.92500000000001</v>
      </c>
      <c r="AJ123" s="21">
        <v>100</v>
      </c>
      <c r="AK123" s="21" t="s">
        <v>2054</v>
      </c>
      <c r="AL123" t="s">
        <v>70</v>
      </c>
      <c r="AM123" t="s">
        <v>2029</v>
      </c>
    </row>
    <row r="124" spans="1:39" ht="15" hidden="1" thickTop="1" x14ac:dyDescent="0.35">
      <c r="A124" t="s">
        <v>2552</v>
      </c>
      <c r="B124" t="s">
        <v>2542</v>
      </c>
      <c r="C124" t="s">
        <v>3376</v>
      </c>
      <c r="D124" t="s">
        <v>2543</v>
      </c>
      <c r="E124" t="s">
        <v>559</v>
      </c>
      <c r="F124">
        <v>1</v>
      </c>
      <c r="G124" t="s">
        <v>2050</v>
      </c>
      <c r="H124" t="s">
        <v>2051</v>
      </c>
      <c r="I124" t="s">
        <v>53</v>
      </c>
      <c r="J124" t="s">
        <v>67</v>
      </c>
      <c r="K124" t="s">
        <v>68</v>
      </c>
      <c r="L124" t="s">
        <v>2052</v>
      </c>
      <c r="M124" t="s">
        <v>2053</v>
      </c>
      <c r="N124">
        <v>0</v>
      </c>
      <c r="O124">
        <v>0</v>
      </c>
      <c r="P124">
        <v>0</v>
      </c>
      <c r="Q124">
        <v>1440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212</v>
      </c>
      <c r="AH124" s="21" t="s">
        <v>3424</v>
      </c>
      <c r="AI124" s="21">
        <v>107.92500000000001</v>
      </c>
      <c r="AJ124" s="21">
        <v>100</v>
      </c>
      <c r="AK124" s="21" t="s">
        <v>2054</v>
      </c>
      <c r="AL124" t="s">
        <v>70</v>
      </c>
      <c r="AM124" t="s">
        <v>2029</v>
      </c>
    </row>
    <row r="125" spans="1:39" ht="15" hidden="1" thickTop="1" x14ac:dyDescent="0.35">
      <c r="A125" t="s">
        <v>2563</v>
      </c>
      <c r="B125" t="s">
        <v>2556</v>
      </c>
      <c r="C125" t="s">
        <v>76</v>
      </c>
      <c r="D125" t="s">
        <v>2557</v>
      </c>
      <c r="E125" t="s">
        <v>559</v>
      </c>
      <c r="F125">
        <v>1</v>
      </c>
      <c r="G125" t="s">
        <v>2050</v>
      </c>
      <c r="H125" t="s">
        <v>2051</v>
      </c>
      <c r="I125" t="s">
        <v>53</v>
      </c>
      <c r="J125" t="s">
        <v>67</v>
      </c>
      <c r="K125" t="s">
        <v>68</v>
      </c>
      <c r="L125" t="s">
        <v>2052</v>
      </c>
      <c r="M125" t="s">
        <v>2053</v>
      </c>
      <c r="N125">
        <v>0</v>
      </c>
      <c r="O125">
        <v>0</v>
      </c>
      <c r="P125">
        <v>0</v>
      </c>
      <c r="Q125">
        <v>1440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t="s">
        <v>213</v>
      </c>
      <c r="AH125" s="21" t="s">
        <v>3424</v>
      </c>
      <c r="AI125" s="21">
        <v>107.92500000000001</v>
      </c>
      <c r="AJ125" s="21">
        <v>100</v>
      </c>
      <c r="AK125" s="21" t="s">
        <v>2054</v>
      </c>
      <c r="AL125" t="s">
        <v>70</v>
      </c>
      <c r="AM125" t="s">
        <v>2028</v>
      </c>
    </row>
    <row r="126" spans="1:39" ht="15" hidden="1" thickTop="1" x14ac:dyDescent="0.35">
      <c r="A126" t="s">
        <v>2565</v>
      </c>
      <c r="B126" t="s">
        <v>2558</v>
      </c>
      <c r="C126" t="s">
        <v>117</v>
      </c>
      <c r="D126" t="s">
        <v>2559</v>
      </c>
      <c r="E126" t="s">
        <v>559</v>
      </c>
      <c r="F126">
        <v>1</v>
      </c>
      <c r="G126" t="s">
        <v>2050</v>
      </c>
      <c r="H126" t="s">
        <v>2051</v>
      </c>
      <c r="I126" t="s">
        <v>53</v>
      </c>
      <c r="J126" t="s">
        <v>67</v>
      </c>
      <c r="K126" t="s">
        <v>68</v>
      </c>
      <c r="L126" t="s">
        <v>2052</v>
      </c>
      <c r="M126" t="s">
        <v>2053</v>
      </c>
      <c r="N126">
        <v>0</v>
      </c>
      <c r="O126">
        <v>0</v>
      </c>
      <c r="P126">
        <v>0</v>
      </c>
      <c r="Q126">
        <v>1440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214</v>
      </c>
      <c r="AH126" s="21" t="s">
        <v>3424</v>
      </c>
      <c r="AI126" s="21">
        <v>107.92500000000001</v>
      </c>
      <c r="AJ126" s="21">
        <v>100</v>
      </c>
      <c r="AK126" s="21" t="s">
        <v>2054</v>
      </c>
      <c r="AL126" t="s">
        <v>70</v>
      </c>
      <c r="AM126" t="s">
        <v>2027</v>
      </c>
    </row>
    <row r="127" spans="1:39" ht="15" hidden="1" thickTop="1" x14ac:dyDescent="0.35">
      <c r="A127" t="s">
        <v>2575</v>
      </c>
      <c r="B127" t="s">
        <v>2569</v>
      </c>
      <c r="C127" t="s">
        <v>128</v>
      </c>
      <c r="D127" t="s">
        <v>2570</v>
      </c>
      <c r="E127" t="s">
        <v>112</v>
      </c>
      <c r="F127">
        <v>1</v>
      </c>
      <c r="G127" t="s">
        <v>2050</v>
      </c>
      <c r="H127" t="s">
        <v>2051</v>
      </c>
      <c r="I127" t="s">
        <v>53</v>
      </c>
      <c r="J127" t="s">
        <v>113</v>
      </c>
      <c r="K127" t="s">
        <v>68</v>
      </c>
      <c r="L127" t="s">
        <v>2052</v>
      </c>
      <c r="M127" t="s">
        <v>2053</v>
      </c>
      <c r="N127">
        <v>0</v>
      </c>
      <c r="O127">
        <v>0</v>
      </c>
      <c r="P127">
        <v>0</v>
      </c>
      <c r="Q127">
        <v>1440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215</v>
      </c>
      <c r="AH127" s="21" t="s">
        <v>3428</v>
      </c>
      <c r="AI127" s="21">
        <v>107.92500000000001</v>
      </c>
      <c r="AJ127" s="21">
        <v>100</v>
      </c>
      <c r="AK127" s="21" t="s">
        <v>2055</v>
      </c>
      <c r="AL127" t="s">
        <v>115</v>
      </c>
      <c r="AM127" t="s">
        <v>2029</v>
      </c>
    </row>
    <row r="128" spans="1:39" ht="15" hidden="1" thickTop="1" x14ac:dyDescent="0.35">
      <c r="A128" t="s">
        <v>2586</v>
      </c>
      <c r="B128" t="s">
        <v>2577</v>
      </c>
      <c r="C128" t="s">
        <v>565</v>
      </c>
      <c r="D128" t="s">
        <v>2578</v>
      </c>
      <c r="E128" t="s">
        <v>559</v>
      </c>
      <c r="F128">
        <v>2</v>
      </c>
      <c r="G128" t="s">
        <v>2050</v>
      </c>
      <c r="H128" t="s">
        <v>2051</v>
      </c>
      <c r="I128" t="s">
        <v>53</v>
      </c>
      <c r="J128" t="s">
        <v>427</v>
      </c>
      <c r="K128" t="s">
        <v>68</v>
      </c>
      <c r="L128" t="s">
        <v>2052</v>
      </c>
      <c r="M128" t="s">
        <v>2053</v>
      </c>
      <c r="N128">
        <v>0</v>
      </c>
      <c r="O128">
        <v>0</v>
      </c>
      <c r="P128">
        <v>0</v>
      </c>
      <c r="Q128">
        <v>1440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216</v>
      </c>
      <c r="AH128" s="21" t="s">
        <v>3428</v>
      </c>
      <c r="AI128" s="21">
        <v>107.92500000000001</v>
      </c>
      <c r="AJ128" s="21">
        <v>100</v>
      </c>
      <c r="AK128" s="21" t="s">
        <v>2054</v>
      </c>
      <c r="AL128" t="s">
        <v>70</v>
      </c>
      <c r="AM128" t="s">
        <v>2027</v>
      </c>
    </row>
    <row r="129" spans="1:39" ht="15" hidden="1" thickTop="1" x14ac:dyDescent="0.35">
      <c r="A129" t="s">
        <v>2479</v>
      </c>
      <c r="B129" t="s">
        <v>2580</v>
      </c>
      <c r="C129" t="s">
        <v>117</v>
      </c>
      <c r="D129" t="s">
        <v>2581</v>
      </c>
      <c r="E129" t="s">
        <v>559</v>
      </c>
      <c r="F129">
        <v>1</v>
      </c>
      <c r="G129" t="s">
        <v>2050</v>
      </c>
      <c r="H129" t="s">
        <v>2051</v>
      </c>
      <c r="I129" t="s">
        <v>53</v>
      </c>
      <c r="J129" t="s">
        <v>67</v>
      </c>
      <c r="K129" t="s">
        <v>68</v>
      </c>
      <c r="L129" t="s">
        <v>2052</v>
      </c>
      <c r="M129" t="s">
        <v>2053</v>
      </c>
      <c r="N129">
        <v>0</v>
      </c>
      <c r="O129">
        <v>0</v>
      </c>
      <c r="P129">
        <v>0</v>
      </c>
      <c r="Q129">
        <v>1440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217</v>
      </c>
      <c r="AH129" s="21" t="s">
        <v>3425</v>
      </c>
      <c r="AI129" s="21">
        <v>107.92500000000001</v>
      </c>
      <c r="AJ129" s="21">
        <v>100</v>
      </c>
      <c r="AK129" s="21" t="s">
        <v>2054</v>
      </c>
      <c r="AL129" t="s">
        <v>70</v>
      </c>
      <c r="AM129" t="s">
        <v>2031</v>
      </c>
    </row>
    <row r="130" spans="1:39" ht="15" hidden="1" thickTop="1" x14ac:dyDescent="0.35">
      <c r="A130" t="s">
        <v>2597</v>
      </c>
      <c r="B130" t="s">
        <v>2583</v>
      </c>
      <c r="C130" t="s">
        <v>76</v>
      </c>
      <c r="D130" t="s">
        <v>2584</v>
      </c>
      <c r="E130" t="s">
        <v>119</v>
      </c>
      <c r="F130">
        <v>1</v>
      </c>
      <c r="G130" t="s">
        <v>2050</v>
      </c>
      <c r="H130" t="s">
        <v>2051</v>
      </c>
      <c r="I130" t="s">
        <v>53</v>
      </c>
      <c r="J130" t="s">
        <v>67</v>
      </c>
      <c r="K130" t="s">
        <v>68</v>
      </c>
      <c r="L130" t="s">
        <v>2052</v>
      </c>
      <c r="M130" t="s">
        <v>2053</v>
      </c>
      <c r="N130">
        <v>0</v>
      </c>
      <c r="O130">
        <v>0</v>
      </c>
      <c r="P130">
        <v>0</v>
      </c>
      <c r="Q130">
        <v>1440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t="s">
        <v>218</v>
      </c>
      <c r="AH130" s="21" t="s">
        <v>3425</v>
      </c>
      <c r="AI130" s="21">
        <v>107.92500000000001</v>
      </c>
      <c r="AJ130" s="21">
        <v>100</v>
      </c>
      <c r="AK130" s="21" t="s">
        <v>2054</v>
      </c>
      <c r="AL130" t="s">
        <v>70</v>
      </c>
      <c r="AM130" t="s">
        <v>2031</v>
      </c>
    </row>
    <row r="131" spans="1:39" ht="15" hidden="1" thickTop="1" x14ac:dyDescent="0.35">
      <c r="A131" t="s">
        <v>2602</v>
      </c>
      <c r="B131" t="s">
        <v>2591</v>
      </c>
      <c r="C131" t="s">
        <v>71</v>
      </c>
      <c r="D131" t="s">
        <v>2592</v>
      </c>
      <c r="E131" t="s">
        <v>72</v>
      </c>
      <c r="F131">
        <v>1</v>
      </c>
      <c r="G131" t="s">
        <v>2050</v>
      </c>
      <c r="H131" t="s">
        <v>2051</v>
      </c>
      <c r="I131" t="s">
        <v>53</v>
      </c>
      <c r="J131" t="s">
        <v>73</v>
      </c>
      <c r="K131" t="s">
        <v>68</v>
      </c>
      <c r="L131" t="s">
        <v>2052</v>
      </c>
      <c r="M131" t="s">
        <v>2053</v>
      </c>
      <c r="N131">
        <v>0</v>
      </c>
      <c r="O131">
        <v>0</v>
      </c>
      <c r="P131">
        <v>0</v>
      </c>
      <c r="Q131">
        <v>1440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219</v>
      </c>
      <c r="AH131" s="21" t="s">
        <v>3428</v>
      </c>
      <c r="AI131" s="21">
        <v>107.92500000000001</v>
      </c>
      <c r="AJ131" s="21">
        <v>100</v>
      </c>
      <c r="AK131" s="21" t="s">
        <v>2054</v>
      </c>
      <c r="AL131" t="s">
        <v>75</v>
      </c>
      <c r="AM131" t="s">
        <v>2028</v>
      </c>
    </row>
    <row r="132" spans="1:39" ht="15" hidden="1" thickTop="1" x14ac:dyDescent="0.35">
      <c r="A132" t="s">
        <v>2607</v>
      </c>
      <c r="B132" t="s">
        <v>2593</v>
      </c>
      <c r="C132" t="s">
        <v>92</v>
      </c>
      <c r="D132" t="s">
        <v>2594</v>
      </c>
      <c r="E132" t="s">
        <v>119</v>
      </c>
      <c r="F132">
        <v>1</v>
      </c>
      <c r="G132" t="s">
        <v>2050</v>
      </c>
      <c r="H132" t="s">
        <v>2051</v>
      </c>
      <c r="I132" t="s">
        <v>53</v>
      </c>
      <c r="J132" t="s">
        <v>67</v>
      </c>
      <c r="K132" t="s">
        <v>68</v>
      </c>
      <c r="L132" t="s">
        <v>2052</v>
      </c>
      <c r="M132" t="s">
        <v>2053</v>
      </c>
      <c r="N132">
        <v>0</v>
      </c>
      <c r="O132">
        <v>0</v>
      </c>
      <c r="P132">
        <v>0</v>
      </c>
      <c r="Q132">
        <v>1440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220</v>
      </c>
      <c r="AH132" s="21" t="s">
        <v>3424</v>
      </c>
      <c r="AI132" s="21">
        <v>107.92500000000001</v>
      </c>
      <c r="AJ132" s="21">
        <v>100</v>
      </c>
      <c r="AK132" s="21" t="s">
        <v>2054</v>
      </c>
      <c r="AL132" t="s">
        <v>70</v>
      </c>
      <c r="AM132" t="s">
        <v>2029</v>
      </c>
    </row>
    <row r="133" spans="1:39" ht="15" hidden="1" thickTop="1" x14ac:dyDescent="0.35">
      <c r="A133" t="s">
        <v>2071</v>
      </c>
      <c r="B133" t="s">
        <v>2605</v>
      </c>
      <c r="C133" t="s">
        <v>102</v>
      </c>
      <c r="D133" t="s">
        <v>2606</v>
      </c>
      <c r="E133" t="s">
        <v>559</v>
      </c>
      <c r="F133">
        <v>1</v>
      </c>
      <c r="G133" t="s">
        <v>2050</v>
      </c>
      <c r="H133" t="s">
        <v>2051</v>
      </c>
      <c r="I133" t="s">
        <v>53</v>
      </c>
      <c r="J133" t="s">
        <v>67</v>
      </c>
      <c r="K133" t="s">
        <v>68</v>
      </c>
      <c r="L133" t="s">
        <v>2052</v>
      </c>
      <c r="M133" t="s">
        <v>2053</v>
      </c>
      <c r="N133">
        <v>0</v>
      </c>
      <c r="O133">
        <v>0</v>
      </c>
      <c r="P133">
        <v>0</v>
      </c>
      <c r="Q133">
        <v>1440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222</v>
      </c>
      <c r="AH133" s="21" t="s">
        <v>3424</v>
      </c>
      <c r="AI133" s="21">
        <v>107.92500000000001</v>
      </c>
      <c r="AJ133" s="21">
        <v>100</v>
      </c>
      <c r="AK133" s="21" t="s">
        <v>2054</v>
      </c>
      <c r="AL133" t="s">
        <v>70</v>
      </c>
      <c r="AM133" t="s">
        <v>2030</v>
      </c>
    </row>
    <row r="134" spans="1:39" ht="15" hidden="1" thickTop="1" x14ac:dyDescent="0.35">
      <c r="A134" t="s">
        <v>2072</v>
      </c>
      <c r="B134" t="s">
        <v>2608</v>
      </c>
      <c r="C134" t="s">
        <v>102</v>
      </c>
      <c r="D134" t="s">
        <v>2609</v>
      </c>
      <c r="E134" t="s">
        <v>559</v>
      </c>
      <c r="F134">
        <v>1</v>
      </c>
      <c r="G134" t="s">
        <v>2050</v>
      </c>
      <c r="H134" t="s">
        <v>2051</v>
      </c>
      <c r="I134" t="s">
        <v>53</v>
      </c>
      <c r="J134" t="s">
        <v>67</v>
      </c>
      <c r="K134" t="s">
        <v>68</v>
      </c>
      <c r="L134" t="s">
        <v>2052</v>
      </c>
      <c r="M134" t="s">
        <v>2053</v>
      </c>
      <c r="N134">
        <v>0</v>
      </c>
      <c r="O134">
        <v>0</v>
      </c>
      <c r="P134">
        <v>0</v>
      </c>
      <c r="Q134">
        <v>1440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223</v>
      </c>
      <c r="AH134" s="21" t="s">
        <v>3424</v>
      </c>
      <c r="AI134" s="21">
        <v>107.92500000000001</v>
      </c>
      <c r="AJ134" s="21">
        <v>100</v>
      </c>
      <c r="AK134" s="21" t="s">
        <v>2054</v>
      </c>
      <c r="AL134" t="s">
        <v>70</v>
      </c>
      <c r="AM134" t="s">
        <v>2028</v>
      </c>
    </row>
    <row r="135" spans="1:39" ht="15" hidden="1" thickTop="1" x14ac:dyDescent="0.35">
      <c r="A135" t="s">
        <v>2073</v>
      </c>
      <c r="B135" t="s">
        <v>2611</v>
      </c>
      <c r="C135" t="s">
        <v>117</v>
      </c>
      <c r="D135" t="s">
        <v>2612</v>
      </c>
      <c r="E135" t="s">
        <v>559</v>
      </c>
      <c r="F135">
        <v>1</v>
      </c>
      <c r="G135" t="s">
        <v>2050</v>
      </c>
      <c r="H135" t="s">
        <v>2051</v>
      </c>
      <c r="I135" t="s">
        <v>53</v>
      </c>
      <c r="J135" t="s">
        <v>67</v>
      </c>
      <c r="K135" t="s">
        <v>68</v>
      </c>
      <c r="L135" t="s">
        <v>2052</v>
      </c>
      <c r="M135" t="s">
        <v>2053</v>
      </c>
      <c r="N135">
        <v>0</v>
      </c>
      <c r="O135">
        <v>0</v>
      </c>
      <c r="P135">
        <v>0</v>
      </c>
      <c r="Q135">
        <v>1440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224</v>
      </c>
      <c r="AH135" s="21" t="s">
        <v>3424</v>
      </c>
      <c r="AI135" s="21">
        <v>107.92500000000001</v>
      </c>
      <c r="AJ135" s="21">
        <v>100</v>
      </c>
      <c r="AK135" s="21" t="s">
        <v>2054</v>
      </c>
      <c r="AL135" t="s">
        <v>70</v>
      </c>
      <c r="AM135" t="s">
        <v>2027</v>
      </c>
    </row>
    <row r="136" spans="1:39" ht="15" hidden="1" thickTop="1" x14ac:dyDescent="0.35">
      <c r="A136" t="s">
        <v>2624</v>
      </c>
      <c r="B136" t="s">
        <v>2617</v>
      </c>
      <c r="C136" t="s">
        <v>128</v>
      </c>
      <c r="D136" t="s">
        <v>2618</v>
      </c>
      <c r="E136" t="s">
        <v>112</v>
      </c>
      <c r="F136">
        <v>1</v>
      </c>
      <c r="G136" t="s">
        <v>2050</v>
      </c>
      <c r="H136" t="s">
        <v>2051</v>
      </c>
      <c r="I136" t="s">
        <v>53</v>
      </c>
      <c r="J136" t="s">
        <v>113</v>
      </c>
      <c r="K136" t="s">
        <v>68</v>
      </c>
      <c r="L136" t="s">
        <v>2052</v>
      </c>
      <c r="M136" t="s">
        <v>2619</v>
      </c>
      <c r="N136">
        <v>0</v>
      </c>
      <c r="O136">
        <v>0</v>
      </c>
      <c r="P136">
        <v>0</v>
      </c>
      <c r="Q136">
        <v>1140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225</v>
      </c>
      <c r="AH136" s="21" t="s">
        <v>3424</v>
      </c>
      <c r="AI136" s="21">
        <v>85.5</v>
      </c>
      <c r="AJ136" s="21">
        <v>100</v>
      </c>
      <c r="AK136" s="21" t="s">
        <v>2054</v>
      </c>
      <c r="AL136" t="s">
        <v>115</v>
      </c>
      <c r="AM136" t="s">
        <v>2027</v>
      </c>
    </row>
    <row r="137" spans="1:39" ht="15" hidden="1" thickTop="1" x14ac:dyDescent="0.35">
      <c r="A137" t="s">
        <v>2626</v>
      </c>
      <c r="B137" t="s">
        <v>2620</v>
      </c>
      <c r="C137" t="s">
        <v>66</v>
      </c>
      <c r="D137" t="s">
        <v>2621</v>
      </c>
      <c r="E137" t="s">
        <v>559</v>
      </c>
      <c r="F137">
        <v>1</v>
      </c>
      <c r="G137" t="s">
        <v>2050</v>
      </c>
      <c r="H137" t="s">
        <v>2051</v>
      </c>
      <c r="I137" t="s">
        <v>53</v>
      </c>
      <c r="J137" t="s">
        <v>67</v>
      </c>
      <c r="K137" t="s">
        <v>68</v>
      </c>
      <c r="L137" t="s">
        <v>2052</v>
      </c>
      <c r="M137" t="s">
        <v>2053</v>
      </c>
      <c r="N137">
        <v>0</v>
      </c>
      <c r="O137">
        <v>0</v>
      </c>
      <c r="P137">
        <v>0</v>
      </c>
      <c r="Q137">
        <v>1440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226</v>
      </c>
      <c r="AH137" s="21" t="s">
        <v>3424</v>
      </c>
      <c r="AI137" s="21">
        <v>107.92500000000001</v>
      </c>
      <c r="AJ137" s="21">
        <v>100</v>
      </c>
      <c r="AK137" s="21" t="s">
        <v>2054</v>
      </c>
      <c r="AL137" t="s">
        <v>70</v>
      </c>
      <c r="AM137" t="s">
        <v>2028</v>
      </c>
    </row>
    <row r="138" spans="1:39" ht="15" hidden="1" thickTop="1" x14ac:dyDescent="0.35">
      <c r="A138" t="s">
        <v>2630</v>
      </c>
      <c r="B138" t="s">
        <v>2628</v>
      </c>
      <c r="C138" t="s">
        <v>66</v>
      </c>
      <c r="D138" t="s">
        <v>2629</v>
      </c>
      <c r="E138" t="s">
        <v>559</v>
      </c>
      <c r="F138">
        <v>1</v>
      </c>
      <c r="G138" t="s">
        <v>2050</v>
      </c>
      <c r="H138" t="s">
        <v>2051</v>
      </c>
      <c r="I138" t="s">
        <v>53</v>
      </c>
      <c r="J138" t="s">
        <v>67</v>
      </c>
      <c r="K138" t="s">
        <v>68</v>
      </c>
      <c r="L138" t="s">
        <v>2052</v>
      </c>
      <c r="M138" t="s">
        <v>2064</v>
      </c>
      <c r="N138">
        <v>0</v>
      </c>
      <c r="O138">
        <v>0</v>
      </c>
      <c r="P138">
        <v>0</v>
      </c>
      <c r="Q138">
        <v>900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s">
        <v>227</v>
      </c>
      <c r="AH138" s="21" t="s">
        <v>3424</v>
      </c>
      <c r="AI138" s="21">
        <v>67.5</v>
      </c>
      <c r="AJ138" s="21">
        <v>100</v>
      </c>
      <c r="AK138" s="21" t="s">
        <v>2055</v>
      </c>
      <c r="AL138" t="s">
        <v>70</v>
      </c>
      <c r="AM138" t="s">
        <v>2027</v>
      </c>
    </row>
    <row r="139" spans="1:39" ht="15" hidden="1" thickTop="1" x14ac:dyDescent="0.35">
      <c r="A139" t="s">
        <v>2636</v>
      </c>
      <c r="B139" t="s">
        <v>2632</v>
      </c>
      <c r="C139" t="s">
        <v>100</v>
      </c>
      <c r="D139" t="s">
        <v>2633</v>
      </c>
      <c r="E139" t="s">
        <v>559</v>
      </c>
      <c r="F139">
        <v>1</v>
      </c>
      <c r="G139" t="s">
        <v>2050</v>
      </c>
      <c r="H139" t="s">
        <v>2051</v>
      </c>
      <c r="I139" t="s">
        <v>53</v>
      </c>
      <c r="J139" t="s">
        <v>67</v>
      </c>
      <c r="K139" t="s">
        <v>68</v>
      </c>
      <c r="L139" t="s">
        <v>2052</v>
      </c>
      <c r="M139" t="s">
        <v>2053</v>
      </c>
      <c r="N139">
        <v>0</v>
      </c>
      <c r="O139">
        <v>0</v>
      </c>
      <c r="P139">
        <v>0</v>
      </c>
      <c r="Q139">
        <v>1440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228</v>
      </c>
      <c r="AH139" s="21" t="s">
        <v>3424</v>
      </c>
      <c r="AI139" s="21">
        <v>107.92500000000001</v>
      </c>
      <c r="AJ139" s="21">
        <v>100</v>
      </c>
      <c r="AK139" s="21" t="s">
        <v>2054</v>
      </c>
      <c r="AL139" t="s">
        <v>70</v>
      </c>
      <c r="AM139" t="s">
        <v>2031</v>
      </c>
    </row>
    <row r="140" spans="1:39" ht="15" hidden="1" thickTop="1" x14ac:dyDescent="0.35">
      <c r="A140" t="s">
        <v>2637</v>
      </c>
      <c r="B140" t="s">
        <v>2634</v>
      </c>
      <c r="C140" t="s">
        <v>78</v>
      </c>
      <c r="D140" t="s">
        <v>2635</v>
      </c>
      <c r="E140" t="s">
        <v>559</v>
      </c>
      <c r="F140">
        <v>1</v>
      </c>
      <c r="G140" t="s">
        <v>2050</v>
      </c>
      <c r="H140" t="s">
        <v>2051</v>
      </c>
      <c r="I140" t="s">
        <v>53</v>
      </c>
      <c r="J140" t="s">
        <v>67</v>
      </c>
      <c r="K140" t="s">
        <v>68</v>
      </c>
      <c r="L140" t="s">
        <v>2052</v>
      </c>
      <c r="M140" t="s">
        <v>2053</v>
      </c>
      <c r="N140">
        <v>0</v>
      </c>
      <c r="O140">
        <v>0</v>
      </c>
      <c r="P140">
        <v>0</v>
      </c>
      <c r="Q140">
        <v>1440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229</v>
      </c>
      <c r="AH140" s="21" t="s">
        <v>3424</v>
      </c>
      <c r="AI140" s="21">
        <v>107.92500000000001</v>
      </c>
      <c r="AJ140" s="21">
        <v>100</v>
      </c>
      <c r="AK140" s="21" t="s">
        <v>2055</v>
      </c>
      <c r="AL140" t="s">
        <v>70</v>
      </c>
      <c r="AM140" t="s">
        <v>2031</v>
      </c>
    </row>
    <row r="141" spans="1:39" ht="15" hidden="1" thickTop="1" x14ac:dyDescent="0.35">
      <c r="A141" t="s">
        <v>2642</v>
      </c>
      <c r="B141" t="s">
        <v>2640</v>
      </c>
      <c r="C141" t="s">
        <v>3376</v>
      </c>
      <c r="D141" t="s">
        <v>2641</v>
      </c>
      <c r="E141" t="s">
        <v>559</v>
      </c>
      <c r="F141">
        <v>1</v>
      </c>
      <c r="G141" t="s">
        <v>2050</v>
      </c>
      <c r="H141" t="s">
        <v>2051</v>
      </c>
      <c r="I141" t="s">
        <v>53</v>
      </c>
      <c r="J141" t="s">
        <v>67</v>
      </c>
      <c r="K141" t="s">
        <v>68</v>
      </c>
      <c r="L141" t="s">
        <v>2052</v>
      </c>
      <c r="M141" t="s">
        <v>2053</v>
      </c>
      <c r="N141">
        <v>0</v>
      </c>
      <c r="O141">
        <v>0</v>
      </c>
      <c r="P141">
        <v>0</v>
      </c>
      <c r="Q141">
        <v>1440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t="s">
        <v>230</v>
      </c>
      <c r="AH141" s="21" t="s">
        <v>3424</v>
      </c>
      <c r="AI141" s="21">
        <v>107.92500000000001</v>
      </c>
      <c r="AJ141" s="21">
        <v>100</v>
      </c>
      <c r="AK141" s="21" t="s">
        <v>2055</v>
      </c>
      <c r="AL141" t="s">
        <v>70</v>
      </c>
      <c r="AM141" t="s">
        <v>2031</v>
      </c>
    </row>
    <row r="142" spans="1:39" ht="15" hidden="1" thickTop="1" x14ac:dyDescent="0.35">
      <c r="A142" t="s">
        <v>2646</v>
      </c>
      <c r="B142" t="s">
        <v>2644</v>
      </c>
      <c r="C142" t="s">
        <v>3376</v>
      </c>
      <c r="D142" t="s">
        <v>2645</v>
      </c>
      <c r="E142" t="s">
        <v>559</v>
      </c>
      <c r="F142">
        <v>1</v>
      </c>
      <c r="G142" t="s">
        <v>2050</v>
      </c>
      <c r="H142" t="s">
        <v>2051</v>
      </c>
      <c r="I142" t="s">
        <v>53</v>
      </c>
      <c r="J142" t="s">
        <v>67</v>
      </c>
      <c r="K142" t="s">
        <v>68</v>
      </c>
      <c r="L142" t="s">
        <v>2052</v>
      </c>
      <c r="M142" t="s">
        <v>2053</v>
      </c>
      <c r="N142">
        <v>0</v>
      </c>
      <c r="O142">
        <v>0</v>
      </c>
      <c r="P142">
        <v>0</v>
      </c>
      <c r="Q142">
        <v>1440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231</v>
      </c>
      <c r="AH142" s="21" t="s">
        <v>3424</v>
      </c>
      <c r="AI142" s="21">
        <v>107.92500000000001</v>
      </c>
      <c r="AJ142" s="21">
        <v>100</v>
      </c>
      <c r="AK142" s="21" t="s">
        <v>2054</v>
      </c>
      <c r="AL142" t="s">
        <v>70</v>
      </c>
      <c r="AM142" t="s">
        <v>2027</v>
      </c>
    </row>
    <row r="143" spans="1:39" ht="15" hidden="1" thickTop="1" x14ac:dyDescent="0.35">
      <c r="A143" t="s">
        <v>2658</v>
      </c>
      <c r="B143" t="s">
        <v>2648</v>
      </c>
      <c r="C143" t="s">
        <v>102</v>
      </c>
      <c r="D143" t="s">
        <v>2649</v>
      </c>
      <c r="E143" t="s">
        <v>559</v>
      </c>
      <c r="F143">
        <v>1</v>
      </c>
      <c r="G143" t="s">
        <v>2050</v>
      </c>
      <c r="H143" t="s">
        <v>2051</v>
      </c>
      <c r="I143" t="s">
        <v>53</v>
      </c>
      <c r="J143" t="s">
        <v>67</v>
      </c>
      <c r="K143" t="s">
        <v>68</v>
      </c>
      <c r="L143" t="s">
        <v>2052</v>
      </c>
      <c r="M143" t="s">
        <v>2053</v>
      </c>
      <c r="N143">
        <v>0</v>
      </c>
      <c r="O143">
        <v>0</v>
      </c>
      <c r="P143">
        <v>0</v>
      </c>
      <c r="Q143">
        <v>1440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232</v>
      </c>
      <c r="AH143" s="21" t="s">
        <v>3424</v>
      </c>
      <c r="AI143" s="21">
        <v>107.92500000000001</v>
      </c>
      <c r="AJ143" s="21">
        <v>100</v>
      </c>
      <c r="AK143" s="21" t="s">
        <v>2054</v>
      </c>
      <c r="AL143" t="s">
        <v>70</v>
      </c>
      <c r="AM143" t="s">
        <v>2030</v>
      </c>
    </row>
    <row r="144" spans="1:39" ht="15" hidden="1" thickTop="1" x14ac:dyDescent="0.35">
      <c r="A144" t="s">
        <v>2659</v>
      </c>
      <c r="B144" t="s">
        <v>2650</v>
      </c>
      <c r="C144" t="s">
        <v>92</v>
      </c>
      <c r="D144" t="s">
        <v>2651</v>
      </c>
      <c r="E144" t="s">
        <v>559</v>
      </c>
      <c r="F144">
        <v>1</v>
      </c>
      <c r="G144" t="s">
        <v>2050</v>
      </c>
      <c r="H144" t="s">
        <v>2051</v>
      </c>
      <c r="I144" t="s">
        <v>53</v>
      </c>
      <c r="J144" t="s">
        <v>67</v>
      </c>
      <c r="K144" t="s">
        <v>68</v>
      </c>
      <c r="L144" t="s">
        <v>2052</v>
      </c>
      <c r="M144" t="s">
        <v>2053</v>
      </c>
      <c r="N144">
        <v>0</v>
      </c>
      <c r="O144">
        <v>0</v>
      </c>
      <c r="P144">
        <v>0</v>
      </c>
      <c r="Q144">
        <v>1440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t="s">
        <v>233</v>
      </c>
      <c r="AH144" s="21" t="s">
        <v>3424</v>
      </c>
      <c r="AI144" s="21">
        <v>107.92500000000001</v>
      </c>
      <c r="AJ144" s="21">
        <v>100</v>
      </c>
      <c r="AK144" s="21" t="s">
        <v>2054</v>
      </c>
      <c r="AL144" t="s">
        <v>70</v>
      </c>
      <c r="AM144" t="s">
        <v>2028</v>
      </c>
    </row>
    <row r="145" spans="1:39" ht="15" hidden="1" thickTop="1" x14ac:dyDescent="0.35">
      <c r="A145" t="s">
        <v>2508</v>
      </c>
      <c r="B145" t="s">
        <v>2652</v>
      </c>
      <c r="C145" t="s">
        <v>76</v>
      </c>
      <c r="D145" t="s">
        <v>2653</v>
      </c>
      <c r="E145" t="s">
        <v>119</v>
      </c>
      <c r="F145">
        <v>1</v>
      </c>
      <c r="G145" t="s">
        <v>2050</v>
      </c>
      <c r="H145" t="s">
        <v>2051</v>
      </c>
      <c r="I145" t="s">
        <v>53</v>
      </c>
      <c r="J145" t="s">
        <v>67</v>
      </c>
      <c r="K145" t="s">
        <v>68</v>
      </c>
      <c r="L145" t="s">
        <v>2052</v>
      </c>
      <c r="M145" t="s">
        <v>2053</v>
      </c>
      <c r="N145">
        <v>0</v>
      </c>
      <c r="O145">
        <v>0</v>
      </c>
      <c r="P145">
        <v>0</v>
      </c>
      <c r="Q145">
        <v>1440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234</v>
      </c>
      <c r="AH145" s="21" t="s">
        <v>3424</v>
      </c>
      <c r="AI145" s="21">
        <v>107.92500000000001</v>
      </c>
      <c r="AJ145" s="21">
        <v>100</v>
      </c>
      <c r="AK145" s="21" t="s">
        <v>2054</v>
      </c>
      <c r="AL145" t="s">
        <v>70</v>
      </c>
      <c r="AM145" t="s">
        <v>2028</v>
      </c>
    </row>
    <row r="146" spans="1:39" ht="15" hidden="1" thickTop="1" x14ac:dyDescent="0.35">
      <c r="A146" t="s">
        <v>2660</v>
      </c>
      <c r="B146" t="s">
        <v>2654</v>
      </c>
      <c r="C146" t="s">
        <v>3376</v>
      </c>
      <c r="D146" t="s">
        <v>2655</v>
      </c>
      <c r="E146" t="s">
        <v>559</v>
      </c>
      <c r="F146">
        <v>1</v>
      </c>
      <c r="G146" t="s">
        <v>2050</v>
      </c>
      <c r="H146" t="s">
        <v>2051</v>
      </c>
      <c r="I146" t="s">
        <v>53</v>
      </c>
      <c r="J146" t="s">
        <v>67</v>
      </c>
      <c r="K146" t="s">
        <v>68</v>
      </c>
      <c r="L146" t="s">
        <v>2052</v>
      </c>
      <c r="M146" t="s">
        <v>2053</v>
      </c>
      <c r="N146">
        <v>0</v>
      </c>
      <c r="O146">
        <v>0</v>
      </c>
      <c r="P146">
        <v>0</v>
      </c>
      <c r="Q146">
        <v>1440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235</v>
      </c>
      <c r="AH146" s="21" t="s">
        <v>3424</v>
      </c>
      <c r="AI146" s="21">
        <v>107.92500000000001</v>
      </c>
      <c r="AJ146" s="21">
        <v>100</v>
      </c>
      <c r="AK146" s="21" t="s">
        <v>2054</v>
      </c>
      <c r="AL146" t="s">
        <v>70</v>
      </c>
      <c r="AM146" t="s">
        <v>2028</v>
      </c>
    </row>
    <row r="147" spans="1:39" ht="15" hidden="1" thickTop="1" x14ac:dyDescent="0.35">
      <c r="A147" t="s">
        <v>2661</v>
      </c>
      <c r="B147" t="s">
        <v>2656</v>
      </c>
      <c r="C147" t="s">
        <v>3376</v>
      </c>
      <c r="D147" t="s">
        <v>2657</v>
      </c>
      <c r="E147" t="s">
        <v>559</v>
      </c>
      <c r="F147">
        <v>1</v>
      </c>
      <c r="G147" t="s">
        <v>2050</v>
      </c>
      <c r="H147" t="s">
        <v>2051</v>
      </c>
      <c r="I147" t="s">
        <v>53</v>
      </c>
      <c r="J147" t="s">
        <v>67</v>
      </c>
      <c r="K147" t="s">
        <v>68</v>
      </c>
      <c r="L147" t="s">
        <v>2052</v>
      </c>
      <c r="M147" t="s">
        <v>2053</v>
      </c>
      <c r="N147">
        <v>0</v>
      </c>
      <c r="O147">
        <v>0</v>
      </c>
      <c r="P147">
        <v>0</v>
      </c>
      <c r="Q147">
        <v>1440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236</v>
      </c>
      <c r="AH147" s="21" t="s">
        <v>3425</v>
      </c>
      <c r="AI147" s="21">
        <v>107.92500000000001</v>
      </c>
      <c r="AJ147" s="21">
        <v>100</v>
      </c>
      <c r="AK147" s="21" t="s">
        <v>2055</v>
      </c>
      <c r="AL147" t="s">
        <v>70</v>
      </c>
      <c r="AM147" t="s">
        <v>2030</v>
      </c>
    </row>
    <row r="148" spans="1:39" ht="15" hidden="1" thickTop="1" x14ac:dyDescent="0.35">
      <c r="A148" t="s">
        <v>2666</v>
      </c>
      <c r="B148" t="s">
        <v>2664</v>
      </c>
      <c r="C148" t="s">
        <v>820</v>
      </c>
      <c r="D148" t="s">
        <v>2665</v>
      </c>
      <c r="E148" t="s">
        <v>72</v>
      </c>
      <c r="F148">
        <v>1</v>
      </c>
      <c r="G148" t="s">
        <v>2050</v>
      </c>
      <c r="H148" t="s">
        <v>2051</v>
      </c>
      <c r="I148" t="s">
        <v>53</v>
      </c>
      <c r="J148" t="s">
        <v>424</v>
      </c>
      <c r="K148" t="s">
        <v>68</v>
      </c>
      <c r="L148" t="s">
        <v>2052</v>
      </c>
      <c r="M148" t="s">
        <v>2064</v>
      </c>
      <c r="N148">
        <v>0</v>
      </c>
      <c r="O148">
        <v>0</v>
      </c>
      <c r="P148">
        <v>0</v>
      </c>
      <c r="Q148">
        <v>900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238</v>
      </c>
      <c r="AH148" s="21" t="s">
        <v>3425</v>
      </c>
      <c r="AI148" s="21">
        <v>67.5</v>
      </c>
      <c r="AJ148" s="21">
        <v>100</v>
      </c>
      <c r="AK148" s="21" t="s">
        <v>2054</v>
      </c>
      <c r="AL148" t="s">
        <v>75</v>
      </c>
      <c r="AM148" t="s">
        <v>2027</v>
      </c>
    </row>
    <row r="149" spans="1:39" ht="15" hidden="1" thickTop="1" x14ac:dyDescent="0.35">
      <c r="A149" t="s">
        <v>2671</v>
      </c>
      <c r="B149" t="s">
        <v>2669</v>
      </c>
      <c r="C149" t="s">
        <v>100</v>
      </c>
      <c r="D149" t="s">
        <v>2670</v>
      </c>
      <c r="E149" t="s">
        <v>119</v>
      </c>
      <c r="F149">
        <v>1</v>
      </c>
      <c r="G149" t="s">
        <v>2050</v>
      </c>
      <c r="H149" t="s">
        <v>2051</v>
      </c>
      <c r="I149" t="s">
        <v>53</v>
      </c>
      <c r="J149" t="s">
        <v>67</v>
      </c>
      <c r="K149" t="s">
        <v>68</v>
      </c>
      <c r="L149" t="s">
        <v>3397</v>
      </c>
      <c r="M149" t="s">
        <v>2317</v>
      </c>
      <c r="N149">
        <v>0</v>
      </c>
      <c r="O149">
        <v>0</v>
      </c>
      <c r="P149">
        <v>0</v>
      </c>
      <c r="Q149">
        <v>540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239</v>
      </c>
      <c r="AH149" s="21" t="s">
        <v>3429</v>
      </c>
      <c r="AI149" s="21">
        <v>40.500000000000007</v>
      </c>
      <c r="AJ149" s="21">
        <v>100</v>
      </c>
      <c r="AK149" s="21" t="s">
        <v>2054</v>
      </c>
      <c r="AL149" t="s">
        <v>70</v>
      </c>
      <c r="AM149" t="s">
        <v>2027</v>
      </c>
    </row>
    <row r="150" spans="1:39" ht="15" hidden="1" thickTop="1" x14ac:dyDescent="0.35">
      <c r="A150" t="s">
        <v>2687</v>
      </c>
      <c r="B150" t="s">
        <v>2675</v>
      </c>
      <c r="C150" t="s">
        <v>78</v>
      </c>
      <c r="D150" t="s">
        <v>2676</v>
      </c>
      <c r="E150" t="s">
        <v>559</v>
      </c>
      <c r="F150">
        <v>1</v>
      </c>
      <c r="G150" t="s">
        <v>2050</v>
      </c>
      <c r="H150" t="s">
        <v>2051</v>
      </c>
      <c r="I150" t="s">
        <v>53</v>
      </c>
      <c r="J150" t="s">
        <v>67</v>
      </c>
      <c r="K150" t="s">
        <v>68</v>
      </c>
      <c r="L150" t="s">
        <v>2052</v>
      </c>
      <c r="M150" t="s">
        <v>2083</v>
      </c>
      <c r="N150">
        <v>0</v>
      </c>
      <c r="O150">
        <v>0</v>
      </c>
      <c r="P150">
        <v>0</v>
      </c>
      <c r="Q150">
        <v>960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t="s">
        <v>240</v>
      </c>
      <c r="AH150" s="21" t="s">
        <v>3424</v>
      </c>
      <c r="AI150" s="21">
        <v>72.000000000000014</v>
      </c>
      <c r="AJ150" s="21">
        <v>100</v>
      </c>
      <c r="AK150" s="21" t="s">
        <v>2054</v>
      </c>
      <c r="AL150" t="s">
        <v>70</v>
      </c>
      <c r="AM150" t="s">
        <v>2029</v>
      </c>
    </row>
    <row r="151" spans="1:39" ht="15" hidden="1" thickTop="1" x14ac:dyDescent="0.35">
      <c r="A151" t="s">
        <v>2688</v>
      </c>
      <c r="B151" t="s">
        <v>2677</v>
      </c>
      <c r="C151" t="s">
        <v>66</v>
      </c>
      <c r="D151" t="s">
        <v>2678</v>
      </c>
      <c r="E151" t="s">
        <v>559</v>
      </c>
      <c r="F151">
        <v>1</v>
      </c>
      <c r="G151" t="s">
        <v>2050</v>
      </c>
      <c r="H151" t="s">
        <v>2051</v>
      </c>
      <c r="I151" t="s">
        <v>53</v>
      </c>
      <c r="J151" t="s">
        <v>67</v>
      </c>
      <c r="K151" t="s">
        <v>68</v>
      </c>
      <c r="L151" t="s">
        <v>2052</v>
      </c>
      <c r="M151" t="s">
        <v>2064</v>
      </c>
      <c r="N151">
        <v>0</v>
      </c>
      <c r="O151">
        <v>0</v>
      </c>
      <c r="P151">
        <v>0</v>
      </c>
      <c r="Q151">
        <v>900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t="s">
        <v>241</v>
      </c>
      <c r="AH151" s="21" t="s">
        <v>3424</v>
      </c>
      <c r="AI151" s="21">
        <v>67.5</v>
      </c>
      <c r="AJ151" s="21">
        <v>100</v>
      </c>
      <c r="AK151" s="21" t="s">
        <v>2055</v>
      </c>
      <c r="AL151" t="s">
        <v>70</v>
      </c>
      <c r="AM151" t="s">
        <v>2028</v>
      </c>
    </row>
    <row r="152" spans="1:39" ht="15" hidden="1" thickTop="1" x14ac:dyDescent="0.35">
      <c r="A152" t="s">
        <v>2689</v>
      </c>
      <c r="B152" t="s">
        <v>2679</v>
      </c>
      <c r="C152" t="s">
        <v>100</v>
      </c>
      <c r="D152" t="s">
        <v>2680</v>
      </c>
      <c r="E152" t="s">
        <v>559</v>
      </c>
      <c r="F152">
        <v>1</v>
      </c>
      <c r="G152" t="s">
        <v>2050</v>
      </c>
      <c r="H152" t="s">
        <v>2051</v>
      </c>
      <c r="I152" t="s">
        <v>53</v>
      </c>
      <c r="J152" t="s">
        <v>67</v>
      </c>
      <c r="K152" t="s">
        <v>68</v>
      </c>
      <c r="L152" t="s">
        <v>2052</v>
      </c>
      <c r="M152" t="s">
        <v>2053</v>
      </c>
      <c r="N152">
        <v>0</v>
      </c>
      <c r="O152">
        <v>0</v>
      </c>
      <c r="P152">
        <v>0</v>
      </c>
      <c r="Q152">
        <v>1440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242</v>
      </c>
      <c r="AH152" s="21" t="s">
        <v>3424</v>
      </c>
      <c r="AI152" s="21">
        <v>107.92500000000001</v>
      </c>
      <c r="AJ152" s="21">
        <v>100</v>
      </c>
      <c r="AK152" s="21" t="s">
        <v>2054</v>
      </c>
      <c r="AL152" t="s">
        <v>70</v>
      </c>
      <c r="AM152" t="s">
        <v>2030</v>
      </c>
    </row>
    <row r="153" spans="1:39" ht="15" hidden="1" thickTop="1" x14ac:dyDescent="0.35">
      <c r="A153" t="s">
        <v>2690</v>
      </c>
      <c r="B153" t="s">
        <v>2681</v>
      </c>
      <c r="C153" t="s">
        <v>100</v>
      </c>
      <c r="D153" t="s">
        <v>2682</v>
      </c>
      <c r="E153" t="s">
        <v>559</v>
      </c>
      <c r="F153">
        <v>1</v>
      </c>
      <c r="G153" t="s">
        <v>2050</v>
      </c>
      <c r="H153" t="s">
        <v>2051</v>
      </c>
      <c r="I153" t="s">
        <v>53</v>
      </c>
      <c r="J153" t="s">
        <v>67</v>
      </c>
      <c r="K153" t="s">
        <v>68</v>
      </c>
      <c r="L153" t="s">
        <v>2052</v>
      </c>
      <c r="M153" t="s">
        <v>2053</v>
      </c>
      <c r="N153">
        <v>0</v>
      </c>
      <c r="O153">
        <v>0</v>
      </c>
      <c r="P153">
        <v>0</v>
      </c>
      <c r="Q153">
        <v>1440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t="s">
        <v>243</v>
      </c>
      <c r="AH153" s="21" t="s">
        <v>3424</v>
      </c>
      <c r="AI153" s="21">
        <v>107.92500000000001</v>
      </c>
      <c r="AJ153" s="21">
        <v>100</v>
      </c>
      <c r="AK153" s="21" t="s">
        <v>2055</v>
      </c>
      <c r="AL153" t="s">
        <v>70</v>
      </c>
      <c r="AM153" t="s">
        <v>2030</v>
      </c>
    </row>
    <row r="154" spans="1:39" ht="15" hidden="1" thickTop="1" x14ac:dyDescent="0.35">
      <c r="A154" t="s">
        <v>2691</v>
      </c>
      <c r="B154" t="s">
        <v>2683</v>
      </c>
      <c r="C154" t="s">
        <v>76</v>
      </c>
      <c r="D154" t="s">
        <v>2684</v>
      </c>
      <c r="E154" t="s">
        <v>559</v>
      </c>
      <c r="F154">
        <v>2</v>
      </c>
      <c r="G154" t="s">
        <v>2050</v>
      </c>
      <c r="H154" t="s">
        <v>2051</v>
      </c>
      <c r="I154" t="s">
        <v>53</v>
      </c>
      <c r="J154" t="s">
        <v>67</v>
      </c>
      <c r="K154" t="s">
        <v>68</v>
      </c>
      <c r="L154" t="s">
        <v>2052</v>
      </c>
      <c r="M154" t="s">
        <v>2064</v>
      </c>
      <c r="N154">
        <v>0</v>
      </c>
      <c r="O154">
        <v>0</v>
      </c>
      <c r="P154">
        <v>0</v>
      </c>
      <c r="Q154">
        <v>900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t="s">
        <v>244</v>
      </c>
      <c r="AH154" s="21" t="s">
        <v>3424</v>
      </c>
      <c r="AI154" s="21">
        <v>67.5</v>
      </c>
      <c r="AJ154" s="21">
        <v>100</v>
      </c>
      <c r="AK154" s="21" t="s">
        <v>2054</v>
      </c>
      <c r="AL154" t="s">
        <v>70</v>
      </c>
      <c r="AM154" t="s">
        <v>2029</v>
      </c>
    </row>
    <row r="155" spans="1:39" ht="15" hidden="1" thickTop="1" x14ac:dyDescent="0.35">
      <c r="A155" t="s">
        <v>2692</v>
      </c>
      <c r="B155" t="s">
        <v>2685</v>
      </c>
      <c r="C155" t="s">
        <v>78</v>
      </c>
      <c r="D155" t="s">
        <v>2686</v>
      </c>
      <c r="E155" t="s">
        <v>559</v>
      </c>
      <c r="F155">
        <v>1</v>
      </c>
      <c r="G155" t="s">
        <v>2050</v>
      </c>
      <c r="H155" t="s">
        <v>2051</v>
      </c>
      <c r="I155" t="s">
        <v>53</v>
      </c>
      <c r="J155" t="s">
        <v>67</v>
      </c>
      <c r="K155" t="s">
        <v>68</v>
      </c>
      <c r="L155" t="s">
        <v>2052</v>
      </c>
      <c r="M155" t="s">
        <v>2083</v>
      </c>
      <c r="N155">
        <v>0</v>
      </c>
      <c r="O155">
        <v>0</v>
      </c>
      <c r="P155">
        <v>0</v>
      </c>
      <c r="Q155">
        <v>960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245</v>
      </c>
      <c r="AH155" s="21" t="s">
        <v>3424</v>
      </c>
      <c r="AI155" s="21">
        <v>72.000000000000014</v>
      </c>
      <c r="AJ155" s="21">
        <v>100</v>
      </c>
      <c r="AK155" s="21" t="s">
        <v>2054</v>
      </c>
      <c r="AL155" t="s">
        <v>70</v>
      </c>
      <c r="AM155" t="s">
        <v>2030</v>
      </c>
    </row>
    <row r="156" spans="1:39" ht="15" hidden="1" thickTop="1" x14ac:dyDescent="0.35">
      <c r="A156" t="s">
        <v>2702</v>
      </c>
      <c r="B156" t="s">
        <v>2696</v>
      </c>
      <c r="C156" t="s">
        <v>3376</v>
      </c>
      <c r="D156" t="s">
        <v>2697</v>
      </c>
      <c r="E156" t="s">
        <v>559</v>
      </c>
      <c r="F156">
        <v>1</v>
      </c>
      <c r="G156" t="s">
        <v>2050</v>
      </c>
      <c r="H156" t="s">
        <v>2051</v>
      </c>
      <c r="I156" t="s">
        <v>53</v>
      </c>
      <c r="J156" t="s">
        <v>67</v>
      </c>
      <c r="K156" t="s">
        <v>68</v>
      </c>
      <c r="L156" t="s">
        <v>2052</v>
      </c>
      <c r="M156" t="s">
        <v>2053</v>
      </c>
      <c r="N156">
        <v>0</v>
      </c>
      <c r="O156">
        <v>0</v>
      </c>
      <c r="P156">
        <v>0</v>
      </c>
      <c r="Q156">
        <v>1440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246</v>
      </c>
      <c r="AH156" s="21" t="s">
        <v>3424</v>
      </c>
      <c r="AI156" s="21">
        <v>107.92500000000001</v>
      </c>
      <c r="AJ156" s="21">
        <v>100</v>
      </c>
      <c r="AK156" s="21" t="s">
        <v>2054</v>
      </c>
      <c r="AL156" t="s">
        <v>70</v>
      </c>
      <c r="AM156" t="s">
        <v>2029</v>
      </c>
    </row>
    <row r="157" spans="1:39" ht="15" hidden="1" thickTop="1" x14ac:dyDescent="0.35">
      <c r="A157" t="s">
        <v>2703</v>
      </c>
      <c r="B157" t="s">
        <v>2698</v>
      </c>
      <c r="C157" t="s">
        <v>66</v>
      </c>
      <c r="D157" t="s">
        <v>2699</v>
      </c>
      <c r="E157" t="s">
        <v>559</v>
      </c>
      <c r="F157">
        <v>1</v>
      </c>
      <c r="G157" t="s">
        <v>2050</v>
      </c>
      <c r="H157" t="s">
        <v>2051</v>
      </c>
      <c r="I157" t="s">
        <v>53</v>
      </c>
      <c r="J157" t="s">
        <v>67</v>
      </c>
      <c r="K157" t="s">
        <v>68</v>
      </c>
      <c r="L157" t="s">
        <v>2052</v>
      </c>
      <c r="M157" t="s">
        <v>2053</v>
      </c>
      <c r="N157">
        <v>0</v>
      </c>
      <c r="O157">
        <v>0</v>
      </c>
      <c r="P157">
        <v>0</v>
      </c>
      <c r="Q157">
        <v>1440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247</v>
      </c>
      <c r="AH157" s="21" t="s">
        <v>3424</v>
      </c>
      <c r="AI157" s="21">
        <v>107.92500000000001</v>
      </c>
      <c r="AJ157" s="21">
        <v>100</v>
      </c>
      <c r="AK157" s="21" t="s">
        <v>2054</v>
      </c>
      <c r="AL157" t="s">
        <v>70</v>
      </c>
      <c r="AM157" t="s">
        <v>2027</v>
      </c>
    </row>
    <row r="158" spans="1:39" ht="15" hidden="1" thickTop="1" x14ac:dyDescent="0.35">
      <c r="A158" t="s">
        <v>2704</v>
      </c>
      <c r="B158" t="s">
        <v>2700</v>
      </c>
      <c r="C158" t="s">
        <v>92</v>
      </c>
      <c r="D158" t="s">
        <v>2701</v>
      </c>
      <c r="E158" t="s">
        <v>119</v>
      </c>
      <c r="F158">
        <v>1</v>
      </c>
      <c r="G158" t="s">
        <v>2050</v>
      </c>
      <c r="H158" t="s">
        <v>2051</v>
      </c>
      <c r="I158" t="s">
        <v>53</v>
      </c>
      <c r="J158" t="s">
        <v>67</v>
      </c>
      <c r="K158" t="s">
        <v>68</v>
      </c>
      <c r="L158" t="s">
        <v>2052</v>
      </c>
      <c r="M158" t="s">
        <v>2053</v>
      </c>
      <c r="N158">
        <v>0</v>
      </c>
      <c r="O158">
        <v>0</v>
      </c>
      <c r="P158">
        <v>0</v>
      </c>
      <c r="Q158">
        <v>1440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248</v>
      </c>
      <c r="AH158" s="21" t="s">
        <v>3424</v>
      </c>
      <c r="AI158" s="21">
        <v>107.92500000000001</v>
      </c>
      <c r="AJ158" s="21">
        <v>100</v>
      </c>
      <c r="AK158" s="21" t="s">
        <v>2054</v>
      </c>
      <c r="AL158" t="s">
        <v>70</v>
      </c>
      <c r="AM158" t="s">
        <v>2029</v>
      </c>
    </row>
    <row r="159" spans="1:39" ht="15" hidden="1" thickTop="1" x14ac:dyDescent="0.35">
      <c r="A159" t="s">
        <v>2710</v>
      </c>
      <c r="B159" t="s">
        <v>2708</v>
      </c>
      <c r="C159" t="s">
        <v>100</v>
      </c>
      <c r="D159" t="s">
        <v>2709</v>
      </c>
      <c r="E159" t="s">
        <v>559</v>
      </c>
      <c r="F159">
        <v>1</v>
      </c>
      <c r="G159" t="s">
        <v>2050</v>
      </c>
      <c r="H159" t="s">
        <v>2051</v>
      </c>
      <c r="I159" t="s">
        <v>53</v>
      </c>
      <c r="J159" t="s">
        <v>67</v>
      </c>
      <c r="K159" t="s">
        <v>68</v>
      </c>
      <c r="L159" t="s">
        <v>2052</v>
      </c>
      <c r="M159" t="s">
        <v>2078</v>
      </c>
      <c r="N159">
        <v>0</v>
      </c>
      <c r="O159">
        <v>0</v>
      </c>
      <c r="P159">
        <v>0</v>
      </c>
      <c r="Q159">
        <v>960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249</v>
      </c>
      <c r="AH159" s="21" t="s">
        <v>3424</v>
      </c>
      <c r="AI159" s="21">
        <v>72</v>
      </c>
      <c r="AJ159" s="21">
        <v>100</v>
      </c>
      <c r="AK159" s="21" t="s">
        <v>2054</v>
      </c>
      <c r="AL159" t="s">
        <v>70</v>
      </c>
      <c r="AM159" t="s">
        <v>2029</v>
      </c>
    </row>
    <row r="160" spans="1:39" ht="15" hidden="1" thickTop="1" x14ac:dyDescent="0.35">
      <c r="A160" t="s">
        <v>2715</v>
      </c>
      <c r="B160" t="s">
        <v>2713</v>
      </c>
      <c r="C160" t="s">
        <v>78</v>
      </c>
      <c r="D160" t="s">
        <v>2714</v>
      </c>
      <c r="E160" t="s">
        <v>559</v>
      </c>
      <c r="F160">
        <v>1</v>
      </c>
      <c r="G160" t="s">
        <v>2050</v>
      </c>
      <c r="H160" t="s">
        <v>2051</v>
      </c>
      <c r="I160" t="s">
        <v>53</v>
      </c>
      <c r="J160" t="s">
        <v>67</v>
      </c>
      <c r="K160" t="s">
        <v>68</v>
      </c>
      <c r="L160" t="s">
        <v>2052</v>
      </c>
      <c r="M160" t="s">
        <v>2053</v>
      </c>
      <c r="N160">
        <v>0</v>
      </c>
      <c r="O160">
        <v>0</v>
      </c>
      <c r="P160">
        <v>0</v>
      </c>
      <c r="Q160">
        <v>1440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250</v>
      </c>
      <c r="AH160" s="21" t="s">
        <v>3424</v>
      </c>
      <c r="AI160" s="21">
        <v>107.92500000000001</v>
      </c>
      <c r="AJ160" s="21">
        <v>100</v>
      </c>
      <c r="AK160" s="21" t="s">
        <v>2054</v>
      </c>
      <c r="AL160" t="s">
        <v>70</v>
      </c>
      <c r="AM160" t="s">
        <v>2028</v>
      </c>
    </row>
    <row r="161" spans="1:39" ht="15" hidden="1" thickTop="1" x14ac:dyDescent="0.35">
      <c r="A161" t="s">
        <v>2724</v>
      </c>
      <c r="B161" t="s">
        <v>2718</v>
      </c>
      <c r="C161" t="s">
        <v>102</v>
      </c>
      <c r="D161" t="s">
        <v>2719</v>
      </c>
      <c r="E161" t="s">
        <v>559</v>
      </c>
      <c r="F161">
        <v>1</v>
      </c>
      <c r="G161" t="s">
        <v>2050</v>
      </c>
      <c r="H161" t="s">
        <v>2051</v>
      </c>
      <c r="I161" t="s">
        <v>53</v>
      </c>
      <c r="J161" t="s">
        <v>67</v>
      </c>
      <c r="K161" t="s">
        <v>68</v>
      </c>
      <c r="L161" t="s">
        <v>2052</v>
      </c>
      <c r="M161" t="s">
        <v>2053</v>
      </c>
      <c r="N161">
        <v>0</v>
      </c>
      <c r="O161">
        <v>0</v>
      </c>
      <c r="P161">
        <v>0</v>
      </c>
      <c r="Q161">
        <v>1440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251</v>
      </c>
      <c r="AH161" s="21" t="s">
        <v>3424</v>
      </c>
      <c r="AI161" s="21">
        <v>107.92500000000001</v>
      </c>
      <c r="AJ161" s="21">
        <v>100</v>
      </c>
      <c r="AK161" s="21" t="s">
        <v>2054</v>
      </c>
      <c r="AL161" t="s">
        <v>70</v>
      </c>
      <c r="AM161" t="s">
        <v>2031</v>
      </c>
    </row>
    <row r="162" spans="1:39" ht="15" hidden="1" thickTop="1" x14ac:dyDescent="0.35">
      <c r="A162" t="s">
        <v>2725</v>
      </c>
      <c r="B162" t="s">
        <v>2720</v>
      </c>
      <c r="C162" t="s">
        <v>102</v>
      </c>
      <c r="D162" t="s">
        <v>2721</v>
      </c>
      <c r="E162" t="s">
        <v>559</v>
      </c>
      <c r="F162">
        <v>1</v>
      </c>
      <c r="G162" t="s">
        <v>2050</v>
      </c>
      <c r="H162" t="s">
        <v>2051</v>
      </c>
      <c r="I162" t="s">
        <v>53</v>
      </c>
      <c r="J162" t="s">
        <v>67</v>
      </c>
      <c r="K162" t="s">
        <v>68</v>
      </c>
      <c r="L162" t="s">
        <v>2052</v>
      </c>
      <c r="M162" t="s">
        <v>2053</v>
      </c>
      <c r="N162">
        <v>0</v>
      </c>
      <c r="O162">
        <v>0</v>
      </c>
      <c r="P162">
        <v>0</v>
      </c>
      <c r="Q162">
        <v>1440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252</v>
      </c>
      <c r="AH162" s="21" t="s">
        <v>3424</v>
      </c>
      <c r="AI162" s="21">
        <v>107.92500000000001</v>
      </c>
      <c r="AJ162" s="21">
        <v>100</v>
      </c>
      <c r="AK162" s="21" t="s">
        <v>2054</v>
      </c>
      <c r="AL162" t="s">
        <v>70</v>
      </c>
      <c r="AM162" t="s">
        <v>2030</v>
      </c>
    </row>
    <row r="163" spans="1:39" ht="15" hidden="1" thickTop="1" x14ac:dyDescent="0.35">
      <c r="A163" t="s">
        <v>2726</v>
      </c>
      <c r="B163" t="s">
        <v>2722</v>
      </c>
      <c r="C163" t="s">
        <v>102</v>
      </c>
      <c r="D163" t="s">
        <v>2723</v>
      </c>
      <c r="E163" t="s">
        <v>559</v>
      </c>
      <c r="F163">
        <v>1</v>
      </c>
      <c r="G163" t="s">
        <v>2050</v>
      </c>
      <c r="H163" t="s">
        <v>2051</v>
      </c>
      <c r="I163" t="s">
        <v>53</v>
      </c>
      <c r="J163" t="s">
        <v>67</v>
      </c>
      <c r="K163" t="s">
        <v>68</v>
      </c>
      <c r="L163" t="s">
        <v>2052</v>
      </c>
      <c r="M163" t="s">
        <v>2053</v>
      </c>
      <c r="N163">
        <v>0</v>
      </c>
      <c r="O163">
        <v>0</v>
      </c>
      <c r="P163">
        <v>0</v>
      </c>
      <c r="Q163">
        <v>1440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253</v>
      </c>
      <c r="AH163" s="21" t="s">
        <v>3424</v>
      </c>
      <c r="AI163" s="21">
        <v>107.92500000000001</v>
      </c>
      <c r="AJ163" s="21">
        <v>100</v>
      </c>
      <c r="AK163" s="21" t="s">
        <v>2055</v>
      </c>
      <c r="AL163" t="s">
        <v>70</v>
      </c>
      <c r="AM163" t="s">
        <v>2031</v>
      </c>
    </row>
    <row r="164" spans="1:39" ht="15" hidden="1" thickTop="1" x14ac:dyDescent="0.35">
      <c r="A164" t="s">
        <v>2732</v>
      </c>
      <c r="B164" t="s">
        <v>2730</v>
      </c>
      <c r="C164" t="s">
        <v>92</v>
      </c>
      <c r="D164" t="s">
        <v>2731</v>
      </c>
      <c r="E164" t="s">
        <v>119</v>
      </c>
      <c r="F164">
        <v>1</v>
      </c>
      <c r="G164" t="s">
        <v>2050</v>
      </c>
      <c r="H164" t="s">
        <v>2051</v>
      </c>
      <c r="I164" t="s">
        <v>53</v>
      </c>
      <c r="J164" t="s">
        <v>67</v>
      </c>
      <c r="K164" t="s">
        <v>68</v>
      </c>
      <c r="L164" t="s">
        <v>2052</v>
      </c>
      <c r="M164" t="s">
        <v>2053</v>
      </c>
      <c r="N164">
        <v>0</v>
      </c>
      <c r="O164">
        <v>0</v>
      </c>
      <c r="P164">
        <v>0</v>
      </c>
      <c r="Q164">
        <v>1440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t="s">
        <v>254</v>
      </c>
      <c r="AH164" s="21" t="s">
        <v>3424</v>
      </c>
      <c r="AI164" s="21">
        <v>107.92500000000001</v>
      </c>
      <c r="AJ164" s="21">
        <v>100</v>
      </c>
      <c r="AK164" s="21" t="s">
        <v>2054</v>
      </c>
      <c r="AL164" t="s">
        <v>70</v>
      </c>
      <c r="AM164" t="s">
        <v>2029</v>
      </c>
    </row>
    <row r="165" spans="1:39" ht="15" hidden="1" thickTop="1" x14ac:dyDescent="0.35">
      <c r="A165" t="s">
        <v>2737</v>
      </c>
      <c r="B165" t="s">
        <v>2735</v>
      </c>
      <c r="C165" t="s">
        <v>81</v>
      </c>
      <c r="D165" t="s">
        <v>2736</v>
      </c>
      <c r="E165" t="s">
        <v>559</v>
      </c>
      <c r="F165">
        <v>1</v>
      </c>
      <c r="G165" t="s">
        <v>2050</v>
      </c>
      <c r="H165" t="s">
        <v>2051</v>
      </c>
      <c r="I165" t="s">
        <v>53</v>
      </c>
      <c r="J165" t="s">
        <v>82</v>
      </c>
      <c r="K165" t="s">
        <v>68</v>
      </c>
      <c r="L165" t="s">
        <v>2052</v>
      </c>
      <c r="M165" t="s">
        <v>2053</v>
      </c>
      <c r="N165">
        <v>0</v>
      </c>
      <c r="O165">
        <v>0</v>
      </c>
      <c r="P165">
        <v>0</v>
      </c>
      <c r="Q165">
        <v>1440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255</v>
      </c>
      <c r="AH165" s="21" t="s">
        <v>3428</v>
      </c>
      <c r="AI165" s="21">
        <v>107.92500000000001</v>
      </c>
      <c r="AJ165" s="21">
        <v>100</v>
      </c>
      <c r="AK165" s="21" t="s">
        <v>2054</v>
      </c>
      <c r="AL165" t="s">
        <v>70</v>
      </c>
      <c r="AM165" t="s">
        <v>2029</v>
      </c>
    </row>
    <row r="166" spans="1:39" ht="15" hidden="1" thickTop="1" x14ac:dyDescent="0.35">
      <c r="A166" t="s">
        <v>2077</v>
      </c>
      <c r="B166" t="s">
        <v>2738</v>
      </c>
      <c r="C166" t="s">
        <v>92</v>
      </c>
      <c r="D166" t="s">
        <v>2739</v>
      </c>
      <c r="E166" t="s">
        <v>119</v>
      </c>
      <c r="F166">
        <v>1</v>
      </c>
      <c r="G166" t="s">
        <v>2050</v>
      </c>
      <c r="H166" t="s">
        <v>2051</v>
      </c>
      <c r="I166" t="s">
        <v>53</v>
      </c>
      <c r="J166" t="s">
        <v>67</v>
      </c>
      <c r="K166" t="s">
        <v>68</v>
      </c>
      <c r="L166" t="s">
        <v>2052</v>
      </c>
      <c r="M166" t="s">
        <v>2053</v>
      </c>
      <c r="N166">
        <v>0</v>
      </c>
      <c r="O166">
        <v>0</v>
      </c>
      <c r="P166">
        <v>0</v>
      </c>
      <c r="Q166">
        <v>1440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t="s">
        <v>256</v>
      </c>
      <c r="AH166" s="21" t="s">
        <v>3424</v>
      </c>
      <c r="AI166" s="21">
        <v>107.92500000000001</v>
      </c>
      <c r="AJ166" s="21">
        <v>100</v>
      </c>
      <c r="AK166" s="21" t="s">
        <v>2055</v>
      </c>
      <c r="AL166" t="s">
        <v>70</v>
      </c>
      <c r="AM166" t="s">
        <v>2030</v>
      </c>
    </row>
    <row r="167" spans="1:39" ht="15" hidden="1" thickTop="1" x14ac:dyDescent="0.35">
      <c r="A167" t="s">
        <v>2752</v>
      </c>
      <c r="B167" t="s">
        <v>2744</v>
      </c>
      <c r="C167" t="s">
        <v>66</v>
      </c>
      <c r="D167" t="s">
        <v>2745</v>
      </c>
      <c r="E167" t="s">
        <v>559</v>
      </c>
      <c r="F167">
        <v>1</v>
      </c>
      <c r="G167" t="s">
        <v>2050</v>
      </c>
      <c r="H167" t="s">
        <v>2051</v>
      </c>
      <c r="I167" t="s">
        <v>53</v>
      </c>
      <c r="J167" t="s">
        <v>67</v>
      </c>
      <c r="K167" t="s">
        <v>68</v>
      </c>
      <c r="L167" t="s">
        <v>2052</v>
      </c>
      <c r="M167" t="s">
        <v>2053</v>
      </c>
      <c r="N167">
        <v>0</v>
      </c>
      <c r="O167">
        <v>0</v>
      </c>
      <c r="P167">
        <v>0</v>
      </c>
      <c r="Q167">
        <v>1440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 t="s">
        <v>257</v>
      </c>
      <c r="AH167" s="21" t="s">
        <v>3424</v>
      </c>
      <c r="AI167" s="21">
        <v>107.92500000000001</v>
      </c>
      <c r="AJ167" s="21">
        <v>100</v>
      </c>
      <c r="AK167" s="21" t="s">
        <v>2054</v>
      </c>
      <c r="AL167" t="s">
        <v>70</v>
      </c>
      <c r="AM167" t="s">
        <v>2029</v>
      </c>
    </row>
    <row r="168" spans="1:39" ht="15" hidden="1" thickTop="1" x14ac:dyDescent="0.35">
      <c r="A168" t="s">
        <v>2753</v>
      </c>
      <c r="B168" t="s">
        <v>2746</v>
      </c>
      <c r="C168" t="s">
        <v>117</v>
      </c>
      <c r="D168" t="s">
        <v>2747</v>
      </c>
      <c r="E168" t="s">
        <v>559</v>
      </c>
      <c r="F168">
        <v>1</v>
      </c>
      <c r="G168" t="s">
        <v>2050</v>
      </c>
      <c r="H168" t="s">
        <v>2051</v>
      </c>
      <c r="I168" t="s">
        <v>53</v>
      </c>
      <c r="J168" t="s">
        <v>67</v>
      </c>
      <c r="K168" t="s">
        <v>68</v>
      </c>
      <c r="L168" t="s">
        <v>2052</v>
      </c>
      <c r="M168" t="s">
        <v>2053</v>
      </c>
      <c r="N168">
        <v>0</v>
      </c>
      <c r="O168">
        <v>0</v>
      </c>
      <c r="P168">
        <v>0</v>
      </c>
      <c r="Q168">
        <v>1440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t="s">
        <v>258</v>
      </c>
      <c r="AH168" s="21" t="s">
        <v>3424</v>
      </c>
      <c r="AI168" s="21">
        <v>107.92500000000001</v>
      </c>
      <c r="AJ168" s="21">
        <v>100</v>
      </c>
      <c r="AK168" s="21" t="s">
        <v>2054</v>
      </c>
      <c r="AL168" t="s">
        <v>70</v>
      </c>
      <c r="AM168" t="s">
        <v>2029</v>
      </c>
    </row>
    <row r="169" spans="1:39" ht="15" hidden="1" thickTop="1" x14ac:dyDescent="0.35">
      <c r="A169" t="s">
        <v>2754</v>
      </c>
      <c r="B169" t="s">
        <v>2748</v>
      </c>
      <c r="C169" t="s">
        <v>66</v>
      </c>
      <c r="D169" t="s">
        <v>2749</v>
      </c>
      <c r="E169" t="s">
        <v>559</v>
      </c>
      <c r="F169">
        <v>1</v>
      </c>
      <c r="G169" t="s">
        <v>2050</v>
      </c>
      <c r="H169" t="s">
        <v>2051</v>
      </c>
      <c r="I169" t="s">
        <v>53</v>
      </c>
      <c r="J169" t="s">
        <v>67</v>
      </c>
      <c r="K169" t="s">
        <v>68</v>
      </c>
      <c r="L169" t="s">
        <v>2052</v>
      </c>
      <c r="M169" t="s">
        <v>2053</v>
      </c>
      <c r="N169">
        <v>0</v>
      </c>
      <c r="O169">
        <v>0</v>
      </c>
      <c r="P169">
        <v>0</v>
      </c>
      <c r="Q169">
        <v>1440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t="s">
        <v>259</v>
      </c>
      <c r="AH169" s="21" t="s">
        <v>3427</v>
      </c>
      <c r="AI169" s="21">
        <v>107.92500000000001</v>
      </c>
      <c r="AJ169" s="21">
        <v>100</v>
      </c>
      <c r="AK169" s="21" t="s">
        <v>2054</v>
      </c>
      <c r="AL169" t="s">
        <v>70</v>
      </c>
      <c r="AM169" t="s">
        <v>2027</v>
      </c>
    </row>
    <row r="170" spans="1:39" ht="15" hidden="1" thickTop="1" x14ac:dyDescent="0.35">
      <c r="A170" t="s">
        <v>2756</v>
      </c>
      <c r="B170" t="s">
        <v>2750</v>
      </c>
      <c r="C170" t="s">
        <v>3376</v>
      </c>
      <c r="D170" t="s">
        <v>2751</v>
      </c>
      <c r="E170" t="s">
        <v>559</v>
      </c>
      <c r="F170">
        <v>1</v>
      </c>
      <c r="G170" t="s">
        <v>2050</v>
      </c>
      <c r="H170" t="s">
        <v>2051</v>
      </c>
      <c r="I170" t="s">
        <v>53</v>
      </c>
      <c r="J170" t="s">
        <v>67</v>
      </c>
      <c r="K170" t="s">
        <v>68</v>
      </c>
      <c r="L170" t="s">
        <v>2052</v>
      </c>
      <c r="M170" t="s">
        <v>2053</v>
      </c>
      <c r="N170">
        <v>0</v>
      </c>
      <c r="O170">
        <v>0</v>
      </c>
      <c r="P170">
        <v>0</v>
      </c>
      <c r="Q170">
        <v>1440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260</v>
      </c>
      <c r="AH170" s="21" t="s">
        <v>3424</v>
      </c>
      <c r="AI170" s="21">
        <v>107.92500000000001</v>
      </c>
      <c r="AJ170" s="21">
        <v>100</v>
      </c>
      <c r="AK170" s="21" t="s">
        <v>2055</v>
      </c>
      <c r="AL170" t="s">
        <v>70</v>
      </c>
      <c r="AM170" t="s">
        <v>2031</v>
      </c>
    </row>
    <row r="171" spans="1:39" ht="15" hidden="1" thickTop="1" x14ac:dyDescent="0.35">
      <c r="A171" t="s">
        <v>2764</v>
      </c>
      <c r="B171" t="s">
        <v>2758</v>
      </c>
      <c r="C171" t="s">
        <v>102</v>
      </c>
      <c r="D171" t="s">
        <v>2759</v>
      </c>
      <c r="E171" t="s">
        <v>559</v>
      </c>
      <c r="F171">
        <v>1</v>
      </c>
      <c r="G171" t="s">
        <v>2050</v>
      </c>
      <c r="H171" t="s">
        <v>2051</v>
      </c>
      <c r="I171" t="s">
        <v>53</v>
      </c>
      <c r="J171" t="s">
        <v>67</v>
      </c>
      <c r="K171" t="s">
        <v>68</v>
      </c>
      <c r="L171" t="s">
        <v>2052</v>
      </c>
      <c r="M171" t="s">
        <v>2053</v>
      </c>
      <c r="N171">
        <v>0</v>
      </c>
      <c r="O171">
        <v>0</v>
      </c>
      <c r="P171">
        <v>0</v>
      </c>
      <c r="Q171">
        <v>1440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261</v>
      </c>
      <c r="AH171" s="21" t="s">
        <v>3425</v>
      </c>
      <c r="AI171" s="21">
        <v>107.92500000000001</v>
      </c>
      <c r="AJ171" s="21">
        <v>100</v>
      </c>
      <c r="AK171" s="21" t="s">
        <v>2055</v>
      </c>
      <c r="AL171" t="s">
        <v>70</v>
      </c>
      <c r="AM171" t="s">
        <v>2030</v>
      </c>
    </row>
    <row r="172" spans="1:39" ht="15" hidden="1" thickTop="1" x14ac:dyDescent="0.35">
      <c r="A172" t="s">
        <v>2765</v>
      </c>
      <c r="B172" t="s">
        <v>2761</v>
      </c>
      <c r="C172" t="s">
        <v>111</v>
      </c>
      <c r="D172" t="s">
        <v>2762</v>
      </c>
      <c r="E172" t="s">
        <v>112</v>
      </c>
      <c r="F172">
        <v>1</v>
      </c>
      <c r="G172" t="s">
        <v>2050</v>
      </c>
      <c r="H172" t="s">
        <v>2051</v>
      </c>
      <c r="I172" t="s">
        <v>53</v>
      </c>
      <c r="J172" t="s">
        <v>113</v>
      </c>
      <c r="K172" t="s">
        <v>68</v>
      </c>
      <c r="L172" t="s">
        <v>2052</v>
      </c>
      <c r="M172" t="s">
        <v>2053</v>
      </c>
      <c r="N172">
        <v>0</v>
      </c>
      <c r="O172">
        <v>0</v>
      </c>
      <c r="P172">
        <v>0</v>
      </c>
      <c r="Q172">
        <v>1440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262</v>
      </c>
      <c r="AH172" s="21" t="s">
        <v>3425</v>
      </c>
      <c r="AI172" s="21">
        <v>107.92500000000001</v>
      </c>
      <c r="AJ172" s="21">
        <v>100</v>
      </c>
      <c r="AK172" s="21" t="s">
        <v>2054</v>
      </c>
      <c r="AL172" t="s">
        <v>115</v>
      </c>
      <c r="AM172" t="s">
        <v>2027</v>
      </c>
    </row>
    <row r="173" spans="1:39" ht="15" hidden="1" thickTop="1" x14ac:dyDescent="0.35">
      <c r="A173" t="s">
        <v>2773</v>
      </c>
      <c r="B173" t="s">
        <v>2769</v>
      </c>
      <c r="C173" t="s">
        <v>102</v>
      </c>
      <c r="D173" t="s">
        <v>2770</v>
      </c>
      <c r="E173" t="s">
        <v>559</v>
      </c>
      <c r="F173">
        <v>1</v>
      </c>
      <c r="G173" t="s">
        <v>2050</v>
      </c>
      <c r="H173" t="s">
        <v>2051</v>
      </c>
      <c r="I173" t="s">
        <v>53</v>
      </c>
      <c r="J173" t="s">
        <v>67</v>
      </c>
      <c r="K173" t="s">
        <v>68</v>
      </c>
      <c r="L173" t="s">
        <v>2052</v>
      </c>
      <c r="M173" t="s">
        <v>2053</v>
      </c>
      <c r="N173">
        <v>0</v>
      </c>
      <c r="O173">
        <v>0</v>
      </c>
      <c r="P173">
        <v>0</v>
      </c>
      <c r="Q173">
        <v>1440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263</v>
      </c>
      <c r="AH173" s="21" t="s">
        <v>3425</v>
      </c>
      <c r="AI173" s="21">
        <v>107.92500000000001</v>
      </c>
      <c r="AJ173" s="21">
        <v>100</v>
      </c>
      <c r="AK173" s="21" t="s">
        <v>2054</v>
      </c>
      <c r="AL173" t="s">
        <v>70</v>
      </c>
      <c r="AM173" t="s">
        <v>2029</v>
      </c>
    </row>
    <row r="174" spans="1:39" ht="15" hidden="1" thickTop="1" x14ac:dyDescent="0.35">
      <c r="A174" t="s">
        <v>2774</v>
      </c>
      <c r="B174" t="s">
        <v>2771</v>
      </c>
      <c r="C174" t="s">
        <v>565</v>
      </c>
      <c r="D174" t="s">
        <v>2772</v>
      </c>
      <c r="E174" t="s">
        <v>559</v>
      </c>
      <c r="F174">
        <v>2</v>
      </c>
      <c r="G174" t="s">
        <v>2050</v>
      </c>
      <c r="H174" t="s">
        <v>2051</v>
      </c>
      <c r="I174" t="s">
        <v>53</v>
      </c>
      <c r="J174" t="s">
        <v>427</v>
      </c>
      <c r="K174" t="s">
        <v>68</v>
      </c>
      <c r="L174" t="s">
        <v>2052</v>
      </c>
      <c r="M174" t="s">
        <v>2053</v>
      </c>
      <c r="N174">
        <v>0</v>
      </c>
      <c r="O174">
        <v>0</v>
      </c>
      <c r="P174">
        <v>0</v>
      </c>
      <c r="Q174">
        <v>1440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 t="s">
        <v>264</v>
      </c>
      <c r="AH174" s="21" t="s">
        <v>3427</v>
      </c>
      <c r="AI174" s="21">
        <v>107.92500000000001</v>
      </c>
      <c r="AJ174" s="21">
        <v>100</v>
      </c>
      <c r="AK174" s="21" t="s">
        <v>2054</v>
      </c>
      <c r="AL174" t="s">
        <v>70</v>
      </c>
      <c r="AM174" t="s">
        <v>2029</v>
      </c>
    </row>
    <row r="175" spans="1:39" ht="15" hidden="1" thickTop="1" x14ac:dyDescent="0.35">
      <c r="A175" t="s">
        <v>2527</v>
      </c>
      <c r="B175" t="s">
        <v>2778</v>
      </c>
      <c r="C175" t="s">
        <v>66</v>
      </c>
      <c r="D175" t="s">
        <v>2779</v>
      </c>
      <c r="E175" t="s">
        <v>119</v>
      </c>
      <c r="F175">
        <v>1</v>
      </c>
      <c r="G175" t="s">
        <v>2050</v>
      </c>
      <c r="H175" t="s">
        <v>2051</v>
      </c>
      <c r="I175" t="s">
        <v>53</v>
      </c>
      <c r="J175" t="s">
        <v>67</v>
      </c>
      <c r="K175" t="s">
        <v>68</v>
      </c>
      <c r="L175" t="s">
        <v>2052</v>
      </c>
      <c r="M175" t="s">
        <v>2063</v>
      </c>
      <c r="N175">
        <v>0</v>
      </c>
      <c r="O175">
        <v>0</v>
      </c>
      <c r="P175">
        <v>0</v>
      </c>
      <c r="Q175">
        <v>1020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265</v>
      </c>
      <c r="AH175" s="21" t="s">
        <v>3425</v>
      </c>
      <c r="AI175" s="21">
        <v>76.500000000000014</v>
      </c>
      <c r="AJ175" s="21">
        <v>100</v>
      </c>
      <c r="AK175" s="21" t="s">
        <v>2054</v>
      </c>
      <c r="AL175" t="s">
        <v>70</v>
      </c>
      <c r="AM175" t="s">
        <v>2028</v>
      </c>
    </row>
    <row r="176" spans="1:39" ht="15" hidden="1" thickTop="1" x14ac:dyDescent="0.35">
      <c r="A176" t="s">
        <v>2785</v>
      </c>
      <c r="B176" t="s">
        <v>2783</v>
      </c>
      <c r="C176" t="s">
        <v>78</v>
      </c>
      <c r="D176" t="s">
        <v>2784</v>
      </c>
      <c r="E176" t="s">
        <v>559</v>
      </c>
      <c r="F176">
        <v>1</v>
      </c>
      <c r="G176" t="s">
        <v>2050</v>
      </c>
      <c r="H176" t="s">
        <v>2051</v>
      </c>
      <c r="I176" t="s">
        <v>53</v>
      </c>
      <c r="J176" t="s">
        <v>67</v>
      </c>
      <c r="K176" t="s">
        <v>68</v>
      </c>
      <c r="L176" t="s">
        <v>2052</v>
      </c>
      <c r="M176" t="s">
        <v>2063</v>
      </c>
      <c r="N176">
        <v>0</v>
      </c>
      <c r="O176">
        <v>0</v>
      </c>
      <c r="P176">
        <v>0</v>
      </c>
      <c r="Q176">
        <v>1020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266</v>
      </c>
      <c r="AH176" s="21" t="s">
        <v>3425</v>
      </c>
      <c r="AI176" s="21">
        <v>76.500000000000014</v>
      </c>
      <c r="AJ176" s="21">
        <v>100</v>
      </c>
      <c r="AK176" s="21" t="s">
        <v>2055</v>
      </c>
      <c r="AL176" t="s">
        <v>70</v>
      </c>
      <c r="AM176" t="s">
        <v>2031</v>
      </c>
    </row>
    <row r="177" spans="1:39" ht="15" hidden="1" thickTop="1" x14ac:dyDescent="0.35">
      <c r="A177" t="s">
        <v>2791</v>
      </c>
      <c r="B177" t="s">
        <v>2787</v>
      </c>
      <c r="C177" t="s">
        <v>100</v>
      </c>
      <c r="D177" t="s">
        <v>2788</v>
      </c>
      <c r="E177" t="s">
        <v>559</v>
      </c>
      <c r="F177">
        <v>1</v>
      </c>
      <c r="G177" t="s">
        <v>2050</v>
      </c>
      <c r="H177" t="s">
        <v>2051</v>
      </c>
      <c r="I177" t="s">
        <v>53</v>
      </c>
      <c r="J177" t="s">
        <v>67</v>
      </c>
      <c r="K177" t="s">
        <v>68</v>
      </c>
      <c r="L177" t="s">
        <v>2052</v>
      </c>
      <c r="M177" t="s">
        <v>2083</v>
      </c>
      <c r="N177">
        <v>0</v>
      </c>
      <c r="O177">
        <v>0</v>
      </c>
      <c r="P177">
        <v>0</v>
      </c>
      <c r="Q177">
        <v>960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268</v>
      </c>
      <c r="AH177" s="21" t="s">
        <v>3427</v>
      </c>
      <c r="AI177" s="21">
        <v>72.000000000000014</v>
      </c>
      <c r="AJ177" s="21">
        <v>100</v>
      </c>
      <c r="AK177" s="21" t="s">
        <v>2055</v>
      </c>
      <c r="AL177" t="s">
        <v>70</v>
      </c>
      <c r="AM177" t="s">
        <v>2029</v>
      </c>
    </row>
    <row r="178" spans="1:39" ht="15" hidden="1" thickTop="1" x14ac:dyDescent="0.35">
      <c r="A178" t="s">
        <v>2796</v>
      </c>
      <c r="B178" t="s">
        <v>2794</v>
      </c>
      <c r="C178" t="s">
        <v>820</v>
      </c>
      <c r="D178" t="s">
        <v>2795</v>
      </c>
      <c r="E178" t="s">
        <v>72</v>
      </c>
      <c r="F178">
        <v>1</v>
      </c>
      <c r="G178" t="s">
        <v>2050</v>
      </c>
      <c r="H178" t="s">
        <v>2051</v>
      </c>
      <c r="I178" t="s">
        <v>53</v>
      </c>
      <c r="J178" t="s">
        <v>424</v>
      </c>
      <c r="K178" t="s">
        <v>68</v>
      </c>
      <c r="L178" t="s">
        <v>2052</v>
      </c>
      <c r="M178" t="s">
        <v>2053</v>
      </c>
      <c r="N178">
        <v>0</v>
      </c>
      <c r="O178">
        <v>0</v>
      </c>
      <c r="P178">
        <v>0</v>
      </c>
      <c r="Q178">
        <v>1440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 t="s">
        <v>269</v>
      </c>
      <c r="AH178" s="21" t="s">
        <v>3428</v>
      </c>
      <c r="AI178" s="21">
        <v>107.92500000000001</v>
      </c>
      <c r="AJ178" s="21">
        <v>100</v>
      </c>
      <c r="AK178" s="21" t="s">
        <v>2054</v>
      </c>
      <c r="AL178" t="s">
        <v>75</v>
      </c>
      <c r="AM178" t="s">
        <v>2027</v>
      </c>
    </row>
    <row r="179" spans="1:39" ht="15" hidden="1" thickTop="1" x14ac:dyDescent="0.35">
      <c r="A179" t="s">
        <v>2802</v>
      </c>
      <c r="B179" t="s">
        <v>2800</v>
      </c>
      <c r="C179" t="s">
        <v>102</v>
      </c>
      <c r="D179" t="s">
        <v>2801</v>
      </c>
      <c r="E179" t="s">
        <v>559</v>
      </c>
      <c r="F179">
        <v>1</v>
      </c>
      <c r="G179" t="s">
        <v>2050</v>
      </c>
      <c r="H179" t="s">
        <v>2051</v>
      </c>
      <c r="I179" t="s">
        <v>53</v>
      </c>
      <c r="J179" t="s">
        <v>67</v>
      </c>
      <c r="K179" t="s">
        <v>68</v>
      </c>
      <c r="L179" t="s">
        <v>2052</v>
      </c>
      <c r="M179" t="s">
        <v>2053</v>
      </c>
      <c r="N179">
        <v>0</v>
      </c>
      <c r="O179">
        <v>0</v>
      </c>
      <c r="P179">
        <v>0</v>
      </c>
      <c r="Q179">
        <v>1440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270</v>
      </c>
      <c r="AH179" s="21" t="s">
        <v>3425</v>
      </c>
      <c r="AI179" s="21">
        <v>107.92500000000001</v>
      </c>
      <c r="AJ179" s="21">
        <v>100</v>
      </c>
      <c r="AK179" s="21" t="s">
        <v>2054</v>
      </c>
      <c r="AL179" t="s">
        <v>70</v>
      </c>
      <c r="AM179" t="s">
        <v>2030</v>
      </c>
    </row>
    <row r="180" spans="1:39" ht="15" hidden="1" thickTop="1" x14ac:dyDescent="0.35">
      <c r="A180" t="s">
        <v>2808</v>
      </c>
      <c r="B180" t="s">
        <v>2805</v>
      </c>
      <c r="C180" t="s">
        <v>92</v>
      </c>
      <c r="D180" t="s">
        <v>2806</v>
      </c>
      <c r="E180" t="s">
        <v>559</v>
      </c>
      <c r="F180">
        <v>1</v>
      </c>
      <c r="G180" t="s">
        <v>2050</v>
      </c>
      <c r="H180" t="s">
        <v>2051</v>
      </c>
      <c r="I180" t="s">
        <v>53</v>
      </c>
      <c r="J180" t="s">
        <v>67</v>
      </c>
      <c r="K180" t="s">
        <v>68</v>
      </c>
      <c r="L180" t="s">
        <v>2052</v>
      </c>
      <c r="M180" t="s">
        <v>2053</v>
      </c>
      <c r="N180">
        <v>0</v>
      </c>
      <c r="O180">
        <v>0</v>
      </c>
      <c r="P180">
        <v>0</v>
      </c>
      <c r="Q180">
        <v>1440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271</v>
      </c>
      <c r="AH180" s="21" t="s">
        <v>3425</v>
      </c>
      <c r="AI180" s="21">
        <v>107.92500000000001</v>
      </c>
      <c r="AJ180" s="21">
        <v>100</v>
      </c>
      <c r="AK180" s="21" t="s">
        <v>2054</v>
      </c>
      <c r="AL180" t="s">
        <v>70</v>
      </c>
      <c r="AM180" t="s">
        <v>2029</v>
      </c>
    </row>
    <row r="181" spans="1:39" ht="15" hidden="1" thickTop="1" x14ac:dyDescent="0.35">
      <c r="A181" t="s">
        <v>2816</v>
      </c>
      <c r="B181" t="s">
        <v>2812</v>
      </c>
      <c r="C181" t="s">
        <v>111</v>
      </c>
      <c r="D181" t="s">
        <v>2813</v>
      </c>
      <c r="E181" t="s">
        <v>112</v>
      </c>
      <c r="F181">
        <v>1</v>
      </c>
      <c r="G181" t="s">
        <v>2050</v>
      </c>
      <c r="H181" t="s">
        <v>2051</v>
      </c>
      <c r="I181" t="s">
        <v>53</v>
      </c>
      <c r="J181" t="s">
        <v>113</v>
      </c>
      <c r="K181" t="s">
        <v>68</v>
      </c>
      <c r="L181" t="s">
        <v>2052</v>
      </c>
      <c r="M181" t="s">
        <v>2053</v>
      </c>
      <c r="N181">
        <v>0</v>
      </c>
      <c r="O181">
        <v>0</v>
      </c>
      <c r="P181">
        <v>0</v>
      </c>
      <c r="Q181">
        <v>1440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 t="s">
        <v>273</v>
      </c>
      <c r="AH181" s="21" t="s">
        <v>3424</v>
      </c>
      <c r="AI181" s="21">
        <v>107.92500000000001</v>
      </c>
      <c r="AJ181" s="21">
        <v>100</v>
      </c>
      <c r="AK181" s="21" t="s">
        <v>2054</v>
      </c>
      <c r="AL181" t="s">
        <v>115</v>
      </c>
      <c r="AM181" t="s">
        <v>2029</v>
      </c>
    </row>
    <row r="182" spans="1:39" ht="15" hidden="1" thickTop="1" x14ac:dyDescent="0.35">
      <c r="A182" t="s">
        <v>2821</v>
      </c>
      <c r="B182" t="s">
        <v>2814</v>
      </c>
      <c r="C182" t="s">
        <v>102</v>
      </c>
      <c r="D182" t="s">
        <v>2815</v>
      </c>
      <c r="E182" t="s">
        <v>559</v>
      </c>
      <c r="F182">
        <v>1</v>
      </c>
      <c r="G182" t="s">
        <v>2050</v>
      </c>
      <c r="H182" t="s">
        <v>2051</v>
      </c>
      <c r="I182" t="s">
        <v>53</v>
      </c>
      <c r="J182" t="s">
        <v>67</v>
      </c>
      <c r="K182" t="s">
        <v>68</v>
      </c>
      <c r="L182" t="s">
        <v>2052</v>
      </c>
      <c r="M182" t="s">
        <v>2064</v>
      </c>
      <c r="N182">
        <v>0</v>
      </c>
      <c r="O182">
        <v>0</v>
      </c>
      <c r="P182">
        <v>0</v>
      </c>
      <c r="Q182">
        <v>900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274</v>
      </c>
      <c r="AH182" s="21" t="s">
        <v>3429</v>
      </c>
      <c r="AI182" s="21">
        <v>67.5</v>
      </c>
      <c r="AJ182" s="21">
        <v>100</v>
      </c>
      <c r="AK182" s="21" t="s">
        <v>2054</v>
      </c>
      <c r="AL182" t="s">
        <v>70</v>
      </c>
      <c r="AM182" t="s">
        <v>2027</v>
      </c>
    </row>
    <row r="183" spans="1:39" ht="15" hidden="1" thickTop="1" x14ac:dyDescent="0.35">
      <c r="A183" t="s">
        <v>2822</v>
      </c>
      <c r="B183" t="s">
        <v>2817</v>
      </c>
      <c r="C183" t="s">
        <v>820</v>
      </c>
      <c r="D183" t="s">
        <v>2818</v>
      </c>
      <c r="E183" t="s">
        <v>72</v>
      </c>
      <c r="F183">
        <v>1</v>
      </c>
      <c r="G183" t="s">
        <v>2050</v>
      </c>
      <c r="H183" t="s">
        <v>2051</v>
      </c>
      <c r="I183" t="s">
        <v>53</v>
      </c>
      <c r="J183" t="s">
        <v>424</v>
      </c>
      <c r="K183" t="s">
        <v>68</v>
      </c>
      <c r="L183" t="s">
        <v>2052</v>
      </c>
      <c r="M183" t="s">
        <v>2064</v>
      </c>
      <c r="N183">
        <v>0</v>
      </c>
      <c r="O183">
        <v>0</v>
      </c>
      <c r="P183">
        <v>0</v>
      </c>
      <c r="Q183">
        <v>900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275</v>
      </c>
      <c r="AH183" s="21" t="s">
        <v>3425</v>
      </c>
      <c r="AI183" s="21">
        <v>67.5</v>
      </c>
      <c r="AJ183" s="21">
        <v>100</v>
      </c>
      <c r="AK183" s="21" t="s">
        <v>2054</v>
      </c>
      <c r="AL183" t="s">
        <v>75</v>
      </c>
      <c r="AM183" t="s">
        <v>2029</v>
      </c>
    </row>
    <row r="184" spans="1:39" ht="15" hidden="1" thickTop="1" x14ac:dyDescent="0.35">
      <c r="A184" t="s">
        <v>2827</v>
      </c>
      <c r="B184" t="s">
        <v>2825</v>
      </c>
      <c r="C184" t="s">
        <v>92</v>
      </c>
      <c r="D184" t="s">
        <v>2826</v>
      </c>
      <c r="E184" t="s">
        <v>119</v>
      </c>
      <c r="F184">
        <v>1</v>
      </c>
      <c r="G184" t="s">
        <v>2050</v>
      </c>
      <c r="H184" t="s">
        <v>2051</v>
      </c>
      <c r="I184" t="s">
        <v>53</v>
      </c>
      <c r="J184" t="s">
        <v>67</v>
      </c>
      <c r="K184" t="s">
        <v>68</v>
      </c>
      <c r="L184" t="s">
        <v>2052</v>
      </c>
      <c r="M184" t="s">
        <v>2053</v>
      </c>
      <c r="N184">
        <v>0</v>
      </c>
      <c r="O184">
        <v>0</v>
      </c>
      <c r="P184">
        <v>0</v>
      </c>
      <c r="Q184">
        <v>1440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 t="s">
        <v>276</v>
      </c>
      <c r="AH184" s="21" t="s">
        <v>3425</v>
      </c>
      <c r="AI184" s="21">
        <v>107.92500000000001</v>
      </c>
      <c r="AJ184" s="21">
        <v>100</v>
      </c>
      <c r="AK184" s="21" t="s">
        <v>2054</v>
      </c>
      <c r="AL184" t="s">
        <v>70</v>
      </c>
      <c r="AM184" t="s">
        <v>2028</v>
      </c>
    </row>
    <row r="185" spans="1:39" ht="15" hidden="1" thickTop="1" x14ac:dyDescent="0.35">
      <c r="A185" t="s">
        <v>2832</v>
      </c>
      <c r="B185" t="s">
        <v>2828</v>
      </c>
      <c r="C185" t="s">
        <v>78</v>
      </c>
      <c r="D185" t="s">
        <v>2829</v>
      </c>
      <c r="E185" t="s">
        <v>559</v>
      </c>
      <c r="F185">
        <v>2</v>
      </c>
      <c r="G185" t="s">
        <v>2050</v>
      </c>
      <c r="H185" t="s">
        <v>2051</v>
      </c>
      <c r="I185" t="s">
        <v>53</v>
      </c>
      <c r="J185" t="s">
        <v>67</v>
      </c>
      <c r="K185" t="s">
        <v>68</v>
      </c>
      <c r="L185" t="s">
        <v>2052</v>
      </c>
      <c r="M185" t="s">
        <v>2053</v>
      </c>
      <c r="N185">
        <v>0</v>
      </c>
      <c r="O185">
        <v>0</v>
      </c>
      <c r="P185">
        <v>0</v>
      </c>
      <c r="Q185">
        <v>1440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t="s">
        <v>277</v>
      </c>
      <c r="AH185" s="21" t="s">
        <v>3424</v>
      </c>
      <c r="AI185" s="21">
        <v>107.92500000000001</v>
      </c>
      <c r="AJ185" s="21">
        <v>100</v>
      </c>
      <c r="AK185" s="21" t="s">
        <v>2054</v>
      </c>
      <c r="AL185" t="s">
        <v>70</v>
      </c>
      <c r="AM185" t="s">
        <v>2027</v>
      </c>
    </row>
    <row r="186" spans="1:39" ht="15" hidden="1" thickTop="1" x14ac:dyDescent="0.35">
      <c r="A186" t="s">
        <v>2842</v>
      </c>
      <c r="B186" t="s">
        <v>2836</v>
      </c>
      <c r="C186" t="s">
        <v>117</v>
      </c>
      <c r="D186" t="s">
        <v>2837</v>
      </c>
      <c r="E186" t="s">
        <v>559</v>
      </c>
      <c r="F186">
        <v>1</v>
      </c>
      <c r="G186" t="s">
        <v>2050</v>
      </c>
      <c r="H186" t="s">
        <v>2051</v>
      </c>
      <c r="I186" t="s">
        <v>53</v>
      </c>
      <c r="J186" t="s">
        <v>67</v>
      </c>
      <c r="K186" t="s">
        <v>68</v>
      </c>
      <c r="L186" t="s">
        <v>2052</v>
      </c>
      <c r="M186" t="s">
        <v>2053</v>
      </c>
      <c r="N186">
        <v>0</v>
      </c>
      <c r="O186">
        <v>0</v>
      </c>
      <c r="P186">
        <v>0</v>
      </c>
      <c r="Q186">
        <v>1440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278</v>
      </c>
      <c r="AH186" s="21" t="s">
        <v>3425</v>
      </c>
      <c r="AI186" s="21">
        <v>107.92500000000001</v>
      </c>
      <c r="AJ186" s="21">
        <v>100</v>
      </c>
      <c r="AK186" s="21" t="s">
        <v>2054</v>
      </c>
      <c r="AL186" t="s">
        <v>70</v>
      </c>
      <c r="AM186" t="s">
        <v>2027</v>
      </c>
    </row>
    <row r="187" spans="1:39" ht="15" hidden="1" thickTop="1" x14ac:dyDescent="0.35">
      <c r="A187" t="s">
        <v>2843</v>
      </c>
      <c r="B187" t="s">
        <v>2838</v>
      </c>
      <c r="C187" t="s">
        <v>92</v>
      </c>
      <c r="D187" t="s">
        <v>2839</v>
      </c>
      <c r="E187" t="s">
        <v>119</v>
      </c>
      <c r="F187">
        <v>1</v>
      </c>
      <c r="G187" t="s">
        <v>2050</v>
      </c>
      <c r="H187" t="s">
        <v>2051</v>
      </c>
      <c r="I187" t="s">
        <v>53</v>
      </c>
      <c r="J187" t="s">
        <v>67</v>
      </c>
      <c r="K187" t="s">
        <v>68</v>
      </c>
      <c r="L187" t="s">
        <v>2052</v>
      </c>
      <c r="M187" t="s">
        <v>2053</v>
      </c>
      <c r="N187">
        <v>0</v>
      </c>
      <c r="O187">
        <v>0</v>
      </c>
      <c r="P187">
        <v>0</v>
      </c>
      <c r="Q187">
        <v>1440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279</v>
      </c>
      <c r="AH187" s="21" t="s">
        <v>3425</v>
      </c>
      <c r="AI187" s="21">
        <v>107.92500000000001</v>
      </c>
      <c r="AJ187" s="21">
        <v>100</v>
      </c>
      <c r="AK187" s="21" t="s">
        <v>2054</v>
      </c>
      <c r="AL187" t="s">
        <v>70</v>
      </c>
      <c r="AM187" t="s">
        <v>2029</v>
      </c>
    </row>
    <row r="188" spans="1:39" ht="15" hidden="1" thickTop="1" x14ac:dyDescent="0.35">
      <c r="A188" t="s">
        <v>2845</v>
      </c>
      <c r="B188" t="s">
        <v>2840</v>
      </c>
      <c r="C188" t="s">
        <v>92</v>
      </c>
      <c r="D188" t="s">
        <v>2841</v>
      </c>
      <c r="E188" t="s">
        <v>119</v>
      </c>
      <c r="F188">
        <v>1</v>
      </c>
      <c r="G188" t="s">
        <v>2050</v>
      </c>
      <c r="H188" t="s">
        <v>2051</v>
      </c>
      <c r="I188" t="s">
        <v>53</v>
      </c>
      <c r="J188" t="s">
        <v>67</v>
      </c>
      <c r="K188" t="s">
        <v>68</v>
      </c>
      <c r="L188" t="s">
        <v>2052</v>
      </c>
      <c r="M188" t="s">
        <v>2053</v>
      </c>
      <c r="N188">
        <v>0</v>
      </c>
      <c r="O188">
        <v>0</v>
      </c>
      <c r="P188">
        <v>0</v>
      </c>
      <c r="Q188">
        <v>1440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t="s">
        <v>280</v>
      </c>
      <c r="AH188" s="21" t="s">
        <v>3425</v>
      </c>
      <c r="AI188" s="21">
        <v>107.92500000000001</v>
      </c>
      <c r="AJ188" s="21">
        <v>100</v>
      </c>
      <c r="AK188" s="21" t="s">
        <v>2054</v>
      </c>
      <c r="AL188" t="s">
        <v>70</v>
      </c>
      <c r="AM188" t="s">
        <v>2029</v>
      </c>
    </row>
    <row r="189" spans="1:39" ht="15" hidden="1" thickTop="1" x14ac:dyDescent="0.35">
      <c r="A189" t="s">
        <v>283</v>
      </c>
      <c r="B189" t="s">
        <v>2849</v>
      </c>
      <c r="C189" t="s">
        <v>100</v>
      </c>
      <c r="D189" t="s">
        <v>2850</v>
      </c>
      <c r="E189" t="s">
        <v>559</v>
      </c>
      <c r="F189">
        <v>1</v>
      </c>
      <c r="G189" t="s">
        <v>2050</v>
      </c>
      <c r="H189" t="s">
        <v>2051</v>
      </c>
      <c r="I189" t="s">
        <v>53</v>
      </c>
      <c r="J189" t="s">
        <v>67</v>
      </c>
      <c r="K189" t="s">
        <v>68</v>
      </c>
      <c r="L189" t="s">
        <v>2052</v>
      </c>
      <c r="M189" t="s">
        <v>2053</v>
      </c>
      <c r="N189">
        <v>0</v>
      </c>
      <c r="O189">
        <v>0</v>
      </c>
      <c r="P189">
        <v>0</v>
      </c>
      <c r="Q189">
        <v>1440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281</v>
      </c>
      <c r="AH189" s="21" t="s">
        <v>3425</v>
      </c>
      <c r="AI189" s="21">
        <v>107.92500000000001</v>
      </c>
      <c r="AJ189" s="21">
        <v>100</v>
      </c>
      <c r="AK189" s="21" t="s">
        <v>2054</v>
      </c>
      <c r="AL189" t="s">
        <v>70</v>
      </c>
      <c r="AM189" t="s">
        <v>2029</v>
      </c>
    </row>
    <row r="190" spans="1:39" ht="15" hidden="1" thickTop="1" x14ac:dyDescent="0.35">
      <c r="A190" t="s">
        <v>2853</v>
      </c>
      <c r="B190" t="s">
        <v>2851</v>
      </c>
      <c r="C190" t="s">
        <v>71</v>
      </c>
      <c r="D190" t="s">
        <v>2852</v>
      </c>
      <c r="E190" t="s">
        <v>72</v>
      </c>
      <c r="F190">
        <v>1</v>
      </c>
      <c r="G190" t="s">
        <v>2050</v>
      </c>
      <c r="H190" t="s">
        <v>2051</v>
      </c>
      <c r="I190" t="s">
        <v>53</v>
      </c>
      <c r="J190" t="s">
        <v>73</v>
      </c>
      <c r="K190" t="s">
        <v>68</v>
      </c>
      <c r="L190" t="s">
        <v>2052</v>
      </c>
      <c r="M190" t="s">
        <v>2053</v>
      </c>
      <c r="N190">
        <v>0</v>
      </c>
      <c r="O190">
        <v>0</v>
      </c>
      <c r="P190">
        <v>0</v>
      </c>
      <c r="Q190">
        <v>1440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284</v>
      </c>
      <c r="AH190" s="21" t="s">
        <v>3428</v>
      </c>
      <c r="AI190" s="21">
        <v>107.92500000000001</v>
      </c>
      <c r="AJ190" s="21">
        <v>100</v>
      </c>
      <c r="AK190" s="21" t="s">
        <v>2054</v>
      </c>
      <c r="AL190" t="s">
        <v>75</v>
      </c>
      <c r="AM190" t="s">
        <v>2029</v>
      </c>
    </row>
    <row r="191" spans="1:39" ht="15" hidden="1" thickTop="1" x14ac:dyDescent="0.35">
      <c r="A191" t="s">
        <v>2859</v>
      </c>
      <c r="B191" t="s">
        <v>2857</v>
      </c>
      <c r="C191" t="s">
        <v>100</v>
      </c>
      <c r="D191" t="s">
        <v>2858</v>
      </c>
      <c r="E191" t="s">
        <v>559</v>
      </c>
      <c r="F191">
        <v>1</v>
      </c>
      <c r="G191" t="s">
        <v>2050</v>
      </c>
      <c r="H191" t="s">
        <v>2051</v>
      </c>
      <c r="I191" t="s">
        <v>53</v>
      </c>
      <c r="J191" t="s">
        <v>67</v>
      </c>
      <c r="K191" t="s">
        <v>68</v>
      </c>
      <c r="L191" t="s">
        <v>2052</v>
      </c>
      <c r="M191" t="s">
        <v>2053</v>
      </c>
      <c r="N191">
        <v>0</v>
      </c>
      <c r="O191">
        <v>0</v>
      </c>
      <c r="P191">
        <v>0</v>
      </c>
      <c r="Q191">
        <v>1440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289</v>
      </c>
      <c r="AH191" s="21" t="s">
        <v>3424</v>
      </c>
      <c r="AI191" s="21">
        <v>107.92500000000001</v>
      </c>
      <c r="AJ191" s="21">
        <v>100</v>
      </c>
      <c r="AK191" s="21" t="s">
        <v>2054</v>
      </c>
      <c r="AL191" t="s">
        <v>70</v>
      </c>
      <c r="AM191" t="s">
        <v>2028</v>
      </c>
    </row>
    <row r="192" spans="1:39" ht="15" hidden="1" thickTop="1" x14ac:dyDescent="0.35">
      <c r="A192" t="s">
        <v>2864</v>
      </c>
      <c r="B192" t="s">
        <v>2862</v>
      </c>
      <c r="C192" t="s">
        <v>81</v>
      </c>
      <c r="D192" t="s">
        <v>2863</v>
      </c>
      <c r="E192" t="s">
        <v>559</v>
      </c>
      <c r="F192">
        <v>1</v>
      </c>
      <c r="G192" t="s">
        <v>2050</v>
      </c>
      <c r="H192" t="s">
        <v>2051</v>
      </c>
      <c r="I192" t="s">
        <v>53</v>
      </c>
      <c r="J192" t="s">
        <v>82</v>
      </c>
      <c r="K192" t="s">
        <v>68</v>
      </c>
      <c r="L192" t="s">
        <v>2052</v>
      </c>
      <c r="M192" t="s">
        <v>2053</v>
      </c>
      <c r="N192">
        <v>0</v>
      </c>
      <c r="O192">
        <v>0</v>
      </c>
      <c r="P192">
        <v>0</v>
      </c>
      <c r="Q192">
        <v>1440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290</v>
      </c>
      <c r="AH192" s="21" t="s">
        <v>3424</v>
      </c>
      <c r="AI192" s="21">
        <v>107.92500000000001</v>
      </c>
      <c r="AJ192" s="21">
        <v>100</v>
      </c>
      <c r="AK192" s="21" t="s">
        <v>2054</v>
      </c>
      <c r="AL192" t="s">
        <v>70</v>
      </c>
      <c r="AM192" t="s">
        <v>2030</v>
      </c>
    </row>
    <row r="193" spans="1:39" ht="15" hidden="1" thickTop="1" x14ac:dyDescent="0.35">
      <c r="A193" t="s">
        <v>2870</v>
      </c>
      <c r="B193" t="s">
        <v>2868</v>
      </c>
      <c r="C193" t="s">
        <v>78</v>
      </c>
      <c r="D193" t="s">
        <v>2869</v>
      </c>
      <c r="E193" t="s">
        <v>559</v>
      </c>
      <c r="F193">
        <v>1</v>
      </c>
      <c r="G193" t="s">
        <v>2050</v>
      </c>
      <c r="H193" t="s">
        <v>2051</v>
      </c>
      <c r="I193" t="s">
        <v>53</v>
      </c>
      <c r="J193" t="s">
        <v>67</v>
      </c>
      <c r="K193" t="s">
        <v>68</v>
      </c>
      <c r="L193" t="s">
        <v>2052</v>
      </c>
      <c r="M193" t="s">
        <v>2064</v>
      </c>
      <c r="N193">
        <v>0</v>
      </c>
      <c r="O193">
        <v>0</v>
      </c>
      <c r="P193">
        <v>0</v>
      </c>
      <c r="Q193">
        <v>900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291</v>
      </c>
      <c r="AH193" s="21" t="s">
        <v>3424</v>
      </c>
      <c r="AI193" s="21">
        <v>67.5</v>
      </c>
      <c r="AJ193" s="21">
        <v>100</v>
      </c>
      <c r="AK193" s="21" t="s">
        <v>2054</v>
      </c>
      <c r="AL193" t="s">
        <v>70</v>
      </c>
      <c r="AM193" t="s">
        <v>2028</v>
      </c>
    </row>
    <row r="194" spans="1:39" ht="15" hidden="1" thickTop="1" x14ac:dyDescent="0.35">
      <c r="A194" t="s">
        <v>2875</v>
      </c>
      <c r="B194" t="s">
        <v>2876</v>
      </c>
      <c r="C194" t="s">
        <v>100</v>
      </c>
      <c r="D194" t="s">
        <v>2877</v>
      </c>
      <c r="E194" t="s">
        <v>559</v>
      </c>
      <c r="F194">
        <v>1</v>
      </c>
      <c r="G194" t="s">
        <v>2050</v>
      </c>
      <c r="H194" t="s">
        <v>2051</v>
      </c>
      <c r="I194" t="s">
        <v>53</v>
      </c>
      <c r="J194" t="s">
        <v>67</v>
      </c>
      <c r="K194" t="s">
        <v>68</v>
      </c>
      <c r="L194" t="s">
        <v>2052</v>
      </c>
      <c r="M194" t="s">
        <v>2053</v>
      </c>
      <c r="N194">
        <v>0</v>
      </c>
      <c r="O194">
        <v>0</v>
      </c>
      <c r="P194">
        <v>0</v>
      </c>
      <c r="Q194">
        <v>1440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 t="s">
        <v>292</v>
      </c>
      <c r="AH194" s="21" t="s">
        <v>3424</v>
      </c>
      <c r="AI194" s="21">
        <v>107.92500000000001</v>
      </c>
      <c r="AJ194" s="21">
        <v>100</v>
      </c>
      <c r="AK194" s="21" t="s">
        <v>2054</v>
      </c>
      <c r="AL194" t="s">
        <v>70</v>
      </c>
      <c r="AM194" t="s">
        <v>2028</v>
      </c>
    </row>
    <row r="195" spans="1:39" ht="15" hidden="1" thickTop="1" x14ac:dyDescent="0.35">
      <c r="A195" t="s">
        <v>2882</v>
      </c>
      <c r="B195" t="s">
        <v>2883</v>
      </c>
      <c r="C195" t="s">
        <v>92</v>
      </c>
      <c r="D195" t="s">
        <v>2884</v>
      </c>
      <c r="E195" t="s">
        <v>559</v>
      </c>
      <c r="F195">
        <v>1</v>
      </c>
      <c r="G195" t="s">
        <v>2050</v>
      </c>
      <c r="H195" t="s">
        <v>2051</v>
      </c>
      <c r="I195" t="s">
        <v>53</v>
      </c>
      <c r="J195" t="s">
        <v>67</v>
      </c>
      <c r="K195" t="s">
        <v>68</v>
      </c>
      <c r="L195" t="s">
        <v>2052</v>
      </c>
      <c r="M195" t="s">
        <v>2053</v>
      </c>
      <c r="N195">
        <v>0</v>
      </c>
      <c r="O195">
        <v>0</v>
      </c>
      <c r="P195">
        <v>0</v>
      </c>
      <c r="Q195">
        <v>1440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 t="s">
        <v>293</v>
      </c>
      <c r="AH195" s="21" t="s">
        <v>3424</v>
      </c>
      <c r="AI195" s="21">
        <v>107.92500000000001</v>
      </c>
      <c r="AJ195" s="21">
        <v>100</v>
      </c>
      <c r="AK195" s="21" t="s">
        <v>2055</v>
      </c>
      <c r="AL195" t="s">
        <v>70</v>
      </c>
      <c r="AM195" t="s">
        <v>2029</v>
      </c>
    </row>
    <row r="196" spans="1:39" ht="15" hidden="1" thickTop="1" x14ac:dyDescent="0.35">
      <c r="A196" t="s">
        <v>2889</v>
      </c>
      <c r="B196" t="s">
        <v>2890</v>
      </c>
      <c r="C196" t="s">
        <v>92</v>
      </c>
      <c r="D196" t="s">
        <v>2891</v>
      </c>
      <c r="E196" t="s">
        <v>119</v>
      </c>
      <c r="F196">
        <v>1</v>
      </c>
      <c r="G196" t="s">
        <v>2050</v>
      </c>
      <c r="H196" t="s">
        <v>2051</v>
      </c>
      <c r="I196" t="s">
        <v>53</v>
      </c>
      <c r="J196" t="s">
        <v>67</v>
      </c>
      <c r="K196" t="s">
        <v>68</v>
      </c>
      <c r="L196" t="s">
        <v>2052</v>
      </c>
      <c r="M196" t="s">
        <v>2064</v>
      </c>
      <c r="N196">
        <v>0</v>
      </c>
      <c r="O196">
        <v>0</v>
      </c>
      <c r="P196">
        <v>0</v>
      </c>
      <c r="Q196">
        <v>900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294</v>
      </c>
      <c r="AH196" s="21" t="s">
        <v>3425</v>
      </c>
      <c r="AI196" s="21">
        <v>67.5</v>
      </c>
      <c r="AJ196" s="21">
        <v>100</v>
      </c>
      <c r="AK196" s="21" t="s">
        <v>2054</v>
      </c>
      <c r="AL196" t="s">
        <v>70</v>
      </c>
      <c r="AM196" t="s">
        <v>2027</v>
      </c>
    </row>
    <row r="197" spans="1:39" ht="15" hidden="1" thickTop="1" x14ac:dyDescent="0.35">
      <c r="A197" t="s">
        <v>2896</v>
      </c>
      <c r="B197" t="s">
        <v>2900</v>
      </c>
      <c r="C197" t="s">
        <v>76</v>
      </c>
      <c r="D197" t="s">
        <v>2901</v>
      </c>
      <c r="E197" t="s">
        <v>559</v>
      </c>
      <c r="F197">
        <v>1</v>
      </c>
      <c r="G197" t="s">
        <v>2050</v>
      </c>
      <c r="H197" t="s">
        <v>2051</v>
      </c>
      <c r="I197" t="s">
        <v>53</v>
      </c>
      <c r="J197" t="s">
        <v>67</v>
      </c>
      <c r="K197" t="s">
        <v>68</v>
      </c>
      <c r="L197" t="s">
        <v>2052</v>
      </c>
      <c r="M197" t="s">
        <v>2053</v>
      </c>
      <c r="N197">
        <v>0</v>
      </c>
      <c r="O197">
        <v>0</v>
      </c>
      <c r="P197">
        <v>0</v>
      </c>
      <c r="Q197">
        <v>1440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 t="s">
        <v>296</v>
      </c>
      <c r="AH197" s="21" t="s">
        <v>3427</v>
      </c>
      <c r="AI197" s="21">
        <v>107.92500000000001</v>
      </c>
      <c r="AJ197" s="21">
        <v>100</v>
      </c>
      <c r="AK197" s="21" t="s">
        <v>2055</v>
      </c>
      <c r="AL197" t="s">
        <v>70</v>
      </c>
      <c r="AM197" t="s">
        <v>2030</v>
      </c>
    </row>
    <row r="198" spans="1:39" ht="15" hidden="1" thickTop="1" x14ac:dyDescent="0.35">
      <c r="A198" t="s">
        <v>2902</v>
      </c>
      <c r="B198" t="s">
        <v>2906</v>
      </c>
      <c r="C198" t="s">
        <v>78</v>
      </c>
      <c r="D198" t="s">
        <v>2907</v>
      </c>
      <c r="E198" t="s">
        <v>559</v>
      </c>
      <c r="F198">
        <v>1</v>
      </c>
      <c r="G198" t="s">
        <v>2050</v>
      </c>
      <c r="H198" t="s">
        <v>2051</v>
      </c>
      <c r="I198" t="s">
        <v>53</v>
      </c>
      <c r="J198" t="s">
        <v>67</v>
      </c>
      <c r="K198" t="s">
        <v>68</v>
      </c>
      <c r="L198" t="s">
        <v>2052</v>
      </c>
      <c r="M198" t="s">
        <v>2053</v>
      </c>
      <c r="N198">
        <v>0</v>
      </c>
      <c r="O198">
        <v>0</v>
      </c>
      <c r="P198">
        <v>0</v>
      </c>
      <c r="Q198">
        <v>1440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t="s">
        <v>297</v>
      </c>
      <c r="AH198" s="21" t="s">
        <v>3427</v>
      </c>
      <c r="AI198" s="21">
        <v>107.92500000000001</v>
      </c>
      <c r="AJ198" s="21">
        <v>100</v>
      </c>
      <c r="AK198" s="21" t="s">
        <v>2054</v>
      </c>
      <c r="AL198" t="s">
        <v>70</v>
      </c>
      <c r="AM198" t="s">
        <v>2028</v>
      </c>
    </row>
    <row r="199" spans="1:39" ht="15" hidden="1" thickTop="1" x14ac:dyDescent="0.35">
      <c r="A199" t="s">
        <v>2909</v>
      </c>
      <c r="B199" t="s">
        <v>2913</v>
      </c>
      <c r="C199" t="s">
        <v>3376</v>
      </c>
      <c r="D199" t="s">
        <v>2914</v>
      </c>
      <c r="E199" t="s">
        <v>559</v>
      </c>
      <c r="F199">
        <v>1</v>
      </c>
      <c r="G199" t="s">
        <v>2050</v>
      </c>
      <c r="H199" t="s">
        <v>2051</v>
      </c>
      <c r="I199" t="s">
        <v>53</v>
      </c>
      <c r="J199" t="s">
        <v>67</v>
      </c>
      <c r="K199" t="s">
        <v>68</v>
      </c>
      <c r="L199" t="s">
        <v>2052</v>
      </c>
      <c r="M199" t="s">
        <v>2053</v>
      </c>
      <c r="N199">
        <v>0</v>
      </c>
      <c r="O199">
        <v>0</v>
      </c>
      <c r="P199">
        <v>0</v>
      </c>
      <c r="Q199">
        <v>1440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298</v>
      </c>
      <c r="AH199" s="21" t="s">
        <v>3427</v>
      </c>
      <c r="AI199" s="21">
        <v>107.92500000000001</v>
      </c>
      <c r="AJ199" s="21">
        <v>100</v>
      </c>
      <c r="AK199" s="21" t="s">
        <v>2054</v>
      </c>
      <c r="AL199" t="s">
        <v>70</v>
      </c>
      <c r="AM199" t="s">
        <v>2027</v>
      </c>
    </row>
    <row r="200" spans="1:39" ht="15" hidden="1" thickTop="1" x14ac:dyDescent="0.35">
      <c r="A200" t="s">
        <v>2916</v>
      </c>
      <c r="B200" t="s">
        <v>2922</v>
      </c>
      <c r="C200" t="s">
        <v>66</v>
      </c>
      <c r="D200" t="s">
        <v>2923</v>
      </c>
      <c r="E200" t="s">
        <v>559</v>
      </c>
      <c r="F200">
        <v>1</v>
      </c>
      <c r="G200" t="s">
        <v>2050</v>
      </c>
      <c r="H200" t="s">
        <v>2051</v>
      </c>
      <c r="I200" t="s">
        <v>53</v>
      </c>
      <c r="J200" t="s">
        <v>67</v>
      </c>
      <c r="K200" t="s">
        <v>68</v>
      </c>
      <c r="L200" t="s">
        <v>2052</v>
      </c>
      <c r="M200" t="s">
        <v>2053</v>
      </c>
      <c r="N200">
        <v>0</v>
      </c>
      <c r="O200">
        <v>0</v>
      </c>
      <c r="P200">
        <v>0</v>
      </c>
      <c r="Q200">
        <v>1440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299</v>
      </c>
      <c r="AH200" s="21" t="s">
        <v>3424</v>
      </c>
      <c r="AI200" s="21">
        <v>107.92500000000001</v>
      </c>
      <c r="AJ200" s="21">
        <v>100</v>
      </c>
      <c r="AK200" s="21" t="s">
        <v>2054</v>
      </c>
      <c r="AL200" t="s">
        <v>70</v>
      </c>
      <c r="AM200" t="s">
        <v>2028</v>
      </c>
    </row>
    <row r="201" spans="1:39" ht="15" hidden="1" thickTop="1" x14ac:dyDescent="0.35">
      <c r="A201" t="s">
        <v>2919</v>
      </c>
      <c r="B201" t="s">
        <v>2925</v>
      </c>
      <c r="C201" t="s">
        <v>102</v>
      </c>
      <c r="D201" t="s">
        <v>2926</v>
      </c>
      <c r="E201" t="s">
        <v>559</v>
      </c>
      <c r="F201">
        <v>1</v>
      </c>
      <c r="G201" t="s">
        <v>2050</v>
      </c>
      <c r="H201" t="s">
        <v>2051</v>
      </c>
      <c r="I201" t="s">
        <v>53</v>
      </c>
      <c r="J201" t="s">
        <v>67</v>
      </c>
      <c r="K201" t="s">
        <v>68</v>
      </c>
      <c r="L201" t="s">
        <v>2052</v>
      </c>
      <c r="M201" t="s">
        <v>2053</v>
      </c>
      <c r="N201">
        <v>0</v>
      </c>
      <c r="O201">
        <v>0</v>
      </c>
      <c r="P201">
        <v>0</v>
      </c>
      <c r="Q201">
        <v>1440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300</v>
      </c>
      <c r="AH201" s="21" t="s">
        <v>3424</v>
      </c>
      <c r="AI201" s="21">
        <v>107.92500000000001</v>
      </c>
      <c r="AJ201" s="21">
        <v>100</v>
      </c>
      <c r="AK201" s="21" t="s">
        <v>2054</v>
      </c>
      <c r="AL201" t="s">
        <v>70</v>
      </c>
      <c r="AM201" t="s">
        <v>2028</v>
      </c>
    </row>
    <row r="202" spans="1:39" ht="15" hidden="1" thickTop="1" x14ac:dyDescent="0.35">
      <c r="A202" t="s">
        <v>2928</v>
      </c>
      <c r="B202" t="s">
        <v>2935</v>
      </c>
      <c r="C202" t="s">
        <v>76</v>
      </c>
      <c r="D202" t="s">
        <v>2936</v>
      </c>
      <c r="E202" t="s">
        <v>559</v>
      </c>
      <c r="F202">
        <v>1</v>
      </c>
      <c r="G202" t="s">
        <v>2050</v>
      </c>
      <c r="H202" t="s">
        <v>2051</v>
      </c>
      <c r="I202" t="s">
        <v>53</v>
      </c>
      <c r="J202" t="s">
        <v>67</v>
      </c>
      <c r="K202" t="s">
        <v>68</v>
      </c>
      <c r="L202" t="s">
        <v>2052</v>
      </c>
      <c r="M202" t="s">
        <v>2053</v>
      </c>
      <c r="N202">
        <v>0</v>
      </c>
      <c r="O202">
        <v>0</v>
      </c>
      <c r="P202">
        <v>0</v>
      </c>
      <c r="Q202">
        <v>1440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301</v>
      </c>
      <c r="AH202" s="21" t="s">
        <v>3424</v>
      </c>
      <c r="AI202" s="21">
        <v>107.92500000000001</v>
      </c>
      <c r="AJ202" s="21">
        <v>100</v>
      </c>
      <c r="AK202" s="21" t="s">
        <v>2055</v>
      </c>
      <c r="AL202" t="s">
        <v>70</v>
      </c>
      <c r="AM202" t="s">
        <v>2028</v>
      </c>
    </row>
    <row r="203" spans="1:39" ht="15" hidden="1" thickTop="1" x14ac:dyDescent="0.35">
      <c r="A203" t="s">
        <v>2929</v>
      </c>
      <c r="B203" t="s">
        <v>2938</v>
      </c>
      <c r="C203" t="s">
        <v>76</v>
      </c>
      <c r="D203" t="s">
        <v>2939</v>
      </c>
      <c r="E203" t="s">
        <v>119</v>
      </c>
      <c r="F203">
        <v>1</v>
      </c>
      <c r="G203" t="s">
        <v>2050</v>
      </c>
      <c r="H203" t="s">
        <v>2051</v>
      </c>
      <c r="I203" t="s">
        <v>53</v>
      </c>
      <c r="J203" t="s">
        <v>67</v>
      </c>
      <c r="K203" t="s">
        <v>68</v>
      </c>
      <c r="L203" t="s">
        <v>2052</v>
      </c>
      <c r="M203" t="s">
        <v>2053</v>
      </c>
      <c r="N203">
        <v>0</v>
      </c>
      <c r="O203">
        <v>0</v>
      </c>
      <c r="P203">
        <v>0</v>
      </c>
      <c r="Q203">
        <v>1440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302</v>
      </c>
      <c r="AH203" s="21" t="s">
        <v>3424</v>
      </c>
      <c r="AI203" s="21">
        <v>107.92500000000001</v>
      </c>
      <c r="AJ203" s="21">
        <v>100</v>
      </c>
      <c r="AK203" s="21" t="s">
        <v>2055</v>
      </c>
      <c r="AL203" t="s">
        <v>70</v>
      </c>
      <c r="AM203" t="s">
        <v>2029</v>
      </c>
    </row>
    <row r="204" spans="1:39" ht="15" hidden="1" thickTop="1" x14ac:dyDescent="0.35">
      <c r="A204" t="s">
        <v>2930</v>
      </c>
      <c r="B204" t="s">
        <v>2942</v>
      </c>
      <c r="C204" t="s">
        <v>128</v>
      </c>
      <c r="D204" t="s">
        <v>2943</v>
      </c>
      <c r="E204" t="s">
        <v>112</v>
      </c>
      <c r="F204">
        <v>1</v>
      </c>
      <c r="G204" t="s">
        <v>2050</v>
      </c>
      <c r="H204" t="s">
        <v>2051</v>
      </c>
      <c r="I204" t="s">
        <v>53</v>
      </c>
      <c r="J204" t="s">
        <v>113</v>
      </c>
      <c r="K204" t="s">
        <v>68</v>
      </c>
      <c r="L204" t="s">
        <v>2052</v>
      </c>
      <c r="M204" t="s">
        <v>2053</v>
      </c>
      <c r="N204">
        <v>0</v>
      </c>
      <c r="O204">
        <v>0</v>
      </c>
      <c r="P204">
        <v>0</v>
      </c>
      <c r="Q204">
        <v>1440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t="s">
        <v>303</v>
      </c>
      <c r="AH204" s="21" t="s">
        <v>3427</v>
      </c>
      <c r="AI204" s="21">
        <v>107.92500000000001</v>
      </c>
      <c r="AJ204" s="21">
        <v>100</v>
      </c>
      <c r="AK204" s="21" t="s">
        <v>2054</v>
      </c>
      <c r="AL204" t="s">
        <v>115</v>
      </c>
      <c r="AM204" t="s">
        <v>2027</v>
      </c>
    </row>
    <row r="205" spans="1:39" ht="15" hidden="1" thickTop="1" x14ac:dyDescent="0.35">
      <c r="A205" t="s">
        <v>2934</v>
      </c>
      <c r="B205" t="s">
        <v>2944</v>
      </c>
      <c r="C205" t="s">
        <v>237</v>
      </c>
      <c r="D205" t="s">
        <v>2945</v>
      </c>
      <c r="E205" t="s">
        <v>72</v>
      </c>
      <c r="F205">
        <v>1</v>
      </c>
      <c r="G205" t="s">
        <v>2050</v>
      </c>
      <c r="H205" t="s">
        <v>2051</v>
      </c>
      <c r="I205" t="s">
        <v>53</v>
      </c>
      <c r="J205" t="s">
        <v>73</v>
      </c>
      <c r="K205" t="s">
        <v>68</v>
      </c>
      <c r="L205" t="s">
        <v>2052</v>
      </c>
      <c r="M205" t="s">
        <v>2053</v>
      </c>
      <c r="N205">
        <v>0</v>
      </c>
      <c r="O205">
        <v>0</v>
      </c>
      <c r="P205">
        <v>0</v>
      </c>
      <c r="Q205">
        <v>1440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304</v>
      </c>
      <c r="AH205" s="21" t="s">
        <v>3427</v>
      </c>
      <c r="AI205" s="21">
        <v>107.92500000000001</v>
      </c>
      <c r="AJ205" s="21">
        <v>100</v>
      </c>
      <c r="AK205" s="21" t="s">
        <v>2054</v>
      </c>
      <c r="AL205" t="s">
        <v>75</v>
      </c>
      <c r="AM205" t="s">
        <v>2027</v>
      </c>
    </row>
    <row r="206" spans="1:39" ht="15" hidden="1" thickTop="1" x14ac:dyDescent="0.35">
      <c r="A206" t="s">
        <v>2947</v>
      </c>
      <c r="B206" t="s">
        <v>2953</v>
      </c>
      <c r="C206" t="s">
        <v>81</v>
      </c>
      <c r="D206" t="s">
        <v>2954</v>
      </c>
      <c r="E206" t="s">
        <v>559</v>
      </c>
      <c r="F206">
        <v>2</v>
      </c>
      <c r="G206" t="s">
        <v>2050</v>
      </c>
      <c r="H206" t="s">
        <v>2051</v>
      </c>
      <c r="I206" t="s">
        <v>53</v>
      </c>
      <c r="J206" t="s">
        <v>82</v>
      </c>
      <c r="K206" t="s">
        <v>68</v>
      </c>
      <c r="L206" t="s">
        <v>2052</v>
      </c>
      <c r="M206" t="s">
        <v>2083</v>
      </c>
      <c r="N206">
        <v>0</v>
      </c>
      <c r="O206">
        <v>0</v>
      </c>
      <c r="P206">
        <v>0</v>
      </c>
      <c r="Q206">
        <v>960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305</v>
      </c>
      <c r="AH206" s="21" t="s">
        <v>3427</v>
      </c>
      <c r="AI206" s="21">
        <v>72.000000000000014</v>
      </c>
      <c r="AJ206" s="21">
        <v>100</v>
      </c>
      <c r="AK206" s="21" t="s">
        <v>2054</v>
      </c>
      <c r="AL206" t="s">
        <v>70</v>
      </c>
      <c r="AM206" t="s">
        <v>2029</v>
      </c>
    </row>
    <row r="207" spans="1:39" ht="15" hidden="1" thickTop="1" x14ac:dyDescent="0.35">
      <c r="A207" t="s">
        <v>2948</v>
      </c>
      <c r="B207" t="s">
        <v>2955</v>
      </c>
      <c r="C207" t="s">
        <v>92</v>
      </c>
      <c r="D207" t="s">
        <v>2956</v>
      </c>
      <c r="E207" t="s">
        <v>559</v>
      </c>
      <c r="F207">
        <v>1</v>
      </c>
      <c r="G207" t="s">
        <v>2050</v>
      </c>
      <c r="H207" t="s">
        <v>2051</v>
      </c>
      <c r="I207" t="s">
        <v>53</v>
      </c>
      <c r="J207" t="s">
        <v>67</v>
      </c>
      <c r="K207" t="s">
        <v>68</v>
      </c>
      <c r="L207" t="s">
        <v>2052</v>
      </c>
      <c r="M207" t="s">
        <v>2053</v>
      </c>
      <c r="N207">
        <v>0</v>
      </c>
      <c r="O207">
        <v>0</v>
      </c>
      <c r="P207">
        <v>0</v>
      </c>
      <c r="Q207">
        <v>1440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306</v>
      </c>
      <c r="AH207" s="21" t="s">
        <v>3424</v>
      </c>
      <c r="AI207" s="21">
        <v>107.92500000000001</v>
      </c>
      <c r="AJ207" s="21">
        <v>100</v>
      </c>
      <c r="AK207" s="21" t="s">
        <v>2054</v>
      </c>
      <c r="AL207" t="s">
        <v>70</v>
      </c>
      <c r="AM207" t="s">
        <v>2027</v>
      </c>
    </row>
    <row r="208" spans="1:39" ht="15" hidden="1" thickTop="1" x14ac:dyDescent="0.35">
      <c r="A208" t="s">
        <v>2949</v>
      </c>
      <c r="B208" t="s">
        <v>2957</v>
      </c>
      <c r="C208" t="s">
        <v>66</v>
      </c>
      <c r="D208" t="s">
        <v>2958</v>
      </c>
      <c r="E208" t="s">
        <v>559</v>
      </c>
      <c r="F208">
        <v>1</v>
      </c>
      <c r="G208" t="s">
        <v>2050</v>
      </c>
      <c r="H208" t="s">
        <v>2051</v>
      </c>
      <c r="I208" t="s">
        <v>53</v>
      </c>
      <c r="J208" t="s">
        <v>67</v>
      </c>
      <c r="K208" t="s">
        <v>68</v>
      </c>
      <c r="L208" t="s">
        <v>2052</v>
      </c>
      <c r="M208" t="s">
        <v>2053</v>
      </c>
      <c r="N208">
        <v>0</v>
      </c>
      <c r="O208">
        <v>0</v>
      </c>
      <c r="P208">
        <v>0</v>
      </c>
      <c r="Q208">
        <v>1440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307</v>
      </c>
      <c r="AH208" s="21" t="s">
        <v>3424</v>
      </c>
      <c r="AI208" s="21">
        <v>107.92500000000001</v>
      </c>
      <c r="AJ208" s="21">
        <v>100</v>
      </c>
      <c r="AK208" s="21" t="s">
        <v>2054</v>
      </c>
      <c r="AL208" t="s">
        <v>70</v>
      </c>
      <c r="AM208" t="s">
        <v>2028</v>
      </c>
    </row>
    <row r="209" spans="1:39" ht="15" hidden="1" thickTop="1" x14ac:dyDescent="0.35">
      <c r="A209" t="s">
        <v>2560</v>
      </c>
      <c r="B209" t="s">
        <v>2968</v>
      </c>
      <c r="C209" t="s">
        <v>92</v>
      </c>
      <c r="D209" t="s">
        <v>2969</v>
      </c>
      <c r="E209" t="s">
        <v>119</v>
      </c>
      <c r="F209">
        <v>1</v>
      </c>
      <c r="G209" t="s">
        <v>2050</v>
      </c>
      <c r="H209" t="s">
        <v>2051</v>
      </c>
      <c r="I209" t="s">
        <v>53</v>
      </c>
      <c r="J209" t="s">
        <v>67</v>
      </c>
      <c r="K209" t="s">
        <v>68</v>
      </c>
      <c r="L209" t="s">
        <v>2052</v>
      </c>
      <c r="M209" t="s">
        <v>2053</v>
      </c>
      <c r="N209">
        <v>0</v>
      </c>
      <c r="O209">
        <v>0</v>
      </c>
      <c r="P209">
        <v>0</v>
      </c>
      <c r="Q209">
        <v>1440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 t="s">
        <v>308</v>
      </c>
      <c r="AH209" s="21" t="s">
        <v>3424</v>
      </c>
      <c r="AI209" s="21">
        <v>107.92500000000001</v>
      </c>
      <c r="AJ209" s="21">
        <v>100</v>
      </c>
      <c r="AK209" s="21" t="s">
        <v>2054</v>
      </c>
      <c r="AL209" t="s">
        <v>70</v>
      </c>
      <c r="AM209" t="s">
        <v>2028</v>
      </c>
    </row>
    <row r="210" spans="1:39" ht="15" hidden="1" thickTop="1" x14ac:dyDescent="0.35">
      <c r="A210" t="s">
        <v>2964</v>
      </c>
      <c r="B210" t="s">
        <v>2970</v>
      </c>
      <c r="C210" t="s">
        <v>86</v>
      </c>
      <c r="D210" t="s">
        <v>2971</v>
      </c>
      <c r="E210" t="s">
        <v>72</v>
      </c>
      <c r="F210">
        <v>1</v>
      </c>
      <c r="G210" t="s">
        <v>2050</v>
      </c>
      <c r="H210" t="s">
        <v>2051</v>
      </c>
      <c r="I210" t="s">
        <v>53</v>
      </c>
      <c r="J210" t="s">
        <v>73</v>
      </c>
      <c r="K210" t="s">
        <v>68</v>
      </c>
      <c r="L210" t="s">
        <v>2052</v>
      </c>
      <c r="M210" t="s">
        <v>2053</v>
      </c>
      <c r="N210">
        <v>0</v>
      </c>
      <c r="O210">
        <v>0</v>
      </c>
      <c r="P210">
        <v>0</v>
      </c>
      <c r="Q210">
        <v>1440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309</v>
      </c>
      <c r="AH210" s="21" t="s">
        <v>3424</v>
      </c>
      <c r="AI210" s="21">
        <v>107.92500000000001</v>
      </c>
      <c r="AJ210" s="21">
        <v>100</v>
      </c>
      <c r="AK210" s="21" t="s">
        <v>2054</v>
      </c>
      <c r="AL210" t="s">
        <v>75</v>
      </c>
      <c r="AM210" t="s">
        <v>2027</v>
      </c>
    </row>
    <row r="211" spans="1:39" ht="15" hidden="1" thickTop="1" x14ac:dyDescent="0.35">
      <c r="A211" t="s">
        <v>2973</v>
      </c>
      <c r="B211" t="s">
        <v>2977</v>
      </c>
      <c r="C211" t="s">
        <v>66</v>
      </c>
      <c r="D211" t="s">
        <v>2978</v>
      </c>
      <c r="E211" t="s">
        <v>559</v>
      </c>
      <c r="F211">
        <v>1</v>
      </c>
      <c r="G211" t="s">
        <v>2050</v>
      </c>
      <c r="H211" t="s">
        <v>2051</v>
      </c>
      <c r="I211" t="s">
        <v>53</v>
      </c>
      <c r="J211" t="s">
        <v>67</v>
      </c>
      <c r="K211" t="s">
        <v>68</v>
      </c>
      <c r="L211" t="s">
        <v>2052</v>
      </c>
      <c r="M211" t="s">
        <v>2064</v>
      </c>
      <c r="N211">
        <v>0</v>
      </c>
      <c r="O211">
        <v>0</v>
      </c>
      <c r="P211">
        <v>0</v>
      </c>
      <c r="Q211">
        <v>900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t="s">
        <v>310</v>
      </c>
      <c r="AH211" s="21" t="s">
        <v>3424</v>
      </c>
      <c r="AI211" s="21">
        <v>67.5</v>
      </c>
      <c r="AJ211" s="21">
        <v>100</v>
      </c>
      <c r="AK211" s="21" t="s">
        <v>2054</v>
      </c>
      <c r="AL211" t="s">
        <v>70</v>
      </c>
      <c r="AM211" t="s">
        <v>2029</v>
      </c>
    </row>
    <row r="212" spans="1:39" ht="15" hidden="1" thickTop="1" x14ac:dyDescent="0.35">
      <c r="A212" t="s">
        <v>2980</v>
      </c>
      <c r="B212" t="s">
        <v>2984</v>
      </c>
      <c r="C212" t="s">
        <v>76</v>
      </c>
      <c r="D212" t="s">
        <v>2985</v>
      </c>
      <c r="E212" t="s">
        <v>119</v>
      </c>
      <c r="F212">
        <v>1</v>
      </c>
      <c r="G212" t="s">
        <v>2050</v>
      </c>
      <c r="H212" t="s">
        <v>2051</v>
      </c>
      <c r="I212" t="s">
        <v>53</v>
      </c>
      <c r="J212" t="s">
        <v>67</v>
      </c>
      <c r="K212" t="s">
        <v>68</v>
      </c>
      <c r="L212" t="s">
        <v>2052</v>
      </c>
      <c r="M212" t="s">
        <v>2053</v>
      </c>
      <c r="N212">
        <v>0</v>
      </c>
      <c r="O212">
        <v>0</v>
      </c>
      <c r="P212">
        <v>0</v>
      </c>
      <c r="Q212">
        <v>1440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t="s">
        <v>311</v>
      </c>
      <c r="AH212" s="21" t="s">
        <v>3429</v>
      </c>
      <c r="AI212" s="21">
        <v>107.92500000000001</v>
      </c>
      <c r="AJ212" s="21">
        <v>100</v>
      </c>
      <c r="AK212" s="21" t="s">
        <v>2054</v>
      </c>
      <c r="AL212" t="s">
        <v>70</v>
      </c>
      <c r="AM212" t="s">
        <v>2029</v>
      </c>
    </row>
    <row r="213" spans="1:39" ht="15" hidden="1" thickTop="1" x14ac:dyDescent="0.35">
      <c r="A213" t="s">
        <v>2987</v>
      </c>
      <c r="B213" t="s">
        <v>2996</v>
      </c>
      <c r="C213" t="s">
        <v>71</v>
      </c>
      <c r="D213" t="s">
        <v>2997</v>
      </c>
      <c r="E213" t="s">
        <v>72</v>
      </c>
      <c r="F213">
        <v>2</v>
      </c>
      <c r="G213" t="s">
        <v>2050</v>
      </c>
      <c r="H213" t="s">
        <v>2051</v>
      </c>
      <c r="I213" t="s">
        <v>53</v>
      </c>
      <c r="J213" t="s">
        <v>73</v>
      </c>
      <c r="K213" t="s">
        <v>68</v>
      </c>
      <c r="L213" t="s">
        <v>2052</v>
      </c>
      <c r="M213" t="s">
        <v>2053</v>
      </c>
      <c r="N213">
        <v>0</v>
      </c>
      <c r="O213">
        <v>0</v>
      </c>
      <c r="P213">
        <v>0</v>
      </c>
      <c r="Q213">
        <v>1440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t="s">
        <v>312</v>
      </c>
      <c r="AH213" s="21" t="s">
        <v>3424</v>
      </c>
      <c r="AI213" s="21">
        <v>107.92500000000001</v>
      </c>
      <c r="AJ213" s="21">
        <v>100</v>
      </c>
      <c r="AK213" s="21" t="s">
        <v>2054</v>
      </c>
      <c r="AL213" t="s">
        <v>75</v>
      </c>
      <c r="AM213" t="s">
        <v>2028</v>
      </c>
    </row>
    <row r="214" spans="1:39" ht="15" hidden="1" thickTop="1" x14ac:dyDescent="0.35">
      <c r="A214" t="s">
        <v>2988</v>
      </c>
      <c r="B214" t="s">
        <v>2999</v>
      </c>
      <c r="C214" t="s">
        <v>86</v>
      </c>
      <c r="D214" t="s">
        <v>3000</v>
      </c>
      <c r="E214" t="s">
        <v>72</v>
      </c>
      <c r="F214">
        <v>2</v>
      </c>
      <c r="G214" t="s">
        <v>2050</v>
      </c>
      <c r="H214" t="s">
        <v>2051</v>
      </c>
      <c r="I214" t="s">
        <v>53</v>
      </c>
      <c r="J214" t="s">
        <v>73</v>
      </c>
      <c r="K214" t="s">
        <v>68</v>
      </c>
      <c r="L214" t="s">
        <v>2052</v>
      </c>
      <c r="M214" t="s">
        <v>2053</v>
      </c>
      <c r="N214">
        <v>0</v>
      </c>
      <c r="O214">
        <v>0</v>
      </c>
      <c r="P214">
        <v>0</v>
      </c>
      <c r="Q214">
        <v>1440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t="s">
        <v>313</v>
      </c>
      <c r="AH214" s="21" t="s">
        <v>3427</v>
      </c>
      <c r="AI214" s="21">
        <v>107.92500000000001</v>
      </c>
      <c r="AJ214" s="21">
        <v>100</v>
      </c>
      <c r="AK214" s="21" t="s">
        <v>2055</v>
      </c>
      <c r="AL214" t="s">
        <v>75</v>
      </c>
      <c r="AM214" t="s">
        <v>2029</v>
      </c>
    </row>
    <row r="215" spans="1:39" ht="15" hidden="1" thickTop="1" x14ac:dyDescent="0.35">
      <c r="A215" t="s">
        <v>2993</v>
      </c>
      <c r="B215" t="s">
        <v>3007</v>
      </c>
      <c r="C215" t="s">
        <v>102</v>
      </c>
      <c r="D215" t="s">
        <v>3008</v>
      </c>
      <c r="E215" t="s">
        <v>559</v>
      </c>
      <c r="F215">
        <v>1</v>
      </c>
      <c r="G215" t="s">
        <v>2050</v>
      </c>
      <c r="H215" t="s">
        <v>2051</v>
      </c>
      <c r="I215" t="s">
        <v>53</v>
      </c>
      <c r="J215" t="s">
        <v>67</v>
      </c>
      <c r="K215" t="s">
        <v>68</v>
      </c>
      <c r="L215" t="s">
        <v>2052</v>
      </c>
      <c r="M215" t="s">
        <v>2064</v>
      </c>
      <c r="N215">
        <v>0</v>
      </c>
      <c r="O215">
        <v>0</v>
      </c>
      <c r="P215">
        <v>0</v>
      </c>
      <c r="Q215">
        <v>900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314</v>
      </c>
      <c r="AH215" s="21" t="s">
        <v>3424</v>
      </c>
      <c r="AI215" s="21">
        <v>67.5</v>
      </c>
      <c r="AJ215" s="21">
        <v>100</v>
      </c>
      <c r="AK215" s="21" t="s">
        <v>2055</v>
      </c>
      <c r="AL215" t="s">
        <v>70</v>
      </c>
      <c r="AM215" t="s">
        <v>2029</v>
      </c>
    </row>
    <row r="216" spans="1:39" ht="15" hidden="1" thickTop="1" x14ac:dyDescent="0.35">
      <c r="A216" t="s">
        <v>2994</v>
      </c>
      <c r="B216" t="s">
        <v>3009</v>
      </c>
      <c r="C216" t="s">
        <v>66</v>
      </c>
      <c r="D216" t="s">
        <v>3010</v>
      </c>
      <c r="E216" t="s">
        <v>559</v>
      </c>
      <c r="F216">
        <v>1</v>
      </c>
      <c r="G216" t="s">
        <v>2050</v>
      </c>
      <c r="H216" t="s">
        <v>2051</v>
      </c>
      <c r="I216" t="s">
        <v>53</v>
      </c>
      <c r="J216" t="s">
        <v>67</v>
      </c>
      <c r="K216" t="s">
        <v>68</v>
      </c>
      <c r="L216" t="s">
        <v>2052</v>
      </c>
      <c r="M216" t="s">
        <v>2053</v>
      </c>
      <c r="N216">
        <v>0</v>
      </c>
      <c r="O216">
        <v>0</v>
      </c>
      <c r="P216">
        <v>0</v>
      </c>
      <c r="Q216">
        <v>1440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315</v>
      </c>
      <c r="AH216" s="21" t="s">
        <v>3428</v>
      </c>
      <c r="AI216" s="21">
        <v>107.92500000000001</v>
      </c>
      <c r="AJ216" s="21">
        <v>100</v>
      </c>
      <c r="AK216" s="21" t="s">
        <v>2055</v>
      </c>
      <c r="AL216" t="s">
        <v>70</v>
      </c>
      <c r="AM216" t="s">
        <v>2028</v>
      </c>
    </row>
    <row r="217" spans="1:39" ht="15" hidden="1" thickTop="1" x14ac:dyDescent="0.35">
      <c r="A217" t="s">
        <v>3003</v>
      </c>
      <c r="B217" t="s">
        <v>3015</v>
      </c>
      <c r="C217" t="s">
        <v>66</v>
      </c>
      <c r="D217" t="s">
        <v>3016</v>
      </c>
      <c r="E217" t="s">
        <v>119</v>
      </c>
      <c r="F217">
        <v>1</v>
      </c>
      <c r="G217" t="s">
        <v>2050</v>
      </c>
      <c r="H217" t="s">
        <v>2051</v>
      </c>
      <c r="I217" t="s">
        <v>53</v>
      </c>
      <c r="J217" t="s">
        <v>67</v>
      </c>
      <c r="K217" t="s">
        <v>68</v>
      </c>
      <c r="L217" t="s">
        <v>2052</v>
      </c>
      <c r="M217" t="s">
        <v>2053</v>
      </c>
      <c r="N217">
        <v>0</v>
      </c>
      <c r="O217">
        <v>0</v>
      </c>
      <c r="P217">
        <v>0</v>
      </c>
      <c r="Q217">
        <v>1440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316</v>
      </c>
      <c r="AH217" s="21" t="s">
        <v>3425</v>
      </c>
      <c r="AI217" s="21">
        <v>107.92500000000001</v>
      </c>
      <c r="AJ217" s="21">
        <v>100</v>
      </c>
      <c r="AK217" s="21" t="s">
        <v>2054</v>
      </c>
      <c r="AL217" t="s">
        <v>70</v>
      </c>
      <c r="AM217" t="s">
        <v>2027</v>
      </c>
    </row>
    <row r="218" spans="1:39" ht="15" hidden="1" thickTop="1" x14ac:dyDescent="0.35">
      <c r="A218" t="s">
        <v>3011</v>
      </c>
      <c r="B218" t="s">
        <v>3020</v>
      </c>
      <c r="C218" t="s">
        <v>66</v>
      </c>
      <c r="D218" t="s">
        <v>3021</v>
      </c>
      <c r="E218" t="s">
        <v>559</v>
      </c>
      <c r="F218">
        <v>1</v>
      </c>
      <c r="G218" t="s">
        <v>2050</v>
      </c>
      <c r="H218" t="s">
        <v>2051</v>
      </c>
      <c r="I218" t="s">
        <v>53</v>
      </c>
      <c r="J218" t="s">
        <v>67</v>
      </c>
      <c r="K218" t="s">
        <v>68</v>
      </c>
      <c r="L218" t="s">
        <v>2052</v>
      </c>
      <c r="M218" t="s">
        <v>2064</v>
      </c>
      <c r="N218">
        <v>0</v>
      </c>
      <c r="O218">
        <v>0</v>
      </c>
      <c r="P218">
        <v>0</v>
      </c>
      <c r="Q218">
        <v>900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317</v>
      </c>
      <c r="AH218" s="21" t="s">
        <v>3425</v>
      </c>
      <c r="AI218" s="21">
        <v>67.5</v>
      </c>
      <c r="AJ218" s="21">
        <v>100</v>
      </c>
      <c r="AK218" s="21" t="s">
        <v>2054</v>
      </c>
      <c r="AL218" t="s">
        <v>70</v>
      </c>
      <c r="AM218" t="s">
        <v>2029</v>
      </c>
    </row>
    <row r="219" spans="1:39" ht="15" hidden="1" thickTop="1" x14ac:dyDescent="0.35">
      <c r="A219" t="s">
        <v>3018</v>
      </c>
      <c r="B219" t="s">
        <v>3030</v>
      </c>
      <c r="C219" t="s">
        <v>3376</v>
      </c>
      <c r="D219" t="s">
        <v>3031</v>
      </c>
      <c r="E219" t="s">
        <v>559</v>
      </c>
      <c r="F219">
        <v>1</v>
      </c>
      <c r="G219" t="s">
        <v>2050</v>
      </c>
      <c r="H219" t="s">
        <v>2051</v>
      </c>
      <c r="I219" t="s">
        <v>53</v>
      </c>
      <c r="J219" t="s">
        <v>67</v>
      </c>
      <c r="K219" t="s">
        <v>68</v>
      </c>
      <c r="L219" t="s">
        <v>2052</v>
      </c>
      <c r="M219" t="s">
        <v>2053</v>
      </c>
      <c r="N219">
        <v>0</v>
      </c>
      <c r="O219">
        <v>0</v>
      </c>
      <c r="P219">
        <v>0</v>
      </c>
      <c r="Q219">
        <v>1440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t="s">
        <v>318</v>
      </c>
      <c r="AH219" s="21" t="s">
        <v>3424</v>
      </c>
      <c r="AI219" s="21">
        <v>107.92500000000001</v>
      </c>
      <c r="AJ219" s="21">
        <v>100</v>
      </c>
      <c r="AK219" s="21" t="s">
        <v>2054</v>
      </c>
      <c r="AL219" t="s">
        <v>70</v>
      </c>
      <c r="AM219" t="s">
        <v>2027</v>
      </c>
    </row>
    <row r="220" spans="1:39" ht="15" hidden="1" thickTop="1" x14ac:dyDescent="0.35">
      <c r="A220" t="s">
        <v>3023</v>
      </c>
      <c r="B220" t="s">
        <v>3032</v>
      </c>
      <c r="C220" t="s">
        <v>111</v>
      </c>
      <c r="D220" t="s">
        <v>3033</v>
      </c>
      <c r="E220" t="s">
        <v>112</v>
      </c>
      <c r="F220">
        <v>1</v>
      </c>
      <c r="G220" t="s">
        <v>2050</v>
      </c>
      <c r="H220" t="s">
        <v>2051</v>
      </c>
      <c r="I220" t="s">
        <v>53</v>
      </c>
      <c r="J220" t="s">
        <v>113</v>
      </c>
      <c r="K220" t="s">
        <v>68</v>
      </c>
      <c r="L220" t="s">
        <v>2052</v>
      </c>
      <c r="M220" t="s">
        <v>2053</v>
      </c>
      <c r="N220">
        <v>0</v>
      </c>
      <c r="O220">
        <v>0</v>
      </c>
      <c r="P220">
        <v>0</v>
      </c>
      <c r="Q220">
        <v>1440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319</v>
      </c>
      <c r="AH220" s="21" t="s">
        <v>3424</v>
      </c>
      <c r="AI220" s="21">
        <v>107.92500000000001</v>
      </c>
      <c r="AJ220" s="21">
        <v>100</v>
      </c>
      <c r="AK220" s="21" t="s">
        <v>2054</v>
      </c>
      <c r="AL220" t="s">
        <v>115</v>
      </c>
      <c r="AM220" t="s">
        <v>2029</v>
      </c>
    </row>
    <row r="221" spans="1:39" ht="15" hidden="1" thickTop="1" x14ac:dyDescent="0.35">
      <c r="A221" t="s">
        <v>3026</v>
      </c>
      <c r="B221" t="s">
        <v>3034</v>
      </c>
      <c r="C221" t="s">
        <v>78</v>
      </c>
      <c r="D221" t="s">
        <v>3035</v>
      </c>
      <c r="E221" t="s">
        <v>559</v>
      </c>
      <c r="F221">
        <v>1</v>
      </c>
      <c r="G221" t="s">
        <v>2050</v>
      </c>
      <c r="H221" t="s">
        <v>2051</v>
      </c>
      <c r="I221" t="s">
        <v>53</v>
      </c>
      <c r="J221" t="s">
        <v>67</v>
      </c>
      <c r="K221" t="s">
        <v>68</v>
      </c>
      <c r="L221" t="s">
        <v>2052</v>
      </c>
      <c r="M221" t="s">
        <v>2064</v>
      </c>
      <c r="N221">
        <v>0</v>
      </c>
      <c r="O221">
        <v>0</v>
      </c>
      <c r="P221">
        <v>0</v>
      </c>
      <c r="Q221">
        <v>900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320</v>
      </c>
      <c r="AH221" s="21" t="s">
        <v>3425</v>
      </c>
      <c r="AI221" s="21">
        <v>67.5</v>
      </c>
      <c r="AJ221" s="21">
        <v>100</v>
      </c>
      <c r="AK221" s="21" t="s">
        <v>2054</v>
      </c>
      <c r="AL221" t="s">
        <v>70</v>
      </c>
      <c r="AM221" t="s">
        <v>2029</v>
      </c>
    </row>
    <row r="222" spans="1:39" ht="15" hidden="1" thickTop="1" x14ac:dyDescent="0.35">
      <c r="A222" t="s">
        <v>3037</v>
      </c>
      <c r="B222" t="s">
        <v>3046</v>
      </c>
      <c r="C222" t="s">
        <v>237</v>
      </c>
      <c r="D222" t="s">
        <v>3047</v>
      </c>
      <c r="E222" t="s">
        <v>72</v>
      </c>
      <c r="F222">
        <v>1</v>
      </c>
      <c r="G222" t="s">
        <v>2050</v>
      </c>
      <c r="H222" t="s">
        <v>2051</v>
      </c>
      <c r="I222" t="s">
        <v>53</v>
      </c>
      <c r="J222" t="s">
        <v>73</v>
      </c>
      <c r="K222" t="s">
        <v>68</v>
      </c>
      <c r="L222" t="s">
        <v>2052</v>
      </c>
      <c r="M222" t="s">
        <v>2053</v>
      </c>
      <c r="N222">
        <v>0</v>
      </c>
      <c r="O222">
        <v>0</v>
      </c>
      <c r="P222">
        <v>0</v>
      </c>
      <c r="Q222">
        <v>1440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321</v>
      </c>
      <c r="AH222" s="21" t="s">
        <v>3428</v>
      </c>
      <c r="AI222" s="21">
        <v>107.92500000000001</v>
      </c>
      <c r="AJ222" s="21">
        <v>100</v>
      </c>
      <c r="AK222" s="21" t="s">
        <v>2054</v>
      </c>
      <c r="AL222" t="s">
        <v>75</v>
      </c>
      <c r="AM222" t="s">
        <v>2029</v>
      </c>
    </row>
    <row r="223" spans="1:39" ht="15" hidden="1" thickTop="1" x14ac:dyDescent="0.35">
      <c r="A223" t="s">
        <v>3040</v>
      </c>
      <c r="B223" t="s">
        <v>3050</v>
      </c>
      <c r="C223" t="s">
        <v>71</v>
      </c>
      <c r="D223" t="s">
        <v>3051</v>
      </c>
      <c r="E223" t="s">
        <v>72</v>
      </c>
      <c r="F223">
        <v>1</v>
      </c>
      <c r="G223" t="s">
        <v>2050</v>
      </c>
      <c r="H223" t="s">
        <v>2051</v>
      </c>
      <c r="I223" t="s">
        <v>53</v>
      </c>
      <c r="J223" t="s">
        <v>73</v>
      </c>
      <c r="K223" t="s">
        <v>68</v>
      </c>
      <c r="L223" t="s">
        <v>2052</v>
      </c>
      <c r="M223" t="s">
        <v>2053</v>
      </c>
      <c r="N223">
        <v>0</v>
      </c>
      <c r="O223">
        <v>0</v>
      </c>
      <c r="P223">
        <v>0</v>
      </c>
      <c r="Q223">
        <v>1440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 t="s">
        <v>322</v>
      </c>
      <c r="AH223" s="21" t="s">
        <v>3427</v>
      </c>
      <c r="AI223" s="21">
        <v>107.92500000000001</v>
      </c>
      <c r="AJ223" s="21">
        <v>100</v>
      </c>
      <c r="AK223" s="21" t="s">
        <v>2054</v>
      </c>
      <c r="AL223" t="s">
        <v>75</v>
      </c>
      <c r="AM223" t="s">
        <v>2029</v>
      </c>
    </row>
    <row r="224" spans="1:39" ht="15" hidden="1" thickTop="1" x14ac:dyDescent="0.35">
      <c r="A224" t="s">
        <v>3043</v>
      </c>
      <c r="B224" t="s">
        <v>3052</v>
      </c>
      <c r="C224" t="s">
        <v>237</v>
      </c>
      <c r="D224" t="s">
        <v>3053</v>
      </c>
      <c r="E224" t="s">
        <v>72</v>
      </c>
      <c r="F224">
        <v>1</v>
      </c>
      <c r="G224" t="s">
        <v>2050</v>
      </c>
      <c r="H224" t="s">
        <v>2051</v>
      </c>
      <c r="I224" t="s">
        <v>53</v>
      </c>
      <c r="J224" t="s">
        <v>73</v>
      </c>
      <c r="K224" t="s">
        <v>68</v>
      </c>
      <c r="L224" t="s">
        <v>2052</v>
      </c>
      <c r="M224" t="s">
        <v>2053</v>
      </c>
      <c r="N224">
        <v>0</v>
      </c>
      <c r="O224">
        <v>0</v>
      </c>
      <c r="P224">
        <v>0</v>
      </c>
      <c r="Q224">
        <v>1440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323</v>
      </c>
      <c r="AH224" s="21" t="s">
        <v>3424</v>
      </c>
      <c r="AI224" s="21">
        <v>107.92500000000001</v>
      </c>
      <c r="AJ224" s="21">
        <v>100</v>
      </c>
      <c r="AK224" s="21" t="s">
        <v>2054</v>
      </c>
      <c r="AL224" t="s">
        <v>75</v>
      </c>
      <c r="AM224" t="s">
        <v>2029</v>
      </c>
    </row>
    <row r="225" spans="1:39" ht="15" hidden="1" thickTop="1" x14ac:dyDescent="0.35">
      <c r="A225" t="s">
        <v>3044</v>
      </c>
      <c r="B225" t="s">
        <v>3054</v>
      </c>
      <c r="C225" t="s">
        <v>71</v>
      </c>
      <c r="D225" t="s">
        <v>3055</v>
      </c>
      <c r="E225" t="s">
        <v>72</v>
      </c>
      <c r="F225">
        <v>2</v>
      </c>
      <c r="G225" t="s">
        <v>2050</v>
      </c>
      <c r="H225" t="s">
        <v>2051</v>
      </c>
      <c r="I225" t="s">
        <v>53</v>
      </c>
      <c r="J225" t="s">
        <v>73</v>
      </c>
      <c r="K225" t="s">
        <v>68</v>
      </c>
      <c r="L225" t="s">
        <v>2052</v>
      </c>
      <c r="M225" t="s">
        <v>2053</v>
      </c>
      <c r="N225">
        <v>0</v>
      </c>
      <c r="O225">
        <v>0</v>
      </c>
      <c r="P225">
        <v>0</v>
      </c>
      <c r="Q225">
        <v>1440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 t="s">
        <v>324</v>
      </c>
      <c r="AH225" s="21" t="s">
        <v>3428</v>
      </c>
      <c r="AI225" s="21">
        <v>107.92500000000001</v>
      </c>
      <c r="AJ225" s="21">
        <v>100</v>
      </c>
      <c r="AK225" s="21" t="s">
        <v>2054</v>
      </c>
      <c r="AL225" t="s">
        <v>75</v>
      </c>
      <c r="AM225" t="s">
        <v>2029</v>
      </c>
    </row>
    <row r="226" spans="1:39" ht="15" hidden="1" thickTop="1" x14ac:dyDescent="0.35">
      <c r="A226" t="s">
        <v>3057</v>
      </c>
      <c r="B226" t="s">
        <v>3061</v>
      </c>
      <c r="C226" t="s">
        <v>76</v>
      </c>
      <c r="D226" t="s">
        <v>3062</v>
      </c>
      <c r="E226" t="s">
        <v>559</v>
      </c>
      <c r="F226">
        <v>1</v>
      </c>
      <c r="G226" t="s">
        <v>2050</v>
      </c>
      <c r="H226" t="s">
        <v>2051</v>
      </c>
      <c r="I226" t="s">
        <v>53</v>
      </c>
      <c r="J226" t="s">
        <v>67</v>
      </c>
      <c r="K226" t="s">
        <v>68</v>
      </c>
      <c r="L226" t="s">
        <v>2052</v>
      </c>
      <c r="M226" t="s">
        <v>2053</v>
      </c>
      <c r="N226">
        <v>1</v>
      </c>
      <c r="O226">
        <v>35</v>
      </c>
      <c r="P226">
        <v>2.4300000000000002</v>
      </c>
      <c r="Q226">
        <v>1440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35</v>
      </c>
      <c r="Z226">
        <v>2.4300000000000002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 t="s">
        <v>325</v>
      </c>
      <c r="AH226" s="21" t="s">
        <v>3424</v>
      </c>
      <c r="AI226" s="21">
        <v>107.92500000000001</v>
      </c>
      <c r="AJ226" s="21">
        <v>97.569444444444443</v>
      </c>
      <c r="AK226" s="21" t="s">
        <v>2055</v>
      </c>
      <c r="AL226" t="s">
        <v>70</v>
      </c>
      <c r="AM226" t="s">
        <v>2028</v>
      </c>
    </row>
    <row r="227" spans="1:39" ht="15" hidden="1" thickTop="1" x14ac:dyDescent="0.35">
      <c r="A227" t="s">
        <v>3064</v>
      </c>
      <c r="B227" t="s">
        <v>3068</v>
      </c>
      <c r="C227" t="s">
        <v>78</v>
      </c>
      <c r="D227" t="s">
        <v>3069</v>
      </c>
      <c r="E227" t="s">
        <v>559</v>
      </c>
      <c r="F227">
        <v>1</v>
      </c>
      <c r="G227" t="s">
        <v>2050</v>
      </c>
      <c r="H227" t="s">
        <v>2051</v>
      </c>
      <c r="I227" t="s">
        <v>53</v>
      </c>
      <c r="J227" t="s">
        <v>67</v>
      </c>
      <c r="K227" t="s">
        <v>68</v>
      </c>
      <c r="L227" t="s">
        <v>2052</v>
      </c>
      <c r="M227" t="s">
        <v>2053</v>
      </c>
      <c r="N227">
        <v>0</v>
      </c>
      <c r="O227">
        <v>0</v>
      </c>
      <c r="P227">
        <v>0</v>
      </c>
      <c r="Q227">
        <v>1440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326</v>
      </c>
      <c r="AH227" s="21" t="s">
        <v>3425</v>
      </c>
      <c r="AI227" s="21">
        <v>107.92500000000001</v>
      </c>
      <c r="AJ227" s="21">
        <v>100</v>
      </c>
      <c r="AK227" s="21" t="s">
        <v>2054</v>
      </c>
      <c r="AL227" t="s">
        <v>70</v>
      </c>
      <c r="AM227" t="s">
        <v>2029</v>
      </c>
    </row>
    <row r="228" spans="1:39" ht="15" hidden="1" thickTop="1" x14ac:dyDescent="0.35">
      <c r="A228" t="s">
        <v>3071</v>
      </c>
      <c r="B228" t="s">
        <v>3086</v>
      </c>
      <c r="C228" t="s">
        <v>92</v>
      </c>
      <c r="D228" t="s">
        <v>3087</v>
      </c>
      <c r="E228" t="s">
        <v>119</v>
      </c>
      <c r="F228">
        <v>1</v>
      </c>
      <c r="G228" t="s">
        <v>2050</v>
      </c>
      <c r="H228" t="s">
        <v>2051</v>
      </c>
      <c r="I228" t="s">
        <v>53</v>
      </c>
      <c r="J228" t="s">
        <v>67</v>
      </c>
      <c r="K228" t="s">
        <v>68</v>
      </c>
      <c r="L228" t="s">
        <v>2052</v>
      </c>
      <c r="M228" t="s">
        <v>2064</v>
      </c>
      <c r="N228">
        <v>0</v>
      </c>
      <c r="O228">
        <v>0</v>
      </c>
      <c r="P228">
        <v>0</v>
      </c>
      <c r="Q228">
        <v>900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t="s">
        <v>327</v>
      </c>
      <c r="AH228" s="21" t="s">
        <v>3425</v>
      </c>
      <c r="AI228" s="21">
        <v>67.5</v>
      </c>
      <c r="AJ228" s="21">
        <v>100</v>
      </c>
      <c r="AK228" s="21" t="s">
        <v>2054</v>
      </c>
      <c r="AL228" t="s">
        <v>70</v>
      </c>
      <c r="AM228" t="s">
        <v>2029</v>
      </c>
    </row>
    <row r="229" spans="1:39" ht="15" hidden="1" thickTop="1" x14ac:dyDescent="0.35">
      <c r="A229" t="s">
        <v>3076</v>
      </c>
      <c r="B229" t="s">
        <v>3094</v>
      </c>
      <c r="C229" t="s">
        <v>76</v>
      </c>
      <c r="D229" t="s">
        <v>3095</v>
      </c>
      <c r="E229" t="s">
        <v>119</v>
      </c>
      <c r="F229">
        <v>1</v>
      </c>
      <c r="G229" t="s">
        <v>2050</v>
      </c>
      <c r="H229" t="s">
        <v>2051</v>
      </c>
      <c r="I229" t="s">
        <v>53</v>
      </c>
      <c r="J229" t="s">
        <v>67</v>
      </c>
      <c r="K229" t="s">
        <v>68</v>
      </c>
      <c r="L229" t="s">
        <v>2052</v>
      </c>
      <c r="M229" t="s">
        <v>2053</v>
      </c>
      <c r="N229">
        <v>0</v>
      </c>
      <c r="O229">
        <v>0</v>
      </c>
      <c r="P229">
        <v>0</v>
      </c>
      <c r="Q229">
        <v>1440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328</v>
      </c>
      <c r="AH229" s="21" t="s">
        <v>3425</v>
      </c>
      <c r="AI229" s="21">
        <v>107.92500000000001</v>
      </c>
      <c r="AJ229" s="21">
        <v>100</v>
      </c>
      <c r="AK229" s="21" t="s">
        <v>2054</v>
      </c>
      <c r="AL229" t="s">
        <v>70</v>
      </c>
      <c r="AM229" t="s">
        <v>2028</v>
      </c>
    </row>
    <row r="230" spans="1:39" ht="15" hidden="1" thickTop="1" x14ac:dyDescent="0.35">
      <c r="A230" t="s">
        <v>3080</v>
      </c>
      <c r="B230" t="s">
        <v>3100</v>
      </c>
      <c r="C230" t="s">
        <v>100</v>
      </c>
      <c r="D230" t="s">
        <v>3101</v>
      </c>
      <c r="E230" t="s">
        <v>559</v>
      </c>
      <c r="F230">
        <v>1</v>
      </c>
      <c r="G230" t="s">
        <v>2050</v>
      </c>
      <c r="H230" t="s">
        <v>2051</v>
      </c>
      <c r="I230" t="s">
        <v>53</v>
      </c>
      <c r="J230" t="s">
        <v>67</v>
      </c>
      <c r="K230" t="s">
        <v>68</v>
      </c>
      <c r="L230" t="s">
        <v>2052</v>
      </c>
      <c r="M230" t="s">
        <v>2053</v>
      </c>
      <c r="N230">
        <v>0</v>
      </c>
      <c r="O230">
        <v>0</v>
      </c>
      <c r="P230">
        <v>0</v>
      </c>
      <c r="Q230">
        <v>1440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t="s">
        <v>329</v>
      </c>
      <c r="AH230" s="21" t="s">
        <v>3427</v>
      </c>
      <c r="AI230" s="21">
        <v>107.92500000000001</v>
      </c>
      <c r="AJ230" s="21">
        <v>100</v>
      </c>
      <c r="AK230" s="21" t="s">
        <v>2054</v>
      </c>
      <c r="AL230" t="s">
        <v>70</v>
      </c>
      <c r="AM230" t="s">
        <v>2030</v>
      </c>
    </row>
    <row r="231" spans="1:39" ht="15" hidden="1" thickTop="1" x14ac:dyDescent="0.35">
      <c r="A231" t="s">
        <v>3084</v>
      </c>
      <c r="B231" t="s">
        <v>3106</v>
      </c>
      <c r="C231" t="s">
        <v>66</v>
      </c>
      <c r="D231" t="s">
        <v>3107</v>
      </c>
      <c r="E231" t="s">
        <v>559</v>
      </c>
      <c r="F231">
        <v>1</v>
      </c>
      <c r="G231" t="s">
        <v>2050</v>
      </c>
      <c r="H231" t="s">
        <v>2051</v>
      </c>
      <c r="I231" t="s">
        <v>53</v>
      </c>
      <c r="J231" t="s">
        <v>67</v>
      </c>
      <c r="K231" t="s">
        <v>68</v>
      </c>
      <c r="L231" t="s">
        <v>2052</v>
      </c>
      <c r="M231" t="s">
        <v>2053</v>
      </c>
      <c r="N231">
        <v>0</v>
      </c>
      <c r="O231">
        <v>0</v>
      </c>
      <c r="P231">
        <v>0</v>
      </c>
      <c r="Q231">
        <v>1440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330</v>
      </c>
      <c r="AH231" s="21" t="s">
        <v>3424</v>
      </c>
      <c r="AI231" s="21">
        <v>107.92500000000001</v>
      </c>
      <c r="AJ231" s="21">
        <v>100</v>
      </c>
      <c r="AK231" s="21" t="s">
        <v>2054</v>
      </c>
      <c r="AL231" t="s">
        <v>70</v>
      </c>
      <c r="AM231" t="s">
        <v>2028</v>
      </c>
    </row>
    <row r="232" spans="1:39" ht="15" hidden="1" thickTop="1" x14ac:dyDescent="0.35">
      <c r="A232" t="s">
        <v>3085</v>
      </c>
      <c r="B232" t="s">
        <v>3109</v>
      </c>
      <c r="C232" t="s">
        <v>100</v>
      </c>
      <c r="D232" t="s">
        <v>3110</v>
      </c>
      <c r="E232" t="s">
        <v>559</v>
      </c>
      <c r="F232">
        <v>1</v>
      </c>
      <c r="G232" t="s">
        <v>2050</v>
      </c>
      <c r="H232" t="s">
        <v>2051</v>
      </c>
      <c r="I232" t="s">
        <v>53</v>
      </c>
      <c r="J232" t="s">
        <v>67</v>
      </c>
      <c r="K232" t="s">
        <v>68</v>
      </c>
      <c r="L232" t="s">
        <v>2052</v>
      </c>
      <c r="M232" t="s">
        <v>2053</v>
      </c>
      <c r="N232">
        <v>0</v>
      </c>
      <c r="O232">
        <v>0</v>
      </c>
      <c r="P232">
        <v>0</v>
      </c>
      <c r="Q232">
        <v>1440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331</v>
      </c>
      <c r="AH232" s="21" t="s">
        <v>3424</v>
      </c>
      <c r="AI232" s="21">
        <v>107.92500000000001</v>
      </c>
      <c r="AJ232" s="21">
        <v>100</v>
      </c>
      <c r="AK232" s="21" t="s">
        <v>2054</v>
      </c>
      <c r="AL232" t="s">
        <v>70</v>
      </c>
      <c r="AM232" t="s">
        <v>2029</v>
      </c>
    </row>
    <row r="233" spans="1:39" ht="15" hidden="1" thickTop="1" x14ac:dyDescent="0.35">
      <c r="A233" t="s">
        <v>3088</v>
      </c>
      <c r="B233" t="s">
        <v>3112</v>
      </c>
      <c r="C233" t="s">
        <v>66</v>
      </c>
      <c r="D233" t="s">
        <v>3113</v>
      </c>
      <c r="E233" t="s">
        <v>559</v>
      </c>
      <c r="F233">
        <v>1</v>
      </c>
      <c r="G233" t="s">
        <v>2050</v>
      </c>
      <c r="H233" t="s">
        <v>2051</v>
      </c>
      <c r="I233" t="s">
        <v>53</v>
      </c>
      <c r="J233" t="s">
        <v>67</v>
      </c>
      <c r="K233" t="s">
        <v>68</v>
      </c>
      <c r="L233" t="s">
        <v>2052</v>
      </c>
      <c r="M233" t="s">
        <v>2053</v>
      </c>
      <c r="N233">
        <v>0</v>
      </c>
      <c r="O233">
        <v>0</v>
      </c>
      <c r="P233">
        <v>0</v>
      </c>
      <c r="Q233">
        <v>1440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t="s">
        <v>332</v>
      </c>
      <c r="AH233" s="21" t="s">
        <v>3424</v>
      </c>
      <c r="AI233" s="21">
        <v>107.92500000000001</v>
      </c>
      <c r="AJ233" s="21">
        <v>100</v>
      </c>
      <c r="AK233" s="21" t="s">
        <v>2054</v>
      </c>
      <c r="AL233" t="s">
        <v>70</v>
      </c>
      <c r="AM233" t="s">
        <v>2029</v>
      </c>
    </row>
    <row r="234" spans="1:39" ht="15" hidden="1" thickTop="1" x14ac:dyDescent="0.35">
      <c r="A234" t="s">
        <v>3089</v>
      </c>
      <c r="B234" t="s">
        <v>3114</v>
      </c>
      <c r="C234" t="s">
        <v>76</v>
      </c>
      <c r="D234" t="s">
        <v>3115</v>
      </c>
      <c r="E234" t="s">
        <v>559</v>
      </c>
      <c r="F234">
        <v>1</v>
      </c>
      <c r="G234" t="s">
        <v>2050</v>
      </c>
      <c r="H234" t="s">
        <v>2051</v>
      </c>
      <c r="I234" t="s">
        <v>53</v>
      </c>
      <c r="J234" t="s">
        <v>67</v>
      </c>
      <c r="K234" t="s">
        <v>68</v>
      </c>
      <c r="L234" t="s">
        <v>2052</v>
      </c>
      <c r="M234" t="s">
        <v>2053</v>
      </c>
      <c r="N234">
        <v>0</v>
      </c>
      <c r="O234">
        <v>0</v>
      </c>
      <c r="P234">
        <v>0</v>
      </c>
      <c r="Q234">
        <v>1440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333</v>
      </c>
      <c r="AH234" s="21" t="s">
        <v>3429</v>
      </c>
      <c r="AI234" s="21">
        <v>107.92500000000001</v>
      </c>
      <c r="AJ234" s="21">
        <v>100</v>
      </c>
      <c r="AK234" s="21" t="s">
        <v>2054</v>
      </c>
      <c r="AL234" t="s">
        <v>70</v>
      </c>
      <c r="AM234" t="s">
        <v>2027</v>
      </c>
    </row>
    <row r="235" spans="1:39" ht="15" hidden="1" thickTop="1" x14ac:dyDescent="0.35">
      <c r="A235" t="s">
        <v>3091</v>
      </c>
      <c r="B235" t="s">
        <v>3116</v>
      </c>
      <c r="C235" t="s">
        <v>66</v>
      </c>
      <c r="D235" t="s">
        <v>3117</v>
      </c>
      <c r="E235" t="s">
        <v>559</v>
      </c>
      <c r="F235">
        <v>1</v>
      </c>
      <c r="G235" t="s">
        <v>2050</v>
      </c>
      <c r="H235" t="s">
        <v>2051</v>
      </c>
      <c r="I235" t="s">
        <v>53</v>
      </c>
      <c r="J235" t="s">
        <v>67</v>
      </c>
      <c r="K235" t="s">
        <v>68</v>
      </c>
      <c r="L235" t="s">
        <v>2052</v>
      </c>
      <c r="M235" t="s">
        <v>2053</v>
      </c>
      <c r="N235">
        <v>0</v>
      </c>
      <c r="O235">
        <v>0</v>
      </c>
      <c r="P235">
        <v>0</v>
      </c>
      <c r="Q235">
        <v>1440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334</v>
      </c>
      <c r="AH235" s="21" t="s">
        <v>3424</v>
      </c>
      <c r="AI235" s="21">
        <v>107.92500000000001</v>
      </c>
      <c r="AJ235" s="21">
        <v>100</v>
      </c>
      <c r="AK235" s="21" t="s">
        <v>2054</v>
      </c>
      <c r="AL235" t="s">
        <v>70</v>
      </c>
      <c r="AM235" t="s">
        <v>2029</v>
      </c>
    </row>
    <row r="236" spans="1:39" ht="15" hidden="1" thickTop="1" x14ac:dyDescent="0.35">
      <c r="A236" t="s">
        <v>3097</v>
      </c>
      <c r="B236" t="s">
        <v>3119</v>
      </c>
      <c r="C236" t="s">
        <v>102</v>
      </c>
      <c r="D236" t="s">
        <v>3120</v>
      </c>
      <c r="E236" t="s">
        <v>559</v>
      </c>
      <c r="F236">
        <v>1</v>
      </c>
      <c r="G236" t="s">
        <v>2050</v>
      </c>
      <c r="H236" t="s">
        <v>2051</v>
      </c>
      <c r="I236" t="s">
        <v>53</v>
      </c>
      <c r="J236" t="s">
        <v>67</v>
      </c>
      <c r="K236" t="s">
        <v>68</v>
      </c>
      <c r="L236" t="s">
        <v>2052</v>
      </c>
      <c r="M236" t="s">
        <v>2053</v>
      </c>
      <c r="N236">
        <v>0</v>
      </c>
      <c r="O236">
        <v>0</v>
      </c>
      <c r="P236">
        <v>0</v>
      </c>
      <c r="Q236">
        <v>1440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335</v>
      </c>
      <c r="AH236" s="21" t="s">
        <v>3424</v>
      </c>
      <c r="AI236" s="21">
        <v>107.92500000000001</v>
      </c>
      <c r="AJ236" s="21">
        <v>100</v>
      </c>
      <c r="AK236" s="21" t="s">
        <v>2054</v>
      </c>
      <c r="AL236" t="s">
        <v>70</v>
      </c>
      <c r="AM236" t="s">
        <v>2028</v>
      </c>
    </row>
    <row r="237" spans="1:39" ht="15" hidden="1" thickTop="1" x14ac:dyDescent="0.35">
      <c r="A237" t="s">
        <v>3098</v>
      </c>
      <c r="B237" t="s">
        <v>3122</v>
      </c>
      <c r="C237" t="s">
        <v>100</v>
      </c>
      <c r="D237" t="s">
        <v>3123</v>
      </c>
      <c r="E237" t="s">
        <v>559</v>
      </c>
      <c r="F237">
        <v>1</v>
      </c>
      <c r="G237" t="s">
        <v>2050</v>
      </c>
      <c r="H237" t="s">
        <v>2051</v>
      </c>
      <c r="I237" t="s">
        <v>53</v>
      </c>
      <c r="J237" t="s">
        <v>67</v>
      </c>
      <c r="K237" t="s">
        <v>68</v>
      </c>
      <c r="L237" t="s">
        <v>2052</v>
      </c>
      <c r="M237" t="s">
        <v>2064</v>
      </c>
      <c r="N237">
        <v>0</v>
      </c>
      <c r="O237">
        <v>0</v>
      </c>
      <c r="P237">
        <v>0</v>
      </c>
      <c r="Q237">
        <v>900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336</v>
      </c>
      <c r="AH237" s="21" t="s">
        <v>3424</v>
      </c>
      <c r="AI237" s="21">
        <v>67.5</v>
      </c>
      <c r="AJ237" s="21">
        <v>100</v>
      </c>
      <c r="AK237" s="21" t="s">
        <v>2054</v>
      </c>
      <c r="AL237" t="s">
        <v>70</v>
      </c>
      <c r="AM237" t="s">
        <v>2027</v>
      </c>
    </row>
    <row r="238" spans="1:39" ht="15" hidden="1" thickTop="1" x14ac:dyDescent="0.35">
      <c r="A238" t="s">
        <v>3104</v>
      </c>
      <c r="B238" t="s">
        <v>3128</v>
      </c>
      <c r="C238" t="s">
        <v>92</v>
      </c>
      <c r="D238" t="s">
        <v>3129</v>
      </c>
      <c r="E238" t="s">
        <v>119</v>
      </c>
      <c r="F238">
        <v>1</v>
      </c>
      <c r="G238" t="s">
        <v>2050</v>
      </c>
      <c r="H238" t="s">
        <v>2051</v>
      </c>
      <c r="I238" t="s">
        <v>53</v>
      </c>
      <c r="J238" t="s">
        <v>67</v>
      </c>
      <c r="K238" t="s">
        <v>68</v>
      </c>
      <c r="L238" t="s">
        <v>2052</v>
      </c>
      <c r="M238" t="s">
        <v>2064</v>
      </c>
      <c r="N238">
        <v>0</v>
      </c>
      <c r="O238">
        <v>0</v>
      </c>
      <c r="P238">
        <v>0</v>
      </c>
      <c r="Q238">
        <v>900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337</v>
      </c>
      <c r="AH238" s="21" t="s">
        <v>3425</v>
      </c>
      <c r="AI238" s="21">
        <v>67.5</v>
      </c>
      <c r="AJ238" s="21">
        <v>100</v>
      </c>
      <c r="AK238" s="21" t="s">
        <v>2054</v>
      </c>
      <c r="AL238" t="s">
        <v>70</v>
      </c>
      <c r="AM238" t="s">
        <v>2029</v>
      </c>
    </row>
    <row r="239" spans="1:39" ht="15" hidden="1" thickTop="1" x14ac:dyDescent="0.35">
      <c r="A239" t="s">
        <v>3121</v>
      </c>
      <c r="B239" t="s">
        <v>3131</v>
      </c>
      <c r="C239" t="s">
        <v>71</v>
      </c>
      <c r="D239" t="s">
        <v>3132</v>
      </c>
      <c r="E239" t="s">
        <v>72</v>
      </c>
      <c r="F239">
        <v>1</v>
      </c>
      <c r="G239" t="s">
        <v>2050</v>
      </c>
      <c r="H239" t="s">
        <v>2051</v>
      </c>
      <c r="I239" t="s">
        <v>53</v>
      </c>
      <c r="J239" t="s">
        <v>73</v>
      </c>
      <c r="K239" t="s">
        <v>68</v>
      </c>
      <c r="L239" t="s">
        <v>2052</v>
      </c>
      <c r="M239" t="s">
        <v>2082</v>
      </c>
      <c r="N239">
        <v>0</v>
      </c>
      <c r="O239">
        <v>0</v>
      </c>
      <c r="P239">
        <v>0</v>
      </c>
      <c r="Q239">
        <v>780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t="s">
        <v>339</v>
      </c>
      <c r="AH239" s="21" t="s">
        <v>3424</v>
      </c>
      <c r="AI239" s="21">
        <v>58.500000000000014</v>
      </c>
      <c r="AJ239" s="21">
        <v>100</v>
      </c>
      <c r="AK239" s="21" t="s">
        <v>2054</v>
      </c>
      <c r="AL239" t="s">
        <v>75</v>
      </c>
      <c r="AM239" t="s">
        <v>2027</v>
      </c>
    </row>
    <row r="240" spans="1:39" ht="15" hidden="1" thickTop="1" x14ac:dyDescent="0.35">
      <c r="A240" t="s">
        <v>3124</v>
      </c>
      <c r="B240" t="s">
        <v>3133</v>
      </c>
      <c r="C240" t="s">
        <v>135</v>
      </c>
      <c r="D240" t="s">
        <v>3134</v>
      </c>
      <c r="E240" t="s">
        <v>136</v>
      </c>
      <c r="F240">
        <v>4</v>
      </c>
      <c r="G240" t="s">
        <v>2050</v>
      </c>
      <c r="H240" t="s">
        <v>2051</v>
      </c>
      <c r="I240" t="s">
        <v>53</v>
      </c>
      <c r="J240" t="s">
        <v>137</v>
      </c>
      <c r="K240" t="s">
        <v>68</v>
      </c>
      <c r="L240" t="s">
        <v>2052</v>
      </c>
      <c r="M240" t="s">
        <v>2053</v>
      </c>
      <c r="N240">
        <v>0</v>
      </c>
      <c r="O240">
        <v>0</v>
      </c>
      <c r="P240">
        <v>0</v>
      </c>
      <c r="Q240">
        <v>1440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t="s">
        <v>340</v>
      </c>
      <c r="AH240" s="21" t="s">
        <v>3430</v>
      </c>
      <c r="AI240" s="21">
        <v>107.92500000000001</v>
      </c>
      <c r="AJ240" s="21">
        <v>100</v>
      </c>
      <c r="AK240" s="21" t="s">
        <v>2055</v>
      </c>
      <c r="AL240" t="s">
        <v>115</v>
      </c>
      <c r="AM240" t="s">
        <v>2029</v>
      </c>
    </row>
    <row r="241" spans="1:39" ht="15" hidden="1" thickTop="1" x14ac:dyDescent="0.35">
      <c r="A241" t="s">
        <v>3125</v>
      </c>
      <c r="B241" t="s">
        <v>3135</v>
      </c>
      <c r="C241" t="s">
        <v>820</v>
      </c>
      <c r="D241" t="s">
        <v>3136</v>
      </c>
      <c r="E241" t="s">
        <v>72</v>
      </c>
      <c r="F241">
        <v>1</v>
      </c>
      <c r="G241" t="s">
        <v>2050</v>
      </c>
      <c r="H241" t="s">
        <v>2051</v>
      </c>
      <c r="I241" t="s">
        <v>53</v>
      </c>
      <c r="J241" t="s">
        <v>424</v>
      </c>
      <c r="K241" t="s">
        <v>68</v>
      </c>
      <c r="L241" t="s">
        <v>2052</v>
      </c>
      <c r="M241" t="s">
        <v>2053</v>
      </c>
      <c r="N241">
        <v>0</v>
      </c>
      <c r="O241">
        <v>0</v>
      </c>
      <c r="P241">
        <v>0</v>
      </c>
      <c r="Q241">
        <v>1440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341</v>
      </c>
      <c r="AH241" s="21" t="s">
        <v>3427</v>
      </c>
      <c r="AI241" s="21">
        <v>107.92500000000001</v>
      </c>
      <c r="AJ241" s="21">
        <v>100</v>
      </c>
      <c r="AK241" s="21" t="s">
        <v>2054</v>
      </c>
      <c r="AL241" t="s">
        <v>75</v>
      </c>
      <c r="AM241" t="s">
        <v>2027</v>
      </c>
    </row>
    <row r="242" spans="1:39" ht="15" hidden="1" thickTop="1" x14ac:dyDescent="0.35">
      <c r="A242" t="s">
        <v>3138</v>
      </c>
      <c r="B242" t="s">
        <v>3145</v>
      </c>
      <c r="C242" t="s">
        <v>117</v>
      </c>
      <c r="D242" t="s">
        <v>3146</v>
      </c>
      <c r="E242" t="s">
        <v>559</v>
      </c>
      <c r="F242">
        <v>1</v>
      </c>
      <c r="G242" t="s">
        <v>2050</v>
      </c>
      <c r="H242" t="s">
        <v>2051</v>
      </c>
      <c r="I242" t="s">
        <v>53</v>
      </c>
      <c r="J242" t="s">
        <v>67</v>
      </c>
      <c r="K242" t="s">
        <v>68</v>
      </c>
      <c r="L242" t="s">
        <v>2052</v>
      </c>
      <c r="M242" t="s">
        <v>2053</v>
      </c>
      <c r="N242">
        <v>0</v>
      </c>
      <c r="O242">
        <v>0</v>
      </c>
      <c r="P242">
        <v>0</v>
      </c>
      <c r="Q242">
        <v>1440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t="s">
        <v>342</v>
      </c>
      <c r="AH242" s="21" t="s">
        <v>3424</v>
      </c>
      <c r="AI242" s="21">
        <v>107.92500000000001</v>
      </c>
      <c r="AJ242" s="21">
        <v>100</v>
      </c>
      <c r="AK242" s="21" t="s">
        <v>2054</v>
      </c>
      <c r="AL242" t="s">
        <v>70</v>
      </c>
      <c r="AM242" t="s">
        <v>2029</v>
      </c>
    </row>
    <row r="243" spans="1:39" ht="15" hidden="1" thickTop="1" x14ac:dyDescent="0.35">
      <c r="A243" t="s">
        <v>3141</v>
      </c>
      <c r="B243" t="s">
        <v>3147</v>
      </c>
      <c r="C243" t="s">
        <v>102</v>
      </c>
      <c r="D243" t="s">
        <v>3148</v>
      </c>
      <c r="E243" t="s">
        <v>559</v>
      </c>
      <c r="F243">
        <v>1</v>
      </c>
      <c r="G243" t="s">
        <v>2050</v>
      </c>
      <c r="H243" t="s">
        <v>2051</v>
      </c>
      <c r="I243" t="s">
        <v>53</v>
      </c>
      <c r="J243" t="s">
        <v>67</v>
      </c>
      <c r="K243" t="s">
        <v>68</v>
      </c>
      <c r="L243" t="s">
        <v>2052</v>
      </c>
      <c r="M243" t="s">
        <v>2053</v>
      </c>
      <c r="N243">
        <v>1</v>
      </c>
      <c r="O243">
        <v>102</v>
      </c>
      <c r="P243">
        <v>7.08</v>
      </c>
      <c r="Q243">
        <v>1440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102</v>
      </c>
      <c r="Z243">
        <v>7.08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t="s">
        <v>343</v>
      </c>
      <c r="AH243" s="21" t="s">
        <v>3424</v>
      </c>
      <c r="AI243" s="21">
        <v>107.92500000000001</v>
      </c>
      <c r="AJ243" s="21">
        <v>92.916666666666671</v>
      </c>
      <c r="AK243" s="21" t="s">
        <v>2055</v>
      </c>
      <c r="AL243" t="s">
        <v>70</v>
      </c>
      <c r="AM243" t="s">
        <v>2027</v>
      </c>
    </row>
    <row r="244" spans="1:39" ht="15" hidden="1" thickTop="1" x14ac:dyDescent="0.35">
      <c r="A244" t="s">
        <v>3149</v>
      </c>
      <c r="B244" t="s">
        <v>3151</v>
      </c>
      <c r="C244" t="s">
        <v>76</v>
      </c>
      <c r="D244" t="s">
        <v>3152</v>
      </c>
      <c r="E244" t="s">
        <v>559</v>
      </c>
      <c r="F244">
        <v>1</v>
      </c>
      <c r="G244" t="s">
        <v>2050</v>
      </c>
      <c r="H244" t="s">
        <v>2051</v>
      </c>
      <c r="I244" t="s">
        <v>53</v>
      </c>
      <c r="J244" t="s">
        <v>67</v>
      </c>
      <c r="K244" t="s">
        <v>68</v>
      </c>
      <c r="L244" t="s">
        <v>2052</v>
      </c>
      <c r="M244" t="s">
        <v>2053</v>
      </c>
      <c r="N244">
        <v>0</v>
      </c>
      <c r="O244">
        <v>0</v>
      </c>
      <c r="P244">
        <v>0</v>
      </c>
      <c r="Q244">
        <v>1440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344</v>
      </c>
      <c r="AH244" s="21" t="s">
        <v>3427</v>
      </c>
      <c r="AI244" s="21">
        <v>107.92500000000001</v>
      </c>
      <c r="AJ244" s="21">
        <v>100</v>
      </c>
      <c r="AK244" s="21" t="s">
        <v>2054</v>
      </c>
      <c r="AL244" t="s">
        <v>70</v>
      </c>
      <c r="AM244" t="s">
        <v>2028</v>
      </c>
    </row>
    <row r="245" spans="1:39" ht="15" hidden="1" thickTop="1" x14ac:dyDescent="0.35">
      <c r="A245" t="s">
        <v>3154</v>
      </c>
      <c r="B245" t="s">
        <v>3165</v>
      </c>
      <c r="C245" t="s">
        <v>117</v>
      </c>
      <c r="D245" t="s">
        <v>3166</v>
      </c>
      <c r="E245" t="s">
        <v>559</v>
      </c>
      <c r="F245">
        <v>1</v>
      </c>
      <c r="G245" t="s">
        <v>2050</v>
      </c>
      <c r="H245" t="s">
        <v>2051</v>
      </c>
      <c r="I245" t="s">
        <v>53</v>
      </c>
      <c r="J245" t="s">
        <v>67</v>
      </c>
      <c r="K245" t="s">
        <v>68</v>
      </c>
      <c r="L245" t="s">
        <v>2052</v>
      </c>
      <c r="M245" t="s">
        <v>2053</v>
      </c>
      <c r="N245">
        <v>0</v>
      </c>
      <c r="O245">
        <v>0</v>
      </c>
      <c r="P245">
        <v>0</v>
      </c>
      <c r="Q245">
        <v>1440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345</v>
      </c>
      <c r="AH245" s="21" t="s">
        <v>3427</v>
      </c>
      <c r="AI245" s="21">
        <v>107.92500000000001</v>
      </c>
      <c r="AJ245" s="21">
        <v>100</v>
      </c>
      <c r="AK245" s="21" t="s">
        <v>2054</v>
      </c>
      <c r="AL245" t="s">
        <v>70</v>
      </c>
      <c r="AM245" t="s">
        <v>2029</v>
      </c>
    </row>
    <row r="246" spans="1:39" ht="15" hidden="1" thickTop="1" x14ac:dyDescent="0.35">
      <c r="A246" t="s">
        <v>2079</v>
      </c>
      <c r="B246" t="s">
        <v>3171</v>
      </c>
      <c r="C246" t="s">
        <v>66</v>
      </c>
      <c r="D246" t="s">
        <v>3010</v>
      </c>
      <c r="E246" t="s">
        <v>559</v>
      </c>
      <c r="F246">
        <v>1</v>
      </c>
      <c r="G246" t="s">
        <v>2050</v>
      </c>
      <c r="H246" t="s">
        <v>2051</v>
      </c>
      <c r="I246" t="s">
        <v>53</v>
      </c>
      <c r="J246" t="s">
        <v>67</v>
      </c>
      <c r="K246" t="s">
        <v>68</v>
      </c>
      <c r="L246" t="s">
        <v>2052</v>
      </c>
      <c r="M246" t="s">
        <v>2053</v>
      </c>
      <c r="N246">
        <v>0</v>
      </c>
      <c r="O246">
        <v>0</v>
      </c>
      <c r="P246">
        <v>0</v>
      </c>
      <c r="Q246">
        <v>1440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346</v>
      </c>
      <c r="AH246" s="21" t="s">
        <v>3428</v>
      </c>
      <c r="AI246" s="21">
        <v>107.92500000000001</v>
      </c>
      <c r="AJ246" s="21">
        <v>100</v>
      </c>
      <c r="AK246" s="21" t="s">
        <v>2055</v>
      </c>
      <c r="AL246" t="s">
        <v>70</v>
      </c>
      <c r="AM246" t="s">
        <v>2030</v>
      </c>
    </row>
    <row r="247" spans="1:39" ht="15" hidden="1" thickTop="1" x14ac:dyDescent="0.35">
      <c r="A247" t="s">
        <v>2589</v>
      </c>
      <c r="B247" t="s">
        <v>3172</v>
      </c>
      <c r="C247" t="s">
        <v>66</v>
      </c>
      <c r="D247" t="s">
        <v>3173</v>
      </c>
      <c r="E247" t="s">
        <v>559</v>
      </c>
      <c r="F247">
        <v>1</v>
      </c>
      <c r="G247" t="s">
        <v>2050</v>
      </c>
      <c r="H247" t="s">
        <v>2051</v>
      </c>
      <c r="I247" t="s">
        <v>53</v>
      </c>
      <c r="J247" t="s">
        <v>67</v>
      </c>
      <c r="K247" t="s">
        <v>68</v>
      </c>
      <c r="L247" t="s">
        <v>2052</v>
      </c>
      <c r="M247" t="s">
        <v>2053</v>
      </c>
      <c r="N247">
        <v>0</v>
      </c>
      <c r="O247">
        <v>0</v>
      </c>
      <c r="P247">
        <v>0</v>
      </c>
      <c r="Q247">
        <v>1440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347</v>
      </c>
      <c r="AH247" s="21" t="s">
        <v>3427</v>
      </c>
      <c r="AI247" s="21">
        <v>107.92500000000001</v>
      </c>
      <c r="AJ247" s="21">
        <v>100</v>
      </c>
      <c r="AK247" s="21" t="s">
        <v>2055</v>
      </c>
      <c r="AL247" t="s">
        <v>70</v>
      </c>
      <c r="AM247" t="s">
        <v>2030</v>
      </c>
    </row>
    <row r="248" spans="1:39" ht="15" hidden="1" thickTop="1" x14ac:dyDescent="0.35">
      <c r="A248" t="s">
        <v>3168</v>
      </c>
      <c r="B248" t="s">
        <v>3174</v>
      </c>
      <c r="C248" t="s">
        <v>117</v>
      </c>
      <c r="D248" t="s">
        <v>3175</v>
      </c>
      <c r="E248" t="s">
        <v>559</v>
      </c>
      <c r="F248">
        <v>1</v>
      </c>
      <c r="G248" t="s">
        <v>2050</v>
      </c>
      <c r="H248" t="s">
        <v>2051</v>
      </c>
      <c r="I248" t="s">
        <v>53</v>
      </c>
      <c r="J248" t="s">
        <v>67</v>
      </c>
      <c r="K248" t="s">
        <v>68</v>
      </c>
      <c r="L248" t="s">
        <v>2052</v>
      </c>
      <c r="M248" t="s">
        <v>2053</v>
      </c>
      <c r="N248">
        <v>0</v>
      </c>
      <c r="O248">
        <v>0</v>
      </c>
      <c r="P248">
        <v>0</v>
      </c>
      <c r="Q248">
        <v>1440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348</v>
      </c>
      <c r="AH248" s="21" t="s">
        <v>3430</v>
      </c>
      <c r="AI248" s="21">
        <v>107.92500000000001</v>
      </c>
      <c r="AJ248" s="21">
        <v>100</v>
      </c>
      <c r="AK248" s="21" t="s">
        <v>2054</v>
      </c>
      <c r="AL248" t="s">
        <v>70</v>
      </c>
      <c r="AM248" t="s">
        <v>2030</v>
      </c>
    </row>
    <row r="249" spans="1:39" ht="15" hidden="1" thickTop="1" x14ac:dyDescent="0.35">
      <c r="A249" t="s">
        <v>3177</v>
      </c>
      <c r="B249" t="s">
        <v>3186</v>
      </c>
      <c r="C249" t="s">
        <v>117</v>
      </c>
      <c r="D249" t="s">
        <v>3187</v>
      </c>
      <c r="E249" t="s">
        <v>559</v>
      </c>
      <c r="F249">
        <v>1</v>
      </c>
      <c r="G249" t="s">
        <v>2050</v>
      </c>
      <c r="H249" t="s">
        <v>2051</v>
      </c>
      <c r="I249" t="s">
        <v>53</v>
      </c>
      <c r="J249" t="s">
        <v>67</v>
      </c>
      <c r="K249" t="s">
        <v>68</v>
      </c>
      <c r="L249" t="s">
        <v>2052</v>
      </c>
      <c r="M249" t="s">
        <v>2053</v>
      </c>
      <c r="N249">
        <v>0</v>
      </c>
      <c r="O249">
        <v>0</v>
      </c>
      <c r="P249">
        <v>0</v>
      </c>
      <c r="Q249">
        <v>1440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349</v>
      </c>
      <c r="AH249" s="21" t="s">
        <v>3427</v>
      </c>
      <c r="AI249" s="21">
        <v>107.92500000000001</v>
      </c>
      <c r="AJ249" s="21">
        <v>100</v>
      </c>
      <c r="AK249" s="21" t="s">
        <v>2054</v>
      </c>
      <c r="AL249" t="s">
        <v>70</v>
      </c>
      <c r="AM249" t="s">
        <v>2029</v>
      </c>
    </row>
    <row r="250" spans="1:39" ht="15" hidden="1" thickTop="1" x14ac:dyDescent="0.35">
      <c r="A250" t="s">
        <v>3178</v>
      </c>
      <c r="B250" t="s">
        <v>3188</v>
      </c>
      <c r="C250" t="s">
        <v>92</v>
      </c>
      <c r="D250" t="s">
        <v>3189</v>
      </c>
      <c r="E250" t="s">
        <v>119</v>
      </c>
      <c r="F250">
        <v>1</v>
      </c>
      <c r="G250" t="s">
        <v>2050</v>
      </c>
      <c r="H250" t="s">
        <v>2051</v>
      </c>
      <c r="I250" t="s">
        <v>53</v>
      </c>
      <c r="J250" t="s">
        <v>67</v>
      </c>
      <c r="K250" t="s">
        <v>68</v>
      </c>
      <c r="L250" t="s">
        <v>2052</v>
      </c>
      <c r="M250" t="s">
        <v>2053</v>
      </c>
      <c r="N250">
        <v>0</v>
      </c>
      <c r="O250">
        <v>0</v>
      </c>
      <c r="P250">
        <v>0</v>
      </c>
      <c r="Q250">
        <v>1440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350</v>
      </c>
      <c r="AH250" s="21" t="s">
        <v>3427</v>
      </c>
      <c r="AI250" s="21">
        <v>107.92500000000001</v>
      </c>
      <c r="AJ250" s="21">
        <v>100</v>
      </c>
      <c r="AK250" s="21" t="s">
        <v>2054</v>
      </c>
      <c r="AL250" t="s">
        <v>70</v>
      </c>
      <c r="AM250" t="s">
        <v>2027</v>
      </c>
    </row>
    <row r="251" spans="1:39" ht="15" hidden="1" thickTop="1" x14ac:dyDescent="0.35">
      <c r="A251" t="s">
        <v>3183</v>
      </c>
      <c r="B251" t="s">
        <v>3190</v>
      </c>
      <c r="C251" t="s">
        <v>71</v>
      </c>
      <c r="D251" t="s">
        <v>3191</v>
      </c>
      <c r="E251" t="s">
        <v>72</v>
      </c>
      <c r="F251">
        <v>1</v>
      </c>
      <c r="G251" t="s">
        <v>2050</v>
      </c>
      <c r="H251" t="s">
        <v>2051</v>
      </c>
      <c r="I251" t="s">
        <v>53</v>
      </c>
      <c r="J251" t="s">
        <v>73</v>
      </c>
      <c r="K251" t="s">
        <v>68</v>
      </c>
      <c r="L251" t="s">
        <v>2052</v>
      </c>
      <c r="M251" t="s">
        <v>2053</v>
      </c>
      <c r="N251">
        <v>0</v>
      </c>
      <c r="O251">
        <v>0</v>
      </c>
      <c r="P251">
        <v>0</v>
      </c>
      <c r="Q251">
        <v>1440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351</v>
      </c>
      <c r="AH251" s="21" t="s">
        <v>3427</v>
      </c>
      <c r="AI251" s="21">
        <v>107.92500000000001</v>
      </c>
      <c r="AJ251" s="21">
        <v>100</v>
      </c>
      <c r="AK251" s="21" t="s">
        <v>2054</v>
      </c>
      <c r="AL251" t="s">
        <v>75</v>
      </c>
      <c r="AM251" t="s">
        <v>2030</v>
      </c>
    </row>
    <row r="252" spans="1:39" ht="15" hidden="1" thickTop="1" x14ac:dyDescent="0.35">
      <c r="A252" t="s">
        <v>3192</v>
      </c>
      <c r="B252" t="s">
        <v>3201</v>
      </c>
      <c r="C252" t="s">
        <v>76</v>
      </c>
      <c r="D252" t="s">
        <v>3202</v>
      </c>
      <c r="E252" t="s">
        <v>559</v>
      </c>
      <c r="F252">
        <v>1</v>
      </c>
      <c r="G252" t="s">
        <v>2050</v>
      </c>
      <c r="H252" t="s">
        <v>2051</v>
      </c>
      <c r="I252" t="s">
        <v>53</v>
      </c>
      <c r="J252" t="s">
        <v>67</v>
      </c>
      <c r="K252" t="s">
        <v>68</v>
      </c>
      <c r="L252" t="s">
        <v>2052</v>
      </c>
      <c r="M252" t="s">
        <v>2064</v>
      </c>
      <c r="N252">
        <v>0</v>
      </c>
      <c r="O252">
        <v>0</v>
      </c>
      <c r="P252">
        <v>0</v>
      </c>
      <c r="Q252">
        <v>900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353</v>
      </c>
      <c r="AH252" s="21" t="s">
        <v>3425</v>
      </c>
      <c r="AI252" s="21">
        <v>67.5</v>
      </c>
      <c r="AJ252" s="21">
        <v>100</v>
      </c>
      <c r="AK252" s="21" t="s">
        <v>2054</v>
      </c>
      <c r="AL252" t="s">
        <v>70</v>
      </c>
      <c r="AM252" t="s">
        <v>2028</v>
      </c>
    </row>
    <row r="253" spans="1:39" ht="15" hidden="1" thickTop="1" x14ac:dyDescent="0.35">
      <c r="A253" t="s">
        <v>3193</v>
      </c>
      <c r="B253" t="s">
        <v>3204</v>
      </c>
      <c r="C253" t="s">
        <v>102</v>
      </c>
      <c r="D253" t="s">
        <v>3205</v>
      </c>
      <c r="E253" t="s">
        <v>559</v>
      </c>
      <c r="F253">
        <v>1</v>
      </c>
      <c r="G253" t="s">
        <v>2050</v>
      </c>
      <c r="H253" t="s">
        <v>2051</v>
      </c>
      <c r="I253" t="s">
        <v>53</v>
      </c>
      <c r="J253" t="s">
        <v>67</v>
      </c>
      <c r="K253" t="s">
        <v>68</v>
      </c>
      <c r="L253" t="s">
        <v>2052</v>
      </c>
      <c r="M253" t="s">
        <v>2053</v>
      </c>
      <c r="N253">
        <v>0</v>
      </c>
      <c r="O253">
        <v>0</v>
      </c>
      <c r="P253">
        <v>0</v>
      </c>
      <c r="Q253">
        <v>1440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t="s">
        <v>354</v>
      </c>
      <c r="AH253" s="21" t="s">
        <v>3425</v>
      </c>
      <c r="AI253" s="21">
        <v>107.92500000000001</v>
      </c>
      <c r="AJ253" s="21">
        <v>100</v>
      </c>
      <c r="AK253" s="21" t="s">
        <v>2054</v>
      </c>
      <c r="AL253" t="s">
        <v>70</v>
      </c>
      <c r="AM253" t="s">
        <v>2027</v>
      </c>
    </row>
    <row r="254" spans="1:39" ht="15" hidden="1" thickTop="1" x14ac:dyDescent="0.35">
      <c r="A254" t="s">
        <v>3197</v>
      </c>
      <c r="B254" t="s">
        <v>3216</v>
      </c>
      <c r="C254" t="s">
        <v>111</v>
      </c>
      <c r="D254" t="s">
        <v>3217</v>
      </c>
      <c r="E254" t="s">
        <v>112</v>
      </c>
      <c r="F254">
        <v>1</v>
      </c>
      <c r="G254" t="s">
        <v>2050</v>
      </c>
      <c r="H254" t="s">
        <v>2051</v>
      </c>
      <c r="I254" t="s">
        <v>53</v>
      </c>
      <c r="J254" t="s">
        <v>113</v>
      </c>
      <c r="K254" t="s">
        <v>68</v>
      </c>
      <c r="L254" t="s">
        <v>2052</v>
      </c>
      <c r="M254" t="s">
        <v>2053</v>
      </c>
      <c r="N254">
        <v>0</v>
      </c>
      <c r="O254">
        <v>0</v>
      </c>
      <c r="P254">
        <v>0</v>
      </c>
      <c r="Q254">
        <v>1440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355</v>
      </c>
      <c r="AH254" s="21" t="s">
        <v>3424</v>
      </c>
      <c r="AI254" s="21">
        <v>107.92500000000001</v>
      </c>
      <c r="AJ254" s="21">
        <v>100</v>
      </c>
      <c r="AK254" s="21" t="s">
        <v>2054</v>
      </c>
      <c r="AL254" t="s">
        <v>115</v>
      </c>
      <c r="AM254" t="s">
        <v>2029</v>
      </c>
    </row>
    <row r="255" spans="1:39" ht="15" hidden="1" thickTop="1" x14ac:dyDescent="0.35">
      <c r="A255" t="s">
        <v>3206</v>
      </c>
      <c r="B255" t="s">
        <v>3219</v>
      </c>
      <c r="C255" t="s">
        <v>92</v>
      </c>
      <c r="D255" t="s">
        <v>3220</v>
      </c>
      <c r="E255" t="s">
        <v>119</v>
      </c>
      <c r="F255">
        <v>1</v>
      </c>
      <c r="G255" t="s">
        <v>2050</v>
      </c>
      <c r="H255" t="s">
        <v>2051</v>
      </c>
      <c r="I255" t="s">
        <v>53</v>
      </c>
      <c r="J255" t="s">
        <v>67</v>
      </c>
      <c r="K255" t="s">
        <v>68</v>
      </c>
      <c r="L255" t="s">
        <v>2052</v>
      </c>
      <c r="M255" t="s">
        <v>2082</v>
      </c>
      <c r="N255">
        <v>0</v>
      </c>
      <c r="O255">
        <v>0</v>
      </c>
      <c r="P255">
        <v>0</v>
      </c>
      <c r="Q255">
        <v>780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t="s">
        <v>356</v>
      </c>
      <c r="AH255" s="21" t="s">
        <v>3424</v>
      </c>
      <c r="AI255" s="21">
        <v>58.500000000000014</v>
      </c>
      <c r="AJ255" s="21">
        <v>100</v>
      </c>
      <c r="AK255" s="21" t="s">
        <v>2054</v>
      </c>
      <c r="AL255" t="s">
        <v>70</v>
      </c>
      <c r="AM255" t="s">
        <v>2027</v>
      </c>
    </row>
    <row r="256" spans="1:39" ht="15" hidden="1" thickTop="1" x14ac:dyDescent="0.35">
      <c r="A256" t="s">
        <v>3210</v>
      </c>
      <c r="B256" t="s">
        <v>3230</v>
      </c>
      <c r="C256" t="s">
        <v>100</v>
      </c>
      <c r="D256" t="s">
        <v>3231</v>
      </c>
      <c r="E256" t="s">
        <v>559</v>
      </c>
      <c r="F256">
        <v>1</v>
      </c>
      <c r="G256" t="s">
        <v>2050</v>
      </c>
      <c r="H256" t="s">
        <v>2051</v>
      </c>
      <c r="I256" t="s">
        <v>53</v>
      </c>
      <c r="J256" t="s">
        <v>67</v>
      </c>
      <c r="K256" t="s">
        <v>68</v>
      </c>
      <c r="L256" t="s">
        <v>2052</v>
      </c>
      <c r="M256" t="s">
        <v>2064</v>
      </c>
      <c r="N256">
        <v>0</v>
      </c>
      <c r="O256">
        <v>0</v>
      </c>
      <c r="P256">
        <v>0</v>
      </c>
      <c r="Q256">
        <v>900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t="s">
        <v>358</v>
      </c>
      <c r="AH256" s="21" t="s">
        <v>3424</v>
      </c>
      <c r="AI256" s="21">
        <v>67.5</v>
      </c>
      <c r="AJ256" s="21">
        <v>100</v>
      </c>
      <c r="AK256" s="21" t="s">
        <v>2054</v>
      </c>
      <c r="AL256" t="s">
        <v>70</v>
      </c>
      <c r="AM256" t="s">
        <v>2028</v>
      </c>
    </row>
    <row r="257" spans="1:39" ht="15" hidden="1" thickTop="1" x14ac:dyDescent="0.35">
      <c r="A257" t="s">
        <v>3212</v>
      </c>
      <c r="B257" t="s">
        <v>3234</v>
      </c>
      <c r="C257" t="s">
        <v>102</v>
      </c>
      <c r="D257" t="s">
        <v>3235</v>
      </c>
      <c r="E257" t="s">
        <v>559</v>
      </c>
      <c r="F257">
        <v>1</v>
      </c>
      <c r="G257" t="s">
        <v>2050</v>
      </c>
      <c r="H257" t="s">
        <v>2051</v>
      </c>
      <c r="I257" t="s">
        <v>53</v>
      </c>
      <c r="J257" t="s">
        <v>67</v>
      </c>
      <c r="K257" t="s">
        <v>68</v>
      </c>
      <c r="L257" t="s">
        <v>2052</v>
      </c>
      <c r="M257" t="s">
        <v>2053</v>
      </c>
      <c r="N257">
        <v>0</v>
      </c>
      <c r="O257">
        <v>0</v>
      </c>
      <c r="P257">
        <v>0</v>
      </c>
      <c r="Q257">
        <v>1440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 t="s">
        <v>359</v>
      </c>
      <c r="AH257" s="21" t="s">
        <v>3424</v>
      </c>
      <c r="AI257" s="21">
        <v>107.92500000000001</v>
      </c>
      <c r="AJ257" s="21">
        <v>100</v>
      </c>
      <c r="AK257" s="21" t="s">
        <v>2054</v>
      </c>
      <c r="AL257" t="s">
        <v>70</v>
      </c>
      <c r="AM257" t="s">
        <v>2029</v>
      </c>
    </row>
    <row r="258" spans="1:39" ht="15" hidden="1" thickTop="1" x14ac:dyDescent="0.35">
      <c r="A258" t="s">
        <v>3221</v>
      </c>
      <c r="B258" t="s">
        <v>3243</v>
      </c>
      <c r="C258" t="s">
        <v>81</v>
      </c>
      <c r="D258" t="s">
        <v>3244</v>
      </c>
      <c r="E258" t="s">
        <v>559</v>
      </c>
      <c r="F258">
        <v>2</v>
      </c>
      <c r="G258" t="s">
        <v>2050</v>
      </c>
      <c r="H258" t="s">
        <v>2051</v>
      </c>
      <c r="I258" t="s">
        <v>53</v>
      </c>
      <c r="J258" t="s">
        <v>82</v>
      </c>
      <c r="K258" t="s">
        <v>68</v>
      </c>
      <c r="L258" t="s">
        <v>2052</v>
      </c>
      <c r="M258" t="s">
        <v>2078</v>
      </c>
      <c r="N258">
        <v>0</v>
      </c>
      <c r="O258">
        <v>0</v>
      </c>
      <c r="P258">
        <v>0</v>
      </c>
      <c r="Q258">
        <v>960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 t="s">
        <v>360</v>
      </c>
      <c r="AH258" s="21" t="s">
        <v>3424</v>
      </c>
      <c r="AI258" s="21">
        <v>72</v>
      </c>
      <c r="AJ258" s="21">
        <v>100</v>
      </c>
      <c r="AK258" s="21" t="s">
        <v>2054</v>
      </c>
      <c r="AL258" t="s">
        <v>70</v>
      </c>
      <c r="AM258" t="s">
        <v>2030</v>
      </c>
    </row>
    <row r="259" spans="1:39" ht="15" hidden="1" thickTop="1" x14ac:dyDescent="0.35">
      <c r="A259" t="s">
        <v>3223</v>
      </c>
      <c r="B259" t="s">
        <v>3247</v>
      </c>
      <c r="C259" t="s">
        <v>78</v>
      </c>
      <c r="D259" t="s">
        <v>3248</v>
      </c>
      <c r="E259" t="s">
        <v>559</v>
      </c>
      <c r="F259">
        <v>1</v>
      </c>
      <c r="G259" t="s">
        <v>2050</v>
      </c>
      <c r="H259" t="s">
        <v>2051</v>
      </c>
      <c r="I259" t="s">
        <v>53</v>
      </c>
      <c r="J259" t="s">
        <v>67</v>
      </c>
      <c r="K259" t="s">
        <v>68</v>
      </c>
      <c r="L259" t="s">
        <v>2052</v>
      </c>
      <c r="M259" t="s">
        <v>2053</v>
      </c>
      <c r="N259">
        <v>0</v>
      </c>
      <c r="O259">
        <v>0</v>
      </c>
      <c r="P259">
        <v>0</v>
      </c>
      <c r="Q259">
        <v>1440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361</v>
      </c>
      <c r="AH259" s="21" t="s">
        <v>3429</v>
      </c>
      <c r="AI259" s="21">
        <v>107.92500000000001</v>
      </c>
      <c r="AJ259" s="21">
        <v>100</v>
      </c>
      <c r="AK259" s="21" t="s">
        <v>2054</v>
      </c>
      <c r="AL259" t="s">
        <v>70</v>
      </c>
      <c r="AM259" t="s">
        <v>2029</v>
      </c>
    </row>
    <row r="260" spans="1:39" ht="15" hidden="1" thickTop="1" x14ac:dyDescent="0.35">
      <c r="A260" t="s">
        <v>3225</v>
      </c>
      <c r="B260" t="s">
        <v>3251</v>
      </c>
      <c r="C260" t="s">
        <v>66</v>
      </c>
      <c r="D260" t="s">
        <v>3252</v>
      </c>
      <c r="E260" t="s">
        <v>559</v>
      </c>
      <c r="F260">
        <v>1</v>
      </c>
      <c r="G260" t="s">
        <v>2050</v>
      </c>
      <c r="H260" t="s">
        <v>2051</v>
      </c>
      <c r="I260" t="s">
        <v>53</v>
      </c>
      <c r="J260" t="s">
        <v>67</v>
      </c>
      <c r="K260" t="s">
        <v>68</v>
      </c>
      <c r="L260" t="s">
        <v>2052</v>
      </c>
      <c r="M260" t="s">
        <v>2064</v>
      </c>
      <c r="N260">
        <v>0</v>
      </c>
      <c r="O260">
        <v>0</v>
      </c>
      <c r="P260">
        <v>0</v>
      </c>
      <c r="Q260">
        <v>900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362</v>
      </c>
      <c r="AH260" s="21" t="s">
        <v>3425</v>
      </c>
      <c r="AI260" s="21">
        <v>67.5</v>
      </c>
      <c r="AJ260" s="21">
        <v>100</v>
      </c>
      <c r="AK260" s="21" t="s">
        <v>2054</v>
      </c>
      <c r="AL260" t="s">
        <v>70</v>
      </c>
      <c r="AM260" t="s">
        <v>2031</v>
      </c>
    </row>
    <row r="261" spans="1:39" ht="15" hidden="1" thickTop="1" x14ac:dyDescent="0.35">
      <c r="A261" t="s">
        <v>3227</v>
      </c>
      <c r="B261" t="s">
        <v>3256</v>
      </c>
      <c r="C261" t="s">
        <v>3376</v>
      </c>
      <c r="D261" t="s">
        <v>3257</v>
      </c>
      <c r="E261" t="s">
        <v>559</v>
      </c>
      <c r="F261">
        <v>1</v>
      </c>
      <c r="G261" t="s">
        <v>2050</v>
      </c>
      <c r="H261" t="s">
        <v>2051</v>
      </c>
      <c r="I261" t="s">
        <v>53</v>
      </c>
      <c r="J261" t="s">
        <v>67</v>
      </c>
      <c r="K261" t="s">
        <v>68</v>
      </c>
      <c r="L261" t="s">
        <v>2052</v>
      </c>
      <c r="M261" t="s">
        <v>2053</v>
      </c>
      <c r="N261">
        <v>0</v>
      </c>
      <c r="O261">
        <v>0</v>
      </c>
      <c r="P261">
        <v>0</v>
      </c>
      <c r="Q261">
        <v>1440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363</v>
      </c>
      <c r="AH261" s="21" t="s">
        <v>3424</v>
      </c>
      <c r="AI261" s="21">
        <v>107.92500000000001</v>
      </c>
      <c r="AJ261" s="21">
        <v>100</v>
      </c>
      <c r="AK261" s="21" t="s">
        <v>2054</v>
      </c>
      <c r="AL261" t="s">
        <v>70</v>
      </c>
      <c r="AM261" t="s">
        <v>2027</v>
      </c>
    </row>
    <row r="262" spans="1:39" ht="15" hidden="1" thickTop="1" x14ac:dyDescent="0.35">
      <c r="A262" t="s">
        <v>3229</v>
      </c>
      <c r="B262" t="s">
        <v>3260</v>
      </c>
      <c r="C262" t="s">
        <v>92</v>
      </c>
      <c r="D262" t="s">
        <v>3261</v>
      </c>
      <c r="E262" t="s">
        <v>119</v>
      </c>
      <c r="F262">
        <v>1</v>
      </c>
      <c r="G262" t="s">
        <v>2050</v>
      </c>
      <c r="H262" t="s">
        <v>2051</v>
      </c>
      <c r="I262" t="s">
        <v>53</v>
      </c>
      <c r="J262" t="s">
        <v>67</v>
      </c>
      <c r="K262" t="s">
        <v>68</v>
      </c>
      <c r="L262" t="s">
        <v>2052</v>
      </c>
      <c r="M262" t="s">
        <v>2053</v>
      </c>
      <c r="N262">
        <v>0</v>
      </c>
      <c r="O262">
        <v>0</v>
      </c>
      <c r="P262">
        <v>0</v>
      </c>
      <c r="Q262">
        <v>1440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364</v>
      </c>
      <c r="AH262" s="21" t="s">
        <v>3425</v>
      </c>
      <c r="AI262" s="21">
        <v>107.92500000000001</v>
      </c>
      <c r="AJ262" s="21">
        <v>100</v>
      </c>
      <c r="AK262" s="21" t="s">
        <v>2054</v>
      </c>
      <c r="AL262" t="s">
        <v>70</v>
      </c>
      <c r="AM262" t="s">
        <v>2028</v>
      </c>
    </row>
    <row r="263" spans="1:39" ht="15" hidden="1" thickTop="1" x14ac:dyDescent="0.35">
      <c r="A263" t="s">
        <v>3232</v>
      </c>
      <c r="B263" t="s">
        <v>3263</v>
      </c>
      <c r="C263" t="s">
        <v>128</v>
      </c>
      <c r="D263" t="s">
        <v>3264</v>
      </c>
      <c r="E263" t="s">
        <v>112</v>
      </c>
      <c r="F263">
        <v>1</v>
      </c>
      <c r="G263" t="s">
        <v>2050</v>
      </c>
      <c r="H263" t="s">
        <v>2051</v>
      </c>
      <c r="I263" t="s">
        <v>53</v>
      </c>
      <c r="J263" t="s">
        <v>113</v>
      </c>
      <c r="K263" t="s">
        <v>68</v>
      </c>
      <c r="L263" t="s">
        <v>2052</v>
      </c>
      <c r="M263" t="s">
        <v>2053</v>
      </c>
      <c r="N263">
        <v>0</v>
      </c>
      <c r="O263">
        <v>0</v>
      </c>
      <c r="P263">
        <v>0</v>
      </c>
      <c r="Q263">
        <v>1440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365</v>
      </c>
      <c r="AH263" s="21" t="s">
        <v>3427</v>
      </c>
      <c r="AI263" s="21">
        <v>107.92500000000001</v>
      </c>
      <c r="AJ263" s="21">
        <v>100</v>
      </c>
      <c r="AK263" s="21" t="s">
        <v>2054</v>
      </c>
      <c r="AL263" t="s">
        <v>115</v>
      </c>
      <c r="AM263" t="s">
        <v>2029</v>
      </c>
    </row>
    <row r="264" spans="1:39" ht="15" hidden="1" thickTop="1" x14ac:dyDescent="0.35">
      <c r="A264" t="s">
        <v>3239</v>
      </c>
      <c r="B264" t="s">
        <v>3270</v>
      </c>
      <c r="C264" t="s">
        <v>76</v>
      </c>
      <c r="D264" t="s">
        <v>3271</v>
      </c>
      <c r="E264" t="s">
        <v>559</v>
      </c>
      <c r="F264">
        <v>1</v>
      </c>
      <c r="G264" t="s">
        <v>2050</v>
      </c>
      <c r="H264" t="s">
        <v>2051</v>
      </c>
      <c r="I264" t="s">
        <v>53</v>
      </c>
      <c r="J264" t="s">
        <v>67</v>
      </c>
      <c r="K264" t="s">
        <v>68</v>
      </c>
      <c r="L264" t="s">
        <v>2052</v>
      </c>
      <c r="M264" t="s">
        <v>2053</v>
      </c>
      <c r="N264">
        <v>0</v>
      </c>
      <c r="O264">
        <v>0</v>
      </c>
      <c r="P264">
        <v>0</v>
      </c>
      <c r="Q264">
        <v>1440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366</v>
      </c>
      <c r="AH264" s="21" t="s">
        <v>3424</v>
      </c>
      <c r="AI264" s="21">
        <v>107.92500000000001</v>
      </c>
      <c r="AJ264" s="21">
        <v>100</v>
      </c>
      <c r="AK264" s="21" t="s">
        <v>2054</v>
      </c>
      <c r="AL264" t="s">
        <v>70</v>
      </c>
      <c r="AM264" t="s">
        <v>2029</v>
      </c>
    </row>
    <row r="265" spans="1:39" ht="15" hidden="1" thickTop="1" x14ac:dyDescent="0.35">
      <c r="A265" t="s">
        <v>3246</v>
      </c>
      <c r="B265" t="s">
        <v>3277</v>
      </c>
      <c r="C265" t="s">
        <v>76</v>
      </c>
      <c r="D265" t="s">
        <v>3278</v>
      </c>
      <c r="E265" t="s">
        <v>559</v>
      </c>
      <c r="F265">
        <v>1</v>
      </c>
      <c r="G265" t="s">
        <v>2050</v>
      </c>
      <c r="H265" t="s">
        <v>2051</v>
      </c>
      <c r="I265" t="s">
        <v>53</v>
      </c>
      <c r="J265" t="s">
        <v>67</v>
      </c>
      <c r="K265" t="s">
        <v>68</v>
      </c>
      <c r="L265" t="s">
        <v>2052</v>
      </c>
      <c r="M265" t="s">
        <v>2064</v>
      </c>
      <c r="N265">
        <v>0</v>
      </c>
      <c r="O265">
        <v>0</v>
      </c>
      <c r="P265">
        <v>0</v>
      </c>
      <c r="Q265">
        <v>900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367</v>
      </c>
      <c r="AH265" s="21" t="s">
        <v>3427</v>
      </c>
      <c r="AI265" s="21">
        <v>67.5</v>
      </c>
      <c r="AJ265" s="21">
        <v>100</v>
      </c>
      <c r="AK265" s="21" t="s">
        <v>2055</v>
      </c>
      <c r="AL265" t="s">
        <v>70</v>
      </c>
      <c r="AM265" t="s">
        <v>2030</v>
      </c>
    </row>
    <row r="266" spans="1:39" ht="15" hidden="1" thickTop="1" x14ac:dyDescent="0.35">
      <c r="A266" t="s">
        <v>3254</v>
      </c>
      <c r="B266" t="s">
        <v>3283</v>
      </c>
      <c r="C266" t="s">
        <v>78</v>
      </c>
      <c r="D266" t="s">
        <v>3284</v>
      </c>
      <c r="E266" t="s">
        <v>559</v>
      </c>
      <c r="F266">
        <v>1</v>
      </c>
      <c r="G266" t="s">
        <v>2050</v>
      </c>
      <c r="H266" t="s">
        <v>2051</v>
      </c>
      <c r="I266" t="s">
        <v>53</v>
      </c>
      <c r="J266" t="s">
        <v>67</v>
      </c>
      <c r="K266" t="s">
        <v>68</v>
      </c>
      <c r="L266" t="s">
        <v>2052</v>
      </c>
      <c r="M266" t="s">
        <v>2053</v>
      </c>
      <c r="N266">
        <v>0</v>
      </c>
      <c r="O266">
        <v>0</v>
      </c>
      <c r="P266">
        <v>0</v>
      </c>
      <c r="Q266">
        <v>1440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368</v>
      </c>
      <c r="AH266" s="21" t="s">
        <v>3427</v>
      </c>
      <c r="AI266" s="21">
        <v>107.92500000000001</v>
      </c>
      <c r="AJ266" s="21">
        <v>100</v>
      </c>
      <c r="AK266" s="21" t="s">
        <v>2055</v>
      </c>
      <c r="AL266" t="s">
        <v>70</v>
      </c>
      <c r="AM266" t="s">
        <v>2031</v>
      </c>
    </row>
    <row r="267" spans="1:39" ht="15" hidden="1" thickTop="1" x14ac:dyDescent="0.35">
      <c r="A267" t="s">
        <v>3255</v>
      </c>
      <c r="B267" t="s">
        <v>3286</v>
      </c>
      <c r="C267" t="s">
        <v>66</v>
      </c>
      <c r="D267" t="s">
        <v>3287</v>
      </c>
      <c r="E267" t="s">
        <v>559</v>
      </c>
      <c r="F267">
        <v>1</v>
      </c>
      <c r="G267" t="s">
        <v>2050</v>
      </c>
      <c r="H267" t="s">
        <v>2051</v>
      </c>
      <c r="I267" t="s">
        <v>53</v>
      </c>
      <c r="J267" t="s">
        <v>67</v>
      </c>
      <c r="K267" t="s">
        <v>68</v>
      </c>
      <c r="L267" t="s">
        <v>2052</v>
      </c>
      <c r="M267" t="s">
        <v>2064</v>
      </c>
      <c r="N267">
        <v>0</v>
      </c>
      <c r="O267">
        <v>0</v>
      </c>
      <c r="P267">
        <v>0</v>
      </c>
      <c r="Q267">
        <v>900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 t="s">
        <v>369</v>
      </c>
      <c r="AH267" s="21" t="s">
        <v>3424</v>
      </c>
      <c r="AI267" s="21">
        <v>67.5</v>
      </c>
      <c r="AJ267" s="21">
        <v>100</v>
      </c>
      <c r="AK267" s="21" t="s">
        <v>2055</v>
      </c>
      <c r="AL267" t="s">
        <v>70</v>
      </c>
      <c r="AM267" t="s">
        <v>2029</v>
      </c>
    </row>
    <row r="268" spans="1:39" ht="15" hidden="1" thickTop="1" x14ac:dyDescent="0.35">
      <c r="A268" t="s">
        <v>3259</v>
      </c>
      <c r="B268" t="s">
        <v>3290</v>
      </c>
      <c r="C268" t="s">
        <v>92</v>
      </c>
      <c r="D268" t="s">
        <v>3291</v>
      </c>
      <c r="E268" t="s">
        <v>119</v>
      </c>
      <c r="F268">
        <v>1</v>
      </c>
      <c r="G268" t="s">
        <v>2050</v>
      </c>
      <c r="H268" t="s">
        <v>2051</v>
      </c>
      <c r="I268" t="s">
        <v>53</v>
      </c>
      <c r="J268" t="s">
        <v>67</v>
      </c>
      <c r="K268" t="s">
        <v>68</v>
      </c>
      <c r="L268" t="s">
        <v>2052</v>
      </c>
      <c r="M268" t="s">
        <v>2063</v>
      </c>
      <c r="N268">
        <v>0</v>
      </c>
      <c r="O268">
        <v>0</v>
      </c>
      <c r="P268">
        <v>0</v>
      </c>
      <c r="Q268">
        <v>1020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370</v>
      </c>
      <c r="AH268" s="21" t="s">
        <v>3424</v>
      </c>
      <c r="AI268" s="21">
        <v>76.500000000000014</v>
      </c>
      <c r="AJ268" s="21">
        <v>100</v>
      </c>
      <c r="AK268" s="21" t="s">
        <v>2054</v>
      </c>
      <c r="AL268" t="s">
        <v>70</v>
      </c>
      <c r="AM268" t="s">
        <v>2027</v>
      </c>
    </row>
    <row r="269" spans="1:39" ht="15" hidden="1" thickTop="1" x14ac:dyDescent="0.35">
      <c r="A269" t="s">
        <v>3265</v>
      </c>
      <c r="B269" t="s">
        <v>3292</v>
      </c>
      <c r="C269" t="s">
        <v>86</v>
      </c>
      <c r="D269" t="s">
        <v>3293</v>
      </c>
      <c r="E269" t="s">
        <v>72</v>
      </c>
      <c r="F269">
        <v>1</v>
      </c>
      <c r="G269" t="s">
        <v>2050</v>
      </c>
      <c r="H269" t="s">
        <v>2051</v>
      </c>
      <c r="I269" t="s">
        <v>53</v>
      </c>
      <c r="J269" t="s">
        <v>73</v>
      </c>
      <c r="K269" t="s">
        <v>68</v>
      </c>
      <c r="L269" t="s">
        <v>2052</v>
      </c>
      <c r="M269" t="s">
        <v>2083</v>
      </c>
      <c r="N269">
        <v>0</v>
      </c>
      <c r="O269">
        <v>0</v>
      </c>
      <c r="P269">
        <v>0</v>
      </c>
      <c r="Q269">
        <v>960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t="s">
        <v>371</v>
      </c>
      <c r="AH269" s="21" t="s">
        <v>3424</v>
      </c>
      <c r="AI269" s="21">
        <v>72.000000000000014</v>
      </c>
      <c r="AJ269" s="21">
        <v>100</v>
      </c>
      <c r="AK269" s="21" t="s">
        <v>2054</v>
      </c>
      <c r="AL269" t="s">
        <v>75</v>
      </c>
      <c r="AM269" t="s">
        <v>2029</v>
      </c>
    </row>
    <row r="270" spans="1:39" ht="15" hidden="1" thickTop="1" x14ac:dyDescent="0.35">
      <c r="A270" t="s">
        <v>3266</v>
      </c>
      <c r="B270" t="s">
        <v>3294</v>
      </c>
      <c r="C270" t="s">
        <v>66</v>
      </c>
      <c r="D270" t="s">
        <v>3295</v>
      </c>
      <c r="E270" t="s">
        <v>559</v>
      </c>
      <c r="F270">
        <v>1</v>
      </c>
      <c r="G270" t="s">
        <v>2050</v>
      </c>
      <c r="H270" t="s">
        <v>2051</v>
      </c>
      <c r="I270" t="s">
        <v>53</v>
      </c>
      <c r="J270" t="s">
        <v>67</v>
      </c>
      <c r="K270" t="s">
        <v>68</v>
      </c>
      <c r="L270" t="s">
        <v>2052</v>
      </c>
      <c r="M270" t="s">
        <v>2064</v>
      </c>
      <c r="N270">
        <v>0</v>
      </c>
      <c r="O270">
        <v>0</v>
      </c>
      <c r="P270">
        <v>0</v>
      </c>
      <c r="Q270">
        <v>900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t="s">
        <v>372</v>
      </c>
      <c r="AH270" s="21" t="s">
        <v>3424</v>
      </c>
      <c r="AI270" s="21">
        <v>67.5</v>
      </c>
      <c r="AJ270" s="21">
        <v>100</v>
      </c>
      <c r="AK270" s="21" t="s">
        <v>2054</v>
      </c>
      <c r="AL270" t="s">
        <v>70</v>
      </c>
      <c r="AM270" t="s">
        <v>2030</v>
      </c>
    </row>
    <row r="271" spans="1:39" ht="15" hidden="1" thickTop="1" x14ac:dyDescent="0.35">
      <c r="A271" t="s">
        <v>3273</v>
      </c>
      <c r="B271" t="s">
        <v>3303</v>
      </c>
      <c r="C271" t="s">
        <v>92</v>
      </c>
      <c r="D271" t="s">
        <v>3304</v>
      </c>
      <c r="E271" t="s">
        <v>559</v>
      </c>
      <c r="F271">
        <v>1</v>
      </c>
      <c r="G271" t="s">
        <v>2050</v>
      </c>
      <c r="H271" t="s">
        <v>2051</v>
      </c>
      <c r="I271" t="s">
        <v>53</v>
      </c>
      <c r="J271" t="s">
        <v>67</v>
      </c>
      <c r="K271" t="s">
        <v>68</v>
      </c>
      <c r="L271" t="s">
        <v>2052</v>
      </c>
      <c r="M271" t="s">
        <v>2053</v>
      </c>
      <c r="N271">
        <v>0</v>
      </c>
      <c r="O271">
        <v>0</v>
      </c>
      <c r="P271">
        <v>0</v>
      </c>
      <c r="Q271">
        <v>1440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373</v>
      </c>
      <c r="AH271" s="21" t="s">
        <v>3424</v>
      </c>
      <c r="AI271" s="21">
        <v>107.92500000000001</v>
      </c>
      <c r="AJ271" s="21">
        <v>100</v>
      </c>
      <c r="AK271" s="21" t="s">
        <v>2054</v>
      </c>
      <c r="AL271" t="s">
        <v>70</v>
      </c>
      <c r="AM271" t="s">
        <v>2031</v>
      </c>
    </row>
    <row r="272" spans="1:39" ht="15" hidden="1" thickTop="1" x14ac:dyDescent="0.35">
      <c r="A272" t="s">
        <v>3276</v>
      </c>
      <c r="B272" t="s">
        <v>3308</v>
      </c>
      <c r="C272" t="s">
        <v>78</v>
      </c>
      <c r="D272" t="s">
        <v>3309</v>
      </c>
      <c r="E272" t="s">
        <v>559</v>
      </c>
      <c r="F272">
        <v>1</v>
      </c>
      <c r="G272" t="s">
        <v>2050</v>
      </c>
      <c r="H272" t="s">
        <v>2051</v>
      </c>
      <c r="I272" t="s">
        <v>53</v>
      </c>
      <c r="J272" t="s">
        <v>67</v>
      </c>
      <c r="K272" t="s">
        <v>68</v>
      </c>
      <c r="L272" t="s">
        <v>2052</v>
      </c>
      <c r="M272" t="s">
        <v>2053</v>
      </c>
      <c r="N272">
        <v>0</v>
      </c>
      <c r="O272">
        <v>0</v>
      </c>
      <c r="P272">
        <v>0</v>
      </c>
      <c r="Q272">
        <v>1440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374</v>
      </c>
      <c r="AH272" s="21" t="s">
        <v>3427</v>
      </c>
      <c r="AI272" s="21">
        <v>107.92500000000001</v>
      </c>
      <c r="AJ272" s="21">
        <v>100</v>
      </c>
      <c r="AK272" s="21" t="s">
        <v>2055</v>
      </c>
      <c r="AL272" t="s">
        <v>70</v>
      </c>
      <c r="AM272" t="s">
        <v>2028</v>
      </c>
    </row>
    <row r="273" spans="1:39" ht="15" hidden="1" thickTop="1" x14ac:dyDescent="0.35">
      <c r="A273" t="s">
        <v>3282</v>
      </c>
      <c r="B273" t="s">
        <v>3314</v>
      </c>
      <c r="C273" t="s">
        <v>76</v>
      </c>
      <c r="D273" t="s">
        <v>3315</v>
      </c>
      <c r="E273" t="s">
        <v>119</v>
      </c>
      <c r="F273">
        <v>1</v>
      </c>
      <c r="G273" t="s">
        <v>2050</v>
      </c>
      <c r="H273" t="s">
        <v>2051</v>
      </c>
      <c r="I273" t="s">
        <v>53</v>
      </c>
      <c r="J273" t="s">
        <v>67</v>
      </c>
      <c r="K273" t="s">
        <v>68</v>
      </c>
      <c r="L273" t="s">
        <v>2052</v>
      </c>
      <c r="M273" t="s">
        <v>2064</v>
      </c>
      <c r="N273">
        <v>0</v>
      </c>
      <c r="O273">
        <v>0</v>
      </c>
      <c r="P273">
        <v>0</v>
      </c>
      <c r="Q273">
        <v>900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375</v>
      </c>
      <c r="AH273" s="21" t="s">
        <v>3427</v>
      </c>
      <c r="AI273" s="21">
        <v>67.5</v>
      </c>
      <c r="AJ273" s="21">
        <v>100</v>
      </c>
      <c r="AK273" s="21" t="s">
        <v>2054</v>
      </c>
      <c r="AL273" t="s">
        <v>70</v>
      </c>
      <c r="AM273" t="s">
        <v>2028</v>
      </c>
    </row>
    <row r="274" spans="1:39" ht="15" hidden="1" thickTop="1" x14ac:dyDescent="0.35">
      <c r="A274" t="s">
        <v>3297</v>
      </c>
      <c r="B274" t="s">
        <v>3324</v>
      </c>
      <c r="C274" t="s">
        <v>76</v>
      </c>
      <c r="D274" t="s">
        <v>3325</v>
      </c>
      <c r="E274" t="s">
        <v>559</v>
      </c>
      <c r="F274">
        <v>1</v>
      </c>
      <c r="G274" t="s">
        <v>2050</v>
      </c>
      <c r="H274" t="s">
        <v>2051</v>
      </c>
      <c r="I274" t="s">
        <v>53</v>
      </c>
      <c r="J274" t="s">
        <v>67</v>
      </c>
      <c r="K274" t="s">
        <v>68</v>
      </c>
      <c r="L274" t="s">
        <v>2052</v>
      </c>
      <c r="M274" t="s">
        <v>2053</v>
      </c>
      <c r="N274">
        <v>0</v>
      </c>
      <c r="O274">
        <v>0</v>
      </c>
      <c r="P274">
        <v>0</v>
      </c>
      <c r="Q274">
        <v>1440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376</v>
      </c>
      <c r="AH274" s="21" t="s">
        <v>3425</v>
      </c>
      <c r="AI274" s="21">
        <v>107.92500000000001</v>
      </c>
      <c r="AJ274" s="21">
        <v>100</v>
      </c>
      <c r="AK274" s="21" t="s">
        <v>2054</v>
      </c>
      <c r="AL274" t="s">
        <v>70</v>
      </c>
      <c r="AM274" t="s">
        <v>2028</v>
      </c>
    </row>
    <row r="275" spans="1:39" ht="15" hidden="1" thickTop="1" x14ac:dyDescent="0.35">
      <c r="A275" t="s">
        <v>3298</v>
      </c>
      <c r="B275" t="s">
        <v>3326</v>
      </c>
      <c r="C275" t="s">
        <v>86</v>
      </c>
      <c r="D275" t="s">
        <v>3327</v>
      </c>
      <c r="E275" t="s">
        <v>72</v>
      </c>
      <c r="F275">
        <v>2</v>
      </c>
      <c r="G275" t="s">
        <v>2050</v>
      </c>
      <c r="H275" t="s">
        <v>2051</v>
      </c>
      <c r="I275" t="s">
        <v>53</v>
      </c>
      <c r="J275" t="s">
        <v>73</v>
      </c>
      <c r="K275" t="s">
        <v>68</v>
      </c>
      <c r="L275" t="s">
        <v>2052</v>
      </c>
      <c r="M275" t="s">
        <v>2053</v>
      </c>
      <c r="N275">
        <v>0</v>
      </c>
      <c r="O275">
        <v>0</v>
      </c>
      <c r="P275">
        <v>0</v>
      </c>
      <c r="Q275">
        <v>1440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377</v>
      </c>
      <c r="AH275" s="21" t="s">
        <v>3424</v>
      </c>
      <c r="AI275" s="21">
        <v>107.92500000000001</v>
      </c>
      <c r="AJ275" s="21">
        <v>100</v>
      </c>
      <c r="AK275" s="21" t="s">
        <v>2054</v>
      </c>
      <c r="AL275" t="s">
        <v>75</v>
      </c>
      <c r="AM275" t="s">
        <v>2029</v>
      </c>
    </row>
    <row r="276" spans="1:39" ht="15" hidden="1" thickTop="1" x14ac:dyDescent="0.35">
      <c r="A276" t="s">
        <v>3305</v>
      </c>
      <c r="B276" t="s">
        <v>3336</v>
      </c>
      <c r="C276" t="s">
        <v>76</v>
      </c>
      <c r="D276" t="s">
        <v>3337</v>
      </c>
      <c r="E276" t="s">
        <v>559</v>
      </c>
      <c r="F276">
        <v>1</v>
      </c>
      <c r="G276" t="s">
        <v>2050</v>
      </c>
      <c r="H276" t="s">
        <v>2051</v>
      </c>
      <c r="I276" t="s">
        <v>53</v>
      </c>
      <c r="J276" t="s">
        <v>67</v>
      </c>
      <c r="K276" t="s">
        <v>68</v>
      </c>
      <c r="L276" t="s">
        <v>2052</v>
      </c>
      <c r="M276" t="s">
        <v>2053</v>
      </c>
      <c r="N276">
        <v>0</v>
      </c>
      <c r="O276">
        <v>0</v>
      </c>
      <c r="P276">
        <v>0</v>
      </c>
      <c r="Q276">
        <v>1440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378</v>
      </c>
      <c r="AH276" s="21" t="s">
        <v>3424</v>
      </c>
      <c r="AI276" s="21">
        <v>107.92500000000001</v>
      </c>
      <c r="AJ276" s="21">
        <v>100</v>
      </c>
      <c r="AK276" s="21" t="s">
        <v>2054</v>
      </c>
      <c r="AL276" t="s">
        <v>70</v>
      </c>
      <c r="AM276" t="s">
        <v>2029</v>
      </c>
    </row>
    <row r="277" spans="1:39" ht="15" hidden="1" thickTop="1" x14ac:dyDescent="0.35">
      <c r="A277" t="s">
        <v>3312</v>
      </c>
      <c r="B277" t="s">
        <v>3338</v>
      </c>
      <c r="C277" t="s">
        <v>102</v>
      </c>
      <c r="D277" t="s">
        <v>3339</v>
      </c>
      <c r="E277" t="s">
        <v>559</v>
      </c>
      <c r="F277">
        <v>1</v>
      </c>
      <c r="G277" t="s">
        <v>2050</v>
      </c>
      <c r="H277" t="s">
        <v>2051</v>
      </c>
      <c r="I277" t="s">
        <v>53</v>
      </c>
      <c r="J277" t="s">
        <v>67</v>
      </c>
      <c r="K277" t="s">
        <v>68</v>
      </c>
      <c r="L277" t="s">
        <v>2052</v>
      </c>
      <c r="M277" t="s">
        <v>2053</v>
      </c>
      <c r="N277">
        <v>0</v>
      </c>
      <c r="O277">
        <v>0</v>
      </c>
      <c r="P277">
        <v>0</v>
      </c>
      <c r="Q277">
        <v>1440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379</v>
      </c>
      <c r="AH277" s="21" t="s">
        <v>3424</v>
      </c>
      <c r="AI277" s="21">
        <v>107.92500000000001</v>
      </c>
      <c r="AJ277" s="21">
        <v>100</v>
      </c>
      <c r="AK277" s="21" t="s">
        <v>2054</v>
      </c>
      <c r="AL277" t="s">
        <v>70</v>
      </c>
      <c r="AM277" t="s">
        <v>2027</v>
      </c>
    </row>
    <row r="278" spans="1:39" ht="15" hidden="1" thickTop="1" x14ac:dyDescent="0.35">
      <c r="A278" t="s">
        <v>3313</v>
      </c>
      <c r="B278" t="s">
        <v>3340</v>
      </c>
      <c r="C278" t="s">
        <v>102</v>
      </c>
      <c r="D278" t="s">
        <v>3341</v>
      </c>
      <c r="E278" t="s">
        <v>559</v>
      </c>
      <c r="F278">
        <v>1</v>
      </c>
      <c r="G278" t="s">
        <v>2050</v>
      </c>
      <c r="H278" t="s">
        <v>2051</v>
      </c>
      <c r="I278" t="s">
        <v>53</v>
      </c>
      <c r="J278" t="s">
        <v>67</v>
      </c>
      <c r="K278" t="s">
        <v>68</v>
      </c>
      <c r="L278" t="s">
        <v>2052</v>
      </c>
      <c r="M278" t="s">
        <v>2053</v>
      </c>
      <c r="N278">
        <v>0</v>
      </c>
      <c r="O278">
        <v>0</v>
      </c>
      <c r="P278">
        <v>0</v>
      </c>
      <c r="Q278">
        <v>1440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380</v>
      </c>
      <c r="AH278" s="21" t="s">
        <v>3425</v>
      </c>
      <c r="AI278" s="21">
        <v>107.92500000000001</v>
      </c>
      <c r="AJ278" s="21">
        <v>100</v>
      </c>
      <c r="AK278" s="21" t="s">
        <v>2054</v>
      </c>
      <c r="AL278" t="s">
        <v>70</v>
      </c>
      <c r="AM278" t="s">
        <v>2028</v>
      </c>
    </row>
    <row r="279" spans="1:39" ht="15" hidden="1" thickTop="1" x14ac:dyDescent="0.35">
      <c r="A279" t="s">
        <v>3316</v>
      </c>
      <c r="B279" t="s">
        <v>3342</v>
      </c>
      <c r="C279" t="s">
        <v>66</v>
      </c>
      <c r="D279" t="s">
        <v>3343</v>
      </c>
      <c r="E279" t="s">
        <v>559</v>
      </c>
      <c r="F279">
        <v>2</v>
      </c>
      <c r="G279" t="s">
        <v>2050</v>
      </c>
      <c r="H279" t="s">
        <v>2051</v>
      </c>
      <c r="I279" t="s">
        <v>53</v>
      </c>
      <c r="J279" t="s">
        <v>67</v>
      </c>
      <c r="K279" t="s">
        <v>68</v>
      </c>
      <c r="L279" t="s">
        <v>2052</v>
      </c>
      <c r="M279" t="s">
        <v>2053</v>
      </c>
      <c r="N279">
        <v>0</v>
      </c>
      <c r="O279">
        <v>0</v>
      </c>
      <c r="P279">
        <v>0</v>
      </c>
      <c r="Q279">
        <v>1440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381</v>
      </c>
      <c r="AH279" s="21" t="s">
        <v>3425</v>
      </c>
      <c r="AI279" s="21">
        <v>107.92500000000001</v>
      </c>
      <c r="AJ279" s="21">
        <v>100</v>
      </c>
      <c r="AK279" s="21" t="s">
        <v>2054</v>
      </c>
      <c r="AL279" t="s">
        <v>70</v>
      </c>
      <c r="AM279" t="s">
        <v>2028</v>
      </c>
    </row>
    <row r="280" spans="1:39" ht="15" hidden="1" thickTop="1" x14ac:dyDescent="0.35">
      <c r="A280" t="s">
        <v>3317</v>
      </c>
      <c r="B280" t="s">
        <v>3344</v>
      </c>
      <c r="C280" t="s">
        <v>78</v>
      </c>
      <c r="D280" t="s">
        <v>3345</v>
      </c>
      <c r="E280" t="s">
        <v>559</v>
      </c>
      <c r="F280">
        <v>1</v>
      </c>
      <c r="G280" t="s">
        <v>2050</v>
      </c>
      <c r="H280" t="s">
        <v>2051</v>
      </c>
      <c r="I280" t="s">
        <v>53</v>
      </c>
      <c r="J280" t="s">
        <v>67</v>
      </c>
      <c r="K280" t="s">
        <v>68</v>
      </c>
      <c r="L280" t="s">
        <v>2052</v>
      </c>
      <c r="M280" t="s">
        <v>2064</v>
      </c>
      <c r="N280">
        <v>0</v>
      </c>
      <c r="O280">
        <v>0</v>
      </c>
      <c r="P280">
        <v>0</v>
      </c>
      <c r="Q280">
        <v>900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382</v>
      </c>
      <c r="AH280" s="21" t="s">
        <v>3424</v>
      </c>
      <c r="AI280" s="21">
        <v>67.5</v>
      </c>
      <c r="AJ280" s="21">
        <v>100</v>
      </c>
      <c r="AK280" s="21" t="s">
        <v>2055</v>
      </c>
      <c r="AL280" t="s">
        <v>70</v>
      </c>
      <c r="AM280" t="s">
        <v>2028</v>
      </c>
    </row>
    <row r="281" spans="1:39" ht="15" hidden="1" thickTop="1" x14ac:dyDescent="0.35">
      <c r="A281" t="s">
        <v>3318</v>
      </c>
      <c r="B281" t="s">
        <v>3347</v>
      </c>
      <c r="C281" t="s">
        <v>78</v>
      </c>
      <c r="D281" t="s">
        <v>3348</v>
      </c>
      <c r="E281" t="s">
        <v>559</v>
      </c>
      <c r="F281">
        <v>2</v>
      </c>
      <c r="G281" t="s">
        <v>2050</v>
      </c>
      <c r="H281" t="s">
        <v>2051</v>
      </c>
      <c r="I281" t="s">
        <v>53</v>
      </c>
      <c r="J281" t="s">
        <v>67</v>
      </c>
      <c r="K281" t="s">
        <v>68</v>
      </c>
      <c r="L281" t="s">
        <v>2052</v>
      </c>
      <c r="M281" t="s">
        <v>2053</v>
      </c>
      <c r="N281">
        <v>0</v>
      </c>
      <c r="O281">
        <v>0</v>
      </c>
      <c r="P281">
        <v>0</v>
      </c>
      <c r="Q281">
        <v>1440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383</v>
      </c>
      <c r="AH281" s="21" t="s">
        <v>3425</v>
      </c>
      <c r="AI281" s="21">
        <v>107.92500000000001</v>
      </c>
      <c r="AJ281" s="21">
        <v>100</v>
      </c>
      <c r="AK281" s="21" t="s">
        <v>2054</v>
      </c>
      <c r="AL281" t="s">
        <v>70</v>
      </c>
      <c r="AM281" t="s">
        <v>2028</v>
      </c>
    </row>
    <row r="282" spans="1:39" ht="15" hidden="1" thickTop="1" x14ac:dyDescent="0.35">
      <c r="A282" t="s">
        <v>3321</v>
      </c>
      <c r="B282" t="s">
        <v>3352</v>
      </c>
      <c r="C282" t="s">
        <v>100</v>
      </c>
      <c r="D282" t="s">
        <v>3353</v>
      </c>
      <c r="E282" t="s">
        <v>559</v>
      </c>
      <c r="F282">
        <v>1</v>
      </c>
      <c r="G282" t="s">
        <v>2050</v>
      </c>
      <c r="H282" t="s">
        <v>2051</v>
      </c>
      <c r="I282" t="s">
        <v>53</v>
      </c>
      <c r="J282" t="s">
        <v>67</v>
      </c>
      <c r="K282" t="s">
        <v>68</v>
      </c>
      <c r="L282" t="s">
        <v>2052</v>
      </c>
      <c r="M282" t="s">
        <v>2053</v>
      </c>
      <c r="N282">
        <v>1</v>
      </c>
      <c r="O282">
        <v>1</v>
      </c>
      <c r="P282">
        <v>7.0000000000000007E-2</v>
      </c>
      <c r="Q282">
        <v>1440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1</v>
      </c>
      <c r="AB282">
        <v>1</v>
      </c>
      <c r="AC282">
        <v>7.0000000000000007E-2</v>
      </c>
      <c r="AD282">
        <v>0</v>
      </c>
      <c r="AE282">
        <v>0</v>
      </c>
      <c r="AF282">
        <v>0</v>
      </c>
      <c r="AG282" t="s">
        <v>384</v>
      </c>
      <c r="AH282" s="21" t="s">
        <v>3425</v>
      </c>
      <c r="AI282" s="21">
        <v>107.92500000000001</v>
      </c>
      <c r="AJ282" s="21">
        <v>99.930555555555557</v>
      </c>
      <c r="AK282" s="21" t="s">
        <v>2054</v>
      </c>
      <c r="AL282" t="s">
        <v>70</v>
      </c>
      <c r="AM282" t="s">
        <v>2031</v>
      </c>
    </row>
    <row r="283" spans="1:39" ht="15" hidden="1" thickTop="1" x14ac:dyDescent="0.35">
      <c r="A283" t="s">
        <v>3322</v>
      </c>
      <c r="B283" t="s">
        <v>3354</v>
      </c>
      <c r="C283" t="s">
        <v>86</v>
      </c>
      <c r="D283" t="s">
        <v>3355</v>
      </c>
      <c r="E283" t="s">
        <v>72</v>
      </c>
      <c r="F283">
        <v>1</v>
      </c>
      <c r="G283" t="s">
        <v>2050</v>
      </c>
      <c r="H283" t="s">
        <v>2051</v>
      </c>
      <c r="I283" t="s">
        <v>53</v>
      </c>
      <c r="J283" t="s">
        <v>73</v>
      </c>
      <c r="K283" t="s">
        <v>68</v>
      </c>
      <c r="L283" t="s">
        <v>2052</v>
      </c>
      <c r="M283" t="s">
        <v>2053</v>
      </c>
      <c r="N283">
        <v>0</v>
      </c>
      <c r="O283">
        <v>0</v>
      </c>
      <c r="P283">
        <v>0</v>
      </c>
      <c r="Q283">
        <v>1440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t="s">
        <v>385</v>
      </c>
      <c r="AH283" s="21" t="s">
        <v>3427</v>
      </c>
      <c r="AI283" s="21">
        <v>107.92500000000001</v>
      </c>
      <c r="AJ283" s="21">
        <v>100</v>
      </c>
      <c r="AK283" s="21" t="s">
        <v>2054</v>
      </c>
      <c r="AL283" t="s">
        <v>75</v>
      </c>
      <c r="AM283" t="s">
        <v>2027</v>
      </c>
    </row>
    <row r="284" spans="1:39" ht="15" hidden="1" thickTop="1" x14ac:dyDescent="0.35">
      <c r="A284" t="s">
        <v>3323</v>
      </c>
      <c r="B284" t="s">
        <v>3356</v>
      </c>
      <c r="C284" t="s">
        <v>71</v>
      </c>
      <c r="D284" t="s">
        <v>3357</v>
      </c>
      <c r="E284" t="s">
        <v>72</v>
      </c>
      <c r="F284">
        <v>1</v>
      </c>
      <c r="G284" t="s">
        <v>2050</v>
      </c>
      <c r="H284" t="s">
        <v>2051</v>
      </c>
      <c r="I284" t="s">
        <v>53</v>
      </c>
      <c r="J284" t="s">
        <v>73</v>
      </c>
      <c r="K284" t="s">
        <v>68</v>
      </c>
      <c r="L284" t="s">
        <v>2052</v>
      </c>
      <c r="M284" t="s">
        <v>2053</v>
      </c>
      <c r="N284">
        <v>0</v>
      </c>
      <c r="O284">
        <v>0</v>
      </c>
      <c r="P284">
        <v>0</v>
      </c>
      <c r="Q284">
        <v>1440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t="s">
        <v>386</v>
      </c>
      <c r="AH284" s="21" t="s">
        <v>3424</v>
      </c>
      <c r="AI284" s="21">
        <v>107.92500000000001</v>
      </c>
      <c r="AJ284" s="21">
        <v>100</v>
      </c>
      <c r="AK284" s="21" t="s">
        <v>2054</v>
      </c>
      <c r="AL284" t="s">
        <v>75</v>
      </c>
      <c r="AM284" t="s">
        <v>2028</v>
      </c>
    </row>
    <row r="285" spans="1:39" ht="15" hidden="1" thickTop="1" x14ac:dyDescent="0.35">
      <c r="A285" t="s">
        <v>2623</v>
      </c>
      <c r="B285" t="s">
        <v>3358</v>
      </c>
      <c r="C285" t="s">
        <v>66</v>
      </c>
      <c r="D285" t="s">
        <v>3359</v>
      </c>
      <c r="E285" t="s">
        <v>559</v>
      </c>
      <c r="F285">
        <v>1</v>
      </c>
      <c r="G285" t="s">
        <v>2050</v>
      </c>
      <c r="H285" t="s">
        <v>2051</v>
      </c>
      <c r="I285" t="s">
        <v>53</v>
      </c>
      <c r="J285" t="s">
        <v>67</v>
      </c>
      <c r="K285" t="s">
        <v>68</v>
      </c>
      <c r="L285" t="s">
        <v>2052</v>
      </c>
      <c r="M285" t="s">
        <v>2053</v>
      </c>
      <c r="N285">
        <v>0</v>
      </c>
      <c r="O285">
        <v>0</v>
      </c>
      <c r="P285">
        <v>0</v>
      </c>
      <c r="Q285">
        <v>1440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387</v>
      </c>
      <c r="AH285" s="21" t="s">
        <v>3425</v>
      </c>
      <c r="AI285" s="21">
        <v>107.92500000000001</v>
      </c>
      <c r="AJ285" s="21">
        <v>100</v>
      </c>
      <c r="AK285" s="21" t="s">
        <v>2054</v>
      </c>
      <c r="AL285" t="s">
        <v>70</v>
      </c>
      <c r="AM285" t="s">
        <v>2028</v>
      </c>
    </row>
    <row r="286" spans="1:39" ht="15" hidden="1" thickTop="1" x14ac:dyDescent="0.35">
      <c r="A286" t="s">
        <v>3332</v>
      </c>
      <c r="B286" t="s">
        <v>3361</v>
      </c>
      <c r="C286" t="s">
        <v>76</v>
      </c>
      <c r="D286" t="s">
        <v>3362</v>
      </c>
      <c r="E286" t="s">
        <v>559</v>
      </c>
      <c r="F286">
        <v>2</v>
      </c>
      <c r="G286" t="s">
        <v>2050</v>
      </c>
      <c r="H286" t="s">
        <v>2051</v>
      </c>
      <c r="I286" t="s">
        <v>53</v>
      </c>
      <c r="J286" t="s">
        <v>67</v>
      </c>
      <c r="K286" t="s">
        <v>68</v>
      </c>
      <c r="L286" t="s">
        <v>2052</v>
      </c>
      <c r="M286" t="s">
        <v>2064</v>
      </c>
      <c r="N286">
        <v>0</v>
      </c>
      <c r="O286">
        <v>0</v>
      </c>
      <c r="P286">
        <v>0</v>
      </c>
      <c r="Q286">
        <v>900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t="s">
        <v>388</v>
      </c>
      <c r="AH286" s="21" t="s">
        <v>3424</v>
      </c>
      <c r="AI286" s="21">
        <v>67.5</v>
      </c>
      <c r="AJ286" s="21">
        <v>100</v>
      </c>
      <c r="AK286" s="21" t="s">
        <v>2055</v>
      </c>
      <c r="AL286" t="s">
        <v>70</v>
      </c>
      <c r="AM286" t="s">
        <v>2029</v>
      </c>
    </row>
    <row r="287" spans="1:39" ht="15" hidden="1" thickTop="1" x14ac:dyDescent="0.35">
      <c r="A287" t="s">
        <v>2625</v>
      </c>
      <c r="B287" t="s">
        <v>3369</v>
      </c>
      <c r="C287" t="s">
        <v>100</v>
      </c>
      <c r="D287" t="s">
        <v>3370</v>
      </c>
      <c r="E287" t="s">
        <v>559</v>
      </c>
      <c r="F287">
        <v>1</v>
      </c>
      <c r="G287" t="s">
        <v>2050</v>
      </c>
      <c r="H287" t="s">
        <v>2051</v>
      </c>
      <c r="I287" t="s">
        <v>53</v>
      </c>
      <c r="J287" t="s">
        <v>67</v>
      </c>
      <c r="K287" t="s">
        <v>68</v>
      </c>
      <c r="L287" t="s">
        <v>2052</v>
      </c>
      <c r="M287" t="s">
        <v>2053</v>
      </c>
      <c r="N287">
        <v>0</v>
      </c>
      <c r="O287">
        <v>0</v>
      </c>
      <c r="P287">
        <v>0</v>
      </c>
      <c r="Q287">
        <v>1440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389</v>
      </c>
      <c r="AH287" s="21" t="s">
        <v>3427</v>
      </c>
      <c r="AI287" s="21">
        <v>107.92500000000001</v>
      </c>
      <c r="AJ287" s="21">
        <v>100</v>
      </c>
      <c r="AK287" s="21" t="s">
        <v>2054</v>
      </c>
      <c r="AL287" t="s">
        <v>70</v>
      </c>
      <c r="AM287" t="s">
        <v>2031</v>
      </c>
    </row>
    <row r="288" spans="1:39" ht="15" hidden="1" thickTop="1" x14ac:dyDescent="0.35">
      <c r="A288" t="s">
        <v>3364</v>
      </c>
      <c r="B288" t="s">
        <v>3371</v>
      </c>
      <c r="C288" t="s">
        <v>100</v>
      </c>
      <c r="D288" t="s">
        <v>3372</v>
      </c>
      <c r="E288" t="s">
        <v>559</v>
      </c>
      <c r="F288">
        <v>1</v>
      </c>
      <c r="G288" t="s">
        <v>2050</v>
      </c>
      <c r="H288" t="s">
        <v>2051</v>
      </c>
      <c r="I288" t="s">
        <v>53</v>
      </c>
      <c r="J288" t="s">
        <v>67</v>
      </c>
      <c r="K288" t="s">
        <v>68</v>
      </c>
      <c r="L288" t="s">
        <v>2052</v>
      </c>
      <c r="M288" t="s">
        <v>2064</v>
      </c>
      <c r="N288">
        <v>0</v>
      </c>
      <c r="O288">
        <v>0</v>
      </c>
      <c r="P288">
        <v>0</v>
      </c>
      <c r="Q288">
        <v>900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390</v>
      </c>
      <c r="AH288" s="21" t="s">
        <v>3424</v>
      </c>
      <c r="AI288" s="21">
        <v>67.5</v>
      </c>
      <c r="AJ288" s="21">
        <v>100</v>
      </c>
      <c r="AK288" s="21" t="s">
        <v>2054</v>
      </c>
      <c r="AL288" t="s">
        <v>70</v>
      </c>
      <c r="AM288" t="s">
        <v>2028</v>
      </c>
    </row>
    <row r="289" spans="1:39" ht="15" hidden="1" thickTop="1" x14ac:dyDescent="0.35">
      <c r="A289" t="s">
        <v>3365</v>
      </c>
      <c r="B289" t="s">
        <v>3373</v>
      </c>
      <c r="C289" t="s">
        <v>92</v>
      </c>
      <c r="D289" t="s">
        <v>3374</v>
      </c>
      <c r="E289" t="s">
        <v>119</v>
      </c>
      <c r="F289">
        <v>1</v>
      </c>
      <c r="G289" t="s">
        <v>2050</v>
      </c>
      <c r="H289" t="s">
        <v>2051</v>
      </c>
      <c r="I289" t="s">
        <v>53</v>
      </c>
      <c r="J289" t="s">
        <v>67</v>
      </c>
      <c r="K289" t="s">
        <v>68</v>
      </c>
      <c r="L289" t="s">
        <v>2052</v>
      </c>
      <c r="M289" t="s">
        <v>2064</v>
      </c>
      <c r="N289">
        <v>0</v>
      </c>
      <c r="O289">
        <v>0</v>
      </c>
      <c r="P289">
        <v>0</v>
      </c>
      <c r="Q289">
        <v>900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391</v>
      </c>
      <c r="AH289" s="21" t="s">
        <v>3425</v>
      </c>
      <c r="AI289" s="21">
        <v>67.5</v>
      </c>
      <c r="AJ289" s="21">
        <v>100</v>
      </c>
      <c r="AK289" s="21" t="s">
        <v>2054</v>
      </c>
      <c r="AL289" t="s">
        <v>70</v>
      </c>
      <c r="AM289" t="s">
        <v>2030</v>
      </c>
    </row>
    <row r="290" spans="1:39" ht="15" thickTop="1" x14ac:dyDescent="0.35">
      <c r="AH290" s="21"/>
      <c r="AI290" s="21"/>
      <c r="AJ290" s="21"/>
      <c r="AK290" s="21"/>
    </row>
    <row r="291" spans="1:39" x14ac:dyDescent="0.35">
      <c r="AH291" s="21"/>
      <c r="AI291" s="21"/>
      <c r="AJ291" s="21"/>
      <c r="AK291" s="21"/>
    </row>
    <row r="292" spans="1:39" x14ac:dyDescent="0.35">
      <c r="AH292" s="21"/>
      <c r="AI292" s="21"/>
      <c r="AJ292" s="21"/>
      <c r="AK292" s="21"/>
    </row>
    <row r="293" spans="1:39" x14ac:dyDescent="0.35">
      <c r="AH293" s="21"/>
      <c r="AI293" s="21"/>
      <c r="AJ293" s="21"/>
      <c r="AK293" s="21"/>
    </row>
    <row r="294" spans="1:39" x14ac:dyDescent="0.35">
      <c r="AH294" s="21"/>
      <c r="AI294" s="21"/>
      <c r="AJ294" s="21"/>
      <c r="AK294" s="21"/>
    </row>
    <row r="295" spans="1:39" x14ac:dyDescent="0.35">
      <c r="AH295" s="21"/>
      <c r="AI295" s="21"/>
      <c r="AJ295" s="21"/>
      <c r="AK295" s="21"/>
    </row>
    <row r="296" spans="1:39" x14ac:dyDescent="0.35">
      <c r="AH296" s="21"/>
      <c r="AI296" s="21"/>
      <c r="AJ296" s="21"/>
      <c r="AK296" s="21"/>
    </row>
    <row r="297" spans="1:39" x14ac:dyDescent="0.35">
      <c r="AH297" s="21"/>
      <c r="AI297" s="21"/>
      <c r="AJ297" s="21"/>
      <c r="AK297" s="21"/>
    </row>
    <row r="298" spans="1:39" x14ac:dyDescent="0.35">
      <c r="AH298" s="21"/>
      <c r="AI298" s="21"/>
      <c r="AJ298" s="21"/>
      <c r="AK298" s="21"/>
    </row>
    <row r="299" spans="1:39" x14ac:dyDescent="0.35">
      <c r="AH299" s="21"/>
      <c r="AI299" s="21"/>
      <c r="AJ299" s="21"/>
      <c r="AK299" s="21"/>
    </row>
    <row r="300" spans="1:39" x14ac:dyDescent="0.35">
      <c r="AH300" s="21"/>
      <c r="AI300" s="21"/>
      <c r="AJ300" s="21"/>
      <c r="AK300" s="21"/>
    </row>
    <row r="301" spans="1:39" x14ac:dyDescent="0.35">
      <c r="AH301" s="21"/>
      <c r="AI301" s="21"/>
      <c r="AJ301" s="21"/>
      <c r="AK301" s="21"/>
    </row>
    <row r="302" spans="1:39" x14ac:dyDescent="0.35">
      <c r="AH302" s="21"/>
      <c r="AI302" s="21"/>
      <c r="AJ302" s="21"/>
      <c r="AK302" s="21"/>
    </row>
    <row r="303" spans="1:39" x14ac:dyDescent="0.35">
      <c r="AH303" s="21"/>
      <c r="AI303" s="21"/>
      <c r="AJ303" s="21"/>
      <c r="AK303" s="21"/>
    </row>
    <row r="304" spans="1:39" x14ac:dyDescent="0.35">
      <c r="AH304" s="21"/>
      <c r="AI304" s="21"/>
      <c r="AJ304" s="21"/>
      <c r="AK304" s="21"/>
    </row>
    <row r="305" spans="34:37" x14ac:dyDescent="0.35">
      <c r="AH305" s="21"/>
      <c r="AI305" s="21"/>
      <c r="AJ305" s="21"/>
      <c r="AK305" s="21"/>
    </row>
    <row r="306" spans="34:37" x14ac:dyDescent="0.35">
      <c r="AH306" s="21"/>
      <c r="AI306" s="21"/>
      <c r="AJ306" s="21"/>
      <c r="AK306" s="21"/>
    </row>
    <row r="307" spans="34:37" x14ac:dyDescent="0.35">
      <c r="AH307" s="21"/>
      <c r="AI307" s="21"/>
      <c r="AJ307" s="21"/>
      <c r="AK307" s="21"/>
    </row>
    <row r="308" spans="34:37" x14ac:dyDescent="0.35">
      <c r="AH308" s="21"/>
      <c r="AI308" s="21"/>
      <c r="AJ308" s="21"/>
      <c r="AK308" s="21"/>
    </row>
    <row r="309" spans="34:37" x14ac:dyDescent="0.35">
      <c r="AH309" s="21"/>
      <c r="AI309" s="21"/>
      <c r="AJ309" s="21"/>
      <c r="AK309" s="21"/>
    </row>
    <row r="310" spans="34:37" x14ac:dyDescent="0.35">
      <c r="AH310" s="21"/>
      <c r="AI310" s="21"/>
      <c r="AJ310" s="21"/>
      <c r="AK310" s="21"/>
    </row>
    <row r="311" spans="34:37" x14ac:dyDescent="0.35">
      <c r="AH311" s="21"/>
      <c r="AI311" s="21"/>
      <c r="AJ311" s="21"/>
      <c r="AK311" s="21"/>
    </row>
    <row r="312" spans="34:37" x14ac:dyDescent="0.35">
      <c r="AH312" s="21"/>
      <c r="AI312" s="21"/>
      <c r="AJ312" s="21"/>
      <c r="AK312" s="21"/>
    </row>
    <row r="313" spans="34:37" x14ac:dyDescent="0.35">
      <c r="AH313" s="21"/>
      <c r="AI313" s="21"/>
      <c r="AJ313" s="21"/>
      <c r="AK313" s="21"/>
    </row>
    <row r="314" spans="34:37" x14ac:dyDescent="0.35">
      <c r="AH314" s="21"/>
      <c r="AI314" s="21"/>
      <c r="AJ314" s="21"/>
      <c r="AK314" s="21"/>
    </row>
    <row r="315" spans="34:37" x14ac:dyDescent="0.35">
      <c r="AH315" s="21"/>
      <c r="AI315" s="21"/>
      <c r="AJ315" s="21"/>
      <c r="AK315" s="21"/>
    </row>
    <row r="316" spans="34:37" x14ac:dyDescent="0.35">
      <c r="AH316" s="21"/>
      <c r="AI316" s="21"/>
      <c r="AJ316" s="21"/>
      <c r="AK316" s="21"/>
    </row>
    <row r="317" spans="34:37" x14ac:dyDescent="0.35">
      <c r="AH317" s="21"/>
      <c r="AI317" s="21"/>
      <c r="AJ317" s="21"/>
      <c r="AK317" s="21"/>
    </row>
    <row r="318" spans="34:37" x14ac:dyDescent="0.35">
      <c r="AH318" s="21"/>
      <c r="AI318" s="21"/>
      <c r="AJ318" s="21"/>
      <c r="AK318" s="21"/>
    </row>
    <row r="319" spans="34:37" x14ac:dyDescent="0.35">
      <c r="AH319" s="21"/>
      <c r="AI319" s="21"/>
      <c r="AJ319" s="21"/>
      <c r="AK319" s="21"/>
    </row>
    <row r="320" spans="34:37" x14ac:dyDescent="0.35">
      <c r="AH320" s="21"/>
      <c r="AI320" s="21"/>
      <c r="AJ320" s="21"/>
      <c r="AK320" s="21"/>
    </row>
    <row r="321" spans="34:37" x14ac:dyDescent="0.35">
      <c r="AH321" s="21"/>
      <c r="AI321" s="21"/>
      <c r="AJ321" s="21"/>
      <c r="AK321" s="21"/>
    </row>
    <row r="322" spans="34:37" x14ac:dyDescent="0.35">
      <c r="AH322" s="21"/>
      <c r="AI322" s="21"/>
      <c r="AJ322" s="21"/>
      <c r="AK322" s="21"/>
    </row>
    <row r="323" spans="34:37" x14ac:dyDescent="0.35">
      <c r="AH323" s="21"/>
      <c r="AI323" s="21"/>
      <c r="AJ323" s="21"/>
      <c r="AK323" s="21"/>
    </row>
    <row r="324" spans="34:37" x14ac:dyDescent="0.35">
      <c r="AH324" s="21"/>
      <c r="AI324" s="21"/>
      <c r="AJ324" s="21"/>
      <c r="AK324" s="21"/>
    </row>
    <row r="325" spans="34:37" x14ac:dyDescent="0.35">
      <c r="AH325" s="21"/>
      <c r="AI325" s="21"/>
      <c r="AJ325" s="21"/>
      <c r="AK325" s="21"/>
    </row>
    <row r="326" spans="34:37" x14ac:dyDescent="0.35">
      <c r="AH326" s="21"/>
      <c r="AI326" s="21"/>
      <c r="AJ326" s="21"/>
      <c r="AK326" s="21"/>
    </row>
    <row r="327" spans="34:37" x14ac:dyDescent="0.35">
      <c r="AH327" s="21"/>
      <c r="AI327" s="21"/>
      <c r="AJ327" s="21"/>
      <c r="AK327" s="21"/>
    </row>
    <row r="328" spans="34:37" x14ac:dyDescent="0.35">
      <c r="AH328" s="21"/>
      <c r="AI328" s="21"/>
      <c r="AJ328" s="21"/>
      <c r="AK328" s="21"/>
    </row>
    <row r="329" spans="34:37" x14ac:dyDescent="0.35">
      <c r="AH329" s="21"/>
      <c r="AI329" s="21"/>
      <c r="AJ329" s="21"/>
      <c r="AK329" s="21"/>
    </row>
    <row r="330" spans="34:37" x14ac:dyDescent="0.35">
      <c r="AH330" s="21"/>
      <c r="AI330" s="21"/>
      <c r="AJ330" s="21"/>
      <c r="AK330" s="21"/>
    </row>
    <row r="331" spans="34:37" x14ac:dyDescent="0.35">
      <c r="AH331" s="21"/>
      <c r="AI331" s="21"/>
      <c r="AJ331" s="21"/>
      <c r="AK331" s="21"/>
    </row>
    <row r="332" spans="34:37" x14ac:dyDescent="0.35">
      <c r="AH332" s="21"/>
      <c r="AI332" s="21"/>
      <c r="AJ332" s="21"/>
      <c r="AK332" s="21"/>
    </row>
    <row r="333" spans="34:37" x14ac:dyDescent="0.35">
      <c r="AH333" s="21"/>
      <c r="AI333" s="21"/>
      <c r="AJ333" s="21"/>
      <c r="AK333" s="21"/>
    </row>
    <row r="334" spans="34:37" x14ac:dyDescent="0.35">
      <c r="AH334" s="21"/>
      <c r="AI334" s="21"/>
      <c r="AJ334" s="21"/>
      <c r="AK334" s="21"/>
    </row>
    <row r="335" spans="34:37" x14ac:dyDescent="0.35">
      <c r="AH335" s="21"/>
      <c r="AI335" s="21"/>
      <c r="AJ335" s="21"/>
      <c r="AK335" s="21"/>
    </row>
    <row r="336" spans="34:37" x14ac:dyDescent="0.35">
      <c r="AH336" s="21"/>
      <c r="AI336" s="21"/>
      <c r="AJ336" s="21"/>
      <c r="AK336" s="21"/>
    </row>
    <row r="337" spans="34:37" x14ac:dyDescent="0.35">
      <c r="AH337" s="21"/>
      <c r="AI337" s="21"/>
      <c r="AJ337" s="21"/>
      <c r="AK337" s="21"/>
    </row>
    <row r="338" spans="34:37" x14ac:dyDescent="0.35">
      <c r="AH338" s="21"/>
      <c r="AI338" s="21"/>
      <c r="AJ338" s="21"/>
      <c r="AK338" s="21"/>
    </row>
    <row r="339" spans="34:37" x14ac:dyDescent="0.35">
      <c r="AH339" s="21"/>
      <c r="AI339" s="21"/>
      <c r="AJ339" s="21"/>
      <c r="AK339" s="21"/>
    </row>
    <row r="340" spans="34:37" x14ac:dyDescent="0.35">
      <c r="AH340" s="21"/>
      <c r="AI340" s="21"/>
      <c r="AJ340" s="21"/>
      <c r="AK340" s="21"/>
    </row>
    <row r="341" spans="34:37" x14ac:dyDescent="0.35">
      <c r="AH341" s="21"/>
      <c r="AI341" s="21"/>
      <c r="AJ341" s="21"/>
      <c r="AK341" s="21"/>
    </row>
    <row r="342" spans="34:37" x14ac:dyDescent="0.35">
      <c r="AH342" s="21"/>
      <c r="AI342" s="21"/>
      <c r="AJ342" s="21"/>
      <c r="AK342" s="21"/>
    </row>
    <row r="343" spans="34:37" x14ac:dyDescent="0.35">
      <c r="AH343" s="21"/>
      <c r="AI343" s="21"/>
      <c r="AJ343" s="21"/>
      <c r="AK343" s="21"/>
    </row>
    <row r="344" spans="34:37" x14ac:dyDescent="0.35">
      <c r="AH344" s="21"/>
      <c r="AI344" s="21"/>
      <c r="AJ344" s="21"/>
      <c r="AK344" s="21"/>
    </row>
    <row r="345" spans="34:37" x14ac:dyDescent="0.35">
      <c r="AH345" s="21"/>
      <c r="AI345" s="21"/>
      <c r="AJ345" s="21"/>
      <c r="AK345" s="21"/>
    </row>
    <row r="346" spans="34:37" x14ac:dyDescent="0.35">
      <c r="AH346" s="21"/>
      <c r="AI346" s="21"/>
      <c r="AJ346" s="21"/>
      <c r="AK346" s="21"/>
    </row>
    <row r="347" spans="34:37" x14ac:dyDescent="0.35">
      <c r="AH347" s="21"/>
      <c r="AI347" s="21"/>
      <c r="AJ347" s="21"/>
      <c r="AK347" s="21"/>
    </row>
    <row r="348" spans="34:37" x14ac:dyDescent="0.35">
      <c r="AH348" s="21"/>
      <c r="AI348" s="21"/>
      <c r="AJ348" s="21"/>
      <c r="AK348" s="21"/>
    </row>
    <row r="349" spans="34:37" x14ac:dyDescent="0.35">
      <c r="AH349" s="21"/>
      <c r="AI349" s="21"/>
      <c r="AJ349" s="21"/>
      <c r="AK349" s="21"/>
    </row>
    <row r="350" spans="34:37" x14ac:dyDescent="0.35">
      <c r="AH350" s="21"/>
      <c r="AI350" s="21"/>
      <c r="AJ350" s="21"/>
      <c r="AK350" s="21"/>
    </row>
    <row r="351" spans="34:37" x14ac:dyDescent="0.35">
      <c r="AH351" s="21"/>
      <c r="AI351" s="21"/>
      <c r="AJ351" s="21"/>
      <c r="AK351" s="21"/>
    </row>
    <row r="352" spans="34:37" x14ac:dyDescent="0.35">
      <c r="AH352" s="21"/>
      <c r="AI352" s="21"/>
      <c r="AJ352" s="21"/>
      <c r="AK352" s="21"/>
    </row>
    <row r="353" spans="34:37" x14ac:dyDescent="0.35">
      <c r="AH353" s="21"/>
      <c r="AI353" s="21"/>
      <c r="AJ353" s="21"/>
      <c r="AK353" s="21"/>
    </row>
    <row r="354" spans="34:37" x14ac:dyDescent="0.35">
      <c r="AH354" s="21"/>
      <c r="AI354" s="21"/>
      <c r="AJ354" s="21"/>
      <c r="AK354" s="21"/>
    </row>
    <row r="355" spans="34:37" x14ac:dyDescent="0.35">
      <c r="AH355" s="21"/>
      <c r="AI355" s="21"/>
      <c r="AJ355" s="21"/>
      <c r="AK355" s="21"/>
    </row>
    <row r="356" spans="34:37" x14ac:dyDescent="0.35">
      <c r="AH356" s="21"/>
      <c r="AI356" s="21"/>
      <c r="AJ356" s="21"/>
      <c r="AK356" s="21"/>
    </row>
    <row r="357" spans="34:37" x14ac:dyDescent="0.35">
      <c r="AH357" s="21"/>
      <c r="AI357" s="21"/>
      <c r="AJ357" s="21"/>
      <c r="AK357" s="21"/>
    </row>
    <row r="358" spans="34:37" x14ac:dyDescent="0.35">
      <c r="AH358" s="21"/>
      <c r="AI358" s="21"/>
      <c r="AJ358" s="21"/>
      <c r="AK358" s="21"/>
    </row>
    <row r="359" spans="34:37" x14ac:dyDescent="0.35">
      <c r="AH359" s="21"/>
      <c r="AI359" s="21"/>
      <c r="AJ359" s="21"/>
      <c r="AK359" s="21"/>
    </row>
    <row r="360" spans="34:37" x14ac:dyDescent="0.35">
      <c r="AH360" s="21"/>
      <c r="AI360" s="21"/>
      <c r="AJ360" s="21"/>
      <c r="AK360" s="21"/>
    </row>
    <row r="361" spans="34:37" x14ac:dyDescent="0.35">
      <c r="AH361" s="21"/>
      <c r="AI361" s="21"/>
      <c r="AJ361" s="21"/>
      <c r="AK361" s="21"/>
    </row>
    <row r="362" spans="34:37" x14ac:dyDescent="0.35">
      <c r="AH362" s="21"/>
      <c r="AI362" s="21"/>
      <c r="AJ362" s="21"/>
      <c r="AK362" s="21"/>
    </row>
    <row r="363" spans="34:37" x14ac:dyDescent="0.35">
      <c r="AH363" s="21"/>
      <c r="AI363" s="21"/>
      <c r="AJ363" s="21"/>
      <c r="AK363" s="21"/>
    </row>
    <row r="364" spans="34:37" x14ac:dyDescent="0.35">
      <c r="AH364" s="21"/>
      <c r="AI364" s="21"/>
      <c r="AJ364" s="21"/>
      <c r="AK364" s="21"/>
    </row>
    <row r="365" spans="34:37" x14ac:dyDescent="0.35">
      <c r="AH365" s="21"/>
      <c r="AI365" s="21"/>
      <c r="AJ365" s="21"/>
      <c r="AK365" s="21"/>
    </row>
    <row r="366" spans="34:37" x14ac:dyDescent="0.35">
      <c r="AH366" s="21"/>
      <c r="AI366" s="21"/>
      <c r="AJ366" s="21"/>
      <c r="AK366" s="21"/>
    </row>
    <row r="367" spans="34:37" x14ac:dyDescent="0.35">
      <c r="AH367" s="21"/>
      <c r="AI367" s="21"/>
      <c r="AJ367" s="21"/>
      <c r="AK367" s="21"/>
    </row>
    <row r="368" spans="34:37" x14ac:dyDescent="0.35">
      <c r="AH368" s="21"/>
      <c r="AI368" s="21"/>
      <c r="AJ368" s="21"/>
      <c r="AK368" s="21"/>
    </row>
    <row r="369" spans="34:37" x14ac:dyDescent="0.35">
      <c r="AH369" s="21"/>
      <c r="AI369" s="21"/>
      <c r="AJ369" s="21"/>
      <c r="AK369" s="21"/>
    </row>
    <row r="370" spans="34:37" x14ac:dyDescent="0.35">
      <c r="AH370" s="21"/>
      <c r="AI370" s="21"/>
      <c r="AJ370" s="21"/>
      <c r="AK370" s="21"/>
    </row>
    <row r="371" spans="34:37" x14ac:dyDescent="0.35">
      <c r="AH371" s="21"/>
      <c r="AI371" s="21"/>
      <c r="AJ371" s="21"/>
      <c r="AK371" s="21"/>
    </row>
    <row r="372" spans="34:37" x14ac:dyDescent="0.35">
      <c r="AH372" s="21"/>
      <c r="AI372" s="21"/>
      <c r="AJ372" s="21"/>
      <c r="AK372" s="21"/>
    </row>
    <row r="373" spans="34:37" x14ac:dyDescent="0.35">
      <c r="AH373" s="21"/>
      <c r="AI373" s="21"/>
      <c r="AJ373" s="21"/>
      <c r="AK373" s="21"/>
    </row>
    <row r="374" spans="34:37" x14ac:dyDescent="0.35">
      <c r="AH374" s="21"/>
      <c r="AI374" s="21"/>
      <c r="AJ374" s="21"/>
      <c r="AK374" s="21"/>
    </row>
    <row r="375" spans="34:37" x14ac:dyDescent="0.35">
      <c r="AH375" s="21"/>
      <c r="AI375" s="21"/>
      <c r="AJ375" s="21"/>
      <c r="AK375" s="21"/>
    </row>
    <row r="376" spans="34:37" x14ac:dyDescent="0.35">
      <c r="AH376" s="21"/>
      <c r="AI376" s="21"/>
      <c r="AJ376" s="21"/>
      <c r="AK376" s="21"/>
    </row>
    <row r="377" spans="34:37" x14ac:dyDescent="0.35">
      <c r="AH377" s="21"/>
      <c r="AI377" s="21"/>
      <c r="AJ377" s="21"/>
      <c r="AK377" s="21"/>
    </row>
    <row r="378" spans="34:37" x14ac:dyDescent="0.35">
      <c r="AH378" s="21"/>
      <c r="AI378" s="21"/>
      <c r="AJ378" s="21"/>
      <c r="AK378" s="21"/>
    </row>
    <row r="379" spans="34:37" x14ac:dyDescent="0.35">
      <c r="AH379" s="21"/>
      <c r="AI379" s="21"/>
      <c r="AJ379" s="21"/>
      <c r="AK379" s="21"/>
    </row>
    <row r="380" spans="34:37" x14ac:dyDescent="0.35">
      <c r="AH380" s="21"/>
      <c r="AI380" s="21"/>
      <c r="AJ380" s="21"/>
      <c r="AK380" s="21"/>
    </row>
    <row r="381" spans="34:37" x14ac:dyDescent="0.35">
      <c r="AH381" s="21"/>
      <c r="AI381" s="21"/>
      <c r="AJ381" s="21"/>
      <c r="AK381" s="21"/>
    </row>
    <row r="382" spans="34:37" x14ac:dyDescent="0.35">
      <c r="AH382" s="21"/>
      <c r="AI382" s="21"/>
      <c r="AJ382" s="21"/>
      <c r="AK382" s="21"/>
    </row>
    <row r="383" spans="34:37" x14ac:dyDescent="0.35">
      <c r="AH383" s="21"/>
      <c r="AI383" s="21"/>
      <c r="AJ383" s="21"/>
      <c r="AK383" s="21"/>
    </row>
    <row r="384" spans="34:37" x14ac:dyDescent="0.35">
      <c r="AH384" s="21"/>
      <c r="AI384" s="21"/>
      <c r="AJ384" s="21"/>
      <c r="AK384" s="21"/>
    </row>
    <row r="385" spans="34:37" x14ac:dyDescent="0.35">
      <c r="AH385" s="21"/>
      <c r="AI385" s="21"/>
      <c r="AJ385" s="21"/>
      <c r="AK385" s="21"/>
    </row>
    <row r="386" spans="34:37" x14ac:dyDescent="0.35">
      <c r="AH386" s="21"/>
      <c r="AI386" s="21"/>
      <c r="AJ386" s="21"/>
      <c r="AK386" s="21"/>
    </row>
    <row r="387" spans="34:37" x14ac:dyDescent="0.35">
      <c r="AH387" s="21"/>
      <c r="AI387" s="21"/>
      <c r="AJ387" s="21"/>
      <c r="AK387" s="21"/>
    </row>
    <row r="388" spans="34:37" x14ac:dyDescent="0.35">
      <c r="AH388" s="21"/>
      <c r="AI388" s="21"/>
      <c r="AJ388" s="21"/>
      <c r="AK388" s="21"/>
    </row>
    <row r="389" spans="34:37" x14ac:dyDescent="0.35">
      <c r="AH389" s="21"/>
      <c r="AI389" s="21"/>
      <c r="AJ389" s="21"/>
      <c r="AK389" s="21"/>
    </row>
    <row r="390" spans="34:37" x14ac:dyDescent="0.35">
      <c r="AH390" s="21"/>
      <c r="AI390" s="21"/>
      <c r="AJ390" s="21"/>
      <c r="AK390" s="21"/>
    </row>
    <row r="391" spans="34:37" x14ac:dyDescent="0.35">
      <c r="AH391" s="21"/>
      <c r="AI391" s="21"/>
      <c r="AJ391" s="21"/>
      <c r="AK391" s="21"/>
    </row>
    <row r="392" spans="34:37" x14ac:dyDescent="0.35">
      <c r="AH392" s="21"/>
      <c r="AI392" s="21"/>
      <c r="AJ392" s="21"/>
      <c r="AK392" s="21"/>
    </row>
    <row r="393" spans="34:37" x14ac:dyDescent="0.35">
      <c r="AH393" s="21"/>
      <c r="AI393" s="21"/>
      <c r="AJ393" s="21"/>
      <c r="AK393" s="21"/>
    </row>
    <row r="394" spans="34:37" x14ac:dyDescent="0.35">
      <c r="AH394" s="21"/>
      <c r="AI394" s="21"/>
      <c r="AJ394" s="21"/>
      <c r="AK394" s="21"/>
    </row>
    <row r="395" spans="34:37" x14ac:dyDescent="0.35">
      <c r="AH395" s="21"/>
      <c r="AI395" s="21"/>
      <c r="AJ395" s="21"/>
      <c r="AK395" s="21"/>
    </row>
    <row r="396" spans="34:37" x14ac:dyDescent="0.35">
      <c r="AH396" s="21"/>
      <c r="AI396" s="21"/>
      <c r="AJ396" s="21"/>
      <c r="AK396" s="21"/>
    </row>
    <row r="397" spans="34:37" x14ac:dyDescent="0.35">
      <c r="AH397" s="21"/>
      <c r="AI397" s="21"/>
      <c r="AJ397" s="21"/>
      <c r="AK397" s="21"/>
    </row>
    <row r="398" spans="34:37" x14ac:dyDescent="0.35">
      <c r="AH398" s="21"/>
      <c r="AI398" s="21"/>
      <c r="AJ398" s="21"/>
      <c r="AK398" s="21"/>
    </row>
    <row r="399" spans="34:37" x14ac:dyDescent="0.35">
      <c r="AH399" s="21"/>
      <c r="AI399" s="21"/>
      <c r="AJ399" s="21"/>
      <c r="AK399" s="21"/>
    </row>
    <row r="400" spans="34:37" x14ac:dyDescent="0.35">
      <c r="AH400" s="21"/>
      <c r="AI400" s="21"/>
      <c r="AJ400" s="21"/>
      <c r="AK400" s="21"/>
    </row>
    <row r="401" spans="34:37" x14ac:dyDescent="0.35">
      <c r="AH401" s="21"/>
      <c r="AI401" s="21"/>
      <c r="AJ401" s="21"/>
      <c r="AK401" s="21"/>
    </row>
    <row r="402" spans="34:37" x14ac:dyDescent="0.35">
      <c r="AH402" s="21"/>
      <c r="AI402" s="21"/>
      <c r="AJ402" s="21"/>
      <c r="AK402" s="21"/>
    </row>
    <row r="403" spans="34:37" x14ac:dyDescent="0.35">
      <c r="AH403" s="21"/>
      <c r="AI403" s="21"/>
      <c r="AJ403" s="21"/>
      <c r="AK403" s="21"/>
    </row>
    <row r="404" spans="34:37" x14ac:dyDescent="0.35">
      <c r="AH404" s="21"/>
      <c r="AI404" s="21"/>
      <c r="AJ404" s="21"/>
      <c r="AK404" s="21"/>
    </row>
    <row r="405" spans="34:37" x14ac:dyDescent="0.35">
      <c r="AH405" s="21"/>
      <c r="AI405" s="21"/>
      <c r="AJ405" s="21"/>
      <c r="AK405" s="21"/>
    </row>
    <row r="406" spans="34:37" x14ac:dyDescent="0.35">
      <c r="AH406" s="21"/>
      <c r="AI406" s="21"/>
      <c r="AJ406" s="21"/>
      <c r="AK406" s="21"/>
    </row>
    <row r="407" spans="34:37" x14ac:dyDescent="0.35">
      <c r="AH407" s="21"/>
      <c r="AI407" s="21"/>
      <c r="AJ407" s="21"/>
      <c r="AK407" s="21"/>
    </row>
    <row r="408" spans="34:37" x14ac:dyDescent="0.35">
      <c r="AH408" s="21"/>
      <c r="AI408" s="21"/>
      <c r="AJ408" s="21"/>
      <c r="AK408" s="21"/>
    </row>
    <row r="409" spans="34:37" x14ac:dyDescent="0.35">
      <c r="AH409" s="21"/>
      <c r="AI409" s="21"/>
      <c r="AJ409" s="21"/>
      <c r="AK409" s="21"/>
    </row>
    <row r="410" spans="34:37" x14ac:dyDescent="0.35">
      <c r="AH410" s="21"/>
      <c r="AI410" s="21"/>
      <c r="AJ410" s="21"/>
      <c r="AK410" s="21"/>
    </row>
    <row r="411" spans="34:37" x14ac:dyDescent="0.35">
      <c r="AH411" s="21"/>
      <c r="AI411" s="21"/>
      <c r="AJ411" s="21"/>
      <c r="AK411" s="21"/>
    </row>
    <row r="412" spans="34:37" x14ac:dyDescent="0.35">
      <c r="AH412" s="21"/>
      <c r="AI412" s="21"/>
      <c r="AJ412" s="21"/>
      <c r="AK412" s="21"/>
    </row>
    <row r="413" spans="34:37" x14ac:dyDescent="0.35">
      <c r="AH413" s="21"/>
      <c r="AI413" s="21"/>
      <c r="AJ413" s="21"/>
      <c r="AK413" s="21"/>
    </row>
    <row r="414" spans="34:37" x14ac:dyDescent="0.35">
      <c r="AH414" s="21"/>
      <c r="AI414" s="21"/>
      <c r="AJ414" s="21"/>
      <c r="AK414" s="21"/>
    </row>
    <row r="415" spans="34:37" x14ac:dyDescent="0.35">
      <c r="AH415" s="21"/>
      <c r="AI415" s="21"/>
      <c r="AJ415" s="21"/>
      <c r="AK415" s="21"/>
    </row>
    <row r="416" spans="34:37" x14ac:dyDescent="0.35">
      <c r="AH416" s="21"/>
      <c r="AI416" s="21"/>
      <c r="AJ416" s="21"/>
      <c r="AK416" s="21"/>
    </row>
    <row r="417" spans="34:37" x14ac:dyDescent="0.35">
      <c r="AH417" s="21"/>
      <c r="AI417" s="21"/>
      <c r="AJ417" s="21"/>
      <c r="AK417" s="21"/>
    </row>
    <row r="418" spans="34:37" x14ac:dyDescent="0.35">
      <c r="AH418" s="21"/>
      <c r="AI418" s="21"/>
      <c r="AJ418" s="21"/>
      <c r="AK418" s="21"/>
    </row>
    <row r="419" spans="34:37" x14ac:dyDescent="0.35">
      <c r="AH419" s="21"/>
      <c r="AI419" s="21"/>
      <c r="AJ419" s="21"/>
      <c r="AK419" s="21"/>
    </row>
    <row r="420" spans="34:37" x14ac:dyDescent="0.35">
      <c r="AH420" s="21"/>
      <c r="AI420" s="21"/>
      <c r="AJ420" s="21"/>
      <c r="AK420" s="21"/>
    </row>
    <row r="421" spans="34:37" x14ac:dyDescent="0.35">
      <c r="AH421" s="21"/>
      <c r="AI421" s="21"/>
      <c r="AJ421" s="21"/>
      <c r="AK421" s="21"/>
    </row>
    <row r="422" spans="34:37" x14ac:dyDescent="0.35">
      <c r="AH422" s="21"/>
      <c r="AI422" s="21"/>
      <c r="AJ422" s="21"/>
      <c r="AK422" s="21"/>
    </row>
    <row r="423" spans="34:37" x14ac:dyDescent="0.35">
      <c r="AH423" s="21"/>
      <c r="AI423" s="21"/>
      <c r="AJ423" s="21"/>
      <c r="AK423" s="21"/>
    </row>
    <row r="424" spans="34:37" x14ac:dyDescent="0.35">
      <c r="AH424" s="21"/>
      <c r="AI424" s="21"/>
      <c r="AJ424" s="21"/>
      <c r="AK424" s="21"/>
    </row>
    <row r="425" spans="34:37" x14ac:dyDescent="0.35">
      <c r="AH425" s="21"/>
      <c r="AI425" s="21"/>
      <c r="AJ425" s="21"/>
      <c r="AK425" s="21"/>
    </row>
    <row r="426" spans="34:37" x14ac:dyDescent="0.35">
      <c r="AH426" s="21"/>
      <c r="AI426" s="21"/>
      <c r="AJ426" s="21"/>
      <c r="AK426" s="21"/>
    </row>
    <row r="427" spans="34:37" x14ac:dyDescent="0.35">
      <c r="AH427" s="21"/>
      <c r="AI427" s="21"/>
      <c r="AJ427" s="21"/>
      <c r="AK427" s="21"/>
    </row>
    <row r="428" spans="34:37" x14ac:dyDescent="0.35">
      <c r="AH428" s="21"/>
      <c r="AI428" s="21"/>
      <c r="AJ428" s="21"/>
      <c r="AK428" s="21"/>
    </row>
    <row r="429" spans="34:37" x14ac:dyDescent="0.35">
      <c r="AH429" s="21"/>
      <c r="AI429" s="21"/>
      <c r="AJ429" s="21"/>
      <c r="AK429" s="21"/>
    </row>
    <row r="430" spans="34:37" x14ac:dyDescent="0.35">
      <c r="AH430" s="21"/>
      <c r="AI430" s="21"/>
      <c r="AJ430" s="21"/>
      <c r="AK430" s="21"/>
    </row>
    <row r="431" spans="34:37" x14ac:dyDescent="0.35">
      <c r="AH431" s="21"/>
      <c r="AI431" s="21"/>
      <c r="AJ431" s="21"/>
      <c r="AK431" s="21"/>
    </row>
    <row r="432" spans="34:37" x14ac:dyDescent="0.35">
      <c r="AH432" s="21"/>
      <c r="AI432" s="21"/>
      <c r="AJ432" s="21"/>
      <c r="AK432" s="21"/>
    </row>
    <row r="433" spans="34:37" x14ac:dyDescent="0.35">
      <c r="AH433" s="21"/>
      <c r="AI433" s="21"/>
      <c r="AJ433" s="21"/>
      <c r="AK433" s="21"/>
    </row>
    <row r="434" spans="34:37" x14ac:dyDescent="0.35">
      <c r="AH434" s="21"/>
      <c r="AI434" s="21"/>
      <c r="AJ434" s="21"/>
      <c r="AK434" s="21"/>
    </row>
    <row r="435" spans="34:37" x14ac:dyDescent="0.35">
      <c r="AH435" s="21"/>
      <c r="AI435" s="21"/>
      <c r="AJ435" s="21"/>
      <c r="AK435" s="21"/>
    </row>
    <row r="436" spans="34:37" x14ac:dyDescent="0.35">
      <c r="AH436" s="21"/>
      <c r="AI436" s="21"/>
      <c r="AJ436" s="21"/>
      <c r="AK436" s="21"/>
    </row>
    <row r="437" spans="34:37" x14ac:dyDescent="0.35">
      <c r="AH437" s="21"/>
      <c r="AI437" s="21"/>
      <c r="AJ437" s="21"/>
      <c r="AK437" s="21"/>
    </row>
    <row r="438" spans="34:37" x14ac:dyDescent="0.35">
      <c r="AH438" s="21"/>
      <c r="AI438" s="21"/>
      <c r="AJ438" s="21"/>
      <c r="AK438" s="21"/>
    </row>
    <row r="439" spans="34:37" x14ac:dyDescent="0.35">
      <c r="AH439" s="21"/>
      <c r="AI439" s="21"/>
      <c r="AJ439" s="21"/>
      <c r="AK439" s="21"/>
    </row>
    <row r="440" spans="34:37" x14ac:dyDescent="0.35">
      <c r="AH440" s="21"/>
      <c r="AI440" s="21"/>
      <c r="AJ440" s="21"/>
      <c r="AK440" s="21"/>
    </row>
    <row r="441" spans="34:37" x14ac:dyDescent="0.35">
      <c r="AH441" s="21"/>
      <c r="AI441" s="21"/>
      <c r="AJ441" s="21"/>
      <c r="AK441" s="21"/>
    </row>
    <row r="442" spans="34:37" x14ac:dyDescent="0.35">
      <c r="AH442" s="21"/>
      <c r="AI442" s="21"/>
      <c r="AJ442" s="21"/>
      <c r="AK442" s="21"/>
    </row>
    <row r="443" spans="34:37" x14ac:dyDescent="0.35">
      <c r="AH443" s="21"/>
      <c r="AI443" s="21"/>
      <c r="AJ443" s="21"/>
      <c r="AK443" s="21"/>
    </row>
    <row r="444" spans="34:37" x14ac:dyDescent="0.35">
      <c r="AH444" s="21"/>
      <c r="AI444" s="21"/>
      <c r="AJ444" s="21"/>
      <c r="AK444" s="21"/>
    </row>
    <row r="445" spans="34:37" x14ac:dyDescent="0.35">
      <c r="AH445" s="21"/>
      <c r="AI445" s="21"/>
      <c r="AJ445" s="21"/>
      <c r="AK445" s="21"/>
    </row>
    <row r="446" spans="34:37" x14ac:dyDescent="0.35">
      <c r="AH446" s="21"/>
      <c r="AI446" s="21"/>
      <c r="AJ446" s="21"/>
      <c r="AK446" s="21"/>
    </row>
    <row r="447" spans="34:37" x14ac:dyDescent="0.35">
      <c r="AH447" s="21"/>
      <c r="AI447" s="21"/>
      <c r="AJ447" s="21"/>
      <c r="AK447" s="21"/>
    </row>
    <row r="448" spans="34:37" x14ac:dyDescent="0.35">
      <c r="AH448" s="21"/>
      <c r="AI448" s="21"/>
      <c r="AJ448" s="21"/>
      <c r="AK448" s="21"/>
    </row>
    <row r="449" spans="34:37" x14ac:dyDescent="0.35">
      <c r="AH449" s="21"/>
      <c r="AI449" s="21"/>
      <c r="AJ449" s="21"/>
      <c r="AK449" s="21"/>
    </row>
    <row r="450" spans="34:37" x14ac:dyDescent="0.35">
      <c r="AH450" s="21"/>
      <c r="AI450" s="21"/>
      <c r="AJ450" s="21"/>
      <c r="AK450" s="21"/>
    </row>
    <row r="451" spans="34:37" x14ac:dyDescent="0.35">
      <c r="AH451" s="21"/>
      <c r="AI451" s="21"/>
      <c r="AJ451" s="21"/>
      <c r="AK451" s="21"/>
    </row>
  </sheetData>
  <autoFilter ref="A6:AM451" xr:uid="{05288685-C3C6-4EA8-A41B-16EB530A685E}">
    <filterColumn colId="8">
      <filters>
        <filter val="CRM"/>
      </filters>
    </filterColumn>
  </autoFilter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FFF1-F09B-4379-9302-DEF64DE976AF}">
  <sheetPr filterMode="1"/>
  <dimension ref="A1:AM451"/>
  <sheetViews>
    <sheetView workbookViewId="0">
      <selection activeCell="A290" sqref="A290:AM451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3434</v>
      </c>
      <c r="D2" s="8" t="s">
        <v>51</v>
      </c>
      <c r="G2" t="s">
        <v>3434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B=283,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46" t="s">
        <v>12</v>
      </c>
      <c r="O6" s="147" t="s">
        <v>11</v>
      </c>
      <c r="P6" s="148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hidden="1" thickTop="1" x14ac:dyDescent="0.35">
      <c r="A7" t="s">
        <v>2087</v>
      </c>
      <c r="B7" t="s">
        <v>2088</v>
      </c>
      <c r="C7" t="s">
        <v>66</v>
      </c>
      <c r="D7" t="s">
        <v>2089</v>
      </c>
      <c r="E7" t="s">
        <v>559</v>
      </c>
      <c r="F7">
        <v>1</v>
      </c>
      <c r="G7" t="s">
        <v>2050</v>
      </c>
      <c r="H7" t="s">
        <v>2051</v>
      </c>
      <c r="I7" t="s">
        <v>53</v>
      </c>
      <c r="J7" t="s">
        <v>67</v>
      </c>
      <c r="K7" t="s">
        <v>68</v>
      </c>
      <c r="L7" t="s">
        <v>2052</v>
      </c>
      <c r="M7" t="s">
        <v>2064</v>
      </c>
      <c r="N7">
        <v>0</v>
      </c>
      <c r="O7">
        <v>0</v>
      </c>
      <c r="P7">
        <v>0</v>
      </c>
      <c r="Q7">
        <v>900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69</v>
      </c>
      <c r="AH7" s="21" t="s">
        <v>3424</v>
      </c>
      <c r="AI7" s="21">
        <v>67.5</v>
      </c>
      <c r="AJ7" s="21">
        <v>100</v>
      </c>
      <c r="AK7" s="21" t="s">
        <v>2054</v>
      </c>
      <c r="AL7" t="s">
        <v>70</v>
      </c>
      <c r="AM7" t="s">
        <v>2029</v>
      </c>
    </row>
    <row r="8" spans="1:39" ht="15" hidden="1" thickTop="1" x14ac:dyDescent="0.35">
      <c r="A8" t="s">
        <v>2090</v>
      </c>
      <c r="B8" t="s">
        <v>2091</v>
      </c>
      <c r="C8" t="s">
        <v>71</v>
      </c>
      <c r="D8" t="s">
        <v>2092</v>
      </c>
      <c r="E8" t="s">
        <v>72</v>
      </c>
      <c r="F8">
        <v>2</v>
      </c>
      <c r="G8" t="s">
        <v>2050</v>
      </c>
      <c r="H8" t="s">
        <v>2051</v>
      </c>
      <c r="I8" t="s">
        <v>53</v>
      </c>
      <c r="J8" t="s">
        <v>73</v>
      </c>
      <c r="K8" t="s">
        <v>68</v>
      </c>
      <c r="L8" t="s">
        <v>2052</v>
      </c>
      <c r="M8" t="s">
        <v>2093</v>
      </c>
      <c r="N8">
        <v>0</v>
      </c>
      <c r="O8">
        <v>0</v>
      </c>
      <c r="P8">
        <v>0</v>
      </c>
      <c r="Q8">
        <v>840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74</v>
      </c>
      <c r="AH8" s="21" t="s">
        <v>3424</v>
      </c>
      <c r="AI8" s="21">
        <v>63</v>
      </c>
      <c r="AJ8" s="21">
        <v>100</v>
      </c>
      <c r="AK8" s="21" t="s">
        <v>2055</v>
      </c>
      <c r="AL8" t="s">
        <v>75</v>
      </c>
      <c r="AM8" t="s">
        <v>2027</v>
      </c>
    </row>
    <row r="9" spans="1:39" ht="15" hidden="1" thickTop="1" x14ac:dyDescent="0.35">
      <c r="A9" t="s">
        <v>2056</v>
      </c>
      <c r="B9" t="s">
        <v>2095</v>
      </c>
      <c r="C9" t="s">
        <v>76</v>
      </c>
      <c r="D9" t="s">
        <v>2096</v>
      </c>
      <c r="E9" t="s">
        <v>559</v>
      </c>
      <c r="F9">
        <v>3</v>
      </c>
      <c r="G9" t="s">
        <v>2050</v>
      </c>
      <c r="H9" t="s">
        <v>2051</v>
      </c>
      <c r="I9" t="s">
        <v>53</v>
      </c>
      <c r="J9" t="s">
        <v>67</v>
      </c>
      <c r="K9" t="s">
        <v>68</v>
      </c>
      <c r="L9" t="s">
        <v>2052</v>
      </c>
      <c r="M9" t="s">
        <v>2064</v>
      </c>
      <c r="N9">
        <v>0</v>
      </c>
      <c r="O9">
        <v>0</v>
      </c>
      <c r="P9">
        <v>0</v>
      </c>
      <c r="Q9">
        <v>900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77</v>
      </c>
      <c r="AH9" s="21" t="s">
        <v>3424</v>
      </c>
      <c r="AI9" s="21">
        <v>67.5</v>
      </c>
      <c r="AJ9" s="21">
        <v>100</v>
      </c>
      <c r="AK9" s="21" t="s">
        <v>2055</v>
      </c>
      <c r="AL9" t="s">
        <v>70</v>
      </c>
      <c r="AM9" t="s">
        <v>2028</v>
      </c>
    </row>
    <row r="10" spans="1:39" ht="15" hidden="1" thickTop="1" x14ac:dyDescent="0.35">
      <c r="A10" t="s">
        <v>2057</v>
      </c>
      <c r="B10" t="s">
        <v>2098</v>
      </c>
      <c r="C10" t="s">
        <v>78</v>
      </c>
      <c r="D10" t="s">
        <v>2099</v>
      </c>
      <c r="E10" t="s">
        <v>559</v>
      </c>
      <c r="F10">
        <v>2</v>
      </c>
      <c r="G10" t="s">
        <v>2050</v>
      </c>
      <c r="H10" t="s">
        <v>2051</v>
      </c>
      <c r="I10" t="s">
        <v>53</v>
      </c>
      <c r="J10" t="s">
        <v>67</v>
      </c>
      <c r="K10" t="s">
        <v>68</v>
      </c>
      <c r="L10" t="s">
        <v>2052</v>
      </c>
      <c r="M10" t="s">
        <v>2064</v>
      </c>
      <c r="N10">
        <v>0</v>
      </c>
      <c r="O10">
        <v>0</v>
      </c>
      <c r="P10">
        <v>0</v>
      </c>
      <c r="Q10">
        <v>900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80</v>
      </c>
      <c r="AH10" s="21" t="s">
        <v>3424</v>
      </c>
      <c r="AI10" s="21">
        <v>67.5</v>
      </c>
      <c r="AJ10" s="21">
        <v>100</v>
      </c>
      <c r="AK10" s="21" t="s">
        <v>2055</v>
      </c>
      <c r="AL10" t="s">
        <v>70</v>
      </c>
      <c r="AM10" t="s">
        <v>2029</v>
      </c>
    </row>
    <row r="11" spans="1:39" ht="15" hidden="1" thickTop="1" x14ac:dyDescent="0.35">
      <c r="A11" t="s">
        <v>2058</v>
      </c>
      <c r="B11" t="s">
        <v>2101</v>
      </c>
      <c r="C11" t="s">
        <v>565</v>
      </c>
      <c r="D11" t="s">
        <v>2102</v>
      </c>
      <c r="E11" t="s">
        <v>559</v>
      </c>
      <c r="F11">
        <v>1</v>
      </c>
      <c r="G11" t="s">
        <v>2050</v>
      </c>
      <c r="H11" t="s">
        <v>2051</v>
      </c>
      <c r="I11" t="s">
        <v>53</v>
      </c>
      <c r="J11" t="s">
        <v>427</v>
      </c>
      <c r="K11" t="s">
        <v>68</v>
      </c>
      <c r="L11" t="s">
        <v>2052</v>
      </c>
      <c r="M11" t="s">
        <v>2053</v>
      </c>
      <c r="N11">
        <v>0</v>
      </c>
      <c r="O11">
        <v>0</v>
      </c>
      <c r="P11">
        <v>0</v>
      </c>
      <c r="Q11">
        <v>1440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83</v>
      </c>
      <c r="AH11" s="21" t="s">
        <v>3425</v>
      </c>
      <c r="AI11" s="21">
        <v>107.92500000000001</v>
      </c>
      <c r="AJ11" s="21">
        <v>100</v>
      </c>
      <c r="AK11" s="21" t="s">
        <v>2054</v>
      </c>
      <c r="AL11" t="s">
        <v>70</v>
      </c>
      <c r="AM11" t="s">
        <v>2029</v>
      </c>
    </row>
    <row r="12" spans="1:39" ht="15" hidden="1" thickTop="1" x14ac:dyDescent="0.35">
      <c r="A12" t="s">
        <v>2059</v>
      </c>
      <c r="B12" t="s">
        <v>2103</v>
      </c>
      <c r="C12" t="s">
        <v>565</v>
      </c>
      <c r="D12" t="s">
        <v>2104</v>
      </c>
      <c r="E12" t="s">
        <v>559</v>
      </c>
      <c r="F12">
        <v>2</v>
      </c>
      <c r="G12" t="s">
        <v>2050</v>
      </c>
      <c r="H12" t="s">
        <v>2051</v>
      </c>
      <c r="I12" t="s">
        <v>53</v>
      </c>
      <c r="J12" t="s">
        <v>427</v>
      </c>
      <c r="K12" t="s">
        <v>68</v>
      </c>
      <c r="L12" t="s">
        <v>2052</v>
      </c>
      <c r="M12" t="s">
        <v>2063</v>
      </c>
      <c r="N12">
        <v>0</v>
      </c>
      <c r="O12">
        <v>0</v>
      </c>
      <c r="P12">
        <v>0</v>
      </c>
      <c r="Q12">
        <v>1020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84</v>
      </c>
      <c r="AH12" s="21" t="s">
        <v>3425</v>
      </c>
      <c r="AI12" s="21">
        <v>76.500000000000014</v>
      </c>
      <c r="AJ12" s="21">
        <v>100</v>
      </c>
      <c r="AK12" s="21" t="s">
        <v>2054</v>
      </c>
      <c r="AL12" t="s">
        <v>70</v>
      </c>
      <c r="AM12" t="s">
        <v>2027</v>
      </c>
    </row>
    <row r="13" spans="1:39" ht="15" hidden="1" thickTop="1" x14ac:dyDescent="0.35">
      <c r="A13" t="s">
        <v>2105</v>
      </c>
      <c r="B13" t="s">
        <v>2107</v>
      </c>
      <c r="C13" t="s">
        <v>81</v>
      </c>
      <c r="D13" t="s">
        <v>2108</v>
      </c>
      <c r="E13" t="s">
        <v>559</v>
      </c>
      <c r="F13">
        <v>1</v>
      </c>
      <c r="G13" t="s">
        <v>2050</v>
      </c>
      <c r="H13" t="s">
        <v>2051</v>
      </c>
      <c r="I13" t="s">
        <v>53</v>
      </c>
      <c r="J13" t="s">
        <v>82</v>
      </c>
      <c r="K13" t="s">
        <v>68</v>
      </c>
      <c r="L13" t="s">
        <v>2052</v>
      </c>
      <c r="M13" t="s">
        <v>2100</v>
      </c>
      <c r="N13">
        <v>0</v>
      </c>
      <c r="O13">
        <v>0</v>
      </c>
      <c r="P13">
        <v>0</v>
      </c>
      <c r="Q13">
        <v>840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85</v>
      </c>
      <c r="AH13" s="21" t="s">
        <v>3425</v>
      </c>
      <c r="AI13" s="21">
        <v>62.999999999999986</v>
      </c>
      <c r="AJ13" s="21">
        <v>100</v>
      </c>
      <c r="AK13" s="21" t="s">
        <v>2055</v>
      </c>
      <c r="AL13" t="s">
        <v>70</v>
      </c>
      <c r="AM13" t="s">
        <v>2030</v>
      </c>
    </row>
    <row r="14" spans="1:39" ht="15" hidden="1" thickTop="1" x14ac:dyDescent="0.35">
      <c r="A14" t="s">
        <v>2106</v>
      </c>
      <c r="B14" t="s">
        <v>2109</v>
      </c>
      <c r="C14" t="s">
        <v>820</v>
      </c>
      <c r="D14" t="s">
        <v>2110</v>
      </c>
      <c r="E14" t="s">
        <v>72</v>
      </c>
      <c r="F14">
        <v>2</v>
      </c>
      <c r="G14" t="s">
        <v>2050</v>
      </c>
      <c r="H14" t="s">
        <v>2051</v>
      </c>
      <c r="I14" t="s">
        <v>53</v>
      </c>
      <c r="J14" t="s">
        <v>424</v>
      </c>
      <c r="K14" t="s">
        <v>68</v>
      </c>
      <c r="L14" t="s">
        <v>2052</v>
      </c>
      <c r="M14" t="s">
        <v>2053</v>
      </c>
      <c r="N14">
        <v>0</v>
      </c>
      <c r="O14">
        <v>0</v>
      </c>
      <c r="P14">
        <v>0</v>
      </c>
      <c r="Q14">
        <v>1440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87</v>
      </c>
      <c r="AH14" s="21" t="s">
        <v>3425</v>
      </c>
      <c r="AI14" s="21">
        <v>107.92500000000001</v>
      </c>
      <c r="AJ14" s="21">
        <v>100</v>
      </c>
      <c r="AK14" s="21" t="s">
        <v>2054</v>
      </c>
      <c r="AL14" t="s">
        <v>75</v>
      </c>
      <c r="AM14" t="s">
        <v>2027</v>
      </c>
    </row>
    <row r="15" spans="1:39" ht="15" hidden="1" thickTop="1" x14ac:dyDescent="0.35">
      <c r="A15" t="s">
        <v>2111</v>
      </c>
      <c r="B15" t="s">
        <v>2112</v>
      </c>
      <c r="C15" t="s">
        <v>78</v>
      </c>
      <c r="D15" t="s">
        <v>2113</v>
      </c>
      <c r="E15" t="s">
        <v>559</v>
      </c>
      <c r="F15">
        <v>1</v>
      </c>
      <c r="G15" t="s">
        <v>2050</v>
      </c>
      <c r="H15" t="s">
        <v>2051</v>
      </c>
      <c r="I15" t="s">
        <v>53</v>
      </c>
      <c r="J15" t="s">
        <v>67</v>
      </c>
      <c r="K15" t="s">
        <v>68</v>
      </c>
      <c r="L15" t="s">
        <v>2052</v>
      </c>
      <c r="M15" t="s">
        <v>2053</v>
      </c>
      <c r="N15">
        <v>0</v>
      </c>
      <c r="O15">
        <v>0</v>
      </c>
      <c r="P15">
        <v>0</v>
      </c>
      <c r="Q15">
        <v>1440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89</v>
      </c>
      <c r="AH15" s="21" t="s">
        <v>3425</v>
      </c>
      <c r="AI15" s="21">
        <v>107.92500000000001</v>
      </c>
      <c r="AJ15" s="21">
        <v>100</v>
      </c>
      <c r="AK15" s="21" t="s">
        <v>2054</v>
      </c>
      <c r="AL15" t="s">
        <v>70</v>
      </c>
      <c r="AM15" t="s">
        <v>2030</v>
      </c>
    </row>
    <row r="16" spans="1:39" ht="15" hidden="1" thickTop="1" x14ac:dyDescent="0.35">
      <c r="A16" t="s">
        <v>2114</v>
      </c>
      <c r="B16" t="s">
        <v>2116</v>
      </c>
      <c r="C16" t="s">
        <v>71</v>
      </c>
      <c r="D16" t="s">
        <v>2117</v>
      </c>
      <c r="E16" t="s">
        <v>72</v>
      </c>
      <c r="F16">
        <v>1</v>
      </c>
      <c r="G16" t="s">
        <v>2050</v>
      </c>
      <c r="H16" t="s">
        <v>2051</v>
      </c>
      <c r="I16" t="s">
        <v>53</v>
      </c>
      <c r="J16" t="s">
        <v>73</v>
      </c>
      <c r="K16" t="s">
        <v>68</v>
      </c>
      <c r="L16" t="s">
        <v>2052</v>
      </c>
      <c r="M16" t="s">
        <v>2053</v>
      </c>
      <c r="N16">
        <v>0</v>
      </c>
      <c r="O16">
        <v>0</v>
      </c>
      <c r="P16">
        <v>0</v>
      </c>
      <c r="Q16">
        <v>1440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90</v>
      </c>
      <c r="AH16" s="21" t="s">
        <v>3426</v>
      </c>
      <c r="AI16" s="21">
        <v>107.92500000000001</v>
      </c>
      <c r="AJ16" s="21">
        <v>100</v>
      </c>
      <c r="AK16" s="21" t="s">
        <v>2055</v>
      </c>
      <c r="AL16" t="s">
        <v>75</v>
      </c>
      <c r="AM16" t="s">
        <v>2028</v>
      </c>
    </row>
    <row r="17" spans="1:39" ht="15" hidden="1" thickTop="1" x14ac:dyDescent="0.35">
      <c r="A17" t="s">
        <v>2115</v>
      </c>
      <c r="B17" t="s">
        <v>2118</v>
      </c>
      <c r="C17" t="s">
        <v>66</v>
      </c>
      <c r="D17" t="s">
        <v>2119</v>
      </c>
      <c r="E17" t="s">
        <v>559</v>
      </c>
      <c r="F17">
        <v>2</v>
      </c>
      <c r="G17" t="s">
        <v>2050</v>
      </c>
      <c r="H17" t="s">
        <v>2051</v>
      </c>
      <c r="I17" t="s">
        <v>53</v>
      </c>
      <c r="J17" t="s">
        <v>67</v>
      </c>
      <c r="K17" t="s">
        <v>68</v>
      </c>
      <c r="L17" t="s">
        <v>2052</v>
      </c>
      <c r="M17" t="s">
        <v>2064</v>
      </c>
      <c r="N17">
        <v>0</v>
      </c>
      <c r="O17">
        <v>0</v>
      </c>
      <c r="P17">
        <v>0</v>
      </c>
      <c r="Q17">
        <v>900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91</v>
      </c>
      <c r="AH17" s="21" t="s">
        <v>3427</v>
      </c>
      <c r="AI17" s="21">
        <v>67.5</v>
      </c>
      <c r="AJ17" s="21">
        <v>100</v>
      </c>
      <c r="AK17" s="21" t="s">
        <v>2055</v>
      </c>
      <c r="AL17" t="s">
        <v>70</v>
      </c>
      <c r="AM17" t="s">
        <v>2029</v>
      </c>
    </row>
    <row r="18" spans="1:39" ht="15" hidden="1" thickTop="1" x14ac:dyDescent="0.35">
      <c r="A18" t="s">
        <v>2120</v>
      </c>
      <c r="B18" t="s">
        <v>2123</v>
      </c>
      <c r="C18" t="s">
        <v>66</v>
      </c>
      <c r="D18" t="s">
        <v>2124</v>
      </c>
      <c r="E18" t="s">
        <v>559</v>
      </c>
      <c r="F18">
        <v>1</v>
      </c>
      <c r="G18" t="s">
        <v>2050</v>
      </c>
      <c r="H18" t="s">
        <v>2051</v>
      </c>
      <c r="I18" t="s">
        <v>53</v>
      </c>
      <c r="J18" t="s">
        <v>67</v>
      </c>
      <c r="K18" t="s">
        <v>68</v>
      </c>
      <c r="L18" t="s">
        <v>2052</v>
      </c>
      <c r="M18" t="s">
        <v>2053</v>
      </c>
      <c r="N18">
        <v>1</v>
      </c>
      <c r="O18">
        <v>23</v>
      </c>
      <c r="P18">
        <v>1.6</v>
      </c>
      <c r="Q18">
        <v>1440</v>
      </c>
      <c r="R18">
        <v>1</v>
      </c>
      <c r="S18">
        <v>23</v>
      </c>
      <c r="T18">
        <v>1.6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93</v>
      </c>
      <c r="AH18" s="21" t="s">
        <v>3427</v>
      </c>
      <c r="AI18" s="21">
        <v>107.92500000000001</v>
      </c>
      <c r="AJ18" s="21">
        <v>98.402777777777771</v>
      </c>
      <c r="AK18" s="21" t="s">
        <v>2054</v>
      </c>
      <c r="AL18" t="s">
        <v>70</v>
      </c>
      <c r="AM18" t="s">
        <v>2031</v>
      </c>
    </row>
    <row r="19" spans="1:39" ht="15" hidden="1" thickTop="1" x14ac:dyDescent="0.35">
      <c r="A19" t="s">
        <v>2121</v>
      </c>
      <c r="B19" t="s">
        <v>2125</v>
      </c>
      <c r="C19" t="s">
        <v>1515</v>
      </c>
      <c r="D19" t="s">
        <v>2126</v>
      </c>
      <c r="E19" t="s">
        <v>95</v>
      </c>
      <c r="F19">
        <v>1</v>
      </c>
      <c r="G19" t="s">
        <v>2050</v>
      </c>
      <c r="H19" t="s">
        <v>2051</v>
      </c>
      <c r="I19" t="s">
        <v>53</v>
      </c>
      <c r="J19" t="s">
        <v>1516</v>
      </c>
      <c r="K19" t="s">
        <v>68</v>
      </c>
      <c r="L19" t="s">
        <v>2052</v>
      </c>
      <c r="M19" t="s">
        <v>2053</v>
      </c>
      <c r="N19">
        <v>1</v>
      </c>
      <c r="O19">
        <v>99</v>
      </c>
      <c r="P19">
        <v>6.88</v>
      </c>
      <c r="Q19">
        <v>1440</v>
      </c>
      <c r="R19">
        <v>1</v>
      </c>
      <c r="S19">
        <v>99</v>
      </c>
      <c r="T19">
        <v>6.88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97</v>
      </c>
      <c r="AH19" s="21" t="s">
        <v>3427</v>
      </c>
      <c r="AI19" s="21">
        <v>107.92500000000001</v>
      </c>
      <c r="AJ19" s="21">
        <v>93.125</v>
      </c>
      <c r="AK19" s="21" t="s">
        <v>2055</v>
      </c>
      <c r="AL19" t="s">
        <v>75</v>
      </c>
      <c r="AM19" t="s">
        <v>2027</v>
      </c>
    </row>
    <row r="20" spans="1:39" ht="15" hidden="1" thickTop="1" x14ac:dyDescent="0.35">
      <c r="A20" t="s">
        <v>2122</v>
      </c>
      <c r="B20" t="s">
        <v>2127</v>
      </c>
      <c r="C20" t="s">
        <v>71</v>
      </c>
      <c r="D20" t="s">
        <v>2128</v>
      </c>
      <c r="E20" t="s">
        <v>72</v>
      </c>
      <c r="F20">
        <v>1</v>
      </c>
      <c r="G20" t="s">
        <v>2050</v>
      </c>
      <c r="H20" t="s">
        <v>2051</v>
      </c>
      <c r="I20" t="s">
        <v>53</v>
      </c>
      <c r="J20" t="s">
        <v>73</v>
      </c>
      <c r="K20" t="s">
        <v>68</v>
      </c>
      <c r="L20" t="s">
        <v>2052</v>
      </c>
      <c r="M20" t="s">
        <v>2053</v>
      </c>
      <c r="N20">
        <v>0</v>
      </c>
      <c r="O20">
        <v>0</v>
      </c>
      <c r="P20">
        <v>0</v>
      </c>
      <c r="Q20">
        <v>1440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98</v>
      </c>
      <c r="AH20" s="21" t="s">
        <v>3427</v>
      </c>
      <c r="AI20" s="21">
        <v>107.92500000000001</v>
      </c>
      <c r="AJ20" s="21">
        <v>100</v>
      </c>
      <c r="AK20" s="21" t="s">
        <v>2054</v>
      </c>
      <c r="AL20" t="s">
        <v>75</v>
      </c>
      <c r="AM20" t="s">
        <v>2028</v>
      </c>
    </row>
    <row r="21" spans="1:39" ht="15" hidden="1" thickTop="1" x14ac:dyDescent="0.35">
      <c r="A21" t="s">
        <v>2129</v>
      </c>
      <c r="B21" t="s">
        <v>2132</v>
      </c>
      <c r="C21" t="s">
        <v>78</v>
      </c>
      <c r="D21" t="s">
        <v>2133</v>
      </c>
      <c r="E21" t="s">
        <v>559</v>
      </c>
      <c r="F21">
        <v>1</v>
      </c>
      <c r="G21" t="s">
        <v>2050</v>
      </c>
      <c r="H21" t="s">
        <v>2051</v>
      </c>
      <c r="I21" t="s">
        <v>53</v>
      </c>
      <c r="J21" t="s">
        <v>67</v>
      </c>
      <c r="K21" t="s">
        <v>68</v>
      </c>
      <c r="L21" t="s">
        <v>2052</v>
      </c>
      <c r="M21" t="s">
        <v>2053</v>
      </c>
      <c r="N21">
        <v>0</v>
      </c>
      <c r="O21">
        <v>0</v>
      </c>
      <c r="P21">
        <v>0</v>
      </c>
      <c r="Q21">
        <v>1440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99</v>
      </c>
      <c r="AH21" s="21" t="s">
        <v>3427</v>
      </c>
      <c r="AI21" s="21">
        <v>107.92500000000001</v>
      </c>
      <c r="AJ21" s="21">
        <v>100</v>
      </c>
      <c r="AK21" s="21" t="s">
        <v>2054</v>
      </c>
      <c r="AL21" t="s">
        <v>70</v>
      </c>
      <c r="AM21" t="s">
        <v>2027</v>
      </c>
    </row>
    <row r="22" spans="1:39" ht="15" hidden="1" thickTop="1" x14ac:dyDescent="0.35">
      <c r="A22" t="s">
        <v>2130</v>
      </c>
      <c r="B22" t="s">
        <v>2134</v>
      </c>
      <c r="C22" t="s">
        <v>100</v>
      </c>
      <c r="D22" t="s">
        <v>2135</v>
      </c>
      <c r="E22" t="s">
        <v>559</v>
      </c>
      <c r="F22">
        <v>1</v>
      </c>
      <c r="G22" t="s">
        <v>2050</v>
      </c>
      <c r="H22" t="s">
        <v>2051</v>
      </c>
      <c r="I22" t="s">
        <v>53</v>
      </c>
      <c r="J22" t="s">
        <v>67</v>
      </c>
      <c r="K22" t="s">
        <v>68</v>
      </c>
      <c r="L22" t="s">
        <v>2052</v>
      </c>
      <c r="M22" t="s">
        <v>2053</v>
      </c>
      <c r="N22">
        <v>0</v>
      </c>
      <c r="O22">
        <v>0</v>
      </c>
      <c r="P22">
        <v>0</v>
      </c>
      <c r="Q22">
        <v>1440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101</v>
      </c>
      <c r="AH22" s="21" t="s">
        <v>3424</v>
      </c>
      <c r="AI22" s="21">
        <v>107.92500000000001</v>
      </c>
      <c r="AJ22" s="21">
        <v>100</v>
      </c>
      <c r="AK22" s="21" t="s">
        <v>2054</v>
      </c>
      <c r="AL22" t="s">
        <v>70</v>
      </c>
      <c r="AM22" t="s">
        <v>2028</v>
      </c>
    </row>
    <row r="23" spans="1:39" ht="15" hidden="1" thickTop="1" x14ac:dyDescent="0.35">
      <c r="A23" t="s">
        <v>2131</v>
      </c>
      <c r="B23" t="s">
        <v>2136</v>
      </c>
      <c r="C23" t="s">
        <v>102</v>
      </c>
      <c r="D23" t="s">
        <v>2137</v>
      </c>
      <c r="E23" t="s">
        <v>559</v>
      </c>
      <c r="F23">
        <v>1</v>
      </c>
      <c r="G23" t="s">
        <v>2050</v>
      </c>
      <c r="H23" t="s">
        <v>2051</v>
      </c>
      <c r="I23" t="s">
        <v>53</v>
      </c>
      <c r="J23" t="s">
        <v>67</v>
      </c>
      <c r="K23" t="s">
        <v>68</v>
      </c>
      <c r="L23" t="s">
        <v>2052</v>
      </c>
      <c r="M23" t="s">
        <v>2053</v>
      </c>
      <c r="N23">
        <v>0</v>
      </c>
      <c r="O23">
        <v>0</v>
      </c>
      <c r="P23">
        <v>0</v>
      </c>
      <c r="Q23">
        <v>1440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103</v>
      </c>
      <c r="AH23" s="21" t="s">
        <v>3425</v>
      </c>
      <c r="AI23" s="21">
        <v>107.92500000000001</v>
      </c>
      <c r="AJ23" s="21">
        <v>100</v>
      </c>
      <c r="AK23" s="21" t="s">
        <v>2054</v>
      </c>
      <c r="AL23" t="s">
        <v>70</v>
      </c>
      <c r="AM23" t="s">
        <v>2027</v>
      </c>
    </row>
    <row r="24" spans="1:39" ht="15" hidden="1" thickTop="1" x14ac:dyDescent="0.35">
      <c r="A24" t="s">
        <v>2138</v>
      </c>
      <c r="B24" t="s">
        <v>2140</v>
      </c>
      <c r="C24" t="s">
        <v>66</v>
      </c>
      <c r="D24" t="s">
        <v>2141</v>
      </c>
      <c r="E24" t="s">
        <v>559</v>
      </c>
      <c r="F24">
        <v>2</v>
      </c>
      <c r="G24" t="s">
        <v>2050</v>
      </c>
      <c r="H24" t="s">
        <v>2051</v>
      </c>
      <c r="I24" t="s">
        <v>53</v>
      </c>
      <c r="J24" t="s">
        <v>67</v>
      </c>
      <c r="K24" t="s">
        <v>68</v>
      </c>
      <c r="L24" t="s">
        <v>2052</v>
      </c>
      <c r="M24" t="s">
        <v>2053</v>
      </c>
      <c r="N24">
        <v>0</v>
      </c>
      <c r="O24">
        <v>0</v>
      </c>
      <c r="P24">
        <v>0</v>
      </c>
      <c r="Q24">
        <v>1440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104</v>
      </c>
      <c r="AH24" s="21" t="s">
        <v>3428</v>
      </c>
      <c r="AI24" s="21">
        <v>107.92500000000001</v>
      </c>
      <c r="AJ24" s="21">
        <v>100</v>
      </c>
      <c r="AK24" s="21" t="s">
        <v>2054</v>
      </c>
      <c r="AL24" t="s">
        <v>70</v>
      </c>
      <c r="AM24" t="s">
        <v>2028</v>
      </c>
    </row>
    <row r="25" spans="1:39" ht="15" hidden="1" thickTop="1" x14ac:dyDescent="0.35">
      <c r="A25" t="s">
        <v>2060</v>
      </c>
      <c r="B25" t="s">
        <v>2147</v>
      </c>
      <c r="C25" t="s">
        <v>76</v>
      </c>
      <c r="D25" t="s">
        <v>2148</v>
      </c>
      <c r="E25" t="s">
        <v>559</v>
      </c>
      <c r="F25">
        <v>1</v>
      </c>
      <c r="G25" t="s">
        <v>2050</v>
      </c>
      <c r="H25" t="s">
        <v>2051</v>
      </c>
      <c r="I25" t="s">
        <v>53</v>
      </c>
      <c r="J25" t="s">
        <v>67</v>
      </c>
      <c r="K25" t="s">
        <v>68</v>
      </c>
      <c r="L25" t="s">
        <v>2052</v>
      </c>
      <c r="M25" t="s">
        <v>2064</v>
      </c>
      <c r="N25">
        <v>0</v>
      </c>
      <c r="O25">
        <v>0</v>
      </c>
      <c r="P25">
        <v>0</v>
      </c>
      <c r="Q25">
        <v>900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105</v>
      </c>
      <c r="AH25" s="21" t="s">
        <v>3425</v>
      </c>
      <c r="AI25" s="21">
        <v>67.5</v>
      </c>
      <c r="AJ25" s="21">
        <v>100</v>
      </c>
      <c r="AK25" s="21" t="s">
        <v>2054</v>
      </c>
      <c r="AL25" t="s">
        <v>70</v>
      </c>
      <c r="AM25" t="s">
        <v>2029</v>
      </c>
    </row>
    <row r="26" spans="1:39" ht="15" hidden="1" thickTop="1" x14ac:dyDescent="0.35">
      <c r="A26" t="s">
        <v>2142</v>
      </c>
      <c r="B26" t="s">
        <v>2149</v>
      </c>
      <c r="C26" t="s">
        <v>76</v>
      </c>
      <c r="D26" t="s">
        <v>2150</v>
      </c>
      <c r="E26" t="s">
        <v>559</v>
      </c>
      <c r="F26">
        <v>1</v>
      </c>
      <c r="G26" t="s">
        <v>2050</v>
      </c>
      <c r="H26" t="s">
        <v>2051</v>
      </c>
      <c r="I26" t="s">
        <v>53</v>
      </c>
      <c r="J26" t="s">
        <v>67</v>
      </c>
      <c r="K26" t="s">
        <v>68</v>
      </c>
      <c r="L26" t="s">
        <v>2052</v>
      </c>
      <c r="M26" t="s">
        <v>2064</v>
      </c>
      <c r="N26">
        <v>0</v>
      </c>
      <c r="O26">
        <v>0</v>
      </c>
      <c r="P26">
        <v>0</v>
      </c>
      <c r="Q26">
        <v>900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106</v>
      </c>
      <c r="AH26" s="21" t="s">
        <v>3424</v>
      </c>
      <c r="AI26" s="21">
        <v>67.5</v>
      </c>
      <c r="AJ26" s="21">
        <v>100</v>
      </c>
      <c r="AK26" s="21" t="s">
        <v>2054</v>
      </c>
      <c r="AL26" t="s">
        <v>70</v>
      </c>
      <c r="AM26" t="s">
        <v>2028</v>
      </c>
    </row>
    <row r="27" spans="1:39" ht="15" hidden="1" thickTop="1" x14ac:dyDescent="0.35">
      <c r="A27" t="s">
        <v>2143</v>
      </c>
      <c r="B27" t="s">
        <v>2151</v>
      </c>
      <c r="C27" t="s">
        <v>86</v>
      </c>
      <c r="D27" t="s">
        <v>2152</v>
      </c>
      <c r="E27" t="s">
        <v>72</v>
      </c>
      <c r="F27">
        <v>1</v>
      </c>
      <c r="G27" t="s">
        <v>2050</v>
      </c>
      <c r="H27" t="s">
        <v>2051</v>
      </c>
      <c r="I27" t="s">
        <v>53</v>
      </c>
      <c r="J27" t="s">
        <v>73</v>
      </c>
      <c r="K27" t="s">
        <v>68</v>
      </c>
      <c r="L27" t="s">
        <v>2052</v>
      </c>
      <c r="M27" t="s">
        <v>2064</v>
      </c>
      <c r="N27">
        <v>0</v>
      </c>
      <c r="O27">
        <v>0</v>
      </c>
      <c r="P27">
        <v>0</v>
      </c>
      <c r="Q27">
        <v>900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107</v>
      </c>
      <c r="AH27" s="21" t="s">
        <v>3424</v>
      </c>
      <c r="AI27" s="21">
        <v>67.5</v>
      </c>
      <c r="AJ27" s="21">
        <v>100</v>
      </c>
      <c r="AK27" s="21" t="s">
        <v>2054</v>
      </c>
      <c r="AL27" t="s">
        <v>75</v>
      </c>
      <c r="AM27" t="s">
        <v>2029</v>
      </c>
    </row>
    <row r="28" spans="1:39" ht="15" hidden="1" thickTop="1" x14ac:dyDescent="0.35">
      <c r="A28" t="s">
        <v>2145</v>
      </c>
      <c r="B28" t="s">
        <v>2156</v>
      </c>
      <c r="C28" t="s">
        <v>102</v>
      </c>
      <c r="D28" t="s">
        <v>2157</v>
      </c>
      <c r="E28" t="s">
        <v>559</v>
      </c>
      <c r="F28">
        <v>1</v>
      </c>
      <c r="G28" t="s">
        <v>2050</v>
      </c>
      <c r="H28" t="s">
        <v>2051</v>
      </c>
      <c r="I28" t="s">
        <v>53</v>
      </c>
      <c r="J28" t="s">
        <v>67</v>
      </c>
      <c r="K28" t="s">
        <v>68</v>
      </c>
      <c r="L28" t="s">
        <v>2052</v>
      </c>
      <c r="M28" t="s">
        <v>2053</v>
      </c>
      <c r="N28">
        <v>0</v>
      </c>
      <c r="O28">
        <v>0</v>
      </c>
      <c r="P28">
        <v>0</v>
      </c>
      <c r="Q28">
        <v>1440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108</v>
      </c>
      <c r="AH28" s="21" t="s">
        <v>3425</v>
      </c>
      <c r="AI28" s="21">
        <v>107.92500000000001</v>
      </c>
      <c r="AJ28" s="21">
        <v>100</v>
      </c>
      <c r="AK28" s="21" t="s">
        <v>2054</v>
      </c>
      <c r="AL28" t="s">
        <v>70</v>
      </c>
      <c r="AM28" t="s">
        <v>2027</v>
      </c>
    </row>
    <row r="29" spans="1:39" ht="15" hidden="1" thickTop="1" x14ac:dyDescent="0.35">
      <c r="A29" t="s">
        <v>2153</v>
      </c>
      <c r="B29" t="s">
        <v>2160</v>
      </c>
      <c r="C29" t="s">
        <v>102</v>
      </c>
      <c r="D29" t="s">
        <v>2161</v>
      </c>
      <c r="E29" t="s">
        <v>559</v>
      </c>
      <c r="F29">
        <v>1</v>
      </c>
      <c r="G29" t="s">
        <v>2050</v>
      </c>
      <c r="H29" t="s">
        <v>2051</v>
      </c>
      <c r="I29" t="s">
        <v>53</v>
      </c>
      <c r="J29" t="s">
        <v>67</v>
      </c>
      <c r="K29" t="s">
        <v>68</v>
      </c>
      <c r="L29" t="s">
        <v>2052</v>
      </c>
      <c r="M29" t="s">
        <v>2053</v>
      </c>
      <c r="N29">
        <v>1</v>
      </c>
      <c r="O29">
        <v>61</v>
      </c>
      <c r="P29">
        <v>4.24</v>
      </c>
      <c r="Q29">
        <v>1440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61</v>
      </c>
      <c r="Z29">
        <v>4.24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109</v>
      </c>
      <c r="AH29" s="21" t="s">
        <v>3429</v>
      </c>
      <c r="AI29" s="21">
        <v>107.92500000000001</v>
      </c>
      <c r="AJ29" s="21">
        <v>95.763888888888886</v>
      </c>
      <c r="AK29" s="21" t="s">
        <v>2055</v>
      </c>
      <c r="AL29" t="s">
        <v>70</v>
      </c>
      <c r="AM29" t="s">
        <v>2028</v>
      </c>
    </row>
    <row r="30" spans="1:39" ht="15" hidden="1" thickTop="1" x14ac:dyDescent="0.35">
      <c r="A30" t="s">
        <v>2154</v>
      </c>
      <c r="B30" t="s">
        <v>2162</v>
      </c>
      <c r="C30" t="s">
        <v>78</v>
      </c>
      <c r="D30" t="s">
        <v>2163</v>
      </c>
      <c r="E30" t="s">
        <v>559</v>
      </c>
      <c r="F30">
        <v>1</v>
      </c>
      <c r="G30" t="s">
        <v>2050</v>
      </c>
      <c r="H30" t="s">
        <v>2051</v>
      </c>
      <c r="I30" t="s">
        <v>53</v>
      </c>
      <c r="J30" t="s">
        <v>67</v>
      </c>
      <c r="K30" t="s">
        <v>68</v>
      </c>
      <c r="L30" t="s">
        <v>2052</v>
      </c>
      <c r="M30" t="s">
        <v>2053</v>
      </c>
      <c r="N30">
        <v>0</v>
      </c>
      <c r="O30">
        <v>0</v>
      </c>
      <c r="P30">
        <v>0</v>
      </c>
      <c r="Q30">
        <v>1440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110</v>
      </c>
      <c r="AH30" s="21" t="s">
        <v>3424</v>
      </c>
      <c r="AI30" s="21">
        <v>107.92500000000001</v>
      </c>
      <c r="AJ30" s="21">
        <v>100</v>
      </c>
      <c r="AK30" s="21" t="s">
        <v>2054</v>
      </c>
      <c r="AL30" t="s">
        <v>70</v>
      </c>
      <c r="AM30" t="s">
        <v>2029</v>
      </c>
    </row>
    <row r="31" spans="1:39" ht="15" hidden="1" thickTop="1" x14ac:dyDescent="0.35">
      <c r="A31" t="s">
        <v>2158</v>
      </c>
      <c r="B31" t="s">
        <v>2164</v>
      </c>
      <c r="C31" t="s">
        <v>111</v>
      </c>
      <c r="D31" t="s">
        <v>2165</v>
      </c>
      <c r="E31" t="s">
        <v>112</v>
      </c>
      <c r="F31">
        <v>1</v>
      </c>
      <c r="G31" t="s">
        <v>2050</v>
      </c>
      <c r="H31" t="s">
        <v>2051</v>
      </c>
      <c r="I31" t="s">
        <v>53</v>
      </c>
      <c r="J31" t="s">
        <v>113</v>
      </c>
      <c r="K31" t="s">
        <v>68</v>
      </c>
      <c r="L31" t="s">
        <v>2052</v>
      </c>
      <c r="M31" t="s">
        <v>2053</v>
      </c>
      <c r="N31">
        <v>0</v>
      </c>
      <c r="O31">
        <v>0</v>
      </c>
      <c r="P31">
        <v>0</v>
      </c>
      <c r="Q31">
        <v>1440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114</v>
      </c>
      <c r="AH31" s="21" t="s">
        <v>3424</v>
      </c>
      <c r="AI31" s="21">
        <v>107.92500000000001</v>
      </c>
      <c r="AJ31" s="21">
        <v>100</v>
      </c>
      <c r="AK31" s="21" t="s">
        <v>2054</v>
      </c>
      <c r="AL31" t="s">
        <v>115</v>
      </c>
      <c r="AM31" t="s">
        <v>2027</v>
      </c>
    </row>
    <row r="32" spans="1:39" ht="15" hidden="1" thickTop="1" x14ac:dyDescent="0.35">
      <c r="A32" t="s">
        <v>2166</v>
      </c>
      <c r="B32" t="s">
        <v>2171</v>
      </c>
      <c r="C32" t="s">
        <v>117</v>
      </c>
      <c r="D32" t="s">
        <v>2172</v>
      </c>
      <c r="E32" t="s">
        <v>559</v>
      </c>
      <c r="F32">
        <v>1</v>
      </c>
      <c r="G32" t="s">
        <v>2050</v>
      </c>
      <c r="H32" t="s">
        <v>2051</v>
      </c>
      <c r="I32" t="s">
        <v>53</v>
      </c>
      <c r="J32" t="s">
        <v>67</v>
      </c>
      <c r="K32" t="s">
        <v>68</v>
      </c>
      <c r="L32" t="s">
        <v>2052</v>
      </c>
      <c r="M32" t="s">
        <v>2066</v>
      </c>
      <c r="N32">
        <v>0</v>
      </c>
      <c r="O32">
        <v>0</v>
      </c>
      <c r="P32">
        <v>0</v>
      </c>
      <c r="Q32">
        <v>780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118</v>
      </c>
      <c r="AH32" s="21" t="s">
        <v>3425</v>
      </c>
      <c r="AI32" s="21">
        <v>58.5</v>
      </c>
      <c r="AJ32" s="21">
        <v>100</v>
      </c>
      <c r="AK32" s="21" t="s">
        <v>2054</v>
      </c>
      <c r="AL32" t="s">
        <v>70</v>
      </c>
      <c r="AM32" t="s">
        <v>2029</v>
      </c>
    </row>
    <row r="33" spans="1:39" ht="15" hidden="1" thickTop="1" x14ac:dyDescent="0.35">
      <c r="A33" t="s">
        <v>2168</v>
      </c>
      <c r="B33" t="s">
        <v>2173</v>
      </c>
      <c r="C33" t="s">
        <v>76</v>
      </c>
      <c r="D33" t="s">
        <v>2174</v>
      </c>
      <c r="E33" t="s">
        <v>119</v>
      </c>
      <c r="F33">
        <v>1</v>
      </c>
      <c r="G33" t="s">
        <v>2050</v>
      </c>
      <c r="H33" t="s">
        <v>2051</v>
      </c>
      <c r="I33" t="s">
        <v>53</v>
      </c>
      <c r="J33" t="s">
        <v>67</v>
      </c>
      <c r="K33" t="s">
        <v>68</v>
      </c>
      <c r="L33" t="s">
        <v>2052</v>
      </c>
      <c r="M33" t="s">
        <v>2053</v>
      </c>
      <c r="N33">
        <v>0</v>
      </c>
      <c r="O33">
        <v>0</v>
      </c>
      <c r="P33">
        <v>0</v>
      </c>
      <c r="Q33">
        <v>1440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120</v>
      </c>
      <c r="AH33" s="21" t="s">
        <v>3425</v>
      </c>
      <c r="AI33" s="21">
        <v>107.92500000000001</v>
      </c>
      <c r="AJ33" s="21">
        <v>100</v>
      </c>
      <c r="AK33" s="21" t="s">
        <v>2054</v>
      </c>
      <c r="AL33" t="s">
        <v>70</v>
      </c>
      <c r="AM33" t="s">
        <v>2028</v>
      </c>
    </row>
    <row r="34" spans="1:39" ht="15" hidden="1" thickTop="1" x14ac:dyDescent="0.35">
      <c r="A34" t="s">
        <v>2169</v>
      </c>
      <c r="B34" t="s">
        <v>2175</v>
      </c>
      <c r="C34" t="s">
        <v>76</v>
      </c>
      <c r="D34" t="s">
        <v>2176</v>
      </c>
      <c r="E34" t="s">
        <v>559</v>
      </c>
      <c r="F34">
        <v>2</v>
      </c>
      <c r="G34" t="s">
        <v>2050</v>
      </c>
      <c r="H34" t="s">
        <v>2051</v>
      </c>
      <c r="I34" t="s">
        <v>53</v>
      </c>
      <c r="J34" t="s">
        <v>67</v>
      </c>
      <c r="K34" t="s">
        <v>68</v>
      </c>
      <c r="L34" t="s">
        <v>2052</v>
      </c>
      <c r="M34" t="s">
        <v>2053</v>
      </c>
      <c r="N34">
        <v>0</v>
      </c>
      <c r="O34">
        <v>0</v>
      </c>
      <c r="P34">
        <v>0</v>
      </c>
      <c r="Q34">
        <v>1440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121</v>
      </c>
      <c r="AH34" s="21" t="s">
        <v>3425</v>
      </c>
      <c r="AI34" s="21">
        <v>107.92500000000001</v>
      </c>
      <c r="AJ34" s="21">
        <v>100</v>
      </c>
      <c r="AK34" s="21" t="s">
        <v>2055</v>
      </c>
      <c r="AL34" t="s">
        <v>70</v>
      </c>
      <c r="AM34" t="s">
        <v>2030</v>
      </c>
    </row>
    <row r="35" spans="1:39" ht="15" hidden="1" thickTop="1" x14ac:dyDescent="0.35">
      <c r="A35" t="s">
        <v>2177</v>
      </c>
      <c r="B35" t="s">
        <v>2183</v>
      </c>
      <c r="C35" t="s">
        <v>76</v>
      </c>
      <c r="D35" t="s">
        <v>2184</v>
      </c>
      <c r="E35" t="s">
        <v>559</v>
      </c>
      <c r="F35">
        <v>2</v>
      </c>
      <c r="G35" t="s">
        <v>2050</v>
      </c>
      <c r="H35" t="s">
        <v>2051</v>
      </c>
      <c r="I35" t="s">
        <v>53</v>
      </c>
      <c r="J35" t="s">
        <v>67</v>
      </c>
      <c r="K35" t="s">
        <v>68</v>
      </c>
      <c r="L35" t="s">
        <v>2052</v>
      </c>
      <c r="M35" t="s">
        <v>2064</v>
      </c>
      <c r="N35">
        <v>0</v>
      </c>
      <c r="O35">
        <v>0</v>
      </c>
      <c r="P35">
        <v>0</v>
      </c>
      <c r="Q35">
        <v>900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122</v>
      </c>
      <c r="AH35" s="21" t="s">
        <v>3424</v>
      </c>
      <c r="AI35" s="21">
        <v>67.5</v>
      </c>
      <c r="AJ35" s="21">
        <v>100</v>
      </c>
      <c r="AK35" s="21" t="s">
        <v>2055</v>
      </c>
      <c r="AL35" t="s">
        <v>70</v>
      </c>
      <c r="AM35" t="s">
        <v>2029</v>
      </c>
    </row>
    <row r="36" spans="1:39" ht="15" hidden="1" thickTop="1" x14ac:dyDescent="0.35">
      <c r="A36" t="s">
        <v>2178</v>
      </c>
      <c r="B36" t="s">
        <v>2185</v>
      </c>
      <c r="C36" t="s">
        <v>81</v>
      </c>
      <c r="D36" t="s">
        <v>2186</v>
      </c>
      <c r="E36" t="s">
        <v>559</v>
      </c>
      <c r="F36">
        <v>2</v>
      </c>
      <c r="G36" t="s">
        <v>2050</v>
      </c>
      <c r="H36" t="s">
        <v>2051</v>
      </c>
      <c r="I36" t="s">
        <v>53</v>
      </c>
      <c r="J36" t="s">
        <v>82</v>
      </c>
      <c r="K36" t="s">
        <v>68</v>
      </c>
      <c r="L36" t="s">
        <v>2052</v>
      </c>
      <c r="M36" t="s">
        <v>2053</v>
      </c>
      <c r="N36">
        <v>0</v>
      </c>
      <c r="O36">
        <v>0</v>
      </c>
      <c r="P36">
        <v>0</v>
      </c>
      <c r="Q36">
        <v>1440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123</v>
      </c>
      <c r="AH36" s="21" t="s">
        <v>3425</v>
      </c>
      <c r="AI36" s="21">
        <v>107.92500000000001</v>
      </c>
      <c r="AJ36" s="21">
        <v>100</v>
      </c>
      <c r="AK36" s="21" t="s">
        <v>2054</v>
      </c>
      <c r="AL36" t="s">
        <v>70</v>
      </c>
      <c r="AM36" t="s">
        <v>2027</v>
      </c>
    </row>
    <row r="37" spans="1:39" ht="15" hidden="1" thickTop="1" x14ac:dyDescent="0.35">
      <c r="A37" t="s">
        <v>2179</v>
      </c>
      <c r="B37" t="s">
        <v>2187</v>
      </c>
      <c r="C37" t="s">
        <v>100</v>
      </c>
      <c r="D37" t="s">
        <v>2188</v>
      </c>
      <c r="E37" t="s">
        <v>559</v>
      </c>
      <c r="F37">
        <v>1</v>
      </c>
      <c r="G37" t="s">
        <v>2050</v>
      </c>
      <c r="H37" t="s">
        <v>2051</v>
      </c>
      <c r="I37" t="s">
        <v>53</v>
      </c>
      <c r="J37" t="s">
        <v>67</v>
      </c>
      <c r="K37" t="s">
        <v>68</v>
      </c>
      <c r="L37" t="s">
        <v>2052</v>
      </c>
      <c r="M37" t="s">
        <v>2053</v>
      </c>
      <c r="N37">
        <v>0</v>
      </c>
      <c r="O37">
        <v>0</v>
      </c>
      <c r="P37">
        <v>0</v>
      </c>
      <c r="Q37">
        <v>1440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124</v>
      </c>
      <c r="AH37" s="21" t="s">
        <v>3424</v>
      </c>
      <c r="AI37" s="21">
        <v>107.92500000000001</v>
      </c>
      <c r="AJ37" s="21">
        <v>100</v>
      </c>
      <c r="AK37" s="21" t="s">
        <v>2054</v>
      </c>
      <c r="AL37" t="s">
        <v>70</v>
      </c>
      <c r="AM37" t="s">
        <v>2031</v>
      </c>
    </row>
    <row r="38" spans="1:39" ht="15" hidden="1" thickTop="1" x14ac:dyDescent="0.35">
      <c r="A38" t="s">
        <v>2181</v>
      </c>
      <c r="B38" t="s">
        <v>2189</v>
      </c>
      <c r="C38" t="s">
        <v>76</v>
      </c>
      <c r="D38" t="s">
        <v>2190</v>
      </c>
      <c r="E38" t="s">
        <v>559</v>
      </c>
      <c r="F38">
        <v>2</v>
      </c>
      <c r="G38" t="s">
        <v>2050</v>
      </c>
      <c r="H38" t="s">
        <v>2051</v>
      </c>
      <c r="I38" t="s">
        <v>53</v>
      </c>
      <c r="J38" t="s">
        <v>67</v>
      </c>
      <c r="K38" t="s">
        <v>68</v>
      </c>
      <c r="L38" t="s">
        <v>2052</v>
      </c>
      <c r="M38" t="s">
        <v>2084</v>
      </c>
      <c r="N38">
        <v>0</v>
      </c>
      <c r="O38">
        <v>0</v>
      </c>
      <c r="P38">
        <v>0</v>
      </c>
      <c r="Q38">
        <v>840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125</v>
      </c>
      <c r="AH38" s="21" t="s">
        <v>3424</v>
      </c>
      <c r="AI38" s="21">
        <v>62.999999999999986</v>
      </c>
      <c r="AJ38" s="21">
        <v>100</v>
      </c>
      <c r="AK38" s="21" t="s">
        <v>2055</v>
      </c>
      <c r="AL38" t="s">
        <v>70</v>
      </c>
      <c r="AM38" t="s">
        <v>2027</v>
      </c>
    </row>
    <row r="39" spans="1:39" ht="15" hidden="1" thickTop="1" x14ac:dyDescent="0.35">
      <c r="A39" t="s">
        <v>2191</v>
      </c>
      <c r="B39" t="s">
        <v>2195</v>
      </c>
      <c r="C39" t="s">
        <v>565</v>
      </c>
      <c r="D39" t="s">
        <v>2196</v>
      </c>
      <c r="E39" t="s">
        <v>559</v>
      </c>
      <c r="F39">
        <v>2</v>
      </c>
      <c r="G39" t="s">
        <v>2050</v>
      </c>
      <c r="H39" t="s">
        <v>2051</v>
      </c>
      <c r="I39" t="s">
        <v>53</v>
      </c>
      <c r="J39" t="s">
        <v>427</v>
      </c>
      <c r="K39" t="s">
        <v>68</v>
      </c>
      <c r="L39" t="s">
        <v>2052</v>
      </c>
      <c r="M39" t="s">
        <v>2053</v>
      </c>
      <c r="N39">
        <v>0</v>
      </c>
      <c r="O39">
        <v>0</v>
      </c>
      <c r="P39">
        <v>0</v>
      </c>
      <c r="Q39">
        <v>1440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127</v>
      </c>
      <c r="AH39" s="21" t="s">
        <v>3425</v>
      </c>
      <c r="AI39" s="21">
        <v>107.92500000000001</v>
      </c>
      <c r="AJ39" s="21">
        <v>100</v>
      </c>
      <c r="AK39" s="21" t="s">
        <v>2055</v>
      </c>
      <c r="AL39" t="s">
        <v>70</v>
      </c>
      <c r="AM39" t="s">
        <v>2029</v>
      </c>
    </row>
    <row r="40" spans="1:39" ht="15" hidden="1" thickTop="1" x14ac:dyDescent="0.35">
      <c r="A40" t="s">
        <v>2193</v>
      </c>
      <c r="B40" t="s">
        <v>2197</v>
      </c>
      <c r="C40" t="s">
        <v>128</v>
      </c>
      <c r="D40" t="s">
        <v>2198</v>
      </c>
      <c r="E40" t="s">
        <v>112</v>
      </c>
      <c r="F40">
        <v>1</v>
      </c>
      <c r="G40" t="s">
        <v>2050</v>
      </c>
      <c r="H40" t="s">
        <v>2051</v>
      </c>
      <c r="I40" t="s">
        <v>53</v>
      </c>
      <c r="J40" t="s">
        <v>113</v>
      </c>
      <c r="K40" t="s">
        <v>68</v>
      </c>
      <c r="L40" t="s">
        <v>2052</v>
      </c>
      <c r="M40" t="s">
        <v>2053</v>
      </c>
      <c r="N40">
        <v>0</v>
      </c>
      <c r="O40">
        <v>0</v>
      </c>
      <c r="P40">
        <v>0</v>
      </c>
      <c r="Q40">
        <v>1440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129</v>
      </c>
      <c r="AH40" s="21" t="s">
        <v>3425</v>
      </c>
      <c r="AI40" s="21">
        <v>107.92500000000001</v>
      </c>
      <c r="AJ40" s="21">
        <v>100</v>
      </c>
      <c r="AK40" s="21" t="s">
        <v>2055</v>
      </c>
      <c r="AL40" t="s">
        <v>115</v>
      </c>
      <c r="AM40" t="s">
        <v>2027</v>
      </c>
    </row>
    <row r="41" spans="1:39" ht="15" hidden="1" thickTop="1" x14ac:dyDescent="0.35">
      <c r="A41" t="s">
        <v>2061</v>
      </c>
      <c r="B41" t="s">
        <v>2200</v>
      </c>
      <c r="C41" t="s">
        <v>117</v>
      </c>
      <c r="D41" t="s">
        <v>2201</v>
      </c>
      <c r="E41" t="s">
        <v>559</v>
      </c>
      <c r="F41">
        <v>1</v>
      </c>
      <c r="G41" t="s">
        <v>2050</v>
      </c>
      <c r="H41" t="s">
        <v>2051</v>
      </c>
      <c r="I41" t="s">
        <v>53</v>
      </c>
      <c r="J41" t="s">
        <v>67</v>
      </c>
      <c r="K41" t="s">
        <v>68</v>
      </c>
      <c r="L41" t="s">
        <v>2052</v>
      </c>
      <c r="M41" t="s">
        <v>2053</v>
      </c>
      <c r="N41">
        <v>0</v>
      </c>
      <c r="O41">
        <v>0</v>
      </c>
      <c r="P41">
        <v>0</v>
      </c>
      <c r="Q41">
        <v>1440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130</v>
      </c>
      <c r="AH41" s="21" t="s">
        <v>3424</v>
      </c>
      <c r="AI41" s="21">
        <v>107.92500000000001</v>
      </c>
      <c r="AJ41" s="21">
        <v>100</v>
      </c>
      <c r="AK41" s="21" t="s">
        <v>2054</v>
      </c>
      <c r="AL41" t="s">
        <v>70</v>
      </c>
      <c r="AM41" t="s">
        <v>2029</v>
      </c>
    </row>
    <row r="42" spans="1:39" ht="15" hidden="1" thickTop="1" x14ac:dyDescent="0.35">
      <c r="A42" t="s">
        <v>2202</v>
      </c>
      <c r="B42" t="s">
        <v>2207</v>
      </c>
      <c r="C42" t="s">
        <v>86</v>
      </c>
      <c r="D42" t="s">
        <v>2208</v>
      </c>
      <c r="E42" t="s">
        <v>72</v>
      </c>
      <c r="F42">
        <v>1</v>
      </c>
      <c r="G42" t="s">
        <v>2050</v>
      </c>
      <c r="H42" t="s">
        <v>2051</v>
      </c>
      <c r="I42" t="s">
        <v>53</v>
      </c>
      <c r="J42" t="s">
        <v>73</v>
      </c>
      <c r="K42" t="s">
        <v>68</v>
      </c>
      <c r="L42" t="s">
        <v>2052</v>
      </c>
      <c r="M42" t="s">
        <v>2063</v>
      </c>
      <c r="N42">
        <v>0</v>
      </c>
      <c r="O42">
        <v>0</v>
      </c>
      <c r="P42">
        <v>0</v>
      </c>
      <c r="Q42">
        <v>1020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131</v>
      </c>
      <c r="AH42" s="21" t="s">
        <v>3430</v>
      </c>
      <c r="AI42" s="21">
        <v>76.500000000000014</v>
      </c>
      <c r="AJ42" s="21">
        <v>100</v>
      </c>
      <c r="AK42" s="21" t="s">
        <v>2054</v>
      </c>
      <c r="AL42" t="s">
        <v>75</v>
      </c>
      <c r="AM42" t="s">
        <v>2027</v>
      </c>
    </row>
    <row r="43" spans="1:39" ht="15" hidden="1" thickTop="1" x14ac:dyDescent="0.35">
      <c r="A43" t="s">
        <v>2062</v>
      </c>
      <c r="B43" t="s">
        <v>2213</v>
      </c>
      <c r="C43" t="s">
        <v>820</v>
      </c>
      <c r="D43" t="s">
        <v>2214</v>
      </c>
      <c r="E43" t="s">
        <v>72</v>
      </c>
      <c r="F43">
        <v>1</v>
      </c>
      <c r="G43" t="s">
        <v>2050</v>
      </c>
      <c r="H43" t="s">
        <v>2051</v>
      </c>
      <c r="I43" t="s">
        <v>53</v>
      </c>
      <c r="J43" t="s">
        <v>424</v>
      </c>
      <c r="K43" t="s">
        <v>68</v>
      </c>
      <c r="L43" t="s">
        <v>2052</v>
      </c>
      <c r="M43" t="s">
        <v>2053</v>
      </c>
      <c r="N43">
        <v>0</v>
      </c>
      <c r="O43">
        <v>0</v>
      </c>
      <c r="P43">
        <v>0</v>
      </c>
      <c r="Q43">
        <v>1440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133</v>
      </c>
      <c r="AH43" s="21" t="s">
        <v>3425</v>
      </c>
      <c r="AI43" s="21">
        <v>107.92500000000001</v>
      </c>
      <c r="AJ43" s="21">
        <v>100</v>
      </c>
      <c r="AK43" s="21" t="s">
        <v>2054</v>
      </c>
      <c r="AL43" t="s">
        <v>75</v>
      </c>
      <c r="AM43" t="s">
        <v>2027</v>
      </c>
    </row>
    <row r="44" spans="1:39" ht="15" hidden="1" thickTop="1" x14ac:dyDescent="0.35">
      <c r="A44" t="s">
        <v>2205</v>
      </c>
      <c r="B44" t="s">
        <v>2215</v>
      </c>
      <c r="C44" t="s">
        <v>3376</v>
      </c>
      <c r="D44" t="s">
        <v>2216</v>
      </c>
      <c r="E44" t="s">
        <v>559</v>
      </c>
      <c r="F44">
        <v>1</v>
      </c>
      <c r="G44" t="s">
        <v>2050</v>
      </c>
      <c r="H44" t="s">
        <v>2051</v>
      </c>
      <c r="I44" t="s">
        <v>53</v>
      </c>
      <c r="J44" t="s">
        <v>67</v>
      </c>
      <c r="K44" t="s">
        <v>68</v>
      </c>
      <c r="L44" t="s">
        <v>2052</v>
      </c>
      <c r="M44" t="s">
        <v>2053</v>
      </c>
      <c r="N44">
        <v>0</v>
      </c>
      <c r="O44">
        <v>0</v>
      </c>
      <c r="P44">
        <v>0</v>
      </c>
      <c r="Q44">
        <v>1440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134</v>
      </c>
      <c r="AH44" s="21" t="s">
        <v>3425</v>
      </c>
      <c r="AI44" s="21">
        <v>107.92500000000001</v>
      </c>
      <c r="AJ44" s="21">
        <v>100</v>
      </c>
      <c r="AK44" s="21" t="s">
        <v>2054</v>
      </c>
      <c r="AL44" t="s">
        <v>70</v>
      </c>
      <c r="AM44" t="s">
        <v>2027</v>
      </c>
    </row>
    <row r="45" spans="1:39" ht="15" hidden="1" thickTop="1" x14ac:dyDescent="0.35">
      <c r="A45" t="s">
        <v>2209</v>
      </c>
      <c r="B45" t="s">
        <v>2220</v>
      </c>
      <c r="C45" t="s">
        <v>135</v>
      </c>
      <c r="D45" t="s">
        <v>2221</v>
      </c>
      <c r="E45" t="s">
        <v>136</v>
      </c>
      <c r="F45">
        <v>1</v>
      </c>
      <c r="G45" t="s">
        <v>2050</v>
      </c>
      <c r="H45" t="s">
        <v>2051</v>
      </c>
      <c r="I45" t="s">
        <v>53</v>
      </c>
      <c r="J45" t="s">
        <v>137</v>
      </c>
      <c r="K45" t="s">
        <v>68</v>
      </c>
      <c r="L45" t="s">
        <v>2052</v>
      </c>
      <c r="M45" t="s">
        <v>2053</v>
      </c>
      <c r="N45">
        <v>0</v>
      </c>
      <c r="O45">
        <v>0</v>
      </c>
      <c r="P45">
        <v>0</v>
      </c>
      <c r="Q45">
        <v>1440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138</v>
      </c>
      <c r="AH45" s="21" t="s">
        <v>3425</v>
      </c>
      <c r="AI45" s="21">
        <v>107.92500000000001</v>
      </c>
      <c r="AJ45" s="21">
        <v>100</v>
      </c>
      <c r="AK45" s="21" t="s">
        <v>2054</v>
      </c>
      <c r="AL45" t="s">
        <v>115</v>
      </c>
      <c r="AM45" t="s">
        <v>2027</v>
      </c>
    </row>
    <row r="46" spans="1:39" ht="15" hidden="1" thickTop="1" x14ac:dyDescent="0.35">
      <c r="A46" t="s">
        <v>2211</v>
      </c>
      <c r="B46" t="s">
        <v>2222</v>
      </c>
      <c r="C46" t="s">
        <v>3376</v>
      </c>
      <c r="D46" t="s">
        <v>2223</v>
      </c>
      <c r="E46" t="s">
        <v>559</v>
      </c>
      <c r="F46">
        <v>1</v>
      </c>
      <c r="G46" t="s">
        <v>2050</v>
      </c>
      <c r="H46" t="s">
        <v>2051</v>
      </c>
      <c r="I46" t="s">
        <v>53</v>
      </c>
      <c r="J46" t="s">
        <v>67</v>
      </c>
      <c r="K46" t="s">
        <v>68</v>
      </c>
      <c r="L46" t="s">
        <v>2052</v>
      </c>
      <c r="M46" t="s">
        <v>2053</v>
      </c>
      <c r="N46">
        <v>0</v>
      </c>
      <c r="O46">
        <v>0</v>
      </c>
      <c r="P46">
        <v>0</v>
      </c>
      <c r="Q46">
        <v>1440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139</v>
      </c>
      <c r="AH46" s="21" t="s">
        <v>3425</v>
      </c>
      <c r="AI46" s="21">
        <v>107.92500000000001</v>
      </c>
      <c r="AJ46" s="21">
        <v>100</v>
      </c>
      <c r="AK46" s="21" t="s">
        <v>2054</v>
      </c>
      <c r="AL46" t="s">
        <v>70</v>
      </c>
      <c r="AM46" t="s">
        <v>2027</v>
      </c>
    </row>
    <row r="47" spans="1:39" ht="15" hidden="1" thickTop="1" x14ac:dyDescent="0.35">
      <c r="A47" t="s">
        <v>2217</v>
      </c>
      <c r="B47" t="s">
        <v>2230</v>
      </c>
      <c r="C47" t="s">
        <v>78</v>
      </c>
      <c r="D47" t="s">
        <v>2231</v>
      </c>
      <c r="E47" t="s">
        <v>559</v>
      </c>
      <c r="F47">
        <v>1</v>
      </c>
      <c r="G47" t="s">
        <v>2050</v>
      </c>
      <c r="H47" t="s">
        <v>2051</v>
      </c>
      <c r="I47" t="s">
        <v>53</v>
      </c>
      <c r="J47" t="s">
        <v>67</v>
      </c>
      <c r="K47" t="s">
        <v>68</v>
      </c>
      <c r="L47" t="s">
        <v>2052</v>
      </c>
      <c r="M47" t="s">
        <v>2053</v>
      </c>
      <c r="N47">
        <v>0</v>
      </c>
      <c r="O47">
        <v>0</v>
      </c>
      <c r="P47">
        <v>0</v>
      </c>
      <c r="Q47">
        <v>1440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140</v>
      </c>
      <c r="AH47" s="21" t="s">
        <v>3425</v>
      </c>
      <c r="AI47" s="21">
        <v>107.92500000000001</v>
      </c>
      <c r="AJ47" s="21">
        <v>100</v>
      </c>
      <c r="AK47" s="21" t="s">
        <v>2054</v>
      </c>
      <c r="AL47" t="s">
        <v>70</v>
      </c>
      <c r="AM47" t="s">
        <v>2029</v>
      </c>
    </row>
    <row r="48" spans="1:39" ht="15" hidden="1" thickTop="1" x14ac:dyDescent="0.35">
      <c r="A48" t="s">
        <v>2218</v>
      </c>
      <c r="B48" t="s">
        <v>2232</v>
      </c>
      <c r="C48" t="s">
        <v>92</v>
      </c>
      <c r="D48" t="s">
        <v>2233</v>
      </c>
      <c r="E48" t="s">
        <v>119</v>
      </c>
      <c r="F48">
        <v>1</v>
      </c>
      <c r="G48" t="s">
        <v>2050</v>
      </c>
      <c r="H48" t="s">
        <v>2051</v>
      </c>
      <c r="I48" t="s">
        <v>53</v>
      </c>
      <c r="J48" t="s">
        <v>67</v>
      </c>
      <c r="K48" t="s">
        <v>68</v>
      </c>
      <c r="L48" t="s">
        <v>2052</v>
      </c>
      <c r="M48" t="s">
        <v>2053</v>
      </c>
      <c r="N48">
        <v>0</v>
      </c>
      <c r="O48">
        <v>0</v>
      </c>
      <c r="P48">
        <v>0</v>
      </c>
      <c r="Q48">
        <v>1440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141</v>
      </c>
      <c r="AH48" s="21" t="s">
        <v>3427</v>
      </c>
      <c r="AI48" s="21">
        <v>107.92500000000001</v>
      </c>
      <c r="AJ48" s="21">
        <v>100</v>
      </c>
      <c r="AK48" s="21" t="s">
        <v>2054</v>
      </c>
      <c r="AL48" t="s">
        <v>70</v>
      </c>
      <c r="AM48" t="s">
        <v>2027</v>
      </c>
    </row>
    <row r="49" spans="1:39" ht="15" hidden="1" thickTop="1" x14ac:dyDescent="0.35">
      <c r="A49" t="s">
        <v>2224</v>
      </c>
      <c r="B49" t="s">
        <v>2238</v>
      </c>
      <c r="C49" t="s">
        <v>81</v>
      </c>
      <c r="D49" t="s">
        <v>2239</v>
      </c>
      <c r="E49" t="s">
        <v>559</v>
      </c>
      <c r="F49">
        <v>1</v>
      </c>
      <c r="G49" t="s">
        <v>2050</v>
      </c>
      <c r="H49" t="s">
        <v>2051</v>
      </c>
      <c r="I49" t="s">
        <v>53</v>
      </c>
      <c r="J49" t="s">
        <v>82</v>
      </c>
      <c r="K49" t="s">
        <v>68</v>
      </c>
      <c r="L49" t="s">
        <v>2052</v>
      </c>
      <c r="M49" t="s">
        <v>2053</v>
      </c>
      <c r="N49">
        <v>0</v>
      </c>
      <c r="O49">
        <v>0</v>
      </c>
      <c r="P49">
        <v>0</v>
      </c>
      <c r="Q49">
        <v>1440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142</v>
      </c>
      <c r="AH49" s="21" t="s">
        <v>3425</v>
      </c>
      <c r="AI49" s="21">
        <v>107.92500000000001</v>
      </c>
      <c r="AJ49" s="21">
        <v>100</v>
      </c>
      <c r="AK49" s="21" t="s">
        <v>2054</v>
      </c>
      <c r="AL49" t="s">
        <v>70</v>
      </c>
      <c r="AM49" t="s">
        <v>2029</v>
      </c>
    </row>
    <row r="50" spans="1:39" ht="15" hidden="1" thickTop="1" x14ac:dyDescent="0.35">
      <c r="A50" t="s">
        <v>2225</v>
      </c>
      <c r="B50" t="s">
        <v>2240</v>
      </c>
      <c r="C50" t="s">
        <v>76</v>
      </c>
      <c r="D50" t="s">
        <v>2241</v>
      </c>
      <c r="E50" t="s">
        <v>119</v>
      </c>
      <c r="F50">
        <v>1</v>
      </c>
      <c r="G50" t="s">
        <v>2050</v>
      </c>
      <c r="H50" t="s">
        <v>2051</v>
      </c>
      <c r="I50" t="s">
        <v>53</v>
      </c>
      <c r="J50" t="s">
        <v>67</v>
      </c>
      <c r="K50" t="s">
        <v>68</v>
      </c>
      <c r="L50" t="s">
        <v>2052</v>
      </c>
      <c r="M50" t="s">
        <v>2053</v>
      </c>
      <c r="N50">
        <v>1</v>
      </c>
      <c r="O50">
        <v>36</v>
      </c>
      <c r="P50">
        <v>2.5</v>
      </c>
      <c r="Q50">
        <v>1440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1</v>
      </c>
      <c r="AB50">
        <v>36</v>
      </c>
      <c r="AC50">
        <v>2.5</v>
      </c>
      <c r="AD50">
        <v>0</v>
      </c>
      <c r="AE50">
        <v>0</v>
      </c>
      <c r="AF50">
        <v>0</v>
      </c>
      <c r="AG50" t="s">
        <v>143</v>
      </c>
      <c r="AH50" s="21" t="s">
        <v>3424</v>
      </c>
      <c r="AI50" s="21">
        <v>107.92500000000001</v>
      </c>
      <c r="AJ50" s="21">
        <v>97.5</v>
      </c>
      <c r="AK50" s="21" t="s">
        <v>2054</v>
      </c>
      <c r="AL50" t="s">
        <v>70</v>
      </c>
      <c r="AM50" t="s">
        <v>2029</v>
      </c>
    </row>
    <row r="51" spans="1:39" ht="15" hidden="1" thickTop="1" x14ac:dyDescent="0.35">
      <c r="A51" t="s">
        <v>2227</v>
      </c>
      <c r="B51" t="s">
        <v>2244</v>
      </c>
      <c r="C51" t="s">
        <v>78</v>
      </c>
      <c r="D51" t="s">
        <v>2245</v>
      </c>
      <c r="E51" t="s">
        <v>559</v>
      </c>
      <c r="F51">
        <v>1</v>
      </c>
      <c r="G51" t="s">
        <v>2050</v>
      </c>
      <c r="H51" t="s">
        <v>2051</v>
      </c>
      <c r="I51" t="s">
        <v>53</v>
      </c>
      <c r="J51" t="s">
        <v>67</v>
      </c>
      <c r="K51" t="s">
        <v>68</v>
      </c>
      <c r="L51" t="s">
        <v>2052</v>
      </c>
      <c r="M51" t="s">
        <v>2053</v>
      </c>
      <c r="N51">
        <v>0</v>
      </c>
      <c r="O51">
        <v>0</v>
      </c>
      <c r="P51">
        <v>0</v>
      </c>
      <c r="Q51">
        <v>1440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144</v>
      </c>
      <c r="AH51" s="21" t="s">
        <v>3425</v>
      </c>
      <c r="AI51" s="21">
        <v>107.92500000000001</v>
      </c>
      <c r="AJ51" s="21">
        <v>100</v>
      </c>
      <c r="AK51" s="21" t="s">
        <v>2054</v>
      </c>
      <c r="AL51" t="s">
        <v>70</v>
      </c>
      <c r="AM51" t="s">
        <v>2030</v>
      </c>
    </row>
    <row r="52" spans="1:39" ht="15" hidden="1" thickTop="1" x14ac:dyDescent="0.35">
      <c r="A52" t="s">
        <v>2228</v>
      </c>
      <c r="B52" t="s">
        <v>2247</v>
      </c>
      <c r="C52" t="s">
        <v>66</v>
      </c>
      <c r="D52" t="s">
        <v>2248</v>
      </c>
      <c r="E52" t="s">
        <v>559</v>
      </c>
      <c r="F52">
        <v>1</v>
      </c>
      <c r="G52" t="s">
        <v>2050</v>
      </c>
      <c r="H52" t="s">
        <v>2051</v>
      </c>
      <c r="I52" t="s">
        <v>53</v>
      </c>
      <c r="J52" t="s">
        <v>67</v>
      </c>
      <c r="K52" t="s">
        <v>68</v>
      </c>
      <c r="L52" t="s">
        <v>2052</v>
      </c>
      <c r="M52" t="s">
        <v>2084</v>
      </c>
      <c r="N52">
        <v>0</v>
      </c>
      <c r="O52">
        <v>0</v>
      </c>
      <c r="P52">
        <v>0</v>
      </c>
      <c r="Q52">
        <v>840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145</v>
      </c>
      <c r="AH52" s="21" t="s">
        <v>3427</v>
      </c>
      <c r="AI52" s="21">
        <v>62.999999999999986</v>
      </c>
      <c r="AJ52" s="21">
        <v>100</v>
      </c>
      <c r="AK52" s="21" t="s">
        <v>2055</v>
      </c>
      <c r="AL52" t="s">
        <v>70</v>
      </c>
      <c r="AM52" t="s">
        <v>2028</v>
      </c>
    </row>
    <row r="53" spans="1:39" ht="15" hidden="1" thickTop="1" x14ac:dyDescent="0.35">
      <c r="A53" t="s">
        <v>2234</v>
      </c>
      <c r="B53" t="s">
        <v>2251</v>
      </c>
      <c r="C53" t="s">
        <v>92</v>
      </c>
      <c r="D53" t="s">
        <v>2252</v>
      </c>
      <c r="E53" t="s">
        <v>119</v>
      </c>
      <c r="F53">
        <v>1</v>
      </c>
      <c r="G53" t="s">
        <v>2050</v>
      </c>
      <c r="H53" t="s">
        <v>2051</v>
      </c>
      <c r="I53" t="s">
        <v>53</v>
      </c>
      <c r="J53" t="s">
        <v>67</v>
      </c>
      <c r="K53" t="s">
        <v>68</v>
      </c>
      <c r="L53" t="s">
        <v>2052</v>
      </c>
      <c r="M53" t="s">
        <v>2053</v>
      </c>
      <c r="N53">
        <v>0</v>
      </c>
      <c r="O53">
        <v>0</v>
      </c>
      <c r="P53">
        <v>0</v>
      </c>
      <c r="Q53">
        <v>1440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147</v>
      </c>
      <c r="AH53" s="21" t="s">
        <v>3424</v>
      </c>
      <c r="AI53" s="21">
        <v>107.92500000000001</v>
      </c>
      <c r="AJ53" s="21">
        <v>100</v>
      </c>
      <c r="AK53" s="21" t="s">
        <v>2054</v>
      </c>
      <c r="AL53" t="s">
        <v>70</v>
      </c>
      <c r="AM53" t="s">
        <v>2029</v>
      </c>
    </row>
    <row r="54" spans="1:39" ht="15" hidden="1" thickTop="1" x14ac:dyDescent="0.35">
      <c r="A54" t="s">
        <v>2236</v>
      </c>
      <c r="B54" t="s">
        <v>2256</v>
      </c>
      <c r="C54" t="s">
        <v>102</v>
      </c>
      <c r="D54" t="s">
        <v>2257</v>
      </c>
      <c r="E54" t="s">
        <v>559</v>
      </c>
      <c r="F54">
        <v>1</v>
      </c>
      <c r="G54" t="s">
        <v>2050</v>
      </c>
      <c r="H54" t="s">
        <v>2051</v>
      </c>
      <c r="I54" t="s">
        <v>53</v>
      </c>
      <c r="J54" t="s">
        <v>67</v>
      </c>
      <c r="K54" t="s">
        <v>68</v>
      </c>
      <c r="L54" t="s">
        <v>2052</v>
      </c>
      <c r="M54" t="s">
        <v>2053</v>
      </c>
      <c r="N54">
        <v>0</v>
      </c>
      <c r="O54">
        <v>0</v>
      </c>
      <c r="P54">
        <v>0</v>
      </c>
      <c r="Q54">
        <v>1440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148</v>
      </c>
      <c r="AH54" s="21" t="s">
        <v>3425</v>
      </c>
      <c r="AI54" s="21">
        <v>107.92500000000001</v>
      </c>
      <c r="AJ54" s="21">
        <v>100</v>
      </c>
      <c r="AK54" s="21" t="s">
        <v>2054</v>
      </c>
      <c r="AL54" t="s">
        <v>70</v>
      </c>
      <c r="AM54" t="s">
        <v>2029</v>
      </c>
    </row>
    <row r="55" spans="1:39" ht="15" hidden="1" thickTop="1" x14ac:dyDescent="0.35">
      <c r="A55" t="s">
        <v>2242</v>
      </c>
      <c r="B55" t="s">
        <v>2262</v>
      </c>
      <c r="C55" t="s">
        <v>66</v>
      </c>
      <c r="D55" t="s">
        <v>2263</v>
      </c>
      <c r="E55" t="s">
        <v>559</v>
      </c>
      <c r="F55">
        <v>1</v>
      </c>
      <c r="G55" t="s">
        <v>2050</v>
      </c>
      <c r="H55" t="s">
        <v>2051</v>
      </c>
      <c r="I55" t="s">
        <v>53</v>
      </c>
      <c r="J55" t="s">
        <v>67</v>
      </c>
      <c r="K55" t="s">
        <v>68</v>
      </c>
      <c r="L55" t="s">
        <v>2052</v>
      </c>
      <c r="M55" t="s">
        <v>2063</v>
      </c>
      <c r="N55">
        <v>0</v>
      </c>
      <c r="O55">
        <v>0</v>
      </c>
      <c r="P55">
        <v>0</v>
      </c>
      <c r="Q55">
        <v>1020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150</v>
      </c>
      <c r="AH55" s="21" t="s">
        <v>3427</v>
      </c>
      <c r="AI55" s="21">
        <v>76.500000000000014</v>
      </c>
      <c r="AJ55" s="21">
        <v>100</v>
      </c>
      <c r="AK55" s="21" t="s">
        <v>2054</v>
      </c>
      <c r="AL55" t="s">
        <v>70</v>
      </c>
      <c r="AM55" t="s">
        <v>2029</v>
      </c>
    </row>
    <row r="56" spans="1:39" ht="15" hidden="1" thickTop="1" x14ac:dyDescent="0.35">
      <c r="A56" t="s">
        <v>2243</v>
      </c>
      <c r="B56" t="s">
        <v>2265</v>
      </c>
      <c r="C56" t="s">
        <v>66</v>
      </c>
      <c r="D56" t="s">
        <v>2266</v>
      </c>
      <c r="E56" t="s">
        <v>559</v>
      </c>
      <c r="F56">
        <v>1</v>
      </c>
      <c r="G56" t="s">
        <v>2050</v>
      </c>
      <c r="H56" t="s">
        <v>2051</v>
      </c>
      <c r="I56" t="s">
        <v>53</v>
      </c>
      <c r="J56" t="s">
        <v>67</v>
      </c>
      <c r="K56" t="s">
        <v>68</v>
      </c>
      <c r="L56" t="s">
        <v>2052</v>
      </c>
      <c r="M56" t="s">
        <v>2064</v>
      </c>
      <c r="N56">
        <v>0</v>
      </c>
      <c r="O56">
        <v>0</v>
      </c>
      <c r="P56">
        <v>0</v>
      </c>
      <c r="Q56">
        <v>900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151</v>
      </c>
      <c r="AH56" s="21" t="s">
        <v>3427</v>
      </c>
      <c r="AI56" s="21">
        <v>67.5</v>
      </c>
      <c r="AJ56" s="21">
        <v>100</v>
      </c>
      <c r="AK56" s="21" t="s">
        <v>2054</v>
      </c>
      <c r="AL56" t="s">
        <v>70</v>
      </c>
      <c r="AM56" t="s">
        <v>2029</v>
      </c>
    </row>
    <row r="57" spans="1:39" ht="15" hidden="1" thickTop="1" x14ac:dyDescent="0.35">
      <c r="A57" t="s">
        <v>2249</v>
      </c>
      <c r="B57" t="s">
        <v>2269</v>
      </c>
      <c r="C57" t="s">
        <v>565</v>
      </c>
      <c r="D57" t="s">
        <v>2270</v>
      </c>
      <c r="E57" t="s">
        <v>559</v>
      </c>
      <c r="F57">
        <v>1</v>
      </c>
      <c r="G57" t="s">
        <v>2050</v>
      </c>
      <c r="H57" t="s">
        <v>2051</v>
      </c>
      <c r="I57" t="s">
        <v>53</v>
      </c>
      <c r="J57" t="s">
        <v>427</v>
      </c>
      <c r="K57" t="s">
        <v>68</v>
      </c>
      <c r="L57" t="s">
        <v>2052</v>
      </c>
      <c r="M57" t="s">
        <v>2053</v>
      </c>
      <c r="N57">
        <v>0</v>
      </c>
      <c r="O57">
        <v>0</v>
      </c>
      <c r="P57">
        <v>0</v>
      </c>
      <c r="Q57">
        <v>1440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152</v>
      </c>
      <c r="AH57" s="21" t="s">
        <v>3425</v>
      </c>
      <c r="AI57" s="21">
        <v>107.92500000000001</v>
      </c>
      <c r="AJ57" s="21">
        <v>100</v>
      </c>
      <c r="AK57" s="21" t="s">
        <v>2054</v>
      </c>
      <c r="AL57" t="s">
        <v>70</v>
      </c>
      <c r="AM57" t="s">
        <v>2028</v>
      </c>
    </row>
    <row r="58" spans="1:39" ht="15" hidden="1" thickTop="1" x14ac:dyDescent="0.35">
      <c r="A58" t="s">
        <v>2253</v>
      </c>
      <c r="B58" t="s">
        <v>2273</v>
      </c>
      <c r="C58" t="s">
        <v>100</v>
      </c>
      <c r="D58" t="s">
        <v>2274</v>
      </c>
      <c r="E58" t="s">
        <v>559</v>
      </c>
      <c r="F58">
        <v>1</v>
      </c>
      <c r="G58" t="s">
        <v>2050</v>
      </c>
      <c r="H58" t="s">
        <v>2051</v>
      </c>
      <c r="I58" t="s">
        <v>53</v>
      </c>
      <c r="J58" t="s">
        <v>67</v>
      </c>
      <c r="K58" t="s">
        <v>68</v>
      </c>
      <c r="L58" t="s">
        <v>2052</v>
      </c>
      <c r="M58" t="s">
        <v>2053</v>
      </c>
      <c r="N58">
        <v>0</v>
      </c>
      <c r="O58">
        <v>0</v>
      </c>
      <c r="P58">
        <v>0</v>
      </c>
      <c r="Q58">
        <v>1440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153</v>
      </c>
      <c r="AH58" s="21" t="s">
        <v>3425</v>
      </c>
      <c r="AI58" s="21">
        <v>107.92500000000001</v>
      </c>
      <c r="AJ58" s="21">
        <v>100</v>
      </c>
      <c r="AK58" s="21" t="s">
        <v>2054</v>
      </c>
      <c r="AL58" t="s">
        <v>70</v>
      </c>
      <c r="AM58" t="s">
        <v>2028</v>
      </c>
    </row>
    <row r="59" spans="1:39" ht="15" hidden="1" thickTop="1" x14ac:dyDescent="0.35">
      <c r="A59" t="s">
        <v>2254</v>
      </c>
      <c r="B59" t="s">
        <v>2275</v>
      </c>
      <c r="C59" t="s">
        <v>66</v>
      </c>
      <c r="D59" t="s">
        <v>2276</v>
      </c>
      <c r="E59" t="s">
        <v>559</v>
      </c>
      <c r="F59">
        <v>1</v>
      </c>
      <c r="G59" t="s">
        <v>2050</v>
      </c>
      <c r="H59" t="s">
        <v>2051</v>
      </c>
      <c r="I59" t="s">
        <v>53</v>
      </c>
      <c r="J59" t="s">
        <v>67</v>
      </c>
      <c r="K59" t="s">
        <v>68</v>
      </c>
      <c r="L59" t="s">
        <v>2052</v>
      </c>
      <c r="M59" t="s">
        <v>2053</v>
      </c>
      <c r="N59">
        <v>0</v>
      </c>
      <c r="O59">
        <v>0</v>
      </c>
      <c r="P59">
        <v>0</v>
      </c>
      <c r="Q59">
        <v>1440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154</v>
      </c>
      <c r="AH59" s="21" t="s">
        <v>3424</v>
      </c>
      <c r="AI59" s="21">
        <v>107.92500000000001</v>
      </c>
      <c r="AJ59" s="21">
        <v>100</v>
      </c>
      <c r="AK59" s="21" t="s">
        <v>2054</v>
      </c>
      <c r="AL59" t="s">
        <v>70</v>
      </c>
      <c r="AM59" t="s">
        <v>2030</v>
      </c>
    </row>
    <row r="60" spans="1:39" ht="15" hidden="1" thickTop="1" x14ac:dyDescent="0.35">
      <c r="A60" t="s">
        <v>2258</v>
      </c>
      <c r="B60" t="s">
        <v>2277</v>
      </c>
      <c r="C60" t="s">
        <v>81</v>
      </c>
      <c r="D60" t="s">
        <v>2278</v>
      </c>
      <c r="E60" t="s">
        <v>559</v>
      </c>
      <c r="F60">
        <v>1</v>
      </c>
      <c r="G60" t="s">
        <v>2050</v>
      </c>
      <c r="H60" t="s">
        <v>2051</v>
      </c>
      <c r="I60" t="s">
        <v>53</v>
      </c>
      <c r="J60" t="s">
        <v>82</v>
      </c>
      <c r="K60" t="s">
        <v>68</v>
      </c>
      <c r="L60" t="s">
        <v>2052</v>
      </c>
      <c r="M60" t="s">
        <v>2053</v>
      </c>
      <c r="N60">
        <v>0</v>
      </c>
      <c r="O60">
        <v>0</v>
      </c>
      <c r="P60">
        <v>0</v>
      </c>
      <c r="Q60">
        <v>1440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155</v>
      </c>
      <c r="AH60" s="21" t="s">
        <v>3427</v>
      </c>
      <c r="AI60" s="21">
        <v>107.92500000000001</v>
      </c>
      <c r="AJ60" s="21">
        <v>100</v>
      </c>
      <c r="AK60" s="21" t="s">
        <v>2054</v>
      </c>
      <c r="AL60" t="s">
        <v>70</v>
      </c>
      <c r="AM60" t="s">
        <v>2030</v>
      </c>
    </row>
    <row r="61" spans="1:39" ht="15" hidden="1" thickTop="1" x14ac:dyDescent="0.35">
      <c r="A61" t="s">
        <v>2260</v>
      </c>
      <c r="B61" t="s">
        <v>2279</v>
      </c>
      <c r="C61" t="s">
        <v>102</v>
      </c>
      <c r="D61" t="s">
        <v>2280</v>
      </c>
      <c r="E61" t="s">
        <v>559</v>
      </c>
      <c r="F61">
        <v>1</v>
      </c>
      <c r="G61" t="s">
        <v>2050</v>
      </c>
      <c r="H61" t="s">
        <v>2051</v>
      </c>
      <c r="I61" t="s">
        <v>53</v>
      </c>
      <c r="J61" t="s">
        <v>67</v>
      </c>
      <c r="K61" t="s">
        <v>68</v>
      </c>
      <c r="L61" t="s">
        <v>2052</v>
      </c>
      <c r="M61" t="s">
        <v>2053</v>
      </c>
      <c r="N61">
        <v>0</v>
      </c>
      <c r="O61">
        <v>0</v>
      </c>
      <c r="P61">
        <v>0</v>
      </c>
      <c r="Q61">
        <v>1440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156</v>
      </c>
      <c r="AH61" s="21" t="s">
        <v>3427</v>
      </c>
      <c r="AI61" s="21">
        <v>107.92500000000001</v>
      </c>
      <c r="AJ61" s="21">
        <v>100</v>
      </c>
      <c r="AK61" s="21" t="s">
        <v>2055</v>
      </c>
      <c r="AL61" t="s">
        <v>70</v>
      </c>
      <c r="AM61" t="s">
        <v>2030</v>
      </c>
    </row>
    <row r="62" spans="1:39" ht="15" hidden="1" thickTop="1" x14ac:dyDescent="0.35">
      <c r="A62" t="s">
        <v>2261</v>
      </c>
      <c r="B62" t="s">
        <v>2281</v>
      </c>
      <c r="C62" t="s">
        <v>76</v>
      </c>
      <c r="D62" t="s">
        <v>2282</v>
      </c>
      <c r="E62" t="s">
        <v>559</v>
      </c>
      <c r="F62">
        <v>1</v>
      </c>
      <c r="G62" t="s">
        <v>2050</v>
      </c>
      <c r="H62" t="s">
        <v>2051</v>
      </c>
      <c r="I62" t="s">
        <v>53</v>
      </c>
      <c r="J62" t="s">
        <v>67</v>
      </c>
      <c r="K62" t="s">
        <v>68</v>
      </c>
      <c r="L62" t="s">
        <v>2052</v>
      </c>
      <c r="M62" t="s">
        <v>2053</v>
      </c>
      <c r="N62">
        <v>0</v>
      </c>
      <c r="O62">
        <v>0</v>
      </c>
      <c r="P62">
        <v>0</v>
      </c>
      <c r="Q62">
        <v>1440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157</v>
      </c>
      <c r="AH62" s="21" t="s">
        <v>3427</v>
      </c>
      <c r="AI62" s="21">
        <v>107.92500000000001</v>
      </c>
      <c r="AJ62" s="21">
        <v>100</v>
      </c>
      <c r="AK62" s="21" t="s">
        <v>2054</v>
      </c>
      <c r="AL62" t="s">
        <v>70</v>
      </c>
      <c r="AM62" t="s">
        <v>2029</v>
      </c>
    </row>
    <row r="63" spans="1:39" ht="15" hidden="1" thickTop="1" x14ac:dyDescent="0.35">
      <c r="A63" t="s">
        <v>2267</v>
      </c>
      <c r="B63" t="s">
        <v>2283</v>
      </c>
      <c r="C63" t="s">
        <v>3376</v>
      </c>
      <c r="D63" t="s">
        <v>2284</v>
      </c>
      <c r="E63" t="s">
        <v>559</v>
      </c>
      <c r="F63">
        <v>1</v>
      </c>
      <c r="G63" t="s">
        <v>2050</v>
      </c>
      <c r="H63" t="s">
        <v>2051</v>
      </c>
      <c r="I63" t="s">
        <v>53</v>
      </c>
      <c r="J63" t="s">
        <v>67</v>
      </c>
      <c r="K63" t="s">
        <v>68</v>
      </c>
      <c r="L63" t="s">
        <v>2052</v>
      </c>
      <c r="M63" t="s">
        <v>2053</v>
      </c>
      <c r="N63">
        <v>0</v>
      </c>
      <c r="O63">
        <v>0</v>
      </c>
      <c r="P63">
        <v>0</v>
      </c>
      <c r="Q63">
        <v>1440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158</v>
      </c>
      <c r="AH63" s="21" t="s">
        <v>3424</v>
      </c>
      <c r="AI63" s="21">
        <v>107.92500000000001</v>
      </c>
      <c r="AJ63" s="21">
        <v>100</v>
      </c>
      <c r="AK63" s="21" t="s">
        <v>2055</v>
      </c>
      <c r="AL63" t="s">
        <v>70</v>
      </c>
      <c r="AM63" t="s">
        <v>2029</v>
      </c>
    </row>
    <row r="64" spans="1:39" ht="15" hidden="1" thickTop="1" x14ac:dyDescent="0.35">
      <c r="A64" t="s">
        <v>2271</v>
      </c>
      <c r="B64" t="s">
        <v>2285</v>
      </c>
      <c r="C64" t="s">
        <v>117</v>
      </c>
      <c r="D64" t="s">
        <v>2286</v>
      </c>
      <c r="E64" t="s">
        <v>559</v>
      </c>
      <c r="F64">
        <v>1</v>
      </c>
      <c r="G64" t="s">
        <v>2050</v>
      </c>
      <c r="H64" t="s">
        <v>2051</v>
      </c>
      <c r="I64" t="s">
        <v>53</v>
      </c>
      <c r="J64" t="s">
        <v>67</v>
      </c>
      <c r="K64" t="s">
        <v>68</v>
      </c>
      <c r="L64" t="s">
        <v>2052</v>
      </c>
      <c r="M64" t="s">
        <v>2053</v>
      </c>
      <c r="N64">
        <v>0</v>
      </c>
      <c r="O64">
        <v>0</v>
      </c>
      <c r="P64">
        <v>0</v>
      </c>
      <c r="Q64">
        <v>1440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159</v>
      </c>
      <c r="AH64" s="21" t="s">
        <v>3424</v>
      </c>
      <c r="AI64" s="21">
        <v>107.92500000000001</v>
      </c>
      <c r="AJ64" s="21">
        <v>100</v>
      </c>
      <c r="AK64" s="21" t="s">
        <v>2054</v>
      </c>
      <c r="AL64" t="s">
        <v>70</v>
      </c>
      <c r="AM64" t="s">
        <v>2030</v>
      </c>
    </row>
    <row r="65" spans="1:39" ht="15" hidden="1" thickTop="1" x14ac:dyDescent="0.35">
      <c r="A65" t="s">
        <v>2287</v>
      </c>
      <c r="B65" t="s">
        <v>2291</v>
      </c>
      <c r="C65" t="s">
        <v>66</v>
      </c>
      <c r="D65" t="s">
        <v>2292</v>
      </c>
      <c r="E65" t="s">
        <v>559</v>
      </c>
      <c r="F65">
        <v>2</v>
      </c>
      <c r="G65" t="s">
        <v>2050</v>
      </c>
      <c r="H65" t="s">
        <v>2051</v>
      </c>
      <c r="I65" t="s">
        <v>53</v>
      </c>
      <c r="J65" t="s">
        <v>67</v>
      </c>
      <c r="K65" t="s">
        <v>68</v>
      </c>
      <c r="L65" t="s">
        <v>2052</v>
      </c>
      <c r="M65" t="s">
        <v>2053</v>
      </c>
      <c r="N65">
        <v>0</v>
      </c>
      <c r="O65">
        <v>0</v>
      </c>
      <c r="P65">
        <v>0</v>
      </c>
      <c r="Q65">
        <v>1440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160</v>
      </c>
      <c r="AH65" s="21" t="s">
        <v>3424</v>
      </c>
      <c r="AI65" s="21">
        <v>107.92500000000001</v>
      </c>
      <c r="AJ65" s="21">
        <v>100</v>
      </c>
      <c r="AK65" s="21" t="s">
        <v>2054</v>
      </c>
      <c r="AL65" t="s">
        <v>70</v>
      </c>
      <c r="AM65" t="s">
        <v>2029</v>
      </c>
    </row>
    <row r="66" spans="1:39" ht="15" hidden="1" thickTop="1" x14ac:dyDescent="0.35">
      <c r="A66" t="s">
        <v>2289</v>
      </c>
      <c r="B66" t="s">
        <v>2294</v>
      </c>
      <c r="C66" t="s">
        <v>66</v>
      </c>
      <c r="D66" t="s">
        <v>2295</v>
      </c>
      <c r="E66" t="s">
        <v>559</v>
      </c>
      <c r="F66">
        <v>1</v>
      </c>
      <c r="G66" t="s">
        <v>2050</v>
      </c>
      <c r="H66" t="s">
        <v>2051</v>
      </c>
      <c r="I66" t="s">
        <v>53</v>
      </c>
      <c r="J66" t="s">
        <v>67</v>
      </c>
      <c r="K66" t="s">
        <v>68</v>
      </c>
      <c r="L66" t="s">
        <v>2052</v>
      </c>
      <c r="M66" t="s">
        <v>2053</v>
      </c>
      <c r="N66">
        <v>0</v>
      </c>
      <c r="O66">
        <v>0</v>
      </c>
      <c r="P66">
        <v>0</v>
      </c>
      <c r="Q66">
        <v>1440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161</v>
      </c>
      <c r="AH66" s="21" t="s">
        <v>3424</v>
      </c>
      <c r="AI66" s="21">
        <v>107.92500000000001</v>
      </c>
      <c r="AJ66" s="21">
        <v>100</v>
      </c>
      <c r="AK66" s="21" t="s">
        <v>2054</v>
      </c>
      <c r="AL66" t="s">
        <v>70</v>
      </c>
      <c r="AM66" t="s">
        <v>2028</v>
      </c>
    </row>
    <row r="67" spans="1:39" ht="15" hidden="1" thickTop="1" x14ac:dyDescent="0.35">
      <c r="A67" t="s">
        <v>2290</v>
      </c>
      <c r="B67" t="s">
        <v>2296</v>
      </c>
      <c r="C67" t="s">
        <v>78</v>
      </c>
      <c r="D67" t="s">
        <v>2297</v>
      </c>
      <c r="E67" t="s">
        <v>559</v>
      </c>
      <c r="F67">
        <v>1</v>
      </c>
      <c r="G67" t="s">
        <v>2050</v>
      </c>
      <c r="H67" t="s">
        <v>2051</v>
      </c>
      <c r="I67" t="s">
        <v>53</v>
      </c>
      <c r="J67" t="s">
        <v>67</v>
      </c>
      <c r="K67" t="s">
        <v>68</v>
      </c>
      <c r="L67" t="s">
        <v>2052</v>
      </c>
      <c r="M67" t="s">
        <v>2053</v>
      </c>
      <c r="N67">
        <v>0</v>
      </c>
      <c r="O67">
        <v>0</v>
      </c>
      <c r="P67">
        <v>0</v>
      </c>
      <c r="Q67">
        <v>1440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162</v>
      </c>
      <c r="AH67" s="21" t="s">
        <v>3424</v>
      </c>
      <c r="AI67" s="21">
        <v>107.92500000000001</v>
      </c>
      <c r="AJ67" s="21">
        <v>100</v>
      </c>
      <c r="AK67" s="21" t="s">
        <v>2054</v>
      </c>
      <c r="AL67" t="s">
        <v>70</v>
      </c>
      <c r="AM67" t="s">
        <v>2028</v>
      </c>
    </row>
    <row r="68" spans="1:39" ht="15" hidden="1" thickTop="1" x14ac:dyDescent="0.35">
      <c r="A68" t="s">
        <v>2298</v>
      </c>
      <c r="B68" t="s">
        <v>2300</v>
      </c>
      <c r="C68" t="s">
        <v>78</v>
      </c>
      <c r="D68" t="s">
        <v>2301</v>
      </c>
      <c r="E68" t="s">
        <v>559</v>
      </c>
      <c r="F68">
        <v>1</v>
      </c>
      <c r="G68" t="s">
        <v>2050</v>
      </c>
      <c r="H68" t="s">
        <v>2051</v>
      </c>
      <c r="I68" t="s">
        <v>53</v>
      </c>
      <c r="J68" t="s">
        <v>67</v>
      </c>
      <c r="K68" t="s">
        <v>68</v>
      </c>
      <c r="L68" t="s">
        <v>2052</v>
      </c>
      <c r="M68" t="s">
        <v>2064</v>
      </c>
      <c r="N68">
        <v>0</v>
      </c>
      <c r="O68">
        <v>0</v>
      </c>
      <c r="P68">
        <v>0</v>
      </c>
      <c r="Q68">
        <v>900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163</v>
      </c>
      <c r="AH68" s="21" t="s">
        <v>3425</v>
      </c>
      <c r="AI68" s="21">
        <v>67.5</v>
      </c>
      <c r="AJ68" s="21">
        <v>100</v>
      </c>
      <c r="AK68" s="21" t="s">
        <v>2054</v>
      </c>
      <c r="AL68" t="s">
        <v>70</v>
      </c>
      <c r="AM68" t="s">
        <v>2029</v>
      </c>
    </row>
    <row r="69" spans="1:39" ht="15" hidden="1" thickTop="1" x14ac:dyDescent="0.35">
      <c r="A69" t="s">
        <v>2302</v>
      </c>
      <c r="B69" t="s">
        <v>2309</v>
      </c>
      <c r="C69" t="s">
        <v>117</v>
      </c>
      <c r="D69" t="s">
        <v>2310</v>
      </c>
      <c r="E69" t="s">
        <v>559</v>
      </c>
      <c r="F69">
        <v>1</v>
      </c>
      <c r="G69" t="s">
        <v>2050</v>
      </c>
      <c r="H69" t="s">
        <v>2051</v>
      </c>
      <c r="I69" t="s">
        <v>53</v>
      </c>
      <c r="J69" t="s">
        <v>67</v>
      </c>
      <c r="K69" t="s">
        <v>68</v>
      </c>
      <c r="L69" t="s">
        <v>2052</v>
      </c>
      <c r="M69" t="s">
        <v>2063</v>
      </c>
      <c r="N69">
        <v>0</v>
      </c>
      <c r="O69">
        <v>0</v>
      </c>
      <c r="P69">
        <v>0</v>
      </c>
      <c r="Q69">
        <v>1020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164</v>
      </c>
      <c r="AH69" s="21" t="s">
        <v>3425</v>
      </c>
      <c r="AI69" s="21">
        <v>76.500000000000014</v>
      </c>
      <c r="AJ69" s="21">
        <v>100</v>
      </c>
      <c r="AK69" s="21" t="s">
        <v>2054</v>
      </c>
      <c r="AL69" t="s">
        <v>70</v>
      </c>
      <c r="AM69" t="s">
        <v>2027</v>
      </c>
    </row>
    <row r="70" spans="1:39" ht="15" hidden="1" thickTop="1" x14ac:dyDescent="0.35">
      <c r="A70" t="s">
        <v>2304</v>
      </c>
      <c r="B70" t="s">
        <v>2311</v>
      </c>
      <c r="C70" t="s">
        <v>76</v>
      </c>
      <c r="D70" t="s">
        <v>2312</v>
      </c>
      <c r="E70" t="s">
        <v>559</v>
      </c>
      <c r="F70">
        <v>1</v>
      </c>
      <c r="G70" t="s">
        <v>2050</v>
      </c>
      <c r="H70" t="s">
        <v>2051</v>
      </c>
      <c r="I70" t="s">
        <v>53</v>
      </c>
      <c r="J70" t="s">
        <v>67</v>
      </c>
      <c r="K70" t="s">
        <v>68</v>
      </c>
      <c r="L70" t="s">
        <v>2052</v>
      </c>
      <c r="M70" t="s">
        <v>2068</v>
      </c>
      <c r="N70">
        <v>0</v>
      </c>
      <c r="O70">
        <v>0</v>
      </c>
      <c r="P70">
        <v>0</v>
      </c>
      <c r="Q70">
        <v>720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561</v>
      </c>
      <c r="AH70" s="21" t="s">
        <v>3425</v>
      </c>
      <c r="AI70" s="21">
        <v>54</v>
      </c>
      <c r="AJ70" s="21">
        <v>100</v>
      </c>
      <c r="AK70" s="21" t="s">
        <v>2054</v>
      </c>
      <c r="AL70" t="s">
        <v>70</v>
      </c>
      <c r="AM70" t="s">
        <v>2027</v>
      </c>
    </row>
    <row r="71" spans="1:39" ht="15" hidden="1" thickTop="1" x14ac:dyDescent="0.35">
      <c r="A71" t="s">
        <v>2305</v>
      </c>
      <c r="B71" t="s">
        <v>2313</v>
      </c>
      <c r="C71" t="s">
        <v>100</v>
      </c>
      <c r="D71" t="s">
        <v>2314</v>
      </c>
      <c r="E71" t="s">
        <v>559</v>
      </c>
      <c r="F71">
        <v>1</v>
      </c>
      <c r="G71" t="s">
        <v>2050</v>
      </c>
      <c r="H71" t="s">
        <v>2051</v>
      </c>
      <c r="I71" t="s">
        <v>53</v>
      </c>
      <c r="J71" t="s">
        <v>67</v>
      </c>
      <c r="K71" t="s">
        <v>68</v>
      </c>
      <c r="L71" t="s">
        <v>2052</v>
      </c>
      <c r="M71" t="s">
        <v>2053</v>
      </c>
      <c r="N71">
        <v>0</v>
      </c>
      <c r="O71">
        <v>0</v>
      </c>
      <c r="P71">
        <v>0</v>
      </c>
      <c r="Q71">
        <v>1440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165</v>
      </c>
      <c r="AH71" s="21" t="s">
        <v>3425</v>
      </c>
      <c r="AI71" s="21">
        <v>107.92500000000001</v>
      </c>
      <c r="AJ71" s="21">
        <v>100</v>
      </c>
      <c r="AK71" s="21" t="s">
        <v>2054</v>
      </c>
      <c r="AL71" t="s">
        <v>70</v>
      </c>
      <c r="AM71" t="s">
        <v>2029</v>
      </c>
    </row>
    <row r="72" spans="1:39" ht="15" hidden="1" thickTop="1" x14ac:dyDescent="0.35">
      <c r="A72" t="s">
        <v>2307</v>
      </c>
      <c r="B72" t="s">
        <v>2315</v>
      </c>
      <c r="C72" t="s">
        <v>78</v>
      </c>
      <c r="D72" t="s">
        <v>2316</v>
      </c>
      <c r="E72" t="s">
        <v>559</v>
      </c>
      <c r="F72">
        <v>1</v>
      </c>
      <c r="G72" t="s">
        <v>2050</v>
      </c>
      <c r="H72" t="s">
        <v>2051</v>
      </c>
      <c r="I72" t="s">
        <v>53</v>
      </c>
      <c r="J72" t="s">
        <v>67</v>
      </c>
      <c r="K72" t="s">
        <v>68</v>
      </c>
      <c r="L72" t="s">
        <v>2052</v>
      </c>
      <c r="M72" t="s">
        <v>2053</v>
      </c>
      <c r="N72">
        <v>0</v>
      </c>
      <c r="O72">
        <v>0</v>
      </c>
      <c r="P72">
        <v>0</v>
      </c>
      <c r="Q72">
        <v>1440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1514</v>
      </c>
      <c r="AH72" s="21" t="s">
        <v>3425</v>
      </c>
      <c r="AI72" s="21">
        <v>107.92500000000001</v>
      </c>
      <c r="AJ72" s="21">
        <v>100</v>
      </c>
      <c r="AK72" s="21" t="s">
        <v>2055</v>
      </c>
      <c r="AL72" t="s">
        <v>70</v>
      </c>
      <c r="AM72" t="s">
        <v>2029</v>
      </c>
    </row>
    <row r="73" spans="1:39" ht="15" hidden="1" thickTop="1" x14ac:dyDescent="0.35">
      <c r="A73" t="s">
        <v>2318</v>
      </c>
      <c r="B73" t="s">
        <v>2330</v>
      </c>
      <c r="C73" t="s">
        <v>102</v>
      </c>
      <c r="D73" t="s">
        <v>2331</v>
      </c>
      <c r="E73" t="s">
        <v>559</v>
      </c>
      <c r="F73">
        <v>1</v>
      </c>
      <c r="G73" t="s">
        <v>2050</v>
      </c>
      <c r="H73" t="s">
        <v>2051</v>
      </c>
      <c r="I73" t="s">
        <v>53</v>
      </c>
      <c r="J73" t="s">
        <v>67</v>
      </c>
      <c r="K73" t="s">
        <v>68</v>
      </c>
      <c r="L73" t="s">
        <v>2052</v>
      </c>
      <c r="M73" t="s">
        <v>2053</v>
      </c>
      <c r="N73">
        <v>0</v>
      </c>
      <c r="O73">
        <v>0</v>
      </c>
      <c r="P73">
        <v>0</v>
      </c>
      <c r="Q73">
        <v>1440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166</v>
      </c>
      <c r="AH73" s="21" t="s">
        <v>3430</v>
      </c>
      <c r="AI73" s="21">
        <v>107.92500000000001</v>
      </c>
      <c r="AJ73" s="21">
        <v>100</v>
      </c>
      <c r="AK73" s="21" t="s">
        <v>2054</v>
      </c>
      <c r="AL73" t="s">
        <v>70</v>
      </c>
      <c r="AM73" t="s">
        <v>2027</v>
      </c>
    </row>
    <row r="74" spans="1:39" ht="15" hidden="1" thickTop="1" x14ac:dyDescent="0.35">
      <c r="A74" t="s">
        <v>2320</v>
      </c>
      <c r="B74" t="s">
        <v>2332</v>
      </c>
      <c r="C74" t="s">
        <v>117</v>
      </c>
      <c r="D74" t="s">
        <v>2333</v>
      </c>
      <c r="E74" t="s">
        <v>559</v>
      </c>
      <c r="F74">
        <v>1</v>
      </c>
      <c r="G74" t="s">
        <v>2050</v>
      </c>
      <c r="H74" t="s">
        <v>2051</v>
      </c>
      <c r="I74" t="s">
        <v>53</v>
      </c>
      <c r="J74" t="s">
        <v>67</v>
      </c>
      <c r="K74" t="s">
        <v>68</v>
      </c>
      <c r="L74" t="s">
        <v>2052</v>
      </c>
      <c r="M74" t="s">
        <v>2053</v>
      </c>
      <c r="N74">
        <v>0</v>
      </c>
      <c r="O74">
        <v>0</v>
      </c>
      <c r="P74">
        <v>0</v>
      </c>
      <c r="Q74">
        <v>1440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167</v>
      </c>
      <c r="AH74" s="21" t="s">
        <v>3425</v>
      </c>
      <c r="AI74" s="21">
        <v>107.92500000000001</v>
      </c>
      <c r="AJ74" s="21">
        <v>100</v>
      </c>
      <c r="AK74" s="21" t="s">
        <v>2054</v>
      </c>
      <c r="AL74" t="s">
        <v>70</v>
      </c>
      <c r="AM74" t="s">
        <v>2027</v>
      </c>
    </row>
    <row r="75" spans="1:39" ht="15" hidden="1" thickTop="1" x14ac:dyDescent="0.35">
      <c r="A75" t="s">
        <v>2322</v>
      </c>
      <c r="B75" t="s">
        <v>2335</v>
      </c>
      <c r="C75" t="s">
        <v>100</v>
      </c>
      <c r="D75" t="s">
        <v>2336</v>
      </c>
      <c r="E75" t="s">
        <v>119</v>
      </c>
      <c r="F75">
        <v>1</v>
      </c>
      <c r="G75" t="s">
        <v>2050</v>
      </c>
      <c r="H75" t="s">
        <v>2051</v>
      </c>
      <c r="I75" t="s">
        <v>53</v>
      </c>
      <c r="J75" t="s">
        <v>67</v>
      </c>
      <c r="K75" t="s">
        <v>68</v>
      </c>
      <c r="L75" t="s">
        <v>2052</v>
      </c>
      <c r="M75" t="s">
        <v>2064</v>
      </c>
      <c r="N75">
        <v>0</v>
      </c>
      <c r="O75">
        <v>0</v>
      </c>
      <c r="P75">
        <v>0</v>
      </c>
      <c r="Q75">
        <v>900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168</v>
      </c>
      <c r="AH75" s="21" t="s">
        <v>3424</v>
      </c>
      <c r="AI75" s="21">
        <v>67.5</v>
      </c>
      <c r="AJ75" s="21">
        <v>100</v>
      </c>
      <c r="AK75" s="21" t="s">
        <v>2054</v>
      </c>
      <c r="AL75" t="s">
        <v>70</v>
      </c>
      <c r="AM75" t="s">
        <v>2029</v>
      </c>
    </row>
    <row r="76" spans="1:39" ht="15" hidden="1" thickTop="1" x14ac:dyDescent="0.35">
      <c r="A76" t="s">
        <v>2323</v>
      </c>
      <c r="B76" t="s">
        <v>2338</v>
      </c>
      <c r="C76" t="s">
        <v>76</v>
      </c>
      <c r="D76" t="s">
        <v>2339</v>
      </c>
      <c r="E76" t="s">
        <v>559</v>
      </c>
      <c r="F76">
        <v>1</v>
      </c>
      <c r="G76" t="s">
        <v>2050</v>
      </c>
      <c r="H76" t="s">
        <v>2051</v>
      </c>
      <c r="I76" t="s">
        <v>53</v>
      </c>
      <c r="J76" t="s">
        <v>67</v>
      </c>
      <c r="K76" t="s">
        <v>68</v>
      </c>
      <c r="L76" t="s">
        <v>2052</v>
      </c>
      <c r="M76" t="s">
        <v>2053</v>
      </c>
      <c r="N76">
        <v>0</v>
      </c>
      <c r="O76">
        <v>0</v>
      </c>
      <c r="P76">
        <v>0</v>
      </c>
      <c r="Q76">
        <v>1440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169</v>
      </c>
      <c r="AH76" s="21" t="s">
        <v>3425</v>
      </c>
      <c r="AI76" s="21">
        <v>107.92500000000001</v>
      </c>
      <c r="AJ76" s="21">
        <v>100</v>
      </c>
      <c r="AK76" s="21" t="s">
        <v>2054</v>
      </c>
      <c r="AL76" t="s">
        <v>70</v>
      </c>
      <c r="AM76" t="s">
        <v>2028</v>
      </c>
    </row>
    <row r="77" spans="1:39" ht="15" hidden="1" thickTop="1" x14ac:dyDescent="0.35">
      <c r="A77" t="s">
        <v>2065</v>
      </c>
      <c r="B77" t="s">
        <v>2340</v>
      </c>
      <c r="C77" t="s">
        <v>565</v>
      </c>
      <c r="D77" t="s">
        <v>2341</v>
      </c>
      <c r="E77" t="s">
        <v>559</v>
      </c>
      <c r="F77">
        <v>1</v>
      </c>
      <c r="G77" t="s">
        <v>2050</v>
      </c>
      <c r="H77" t="s">
        <v>2051</v>
      </c>
      <c r="I77" t="s">
        <v>53</v>
      </c>
      <c r="J77" t="s">
        <v>427</v>
      </c>
      <c r="K77" t="s">
        <v>68</v>
      </c>
      <c r="L77" t="s">
        <v>2052</v>
      </c>
      <c r="M77" t="s">
        <v>2053</v>
      </c>
      <c r="N77">
        <v>0</v>
      </c>
      <c r="O77">
        <v>0</v>
      </c>
      <c r="P77">
        <v>0</v>
      </c>
      <c r="Q77">
        <v>1440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170</v>
      </c>
      <c r="AH77" s="21" t="s">
        <v>3424</v>
      </c>
      <c r="AI77" s="21">
        <v>107.92500000000001</v>
      </c>
      <c r="AJ77" s="21">
        <v>100</v>
      </c>
      <c r="AK77" s="21" t="s">
        <v>2054</v>
      </c>
      <c r="AL77" t="s">
        <v>70</v>
      </c>
      <c r="AM77" t="s">
        <v>2029</v>
      </c>
    </row>
    <row r="78" spans="1:39" ht="15" hidden="1" thickTop="1" x14ac:dyDescent="0.35">
      <c r="A78" t="s">
        <v>2326</v>
      </c>
      <c r="B78" t="s">
        <v>2344</v>
      </c>
      <c r="C78" t="s">
        <v>100</v>
      </c>
      <c r="D78" t="s">
        <v>2345</v>
      </c>
      <c r="E78" t="s">
        <v>559</v>
      </c>
      <c r="F78">
        <v>1</v>
      </c>
      <c r="G78" t="s">
        <v>2050</v>
      </c>
      <c r="H78" t="s">
        <v>2051</v>
      </c>
      <c r="I78" t="s">
        <v>53</v>
      </c>
      <c r="J78" t="s">
        <v>67</v>
      </c>
      <c r="K78" t="s">
        <v>68</v>
      </c>
      <c r="L78" t="s">
        <v>2052</v>
      </c>
      <c r="M78" t="s">
        <v>2053</v>
      </c>
      <c r="N78">
        <v>0</v>
      </c>
      <c r="O78">
        <v>0</v>
      </c>
      <c r="P78">
        <v>0</v>
      </c>
      <c r="Q78">
        <v>1440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173</v>
      </c>
      <c r="AH78" s="21" t="s">
        <v>3425</v>
      </c>
      <c r="AI78" s="21">
        <v>107.92500000000001</v>
      </c>
      <c r="AJ78" s="21">
        <v>100</v>
      </c>
      <c r="AK78" s="21" t="s">
        <v>2054</v>
      </c>
      <c r="AL78" t="s">
        <v>70</v>
      </c>
      <c r="AM78" t="s">
        <v>2028</v>
      </c>
    </row>
    <row r="79" spans="1:39" ht="15" hidden="1" thickTop="1" x14ac:dyDescent="0.35">
      <c r="A79" t="s">
        <v>2327</v>
      </c>
      <c r="B79" t="s">
        <v>2346</v>
      </c>
      <c r="C79" t="s">
        <v>78</v>
      </c>
      <c r="D79" t="s">
        <v>2347</v>
      </c>
      <c r="E79" t="s">
        <v>559</v>
      </c>
      <c r="F79">
        <v>1</v>
      </c>
      <c r="G79" t="s">
        <v>2050</v>
      </c>
      <c r="H79" t="s">
        <v>2051</v>
      </c>
      <c r="I79" t="s">
        <v>53</v>
      </c>
      <c r="J79" t="s">
        <v>67</v>
      </c>
      <c r="K79" t="s">
        <v>68</v>
      </c>
      <c r="L79" t="s">
        <v>2052</v>
      </c>
      <c r="M79" t="s">
        <v>2064</v>
      </c>
      <c r="N79">
        <v>0</v>
      </c>
      <c r="O79">
        <v>0</v>
      </c>
      <c r="P79">
        <v>0</v>
      </c>
      <c r="Q79">
        <v>900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174</v>
      </c>
      <c r="AH79" s="21" t="s">
        <v>3425</v>
      </c>
      <c r="AI79" s="21">
        <v>67.5</v>
      </c>
      <c r="AJ79" s="21">
        <v>100</v>
      </c>
      <c r="AK79" s="21" t="s">
        <v>2054</v>
      </c>
      <c r="AL79" t="s">
        <v>70</v>
      </c>
      <c r="AM79" t="s">
        <v>2028</v>
      </c>
    </row>
    <row r="80" spans="1:39" ht="15" hidden="1" thickTop="1" x14ac:dyDescent="0.35">
      <c r="A80" t="s">
        <v>2328</v>
      </c>
      <c r="B80" t="s">
        <v>2348</v>
      </c>
      <c r="C80" t="s">
        <v>100</v>
      </c>
      <c r="D80" t="s">
        <v>2349</v>
      </c>
      <c r="E80" t="s">
        <v>559</v>
      </c>
      <c r="F80">
        <v>1</v>
      </c>
      <c r="G80" t="s">
        <v>2050</v>
      </c>
      <c r="H80" t="s">
        <v>2051</v>
      </c>
      <c r="I80" t="s">
        <v>53</v>
      </c>
      <c r="J80" t="s">
        <v>67</v>
      </c>
      <c r="K80" t="s">
        <v>68</v>
      </c>
      <c r="L80" t="s">
        <v>2052</v>
      </c>
      <c r="M80" t="s">
        <v>2053</v>
      </c>
      <c r="N80">
        <v>0</v>
      </c>
      <c r="O80">
        <v>0</v>
      </c>
      <c r="P80">
        <v>0</v>
      </c>
      <c r="Q80">
        <v>1440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175</v>
      </c>
      <c r="AH80" s="21" t="s">
        <v>3425</v>
      </c>
      <c r="AI80" s="21">
        <v>107.92500000000001</v>
      </c>
      <c r="AJ80" s="21">
        <v>100</v>
      </c>
      <c r="AK80" s="21" t="s">
        <v>2054</v>
      </c>
      <c r="AL80" t="s">
        <v>70</v>
      </c>
      <c r="AM80" t="s">
        <v>2030</v>
      </c>
    </row>
    <row r="81" spans="1:39" ht="15" hidden="1" thickTop="1" x14ac:dyDescent="0.35">
      <c r="A81" t="s">
        <v>2334</v>
      </c>
      <c r="B81" t="s">
        <v>2350</v>
      </c>
      <c r="C81" t="s">
        <v>565</v>
      </c>
      <c r="D81" t="s">
        <v>2351</v>
      </c>
      <c r="E81" t="s">
        <v>559</v>
      </c>
      <c r="F81">
        <v>2</v>
      </c>
      <c r="G81" t="s">
        <v>2050</v>
      </c>
      <c r="H81" t="s">
        <v>2051</v>
      </c>
      <c r="I81" t="s">
        <v>53</v>
      </c>
      <c r="J81" t="s">
        <v>427</v>
      </c>
      <c r="K81" t="s">
        <v>68</v>
      </c>
      <c r="L81" t="s">
        <v>2052</v>
      </c>
      <c r="M81" t="s">
        <v>2053</v>
      </c>
      <c r="N81">
        <v>0</v>
      </c>
      <c r="O81">
        <v>0</v>
      </c>
      <c r="P81">
        <v>0</v>
      </c>
      <c r="Q81">
        <v>1440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176</v>
      </c>
      <c r="AH81" s="21" t="s">
        <v>3428</v>
      </c>
      <c r="AI81" s="21">
        <v>107.92500000000001</v>
      </c>
      <c r="AJ81" s="21">
        <v>100</v>
      </c>
      <c r="AK81" s="21" t="s">
        <v>2054</v>
      </c>
      <c r="AL81" t="s">
        <v>70</v>
      </c>
      <c r="AM81" t="s">
        <v>2029</v>
      </c>
    </row>
    <row r="82" spans="1:39" ht="15" hidden="1" thickTop="1" x14ac:dyDescent="0.35">
      <c r="A82" t="s">
        <v>2342</v>
      </c>
      <c r="B82" t="s">
        <v>2352</v>
      </c>
      <c r="C82" t="s">
        <v>76</v>
      </c>
      <c r="D82" t="s">
        <v>2353</v>
      </c>
      <c r="E82" t="s">
        <v>559</v>
      </c>
      <c r="F82">
        <v>1</v>
      </c>
      <c r="G82" t="s">
        <v>2050</v>
      </c>
      <c r="H82" t="s">
        <v>2051</v>
      </c>
      <c r="I82" t="s">
        <v>53</v>
      </c>
      <c r="J82" t="s">
        <v>67</v>
      </c>
      <c r="K82" t="s">
        <v>68</v>
      </c>
      <c r="L82" t="s">
        <v>2052</v>
      </c>
      <c r="M82" t="s">
        <v>2064</v>
      </c>
      <c r="N82">
        <v>0</v>
      </c>
      <c r="O82">
        <v>0</v>
      </c>
      <c r="P82">
        <v>0</v>
      </c>
      <c r="Q82">
        <v>900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177</v>
      </c>
      <c r="AH82" s="21" t="s">
        <v>3424</v>
      </c>
      <c r="AI82" s="21">
        <v>67.5</v>
      </c>
      <c r="AJ82" s="21">
        <v>100</v>
      </c>
      <c r="AK82" s="21" t="s">
        <v>2054</v>
      </c>
      <c r="AL82" t="s">
        <v>70</v>
      </c>
      <c r="AM82" t="s">
        <v>2029</v>
      </c>
    </row>
    <row r="83" spans="1:39" ht="15" hidden="1" thickTop="1" x14ac:dyDescent="0.35">
      <c r="A83" t="s">
        <v>2354</v>
      </c>
      <c r="B83" t="s">
        <v>2358</v>
      </c>
      <c r="C83" t="s">
        <v>81</v>
      </c>
      <c r="D83" t="s">
        <v>2359</v>
      </c>
      <c r="E83" t="s">
        <v>559</v>
      </c>
      <c r="F83">
        <v>2</v>
      </c>
      <c r="G83" t="s">
        <v>2050</v>
      </c>
      <c r="H83" t="s">
        <v>2051</v>
      </c>
      <c r="I83" t="s">
        <v>53</v>
      </c>
      <c r="J83" t="s">
        <v>82</v>
      </c>
      <c r="K83" t="s">
        <v>68</v>
      </c>
      <c r="L83" t="s">
        <v>2052</v>
      </c>
      <c r="M83" t="s">
        <v>2053</v>
      </c>
      <c r="N83">
        <v>0</v>
      </c>
      <c r="O83">
        <v>0</v>
      </c>
      <c r="P83">
        <v>0</v>
      </c>
      <c r="Q83">
        <v>1440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272</v>
      </c>
      <c r="AH83" s="21" t="s">
        <v>3424</v>
      </c>
      <c r="AI83" s="21">
        <v>107.92500000000001</v>
      </c>
      <c r="AJ83" s="21">
        <v>100</v>
      </c>
      <c r="AK83" s="21" t="s">
        <v>2054</v>
      </c>
      <c r="AL83" t="s">
        <v>70</v>
      </c>
      <c r="AM83" t="s">
        <v>2029</v>
      </c>
    </row>
    <row r="84" spans="1:39" ht="15" hidden="1" thickTop="1" x14ac:dyDescent="0.35">
      <c r="A84" t="s">
        <v>2356</v>
      </c>
      <c r="B84" t="s">
        <v>2360</v>
      </c>
      <c r="C84" t="s">
        <v>92</v>
      </c>
      <c r="D84" t="s">
        <v>2361</v>
      </c>
      <c r="E84" t="s">
        <v>119</v>
      </c>
      <c r="F84">
        <v>1</v>
      </c>
      <c r="G84" t="s">
        <v>2050</v>
      </c>
      <c r="H84" t="s">
        <v>2051</v>
      </c>
      <c r="I84" t="s">
        <v>53</v>
      </c>
      <c r="J84" t="s">
        <v>67</v>
      </c>
      <c r="K84" t="s">
        <v>68</v>
      </c>
      <c r="L84" t="s">
        <v>2052</v>
      </c>
      <c r="M84" t="s">
        <v>2053</v>
      </c>
      <c r="N84">
        <v>0</v>
      </c>
      <c r="O84">
        <v>0</v>
      </c>
      <c r="P84">
        <v>0</v>
      </c>
      <c r="Q84">
        <v>1440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221</v>
      </c>
      <c r="AH84" s="21" t="s">
        <v>3424</v>
      </c>
      <c r="AI84" s="21">
        <v>107.92500000000001</v>
      </c>
      <c r="AJ84" s="21">
        <v>100</v>
      </c>
      <c r="AK84" s="21" t="s">
        <v>2054</v>
      </c>
      <c r="AL84" t="s">
        <v>70</v>
      </c>
      <c r="AM84" t="s">
        <v>2029</v>
      </c>
    </row>
    <row r="85" spans="1:39" ht="15" hidden="1" thickTop="1" x14ac:dyDescent="0.35">
      <c r="A85" t="s">
        <v>2362</v>
      </c>
      <c r="B85" t="s">
        <v>2365</v>
      </c>
      <c r="C85" t="s">
        <v>66</v>
      </c>
      <c r="D85" t="s">
        <v>2366</v>
      </c>
      <c r="E85" t="s">
        <v>559</v>
      </c>
      <c r="F85">
        <v>1</v>
      </c>
      <c r="G85" t="s">
        <v>2050</v>
      </c>
      <c r="H85" t="s">
        <v>2051</v>
      </c>
      <c r="I85" t="s">
        <v>53</v>
      </c>
      <c r="J85" t="s">
        <v>67</v>
      </c>
      <c r="K85" t="s">
        <v>68</v>
      </c>
      <c r="L85" t="s">
        <v>2052</v>
      </c>
      <c r="M85" t="s">
        <v>2053</v>
      </c>
      <c r="N85">
        <v>0</v>
      </c>
      <c r="O85">
        <v>0</v>
      </c>
      <c r="P85">
        <v>0</v>
      </c>
      <c r="Q85">
        <v>1440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267</v>
      </c>
      <c r="AH85" s="21" t="s">
        <v>3424</v>
      </c>
      <c r="AI85" s="21">
        <v>107.92500000000001</v>
      </c>
      <c r="AJ85" s="21">
        <v>100</v>
      </c>
      <c r="AK85" s="21" t="s">
        <v>2054</v>
      </c>
      <c r="AL85" t="s">
        <v>70</v>
      </c>
      <c r="AM85" t="s">
        <v>2028</v>
      </c>
    </row>
    <row r="86" spans="1:39" ht="15" hidden="1" thickTop="1" x14ac:dyDescent="0.35">
      <c r="A86" t="s">
        <v>2363</v>
      </c>
      <c r="B86" t="s">
        <v>2367</v>
      </c>
      <c r="C86" t="s">
        <v>76</v>
      </c>
      <c r="D86" t="s">
        <v>2368</v>
      </c>
      <c r="E86" t="s">
        <v>559</v>
      </c>
      <c r="F86">
        <v>2</v>
      </c>
      <c r="G86" t="s">
        <v>2050</v>
      </c>
      <c r="H86" t="s">
        <v>2051</v>
      </c>
      <c r="I86" t="s">
        <v>53</v>
      </c>
      <c r="J86" t="s">
        <v>67</v>
      </c>
      <c r="K86" t="s">
        <v>68</v>
      </c>
      <c r="L86" t="s">
        <v>2052</v>
      </c>
      <c r="M86" t="s">
        <v>2053</v>
      </c>
      <c r="N86">
        <v>0</v>
      </c>
      <c r="O86">
        <v>0</v>
      </c>
      <c r="P86">
        <v>0</v>
      </c>
      <c r="Q86">
        <v>1440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352</v>
      </c>
      <c r="AH86" s="21" t="s">
        <v>3424</v>
      </c>
      <c r="AI86" s="21">
        <v>107.92500000000001</v>
      </c>
      <c r="AJ86" s="21">
        <v>100</v>
      </c>
      <c r="AK86" s="21" t="s">
        <v>2055</v>
      </c>
      <c r="AL86" t="s">
        <v>70</v>
      </c>
      <c r="AM86" t="s">
        <v>2030</v>
      </c>
    </row>
    <row r="87" spans="1:39" ht="15" hidden="1" thickTop="1" x14ac:dyDescent="0.35">
      <c r="A87" t="s">
        <v>2369</v>
      </c>
      <c r="B87" t="s">
        <v>2375</v>
      </c>
      <c r="C87" t="s">
        <v>92</v>
      </c>
      <c r="D87" t="s">
        <v>2376</v>
      </c>
      <c r="E87" t="s">
        <v>119</v>
      </c>
      <c r="F87">
        <v>1</v>
      </c>
      <c r="G87" t="s">
        <v>2050</v>
      </c>
      <c r="H87" t="s">
        <v>2051</v>
      </c>
      <c r="I87" t="s">
        <v>53</v>
      </c>
      <c r="J87" t="s">
        <v>67</v>
      </c>
      <c r="K87" t="s">
        <v>68</v>
      </c>
      <c r="L87" t="s">
        <v>2052</v>
      </c>
      <c r="M87" t="s">
        <v>2053</v>
      </c>
      <c r="N87">
        <v>0</v>
      </c>
      <c r="O87">
        <v>0</v>
      </c>
      <c r="P87">
        <v>0</v>
      </c>
      <c r="Q87">
        <v>1440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183</v>
      </c>
      <c r="AH87" s="21" t="s">
        <v>3425</v>
      </c>
      <c r="AI87" s="21">
        <v>107.92500000000001</v>
      </c>
      <c r="AJ87" s="21">
        <v>100</v>
      </c>
      <c r="AK87" s="21" t="s">
        <v>2054</v>
      </c>
      <c r="AL87" t="s">
        <v>70</v>
      </c>
      <c r="AM87" t="s">
        <v>2027</v>
      </c>
    </row>
    <row r="88" spans="1:39" ht="15" hidden="1" thickTop="1" x14ac:dyDescent="0.35">
      <c r="A88" t="s">
        <v>2371</v>
      </c>
      <c r="B88" t="s">
        <v>2377</v>
      </c>
      <c r="C88" t="s">
        <v>102</v>
      </c>
      <c r="D88" t="s">
        <v>2378</v>
      </c>
      <c r="E88" t="s">
        <v>559</v>
      </c>
      <c r="F88">
        <v>1</v>
      </c>
      <c r="G88" t="s">
        <v>2050</v>
      </c>
      <c r="H88" t="s">
        <v>2051</v>
      </c>
      <c r="I88" t="s">
        <v>53</v>
      </c>
      <c r="J88" t="s">
        <v>67</v>
      </c>
      <c r="K88" t="s">
        <v>68</v>
      </c>
      <c r="L88" t="s">
        <v>2052</v>
      </c>
      <c r="M88" t="s">
        <v>2053</v>
      </c>
      <c r="N88">
        <v>0</v>
      </c>
      <c r="O88">
        <v>0</v>
      </c>
      <c r="P88">
        <v>0</v>
      </c>
      <c r="Q88">
        <v>1440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195</v>
      </c>
      <c r="AH88" s="21" t="s">
        <v>3429</v>
      </c>
      <c r="AI88" s="21">
        <v>107.92500000000001</v>
      </c>
      <c r="AJ88" s="21">
        <v>100</v>
      </c>
      <c r="AK88" s="21" t="s">
        <v>2054</v>
      </c>
      <c r="AL88" t="s">
        <v>70</v>
      </c>
      <c r="AM88" t="s">
        <v>2027</v>
      </c>
    </row>
    <row r="89" spans="1:39" ht="15" hidden="1" thickTop="1" x14ac:dyDescent="0.35">
      <c r="A89" t="s">
        <v>2373</v>
      </c>
      <c r="B89" t="s">
        <v>2379</v>
      </c>
      <c r="C89" t="s">
        <v>100</v>
      </c>
      <c r="D89" t="s">
        <v>2380</v>
      </c>
      <c r="E89" t="s">
        <v>559</v>
      </c>
      <c r="F89">
        <v>1</v>
      </c>
      <c r="G89" t="s">
        <v>2050</v>
      </c>
      <c r="H89" t="s">
        <v>2051</v>
      </c>
      <c r="I89" t="s">
        <v>53</v>
      </c>
      <c r="J89" t="s">
        <v>67</v>
      </c>
      <c r="K89" t="s">
        <v>68</v>
      </c>
      <c r="L89" t="s">
        <v>2052</v>
      </c>
      <c r="M89" t="s">
        <v>2053</v>
      </c>
      <c r="N89">
        <v>0</v>
      </c>
      <c r="O89">
        <v>0</v>
      </c>
      <c r="P89">
        <v>0</v>
      </c>
      <c r="Q89">
        <v>1440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171</v>
      </c>
      <c r="AH89" s="21" t="s">
        <v>3424</v>
      </c>
      <c r="AI89" s="21">
        <v>107.92500000000001</v>
      </c>
      <c r="AJ89" s="21">
        <v>100</v>
      </c>
      <c r="AK89" s="21" t="s">
        <v>2055</v>
      </c>
      <c r="AL89" t="s">
        <v>70</v>
      </c>
      <c r="AM89" t="s">
        <v>2030</v>
      </c>
    </row>
    <row r="90" spans="1:39" ht="15" hidden="1" thickTop="1" x14ac:dyDescent="0.35">
      <c r="A90" t="s">
        <v>2381</v>
      </c>
      <c r="B90" t="s">
        <v>2386</v>
      </c>
      <c r="C90" t="s">
        <v>92</v>
      </c>
      <c r="D90" t="s">
        <v>2387</v>
      </c>
      <c r="E90" t="s">
        <v>559</v>
      </c>
      <c r="F90">
        <v>1</v>
      </c>
      <c r="G90" t="s">
        <v>2050</v>
      </c>
      <c r="H90" t="s">
        <v>2051</v>
      </c>
      <c r="I90" t="s">
        <v>53</v>
      </c>
      <c r="J90" t="s">
        <v>67</v>
      </c>
      <c r="K90" t="s">
        <v>68</v>
      </c>
      <c r="L90" t="s">
        <v>2052</v>
      </c>
      <c r="M90" t="s">
        <v>2064</v>
      </c>
      <c r="N90">
        <v>0</v>
      </c>
      <c r="O90">
        <v>0</v>
      </c>
      <c r="P90">
        <v>0</v>
      </c>
      <c r="Q90">
        <v>900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338</v>
      </c>
      <c r="AH90" s="21" t="s">
        <v>3424</v>
      </c>
      <c r="AI90" s="21">
        <v>67.5</v>
      </c>
      <c r="AJ90" s="21">
        <v>100</v>
      </c>
      <c r="AK90" s="21" t="s">
        <v>2054</v>
      </c>
      <c r="AL90" t="s">
        <v>70</v>
      </c>
      <c r="AM90" t="s">
        <v>2029</v>
      </c>
    </row>
    <row r="91" spans="1:39" ht="15" hidden="1" thickTop="1" x14ac:dyDescent="0.35">
      <c r="A91" t="s">
        <v>2067</v>
      </c>
      <c r="B91" t="s">
        <v>2388</v>
      </c>
      <c r="C91" t="s">
        <v>100</v>
      </c>
      <c r="D91" t="s">
        <v>2389</v>
      </c>
      <c r="E91" t="s">
        <v>119</v>
      </c>
      <c r="F91">
        <v>1</v>
      </c>
      <c r="G91" t="s">
        <v>2050</v>
      </c>
      <c r="H91" t="s">
        <v>2051</v>
      </c>
      <c r="I91" t="s">
        <v>53</v>
      </c>
      <c r="J91" t="s">
        <v>67</v>
      </c>
      <c r="K91" t="s">
        <v>68</v>
      </c>
      <c r="L91" t="s">
        <v>2052</v>
      </c>
      <c r="M91" t="s">
        <v>2064</v>
      </c>
      <c r="N91">
        <v>0</v>
      </c>
      <c r="O91">
        <v>0</v>
      </c>
      <c r="P91">
        <v>0</v>
      </c>
      <c r="Q91">
        <v>900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357</v>
      </c>
      <c r="AH91" s="21" t="s">
        <v>3425</v>
      </c>
      <c r="AI91" s="21">
        <v>67.5</v>
      </c>
      <c r="AJ91" s="21">
        <v>100</v>
      </c>
      <c r="AK91" s="21" t="s">
        <v>2054</v>
      </c>
      <c r="AL91" t="s">
        <v>70</v>
      </c>
      <c r="AM91" t="s">
        <v>2028</v>
      </c>
    </row>
    <row r="92" spans="1:39" ht="15" hidden="1" thickTop="1" x14ac:dyDescent="0.35">
      <c r="A92" t="s">
        <v>2384</v>
      </c>
      <c r="B92" t="s">
        <v>3409</v>
      </c>
      <c r="C92" t="s">
        <v>71</v>
      </c>
      <c r="D92" t="s">
        <v>3410</v>
      </c>
      <c r="E92" t="s">
        <v>72</v>
      </c>
      <c r="F92">
        <v>1</v>
      </c>
      <c r="G92" t="s">
        <v>2050</v>
      </c>
      <c r="H92" t="s">
        <v>2051</v>
      </c>
      <c r="I92" t="s">
        <v>53</v>
      </c>
      <c r="J92" t="s">
        <v>73</v>
      </c>
      <c r="K92" t="s">
        <v>68</v>
      </c>
      <c r="L92" t="s">
        <v>2052</v>
      </c>
      <c r="M92" t="s">
        <v>2053</v>
      </c>
      <c r="N92">
        <v>0</v>
      </c>
      <c r="O92">
        <v>0</v>
      </c>
      <c r="P92">
        <v>0</v>
      </c>
      <c r="Q92">
        <v>1440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295</v>
      </c>
      <c r="AH92" s="21" t="s">
        <v>3427</v>
      </c>
      <c r="AI92" s="21">
        <v>107.92500000000001</v>
      </c>
      <c r="AJ92" s="21">
        <v>100</v>
      </c>
      <c r="AK92" s="21" t="s">
        <v>2054</v>
      </c>
      <c r="AL92" t="s">
        <v>75</v>
      </c>
      <c r="AM92" t="s">
        <v>2032</v>
      </c>
    </row>
    <row r="93" spans="1:39" ht="15" hidden="1" thickTop="1" x14ac:dyDescent="0.35">
      <c r="A93" t="s">
        <v>2390</v>
      </c>
      <c r="B93" t="s">
        <v>3402</v>
      </c>
      <c r="C93" t="s">
        <v>66</v>
      </c>
      <c r="D93" t="s">
        <v>3403</v>
      </c>
      <c r="E93" t="s">
        <v>559</v>
      </c>
      <c r="F93">
        <v>1</v>
      </c>
      <c r="G93" t="s">
        <v>2050</v>
      </c>
      <c r="H93" t="s">
        <v>2051</v>
      </c>
      <c r="I93" t="s">
        <v>53</v>
      </c>
      <c r="J93" t="s">
        <v>67</v>
      </c>
      <c r="K93" t="s">
        <v>68</v>
      </c>
      <c r="L93" t="s">
        <v>2052</v>
      </c>
      <c r="M93" t="s">
        <v>2064</v>
      </c>
      <c r="N93">
        <v>0</v>
      </c>
      <c r="O93">
        <v>0</v>
      </c>
      <c r="P93">
        <v>0</v>
      </c>
      <c r="Q93">
        <v>900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172</v>
      </c>
      <c r="AH93" s="21" t="s">
        <v>3425</v>
      </c>
      <c r="AI93" s="21">
        <v>67.5</v>
      </c>
      <c r="AJ93" s="21">
        <v>100</v>
      </c>
      <c r="AK93" s="21" t="s">
        <v>2054</v>
      </c>
      <c r="AL93" t="s">
        <v>70</v>
      </c>
      <c r="AM93" t="s">
        <v>2032</v>
      </c>
    </row>
    <row r="94" spans="1:39" ht="15" hidden="1" thickTop="1" x14ac:dyDescent="0.35">
      <c r="A94" t="s">
        <v>2405</v>
      </c>
      <c r="B94" t="s">
        <v>2392</v>
      </c>
      <c r="C94" t="s">
        <v>78</v>
      </c>
      <c r="D94" t="s">
        <v>2393</v>
      </c>
      <c r="E94" t="s">
        <v>559</v>
      </c>
      <c r="F94">
        <v>1</v>
      </c>
      <c r="G94" t="s">
        <v>2050</v>
      </c>
      <c r="H94" t="s">
        <v>2051</v>
      </c>
      <c r="I94" t="s">
        <v>53</v>
      </c>
      <c r="J94" t="s">
        <v>67</v>
      </c>
      <c r="K94" t="s">
        <v>68</v>
      </c>
      <c r="L94" t="s">
        <v>2052</v>
      </c>
      <c r="M94" t="s">
        <v>2053</v>
      </c>
      <c r="N94">
        <v>0</v>
      </c>
      <c r="O94">
        <v>0</v>
      </c>
      <c r="P94">
        <v>0</v>
      </c>
      <c r="Q94">
        <v>1440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178</v>
      </c>
      <c r="AH94" s="21" t="s">
        <v>3425</v>
      </c>
      <c r="AI94" s="21">
        <v>107.92500000000001</v>
      </c>
      <c r="AJ94" s="21">
        <v>100</v>
      </c>
      <c r="AK94" s="21" t="s">
        <v>2055</v>
      </c>
      <c r="AL94" t="s">
        <v>70</v>
      </c>
      <c r="AM94" t="s">
        <v>2030</v>
      </c>
    </row>
    <row r="95" spans="1:39" ht="15" hidden="1" thickTop="1" x14ac:dyDescent="0.35">
      <c r="A95" t="s">
        <v>2406</v>
      </c>
      <c r="B95" t="s">
        <v>2394</v>
      </c>
      <c r="C95" t="s">
        <v>92</v>
      </c>
      <c r="D95" t="s">
        <v>2395</v>
      </c>
      <c r="E95" t="s">
        <v>559</v>
      </c>
      <c r="F95">
        <v>1</v>
      </c>
      <c r="G95" t="s">
        <v>2050</v>
      </c>
      <c r="H95" t="s">
        <v>2051</v>
      </c>
      <c r="I95" t="s">
        <v>53</v>
      </c>
      <c r="J95" t="s">
        <v>67</v>
      </c>
      <c r="K95" t="s">
        <v>68</v>
      </c>
      <c r="L95" t="s">
        <v>2052</v>
      </c>
      <c r="M95" t="s">
        <v>2053</v>
      </c>
      <c r="N95">
        <v>0</v>
      </c>
      <c r="O95">
        <v>0</v>
      </c>
      <c r="P95">
        <v>0</v>
      </c>
      <c r="Q95">
        <v>1440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179</v>
      </c>
      <c r="AH95" s="21" t="s">
        <v>3424</v>
      </c>
      <c r="AI95" s="21">
        <v>107.92500000000001</v>
      </c>
      <c r="AJ95" s="21">
        <v>100</v>
      </c>
      <c r="AK95" s="21" t="s">
        <v>2054</v>
      </c>
      <c r="AL95" t="s">
        <v>70</v>
      </c>
      <c r="AM95" t="s">
        <v>2027</v>
      </c>
    </row>
    <row r="96" spans="1:39" ht="15" hidden="1" thickTop="1" x14ac:dyDescent="0.35">
      <c r="A96" t="s">
        <v>2407</v>
      </c>
      <c r="B96" t="s">
        <v>2396</v>
      </c>
      <c r="C96" t="s">
        <v>117</v>
      </c>
      <c r="D96" t="s">
        <v>2397</v>
      </c>
      <c r="E96" t="s">
        <v>559</v>
      </c>
      <c r="F96">
        <v>1</v>
      </c>
      <c r="G96" t="s">
        <v>2050</v>
      </c>
      <c r="H96" t="s">
        <v>2051</v>
      </c>
      <c r="I96" t="s">
        <v>53</v>
      </c>
      <c r="J96" t="s">
        <v>67</v>
      </c>
      <c r="K96" t="s">
        <v>68</v>
      </c>
      <c r="L96" t="s">
        <v>2052</v>
      </c>
      <c r="M96" t="s">
        <v>2053</v>
      </c>
      <c r="N96">
        <v>0</v>
      </c>
      <c r="O96">
        <v>0</v>
      </c>
      <c r="P96">
        <v>0</v>
      </c>
      <c r="Q96">
        <v>1440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180</v>
      </c>
      <c r="AH96" s="21" t="s">
        <v>3424</v>
      </c>
      <c r="AI96" s="21">
        <v>107.92500000000001</v>
      </c>
      <c r="AJ96" s="21">
        <v>100</v>
      </c>
      <c r="AK96" s="21" t="s">
        <v>2054</v>
      </c>
      <c r="AL96" t="s">
        <v>70</v>
      </c>
      <c r="AM96" t="s">
        <v>2027</v>
      </c>
    </row>
    <row r="97" spans="1:39" ht="15" hidden="1" thickTop="1" x14ac:dyDescent="0.35">
      <c r="A97" t="s">
        <v>2408</v>
      </c>
      <c r="B97" t="s">
        <v>2398</v>
      </c>
      <c r="C97" t="s">
        <v>66</v>
      </c>
      <c r="D97" t="s">
        <v>2399</v>
      </c>
      <c r="E97" t="s">
        <v>559</v>
      </c>
      <c r="F97">
        <v>1</v>
      </c>
      <c r="G97" t="s">
        <v>2050</v>
      </c>
      <c r="H97" t="s">
        <v>2051</v>
      </c>
      <c r="I97" t="s">
        <v>53</v>
      </c>
      <c r="J97" t="s">
        <v>67</v>
      </c>
      <c r="K97" t="s">
        <v>68</v>
      </c>
      <c r="L97" t="s">
        <v>2052</v>
      </c>
      <c r="M97" t="s">
        <v>2053</v>
      </c>
      <c r="N97">
        <v>0</v>
      </c>
      <c r="O97">
        <v>0</v>
      </c>
      <c r="P97">
        <v>0</v>
      </c>
      <c r="Q97">
        <v>1440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181</v>
      </c>
      <c r="AH97" s="21" t="s">
        <v>3429</v>
      </c>
      <c r="AI97" s="21">
        <v>107.92500000000001</v>
      </c>
      <c r="AJ97" s="21">
        <v>100</v>
      </c>
      <c r="AK97" s="21" t="s">
        <v>2055</v>
      </c>
      <c r="AL97" t="s">
        <v>70</v>
      </c>
      <c r="AM97" t="s">
        <v>2027</v>
      </c>
    </row>
    <row r="98" spans="1:39" ht="15" hidden="1" thickTop="1" x14ac:dyDescent="0.35">
      <c r="A98" t="s">
        <v>2409</v>
      </c>
      <c r="B98" t="s">
        <v>2400</v>
      </c>
      <c r="C98" t="s">
        <v>3376</v>
      </c>
      <c r="D98" t="s">
        <v>2401</v>
      </c>
      <c r="E98" t="s">
        <v>559</v>
      </c>
      <c r="F98">
        <v>1</v>
      </c>
      <c r="G98" t="s">
        <v>2050</v>
      </c>
      <c r="H98" t="s">
        <v>2051</v>
      </c>
      <c r="I98" t="s">
        <v>53</v>
      </c>
      <c r="J98" t="s">
        <v>67</v>
      </c>
      <c r="K98" t="s">
        <v>68</v>
      </c>
      <c r="L98" t="s">
        <v>2052</v>
      </c>
      <c r="M98" t="s">
        <v>2053</v>
      </c>
      <c r="N98">
        <v>0</v>
      </c>
      <c r="O98">
        <v>0</v>
      </c>
      <c r="P98">
        <v>0</v>
      </c>
      <c r="Q98">
        <v>1440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182</v>
      </c>
      <c r="AH98" s="21" t="s">
        <v>3424</v>
      </c>
      <c r="AI98" s="21">
        <v>107.92500000000001</v>
      </c>
      <c r="AJ98" s="21">
        <v>100</v>
      </c>
      <c r="AK98" s="21" t="s">
        <v>2054</v>
      </c>
      <c r="AL98" t="s">
        <v>70</v>
      </c>
      <c r="AM98" t="s">
        <v>2029</v>
      </c>
    </row>
    <row r="99" spans="1:39" ht="15" hidden="1" thickTop="1" x14ac:dyDescent="0.35">
      <c r="A99" t="s">
        <v>2414</v>
      </c>
      <c r="B99" t="s">
        <v>2402</v>
      </c>
      <c r="C99" t="s">
        <v>111</v>
      </c>
      <c r="D99" t="s">
        <v>2403</v>
      </c>
      <c r="E99" t="s">
        <v>112</v>
      </c>
      <c r="F99">
        <v>1</v>
      </c>
      <c r="G99" t="s">
        <v>2050</v>
      </c>
      <c r="H99" t="s">
        <v>2051</v>
      </c>
      <c r="I99" t="s">
        <v>53</v>
      </c>
      <c r="J99" t="s">
        <v>113</v>
      </c>
      <c r="K99" t="s">
        <v>68</v>
      </c>
      <c r="L99" t="s">
        <v>2052</v>
      </c>
      <c r="M99" t="s">
        <v>2053</v>
      </c>
      <c r="N99">
        <v>0</v>
      </c>
      <c r="O99">
        <v>0</v>
      </c>
      <c r="P99">
        <v>0</v>
      </c>
      <c r="Q99">
        <v>1440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184</v>
      </c>
      <c r="AH99" s="21" t="s">
        <v>3430</v>
      </c>
      <c r="AI99" s="21">
        <v>107.92500000000001</v>
      </c>
      <c r="AJ99" s="21">
        <v>100</v>
      </c>
      <c r="AK99" s="21" t="s">
        <v>2054</v>
      </c>
      <c r="AL99" t="s">
        <v>115</v>
      </c>
      <c r="AM99" t="s">
        <v>2027</v>
      </c>
    </row>
    <row r="100" spans="1:39" ht="15" hidden="1" thickTop="1" x14ac:dyDescent="0.35">
      <c r="A100" t="s">
        <v>2426</v>
      </c>
      <c r="B100" t="s">
        <v>2418</v>
      </c>
      <c r="C100" t="s">
        <v>117</v>
      </c>
      <c r="D100" t="s">
        <v>2419</v>
      </c>
      <c r="E100" t="s">
        <v>559</v>
      </c>
      <c r="F100">
        <v>1</v>
      </c>
      <c r="G100" t="s">
        <v>2050</v>
      </c>
      <c r="H100" t="s">
        <v>2051</v>
      </c>
      <c r="I100" t="s">
        <v>53</v>
      </c>
      <c r="J100" t="s">
        <v>67</v>
      </c>
      <c r="K100" t="s">
        <v>68</v>
      </c>
      <c r="L100" t="s">
        <v>2052</v>
      </c>
      <c r="M100" t="s">
        <v>2053</v>
      </c>
      <c r="N100">
        <v>0</v>
      </c>
      <c r="O100">
        <v>0</v>
      </c>
      <c r="P100">
        <v>0</v>
      </c>
      <c r="Q100">
        <v>1440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185</v>
      </c>
      <c r="AH100" s="21" t="s">
        <v>3427</v>
      </c>
      <c r="AI100" s="21">
        <v>107.92500000000001</v>
      </c>
      <c r="AJ100" s="21">
        <v>100</v>
      </c>
      <c r="AK100" s="21" t="s">
        <v>2054</v>
      </c>
      <c r="AL100" t="s">
        <v>70</v>
      </c>
      <c r="AM100" t="s">
        <v>2027</v>
      </c>
    </row>
    <row r="101" spans="1:39" ht="15" hidden="1" thickTop="1" x14ac:dyDescent="0.35">
      <c r="A101" t="s">
        <v>2442</v>
      </c>
      <c r="B101" t="s">
        <v>2421</v>
      </c>
      <c r="C101" t="s">
        <v>3376</v>
      </c>
      <c r="D101" t="s">
        <v>2422</v>
      </c>
      <c r="E101" t="s">
        <v>559</v>
      </c>
      <c r="F101">
        <v>1</v>
      </c>
      <c r="G101" t="s">
        <v>2050</v>
      </c>
      <c r="H101" t="s">
        <v>2051</v>
      </c>
      <c r="I101" t="s">
        <v>53</v>
      </c>
      <c r="J101" t="s">
        <v>67</v>
      </c>
      <c r="K101" t="s">
        <v>68</v>
      </c>
      <c r="L101" t="s">
        <v>2052</v>
      </c>
      <c r="M101" t="s">
        <v>2053</v>
      </c>
      <c r="N101">
        <v>0</v>
      </c>
      <c r="O101">
        <v>0</v>
      </c>
      <c r="P101">
        <v>0</v>
      </c>
      <c r="Q101">
        <v>1440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186</v>
      </c>
      <c r="AH101" s="21" t="s">
        <v>3425</v>
      </c>
      <c r="AI101" s="21">
        <v>107.92500000000001</v>
      </c>
      <c r="AJ101" s="21">
        <v>100</v>
      </c>
      <c r="AK101" s="21" t="s">
        <v>2054</v>
      </c>
      <c r="AL101" t="s">
        <v>70</v>
      </c>
      <c r="AM101" t="s">
        <v>2028</v>
      </c>
    </row>
    <row r="102" spans="1:39" ht="15" hidden="1" thickTop="1" x14ac:dyDescent="0.35">
      <c r="A102" t="s">
        <v>2443</v>
      </c>
      <c r="B102" t="s">
        <v>2424</v>
      </c>
      <c r="C102" t="s">
        <v>3376</v>
      </c>
      <c r="D102" t="s">
        <v>2425</v>
      </c>
      <c r="E102" t="s">
        <v>559</v>
      </c>
      <c r="F102">
        <v>1</v>
      </c>
      <c r="G102" t="s">
        <v>2050</v>
      </c>
      <c r="H102" t="s">
        <v>2051</v>
      </c>
      <c r="I102" t="s">
        <v>53</v>
      </c>
      <c r="J102" t="s">
        <v>67</v>
      </c>
      <c r="K102" t="s">
        <v>68</v>
      </c>
      <c r="L102" t="s">
        <v>2052</v>
      </c>
      <c r="M102" t="s">
        <v>2053</v>
      </c>
      <c r="N102">
        <v>0</v>
      </c>
      <c r="O102">
        <v>0</v>
      </c>
      <c r="P102">
        <v>0</v>
      </c>
      <c r="Q102">
        <v>1440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187</v>
      </c>
      <c r="AH102" s="21" t="s">
        <v>3425</v>
      </c>
      <c r="AI102" s="21">
        <v>107.92500000000001</v>
      </c>
      <c r="AJ102" s="21">
        <v>100</v>
      </c>
      <c r="AK102" s="21" t="s">
        <v>2054</v>
      </c>
      <c r="AL102" t="s">
        <v>70</v>
      </c>
      <c r="AM102" t="s">
        <v>2028</v>
      </c>
    </row>
    <row r="103" spans="1:39" ht="15" hidden="1" thickTop="1" x14ac:dyDescent="0.35">
      <c r="A103" t="s">
        <v>2444</v>
      </c>
      <c r="B103" t="s">
        <v>2427</v>
      </c>
      <c r="C103" t="s">
        <v>76</v>
      </c>
      <c r="D103" t="s">
        <v>2428</v>
      </c>
      <c r="E103" t="s">
        <v>559</v>
      </c>
      <c r="F103">
        <v>1</v>
      </c>
      <c r="G103" t="s">
        <v>2050</v>
      </c>
      <c r="H103" t="s">
        <v>2051</v>
      </c>
      <c r="I103" t="s">
        <v>53</v>
      </c>
      <c r="J103" t="s">
        <v>67</v>
      </c>
      <c r="K103" t="s">
        <v>68</v>
      </c>
      <c r="L103" t="s">
        <v>2052</v>
      </c>
      <c r="M103" t="s">
        <v>2053</v>
      </c>
      <c r="N103">
        <v>0</v>
      </c>
      <c r="O103">
        <v>0</v>
      </c>
      <c r="P103">
        <v>0</v>
      </c>
      <c r="Q103">
        <v>1440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188</v>
      </c>
      <c r="AH103" s="21" t="s">
        <v>3425</v>
      </c>
      <c r="AI103" s="21">
        <v>107.92500000000001</v>
      </c>
      <c r="AJ103" s="21">
        <v>100</v>
      </c>
      <c r="AK103" s="21" t="s">
        <v>2055</v>
      </c>
      <c r="AL103" t="s">
        <v>70</v>
      </c>
      <c r="AM103" t="s">
        <v>2030</v>
      </c>
    </row>
    <row r="104" spans="1:39" ht="15" hidden="1" thickTop="1" x14ac:dyDescent="0.35">
      <c r="A104" t="s">
        <v>2446</v>
      </c>
      <c r="B104" t="s">
        <v>2430</v>
      </c>
      <c r="C104" t="s">
        <v>76</v>
      </c>
      <c r="D104" t="s">
        <v>2431</v>
      </c>
      <c r="E104" t="s">
        <v>119</v>
      </c>
      <c r="F104">
        <v>1</v>
      </c>
      <c r="G104" t="s">
        <v>2050</v>
      </c>
      <c r="H104" t="s">
        <v>2051</v>
      </c>
      <c r="I104" t="s">
        <v>53</v>
      </c>
      <c r="J104" t="s">
        <v>67</v>
      </c>
      <c r="K104" t="s">
        <v>68</v>
      </c>
      <c r="L104" t="s">
        <v>2052</v>
      </c>
      <c r="M104" t="s">
        <v>2053</v>
      </c>
      <c r="N104">
        <v>0</v>
      </c>
      <c r="O104">
        <v>0</v>
      </c>
      <c r="P104">
        <v>0</v>
      </c>
      <c r="Q104">
        <v>1440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189</v>
      </c>
      <c r="AH104" s="21" t="s">
        <v>3425</v>
      </c>
      <c r="AI104" s="21">
        <v>107.92500000000001</v>
      </c>
      <c r="AJ104" s="21">
        <v>100</v>
      </c>
      <c r="AK104" s="21" t="s">
        <v>2054</v>
      </c>
      <c r="AL104" t="s">
        <v>70</v>
      </c>
      <c r="AM104" t="s">
        <v>2029</v>
      </c>
    </row>
    <row r="105" spans="1:39" ht="15" hidden="1" thickTop="1" x14ac:dyDescent="0.35">
      <c r="A105" t="s">
        <v>2451</v>
      </c>
      <c r="B105" t="s">
        <v>2434</v>
      </c>
      <c r="C105" t="s">
        <v>78</v>
      </c>
      <c r="D105" t="s">
        <v>2435</v>
      </c>
      <c r="E105" t="s">
        <v>559</v>
      </c>
      <c r="F105">
        <v>1</v>
      </c>
      <c r="G105" t="s">
        <v>2050</v>
      </c>
      <c r="H105" t="s">
        <v>2051</v>
      </c>
      <c r="I105" t="s">
        <v>53</v>
      </c>
      <c r="J105" t="s">
        <v>67</v>
      </c>
      <c r="K105" t="s">
        <v>68</v>
      </c>
      <c r="L105" t="s">
        <v>2052</v>
      </c>
      <c r="M105" t="s">
        <v>2053</v>
      </c>
      <c r="N105">
        <v>0</v>
      </c>
      <c r="O105">
        <v>0</v>
      </c>
      <c r="P105">
        <v>0</v>
      </c>
      <c r="Q105">
        <v>1440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t="s">
        <v>190</v>
      </c>
      <c r="AH105" s="21" t="s">
        <v>3425</v>
      </c>
      <c r="AI105" s="21">
        <v>107.92500000000001</v>
      </c>
      <c r="AJ105" s="21">
        <v>100</v>
      </c>
      <c r="AK105" s="21" t="s">
        <v>2055</v>
      </c>
      <c r="AL105" t="s">
        <v>70</v>
      </c>
      <c r="AM105" t="s">
        <v>2028</v>
      </c>
    </row>
    <row r="106" spans="1:39" ht="15" hidden="1" thickTop="1" x14ac:dyDescent="0.35">
      <c r="A106" t="s">
        <v>2452</v>
      </c>
      <c r="B106" t="s">
        <v>2436</v>
      </c>
      <c r="C106" t="s">
        <v>76</v>
      </c>
      <c r="D106" t="s">
        <v>2437</v>
      </c>
      <c r="E106" t="s">
        <v>559</v>
      </c>
      <c r="F106">
        <v>1</v>
      </c>
      <c r="G106" t="s">
        <v>2050</v>
      </c>
      <c r="H106" t="s">
        <v>2051</v>
      </c>
      <c r="I106" t="s">
        <v>53</v>
      </c>
      <c r="J106" t="s">
        <v>67</v>
      </c>
      <c r="K106" t="s">
        <v>68</v>
      </c>
      <c r="L106" t="s">
        <v>2052</v>
      </c>
      <c r="M106" t="s">
        <v>2053</v>
      </c>
      <c r="N106">
        <v>0</v>
      </c>
      <c r="O106">
        <v>0</v>
      </c>
      <c r="P106">
        <v>0</v>
      </c>
      <c r="Q106">
        <v>1440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191</v>
      </c>
      <c r="AH106" s="21" t="s">
        <v>3425</v>
      </c>
      <c r="AI106" s="21">
        <v>107.92500000000001</v>
      </c>
      <c r="AJ106" s="21">
        <v>100</v>
      </c>
      <c r="AK106" s="21" t="s">
        <v>2054</v>
      </c>
      <c r="AL106" t="s">
        <v>70</v>
      </c>
      <c r="AM106" t="s">
        <v>2028</v>
      </c>
    </row>
    <row r="107" spans="1:39" ht="15" hidden="1" thickTop="1" x14ac:dyDescent="0.35">
      <c r="A107" t="s">
        <v>2460</v>
      </c>
      <c r="B107" t="s">
        <v>2439</v>
      </c>
      <c r="C107" t="s">
        <v>78</v>
      </c>
      <c r="D107" t="s">
        <v>2440</v>
      </c>
      <c r="E107" t="s">
        <v>559</v>
      </c>
      <c r="F107">
        <v>1</v>
      </c>
      <c r="G107" t="s">
        <v>2050</v>
      </c>
      <c r="H107" t="s">
        <v>2051</v>
      </c>
      <c r="I107" t="s">
        <v>53</v>
      </c>
      <c r="J107" t="s">
        <v>67</v>
      </c>
      <c r="K107" t="s">
        <v>68</v>
      </c>
      <c r="L107" t="s">
        <v>2052</v>
      </c>
      <c r="M107" t="s">
        <v>2053</v>
      </c>
      <c r="N107">
        <v>0</v>
      </c>
      <c r="O107">
        <v>0</v>
      </c>
      <c r="P107">
        <v>0</v>
      </c>
      <c r="Q107">
        <v>1440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 t="s">
        <v>192</v>
      </c>
      <c r="AH107" s="21" t="s">
        <v>3425</v>
      </c>
      <c r="AI107" s="21">
        <v>107.92500000000001</v>
      </c>
      <c r="AJ107" s="21">
        <v>100</v>
      </c>
      <c r="AK107" s="21" t="s">
        <v>2054</v>
      </c>
      <c r="AL107" t="s">
        <v>70</v>
      </c>
      <c r="AM107" t="s">
        <v>2029</v>
      </c>
    </row>
    <row r="108" spans="1:39" ht="15" hidden="1" thickTop="1" x14ac:dyDescent="0.35">
      <c r="A108" t="s">
        <v>2466</v>
      </c>
      <c r="B108" t="s">
        <v>2454</v>
      </c>
      <c r="C108" t="s">
        <v>76</v>
      </c>
      <c r="D108" t="s">
        <v>2455</v>
      </c>
      <c r="E108" t="s">
        <v>559</v>
      </c>
      <c r="F108">
        <v>2</v>
      </c>
      <c r="G108" t="s">
        <v>2050</v>
      </c>
      <c r="H108" t="s">
        <v>2051</v>
      </c>
      <c r="I108" t="s">
        <v>53</v>
      </c>
      <c r="J108" t="s">
        <v>67</v>
      </c>
      <c r="K108" t="s">
        <v>68</v>
      </c>
      <c r="L108" t="s">
        <v>2052</v>
      </c>
      <c r="M108" t="s">
        <v>2053</v>
      </c>
      <c r="N108">
        <v>0</v>
      </c>
      <c r="O108">
        <v>0</v>
      </c>
      <c r="P108">
        <v>0</v>
      </c>
      <c r="Q108">
        <v>1440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193</v>
      </c>
      <c r="AH108" s="21" t="s">
        <v>3424</v>
      </c>
      <c r="AI108" s="21">
        <v>107.92500000000001</v>
      </c>
      <c r="AJ108" s="21">
        <v>100</v>
      </c>
      <c r="AK108" s="21" t="s">
        <v>2054</v>
      </c>
      <c r="AL108" t="s">
        <v>70</v>
      </c>
      <c r="AM108" t="s">
        <v>2029</v>
      </c>
    </row>
    <row r="109" spans="1:39" ht="15" hidden="1" thickTop="1" x14ac:dyDescent="0.35">
      <c r="A109" t="s">
        <v>2471</v>
      </c>
      <c r="B109" t="s">
        <v>2420</v>
      </c>
      <c r="C109" t="s">
        <v>117</v>
      </c>
      <c r="D109" t="s">
        <v>2461</v>
      </c>
      <c r="E109" t="s">
        <v>559</v>
      </c>
      <c r="F109">
        <v>1</v>
      </c>
      <c r="G109" t="s">
        <v>2050</v>
      </c>
      <c r="H109" t="s">
        <v>2051</v>
      </c>
      <c r="I109" t="s">
        <v>53</v>
      </c>
      <c r="J109" t="s">
        <v>67</v>
      </c>
      <c r="K109" t="s">
        <v>68</v>
      </c>
      <c r="L109" t="s">
        <v>2052</v>
      </c>
      <c r="M109" t="s">
        <v>2053</v>
      </c>
      <c r="N109">
        <v>0</v>
      </c>
      <c r="O109">
        <v>0</v>
      </c>
      <c r="P109">
        <v>0</v>
      </c>
      <c r="Q109">
        <v>1440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194</v>
      </c>
      <c r="AH109" s="21" t="s">
        <v>3425</v>
      </c>
      <c r="AI109" s="21">
        <v>107.92500000000001</v>
      </c>
      <c r="AJ109" s="21">
        <v>100</v>
      </c>
      <c r="AK109" s="21" t="s">
        <v>2055</v>
      </c>
      <c r="AL109" t="s">
        <v>70</v>
      </c>
      <c r="AM109" t="s">
        <v>2029</v>
      </c>
    </row>
    <row r="110" spans="1:39" ht="15" hidden="1" thickTop="1" x14ac:dyDescent="0.35">
      <c r="A110" t="s">
        <v>2493</v>
      </c>
      <c r="B110" t="s">
        <v>2477</v>
      </c>
      <c r="C110" t="s">
        <v>92</v>
      </c>
      <c r="D110" t="s">
        <v>2478</v>
      </c>
      <c r="E110" t="s">
        <v>119</v>
      </c>
      <c r="F110">
        <v>1</v>
      </c>
      <c r="G110" t="s">
        <v>2050</v>
      </c>
      <c r="H110" t="s">
        <v>2051</v>
      </c>
      <c r="I110" t="s">
        <v>53</v>
      </c>
      <c r="J110" t="s">
        <v>67</v>
      </c>
      <c r="K110" t="s">
        <v>68</v>
      </c>
      <c r="L110" t="s">
        <v>2052</v>
      </c>
      <c r="M110" t="s">
        <v>2053</v>
      </c>
      <c r="N110">
        <v>0</v>
      </c>
      <c r="O110">
        <v>0</v>
      </c>
      <c r="P110">
        <v>0</v>
      </c>
      <c r="Q110">
        <v>1440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196</v>
      </c>
      <c r="AH110" s="21" t="s">
        <v>3425</v>
      </c>
      <c r="AI110" s="21">
        <v>107.92500000000001</v>
      </c>
      <c r="AJ110" s="21">
        <v>100</v>
      </c>
      <c r="AK110" s="21" t="s">
        <v>2054</v>
      </c>
      <c r="AL110" t="s">
        <v>70</v>
      </c>
      <c r="AM110" t="s">
        <v>2029</v>
      </c>
    </row>
    <row r="111" spans="1:39" ht="15" hidden="1" thickTop="1" x14ac:dyDescent="0.35">
      <c r="A111" t="s">
        <v>2498</v>
      </c>
      <c r="B111" t="s">
        <v>2480</v>
      </c>
      <c r="C111" t="s">
        <v>117</v>
      </c>
      <c r="D111" t="s">
        <v>2481</v>
      </c>
      <c r="E111" t="s">
        <v>559</v>
      </c>
      <c r="F111">
        <v>1</v>
      </c>
      <c r="G111" t="s">
        <v>2050</v>
      </c>
      <c r="H111" t="s">
        <v>2051</v>
      </c>
      <c r="I111" t="s">
        <v>53</v>
      </c>
      <c r="J111" t="s">
        <v>67</v>
      </c>
      <c r="K111" t="s">
        <v>68</v>
      </c>
      <c r="L111" t="s">
        <v>2052</v>
      </c>
      <c r="M111" t="s">
        <v>2053</v>
      </c>
      <c r="N111">
        <v>0</v>
      </c>
      <c r="O111">
        <v>0</v>
      </c>
      <c r="P111">
        <v>0</v>
      </c>
      <c r="Q111">
        <v>1440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197</v>
      </c>
      <c r="AH111" s="21" t="s">
        <v>3429</v>
      </c>
      <c r="AI111" s="21">
        <v>107.92500000000001</v>
      </c>
      <c r="AJ111" s="21">
        <v>100</v>
      </c>
      <c r="AK111" s="21" t="s">
        <v>2054</v>
      </c>
      <c r="AL111" t="s">
        <v>70</v>
      </c>
      <c r="AM111" t="s">
        <v>2027</v>
      </c>
    </row>
    <row r="112" spans="1:39" ht="15" hidden="1" thickTop="1" x14ac:dyDescent="0.35">
      <c r="A112" t="s">
        <v>2499</v>
      </c>
      <c r="B112" t="s">
        <v>2482</v>
      </c>
      <c r="C112" t="s">
        <v>66</v>
      </c>
      <c r="D112" t="s">
        <v>2483</v>
      </c>
      <c r="E112" t="s">
        <v>559</v>
      </c>
      <c r="F112">
        <v>1</v>
      </c>
      <c r="G112" t="s">
        <v>2050</v>
      </c>
      <c r="H112" t="s">
        <v>2051</v>
      </c>
      <c r="I112" t="s">
        <v>53</v>
      </c>
      <c r="J112" t="s">
        <v>67</v>
      </c>
      <c r="K112" t="s">
        <v>68</v>
      </c>
      <c r="L112" t="s">
        <v>2052</v>
      </c>
      <c r="M112" t="s">
        <v>2053</v>
      </c>
      <c r="N112">
        <v>0</v>
      </c>
      <c r="O112">
        <v>0</v>
      </c>
      <c r="P112">
        <v>0</v>
      </c>
      <c r="Q112">
        <v>1440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198</v>
      </c>
      <c r="AH112" s="21" t="s">
        <v>3429</v>
      </c>
      <c r="AI112" s="21">
        <v>107.92500000000001</v>
      </c>
      <c r="AJ112" s="21">
        <v>100</v>
      </c>
      <c r="AK112" s="21" t="s">
        <v>2055</v>
      </c>
      <c r="AL112" t="s">
        <v>70</v>
      </c>
      <c r="AM112" t="s">
        <v>2028</v>
      </c>
    </row>
    <row r="113" spans="1:39" ht="15" hidden="1" thickTop="1" x14ac:dyDescent="0.35">
      <c r="A113" t="s">
        <v>2500</v>
      </c>
      <c r="B113" t="s">
        <v>2484</v>
      </c>
      <c r="C113" t="s">
        <v>102</v>
      </c>
      <c r="D113" t="s">
        <v>2485</v>
      </c>
      <c r="E113" t="s">
        <v>559</v>
      </c>
      <c r="F113">
        <v>1</v>
      </c>
      <c r="G113" t="s">
        <v>2050</v>
      </c>
      <c r="H113" t="s">
        <v>2051</v>
      </c>
      <c r="I113" t="s">
        <v>53</v>
      </c>
      <c r="J113" t="s">
        <v>67</v>
      </c>
      <c r="K113" t="s">
        <v>68</v>
      </c>
      <c r="L113" t="s">
        <v>2052</v>
      </c>
      <c r="M113" t="s">
        <v>2053</v>
      </c>
      <c r="N113">
        <v>0</v>
      </c>
      <c r="O113">
        <v>0</v>
      </c>
      <c r="P113">
        <v>0</v>
      </c>
      <c r="Q113">
        <v>1440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199</v>
      </c>
      <c r="AH113" s="21" t="s">
        <v>3429</v>
      </c>
      <c r="AI113" s="21">
        <v>107.92500000000001</v>
      </c>
      <c r="AJ113" s="21">
        <v>100</v>
      </c>
      <c r="AK113" s="21" t="s">
        <v>2054</v>
      </c>
      <c r="AL113" t="s">
        <v>70</v>
      </c>
      <c r="AM113" t="s">
        <v>2027</v>
      </c>
    </row>
    <row r="114" spans="1:39" ht="15" hidden="1" thickTop="1" x14ac:dyDescent="0.35">
      <c r="A114" t="s">
        <v>2475</v>
      </c>
      <c r="B114" t="s">
        <v>2486</v>
      </c>
      <c r="C114" t="s">
        <v>92</v>
      </c>
      <c r="D114" t="s">
        <v>2487</v>
      </c>
      <c r="E114" t="s">
        <v>559</v>
      </c>
      <c r="F114">
        <v>1</v>
      </c>
      <c r="G114" t="s">
        <v>2050</v>
      </c>
      <c r="H114" t="s">
        <v>2051</v>
      </c>
      <c r="I114" t="s">
        <v>53</v>
      </c>
      <c r="J114" t="s">
        <v>67</v>
      </c>
      <c r="K114" t="s">
        <v>68</v>
      </c>
      <c r="L114" t="s">
        <v>2052</v>
      </c>
      <c r="M114" t="s">
        <v>2053</v>
      </c>
      <c r="N114">
        <v>0</v>
      </c>
      <c r="O114">
        <v>0</v>
      </c>
      <c r="P114">
        <v>0</v>
      </c>
      <c r="Q114">
        <v>1440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200</v>
      </c>
      <c r="AH114" s="21" t="s">
        <v>3424</v>
      </c>
      <c r="AI114" s="21">
        <v>107.92500000000001</v>
      </c>
      <c r="AJ114" s="21">
        <v>100</v>
      </c>
      <c r="AK114" s="21" t="s">
        <v>2054</v>
      </c>
      <c r="AL114" t="s">
        <v>70</v>
      </c>
      <c r="AM114" t="s">
        <v>2028</v>
      </c>
    </row>
    <row r="115" spans="1:39" ht="15" hidden="1" thickTop="1" x14ac:dyDescent="0.35">
      <c r="A115" t="s">
        <v>2505</v>
      </c>
      <c r="B115" t="s">
        <v>2488</v>
      </c>
      <c r="C115" t="s">
        <v>76</v>
      </c>
      <c r="D115" t="s">
        <v>2489</v>
      </c>
      <c r="E115" t="s">
        <v>119</v>
      </c>
      <c r="F115">
        <v>1</v>
      </c>
      <c r="G115" t="s">
        <v>2050</v>
      </c>
      <c r="H115" t="s">
        <v>2051</v>
      </c>
      <c r="I115" t="s">
        <v>53</v>
      </c>
      <c r="J115" t="s">
        <v>67</v>
      </c>
      <c r="K115" t="s">
        <v>68</v>
      </c>
      <c r="L115" t="s">
        <v>2052</v>
      </c>
      <c r="M115" t="s">
        <v>2053</v>
      </c>
      <c r="N115">
        <v>0</v>
      </c>
      <c r="O115">
        <v>0</v>
      </c>
      <c r="P115">
        <v>0</v>
      </c>
      <c r="Q115">
        <v>1440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201</v>
      </c>
      <c r="AH115" s="21" t="s">
        <v>3429</v>
      </c>
      <c r="AI115" s="21">
        <v>107.92500000000001</v>
      </c>
      <c r="AJ115" s="21">
        <v>100</v>
      </c>
      <c r="AK115" s="21" t="s">
        <v>2054</v>
      </c>
      <c r="AL115" t="s">
        <v>70</v>
      </c>
      <c r="AM115" t="s">
        <v>2029</v>
      </c>
    </row>
    <row r="116" spans="1:39" ht="15" hidden="1" thickTop="1" x14ac:dyDescent="0.35">
      <c r="A116" t="s">
        <v>2506</v>
      </c>
      <c r="B116" t="s">
        <v>2490</v>
      </c>
      <c r="C116" t="s">
        <v>3376</v>
      </c>
      <c r="D116" t="s">
        <v>2491</v>
      </c>
      <c r="E116" t="s">
        <v>559</v>
      </c>
      <c r="F116">
        <v>1</v>
      </c>
      <c r="G116" t="s">
        <v>2050</v>
      </c>
      <c r="H116" t="s">
        <v>2051</v>
      </c>
      <c r="I116" t="s">
        <v>53</v>
      </c>
      <c r="J116" t="s">
        <v>67</v>
      </c>
      <c r="K116" t="s">
        <v>68</v>
      </c>
      <c r="L116" t="s">
        <v>2052</v>
      </c>
      <c r="M116" t="s">
        <v>2053</v>
      </c>
      <c r="N116">
        <v>0</v>
      </c>
      <c r="O116">
        <v>0</v>
      </c>
      <c r="P116">
        <v>0</v>
      </c>
      <c r="Q116">
        <v>1440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202</v>
      </c>
      <c r="AH116" s="21" t="s">
        <v>3424</v>
      </c>
      <c r="AI116" s="21">
        <v>107.92500000000001</v>
      </c>
      <c r="AJ116" s="21">
        <v>100</v>
      </c>
      <c r="AK116" s="21" t="s">
        <v>2055</v>
      </c>
      <c r="AL116" t="s">
        <v>70</v>
      </c>
      <c r="AM116" t="s">
        <v>2030</v>
      </c>
    </row>
    <row r="117" spans="1:39" ht="15" hidden="1" thickTop="1" x14ac:dyDescent="0.35">
      <c r="A117" t="s">
        <v>2519</v>
      </c>
      <c r="B117" t="s">
        <v>2512</v>
      </c>
      <c r="C117" t="s">
        <v>76</v>
      </c>
      <c r="D117" t="s">
        <v>2513</v>
      </c>
      <c r="E117" t="s">
        <v>559</v>
      </c>
      <c r="F117">
        <v>2</v>
      </c>
      <c r="G117" t="s">
        <v>2050</v>
      </c>
      <c r="H117" t="s">
        <v>2051</v>
      </c>
      <c r="I117" t="s">
        <v>53</v>
      </c>
      <c r="J117" t="s">
        <v>67</v>
      </c>
      <c r="K117" t="s">
        <v>68</v>
      </c>
      <c r="L117" t="s">
        <v>2052</v>
      </c>
      <c r="M117" t="s">
        <v>2064</v>
      </c>
      <c r="N117">
        <v>0</v>
      </c>
      <c r="O117">
        <v>0</v>
      </c>
      <c r="P117">
        <v>0</v>
      </c>
      <c r="Q117">
        <v>900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204</v>
      </c>
      <c r="AH117" s="21" t="s">
        <v>3424</v>
      </c>
      <c r="AI117" s="21">
        <v>67.5</v>
      </c>
      <c r="AJ117" s="21">
        <v>100</v>
      </c>
      <c r="AK117" s="21" t="s">
        <v>2055</v>
      </c>
      <c r="AL117" t="s">
        <v>70</v>
      </c>
      <c r="AM117" t="s">
        <v>2028</v>
      </c>
    </row>
    <row r="118" spans="1:39" ht="15" hidden="1" thickTop="1" x14ac:dyDescent="0.35">
      <c r="A118" t="s">
        <v>2520</v>
      </c>
      <c r="B118" t="s">
        <v>2514</v>
      </c>
      <c r="C118" t="s">
        <v>117</v>
      </c>
      <c r="D118" t="s">
        <v>2515</v>
      </c>
      <c r="E118" t="s">
        <v>559</v>
      </c>
      <c r="F118">
        <v>1</v>
      </c>
      <c r="G118" t="s">
        <v>2050</v>
      </c>
      <c r="H118" t="s">
        <v>2051</v>
      </c>
      <c r="I118" t="s">
        <v>53</v>
      </c>
      <c r="J118" t="s">
        <v>67</v>
      </c>
      <c r="K118" t="s">
        <v>68</v>
      </c>
      <c r="L118" t="s">
        <v>2052</v>
      </c>
      <c r="M118" t="s">
        <v>2053</v>
      </c>
      <c r="N118">
        <v>0</v>
      </c>
      <c r="O118">
        <v>0</v>
      </c>
      <c r="P118">
        <v>0</v>
      </c>
      <c r="Q118">
        <v>1440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205</v>
      </c>
      <c r="AH118" s="21" t="s">
        <v>3424</v>
      </c>
      <c r="AI118" s="21">
        <v>107.92500000000001</v>
      </c>
      <c r="AJ118" s="21">
        <v>100</v>
      </c>
      <c r="AK118" s="21" t="s">
        <v>2054</v>
      </c>
      <c r="AL118" t="s">
        <v>70</v>
      </c>
      <c r="AM118" t="s">
        <v>2029</v>
      </c>
    </row>
    <row r="119" spans="1:39" ht="15" hidden="1" thickTop="1" x14ac:dyDescent="0.35">
      <c r="A119" t="s">
        <v>2521</v>
      </c>
      <c r="B119" t="s">
        <v>2516</v>
      </c>
      <c r="C119" t="s">
        <v>111</v>
      </c>
      <c r="D119" t="s">
        <v>2517</v>
      </c>
      <c r="E119" t="s">
        <v>112</v>
      </c>
      <c r="F119">
        <v>1</v>
      </c>
      <c r="G119" t="s">
        <v>2050</v>
      </c>
      <c r="H119" t="s">
        <v>2051</v>
      </c>
      <c r="I119" t="s">
        <v>53</v>
      </c>
      <c r="J119" t="s">
        <v>113</v>
      </c>
      <c r="K119" t="s">
        <v>68</v>
      </c>
      <c r="L119" t="s">
        <v>2052</v>
      </c>
      <c r="M119" t="s">
        <v>2053</v>
      </c>
      <c r="N119">
        <v>0</v>
      </c>
      <c r="O119">
        <v>0</v>
      </c>
      <c r="P119">
        <v>0</v>
      </c>
      <c r="Q119">
        <v>1440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206</v>
      </c>
      <c r="AH119" s="21" t="s">
        <v>3430</v>
      </c>
      <c r="AI119" s="21">
        <v>107.92500000000001</v>
      </c>
      <c r="AJ119" s="21">
        <v>100</v>
      </c>
      <c r="AK119" s="21" t="s">
        <v>2054</v>
      </c>
      <c r="AL119" t="s">
        <v>115</v>
      </c>
      <c r="AM119" t="s">
        <v>2027</v>
      </c>
    </row>
    <row r="120" spans="1:39" ht="15" hidden="1" thickTop="1" x14ac:dyDescent="0.35">
      <c r="A120" t="s">
        <v>2532</v>
      </c>
      <c r="B120" t="s">
        <v>2523</v>
      </c>
      <c r="C120" t="s">
        <v>102</v>
      </c>
      <c r="D120" t="s">
        <v>2524</v>
      </c>
      <c r="E120" t="s">
        <v>559</v>
      </c>
      <c r="F120">
        <v>1</v>
      </c>
      <c r="G120" t="s">
        <v>2050</v>
      </c>
      <c r="H120" t="s">
        <v>2051</v>
      </c>
      <c r="I120" t="s">
        <v>53</v>
      </c>
      <c r="J120" t="s">
        <v>67</v>
      </c>
      <c r="K120" t="s">
        <v>68</v>
      </c>
      <c r="L120" t="s">
        <v>2052</v>
      </c>
      <c r="M120" t="s">
        <v>2053</v>
      </c>
      <c r="N120">
        <v>0</v>
      </c>
      <c r="O120">
        <v>0</v>
      </c>
      <c r="P120">
        <v>0</v>
      </c>
      <c r="Q120">
        <v>1440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t="s">
        <v>207</v>
      </c>
      <c r="AH120" s="21" t="s">
        <v>3424</v>
      </c>
      <c r="AI120" s="21">
        <v>107.92500000000001</v>
      </c>
      <c r="AJ120" s="21">
        <v>100</v>
      </c>
      <c r="AK120" s="21" t="s">
        <v>2054</v>
      </c>
      <c r="AL120" t="s">
        <v>70</v>
      </c>
      <c r="AM120" t="s">
        <v>2029</v>
      </c>
    </row>
    <row r="121" spans="1:39" ht="15" hidden="1" thickTop="1" x14ac:dyDescent="0.35">
      <c r="A121" t="s">
        <v>2540</v>
      </c>
      <c r="B121" t="s">
        <v>2527</v>
      </c>
      <c r="C121" t="s">
        <v>92</v>
      </c>
      <c r="D121" t="s">
        <v>2528</v>
      </c>
      <c r="E121" t="s">
        <v>119</v>
      </c>
      <c r="F121">
        <v>1</v>
      </c>
      <c r="G121" t="s">
        <v>2050</v>
      </c>
      <c r="H121" t="s">
        <v>2051</v>
      </c>
      <c r="I121" t="s">
        <v>53</v>
      </c>
      <c r="J121" t="s">
        <v>67</v>
      </c>
      <c r="K121" t="s">
        <v>68</v>
      </c>
      <c r="L121" t="s">
        <v>2052</v>
      </c>
      <c r="M121" t="s">
        <v>2053</v>
      </c>
      <c r="N121">
        <v>0</v>
      </c>
      <c r="O121">
        <v>0</v>
      </c>
      <c r="P121">
        <v>0</v>
      </c>
      <c r="Q121">
        <v>1440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208</v>
      </c>
      <c r="AH121" s="21" t="s">
        <v>3425</v>
      </c>
      <c r="AI121" s="21">
        <v>107.92500000000001</v>
      </c>
      <c r="AJ121" s="21">
        <v>100</v>
      </c>
      <c r="AK121" s="21" t="s">
        <v>2055</v>
      </c>
      <c r="AL121" t="s">
        <v>70</v>
      </c>
      <c r="AM121" t="s">
        <v>2030</v>
      </c>
    </row>
    <row r="122" spans="1:39" ht="15" hidden="1" thickTop="1" x14ac:dyDescent="0.35">
      <c r="A122" t="s">
        <v>2546</v>
      </c>
      <c r="B122" t="s">
        <v>2530</v>
      </c>
      <c r="C122" t="s">
        <v>76</v>
      </c>
      <c r="D122" t="s">
        <v>2531</v>
      </c>
      <c r="E122" t="s">
        <v>559</v>
      </c>
      <c r="F122">
        <v>2</v>
      </c>
      <c r="G122" t="s">
        <v>2050</v>
      </c>
      <c r="H122" t="s">
        <v>2051</v>
      </c>
      <c r="I122" t="s">
        <v>53</v>
      </c>
      <c r="J122" t="s">
        <v>67</v>
      </c>
      <c r="K122" t="s">
        <v>68</v>
      </c>
      <c r="L122" t="s">
        <v>2052</v>
      </c>
      <c r="M122" t="s">
        <v>2053</v>
      </c>
      <c r="N122">
        <v>1</v>
      </c>
      <c r="O122">
        <v>119</v>
      </c>
      <c r="P122">
        <v>8.26</v>
      </c>
      <c r="Q122">
        <v>1440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119</v>
      </c>
      <c r="Z122">
        <v>8.26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t="s">
        <v>209</v>
      </c>
      <c r="AH122" s="21" t="s">
        <v>3428</v>
      </c>
      <c r="AI122" s="21">
        <v>107.92500000000001</v>
      </c>
      <c r="AJ122" s="21">
        <v>91.736111111111114</v>
      </c>
      <c r="AK122" s="21" t="s">
        <v>2055</v>
      </c>
      <c r="AL122" t="s">
        <v>70</v>
      </c>
      <c r="AM122" t="s">
        <v>2029</v>
      </c>
    </row>
    <row r="123" spans="1:39" ht="15" hidden="1" thickTop="1" x14ac:dyDescent="0.35">
      <c r="A123" t="s">
        <v>2550</v>
      </c>
      <c r="B123" t="s">
        <v>2538</v>
      </c>
      <c r="C123" t="s">
        <v>3376</v>
      </c>
      <c r="D123" t="s">
        <v>2539</v>
      </c>
      <c r="E123" t="s">
        <v>559</v>
      </c>
      <c r="F123">
        <v>1</v>
      </c>
      <c r="G123" t="s">
        <v>2050</v>
      </c>
      <c r="H123" t="s">
        <v>2051</v>
      </c>
      <c r="I123" t="s">
        <v>53</v>
      </c>
      <c r="J123" t="s">
        <v>67</v>
      </c>
      <c r="K123" t="s">
        <v>68</v>
      </c>
      <c r="L123" t="s">
        <v>2052</v>
      </c>
      <c r="M123" t="s">
        <v>2053</v>
      </c>
      <c r="N123">
        <v>0</v>
      </c>
      <c r="O123">
        <v>0</v>
      </c>
      <c r="P123">
        <v>0</v>
      </c>
      <c r="Q123">
        <v>1440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211</v>
      </c>
      <c r="AH123" s="21" t="s">
        <v>3425</v>
      </c>
      <c r="AI123" s="21">
        <v>107.92500000000001</v>
      </c>
      <c r="AJ123" s="21">
        <v>100</v>
      </c>
      <c r="AK123" s="21" t="s">
        <v>2054</v>
      </c>
      <c r="AL123" t="s">
        <v>70</v>
      </c>
      <c r="AM123" t="s">
        <v>2029</v>
      </c>
    </row>
    <row r="124" spans="1:39" ht="15" hidden="1" thickTop="1" x14ac:dyDescent="0.35">
      <c r="A124" t="s">
        <v>2552</v>
      </c>
      <c r="B124" t="s">
        <v>2542</v>
      </c>
      <c r="C124" t="s">
        <v>3376</v>
      </c>
      <c r="D124" t="s">
        <v>2543</v>
      </c>
      <c r="E124" t="s">
        <v>559</v>
      </c>
      <c r="F124">
        <v>1</v>
      </c>
      <c r="G124" t="s">
        <v>2050</v>
      </c>
      <c r="H124" t="s">
        <v>2051</v>
      </c>
      <c r="I124" t="s">
        <v>53</v>
      </c>
      <c r="J124" t="s">
        <v>67</v>
      </c>
      <c r="K124" t="s">
        <v>68</v>
      </c>
      <c r="L124" t="s">
        <v>2052</v>
      </c>
      <c r="M124" t="s">
        <v>2053</v>
      </c>
      <c r="N124">
        <v>0</v>
      </c>
      <c r="O124">
        <v>0</v>
      </c>
      <c r="P124">
        <v>0</v>
      </c>
      <c r="Q124">
        <v>1440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212</v>
      </c>
      <c r="AH124" s="21" t="s">
        <v>3424</v>
      </c>
      <c r="AI124" s="21">
        <v>107.92500000000001</v>
      </c>
      <c r="AJ124" s="21">
        <v>100</v>
      </c>
      <c r="AK124" s="21" t="s">
        <v>2054</v>
      </c>
      <c r="AL124" t="s">
        <v>70</v>
      </c>
      <c r="AM124" t="s">
        <v>2029</v>
      </c>
    </row>
    <row r="125" spans="1:39" ht="15" hidden="1" thickTop="1" x14ac:dyDescent="0.35">
      <c r="A125" t="s">
        <v>2563</v>
      </c>
      <c r="B125" t="s">
        <v>2556</v>
      </c>
      <c r="C125" t="s">
        <v>76</v>
      </c>
      <c r="D125" t="s">
        <v>2557</v>
      </c>
      <c r="E125" t="s">
        <v>559</v>
      </c>
      <c r="F125">
        <v>1</v>
      </c>
      <c r="G125" t="s">
        <v>2050</v>
      </c>
      <c r="H125" t="s">
        <v>2051</v>
      </c>
      <c r="I125" t="s">
        <v>53</v>
      </c>
      <c r="J125" t="s">
        <v>67</v>
      </c>
      <c r="K125" t="s">
        <v>68</v>
      </c>
      <c r="L125" t="s">
        <v>2052</v>
      </c>
      <c r="M125" t="s">
        <v>2053</v>
      </c>
      <c r="N125">
        <v>0</v>
      </c>
      <c r="O125">
        <v>0</v>
      </c>
      <c r="P125">
        <v>0</v>
      </c>
      <c r="Q125">
        <v>1440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t="s">
        <v>213</v>
      </c>
      <c r="AH125" s="21" t="s">
        <v>3424</v>
      </c>
      <c r="AI125" s="21">
        <v>107.92500000000001</v>
      </c>
      <c r="AJ125" s="21">
        <v>100</v>
      </c>
      <c r="AK125" s="21" t="s">
        <v>2054</v>
      </c>
      <c r="AL125" t="s">
        <v>70</v>
      </c>
      <c r="AM125" t="s">
        <v>2028</v>
      </c>
    </row>
    <row r="126" spans="1:39" ht="15" hidden="1" thickTop="1" x14ac:dyDescent="0.35">
      <c r="A126" t="s">
        <v>2565</v>
      </c>
      <c r="B126" t="s">
        <v>2558</v>
      </c>
      <c r="C126" t="s">
        <v>117</v>
      </c>
      <c r="D126" t="s">
        <v>2559</v>
      </c>
      <c r="E126" t="s">
        <v>559</v>
      </c>
      <c r="F126">
        <v>1</v>
      </c>
      <c r="G126" t="s">
        <v>2050</v>
      </c>
      <c r="H126" t="s">
        <v>2051</v>
      </c>
      <c r="I126" t="s">
        <v>53</v>
      </c>
      <c r="J126" t="s">
        <v>67</v>
      </c>
      <c r="K126" t="s">
        <v>68</v>
      </c>
      <c r="L126" t="s">
        <v>2052</v>
      </c>
      <c r="M126" t="s">
        <v>2053</v>
      </c>
      <c r="N126">
        <v>0</v>
      </c>
      <c r="O126">
        <v>0</v>
      </c>
      <c r="P126">
        <v>0</v>
      </c>
      <c r="Q126">
        <v>1440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214</v>
      </c>
      <c r="AH126" s="21" t="s">
        <v>3424</v>
      </c>
      <c r="AI126" s="21">
        <v>107.92500000000001</v>
      </c>
      <c r="AJ126" s="21">
        <v>100</v>
      </c>
      <c r="AK126" s="21" t="s">
        <v>2054</v>
      </c>
      <c r="AL126" t="s">
        <v>70</v>
      </c>
      <c r="AM126" t="s">
        <v>2027</v>
      </c>
    </row>
    <row r="127" spans="1:39" ht="15" hidden="1" thickTop="1" x14ac:dyDescent="0.35">
      <c r="A127" t="s">
        <v>2575</v>
      </c>
      <c r="B127" t="s">
        <v>2569</v>
      </c>
      <c r="C127" t="s">
        <v>128</v>
      </c>
      <c r="D127" t="s">
        <v>2570</v>
      </c>
      <c r="E127" t="s">
        <v>112</v>
      </c>
      <c r="F127">
        <v>1</v>
      </c>
      <c r="G127" t="s">
        <v>2050</v>
      </c>
      <c r="H127" t="s">
        <v>2051</v>
      </c>
      <c r="I127" t="s">
        <v>53</v>
      </c>
      <c r="J127" t="s">
        <v>113</v>
      </c>
      <c r="K127" t="s">
        <v>68</v>
      </c>
      <c r="L127" t="s">
        <v>2052</v>
      </c>
      <c r="M127" t="s">
        <v>2053</v>
      </c>
      <c r="N127">
        <v>0</v>
      </c>
      <c r="O127">
        <v>0</v>
      </c>
      <c r="P127">
        <v>0</v>
      </c>
      <c r="Q127">
        <v>1440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215</v>
      </c>
      <c r="AH127" s="21" t="s">
        <v>3428</v>
      </c>
      <c r="AI127" s="21">
        <v>107.92500000000001</v>
      </c>
      <c r="AJ127" s="21">
        <v>100</v>
      </c>
      <c r="AK127" s="21" t="s">
        <v>2055</v>
      </c>
      <c r="AL127" t="s">
        <v>115</v>
      </c>
      <c r="AM127" t="s">
        <v>2029</v>
      </c>
    </row>
    <row r="128" spans="1:39" ht="15" hidden="1" thickTop="1" x14ac:dyDescent="0.35">
      <c r="A128" t="s">
        <v>2586</v>
      </c>
      <c r="B128" t="s">
        <v>2577</v>
      </c>
      <c r="C128" t="s">
        <v>565</v>
      </c>
      <c r="D128" t="s">
        <v>2578</v>
      </c>
      <c r="E128" t="s">
        <v>559</v>
      </c>
      <c r="F128">
        <v>2</v>
      </c>
      <c r="G128" t="s">
        <v>2050</v>
      </c>
      <c r="H128" t="s">
        <v>2051</v>
      </c>
      <c r="I128" t="s">
        <v>53</v>
      </c>
      <c r="J128" t="s">
        <v>427</v>
      </c>
      <c r="K128" t="s">
        <v>68</v>
      </c>
      <c r="L128" t="s">
        <v>2052</v>
      </c>
      <c r="M128" t="s">
        <v>2053</v>
      </c>
      <c r="N128">
        <v>0</v>
      </c>
      <c r="O128">
        <v>0</v>
      </c>
      <c r="P128">
        <v>0</v>
      </c>
      <c r="Q128">
        <v>1440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216</v>
      </c>
      <c r="AH128" s="21" t="s">
        <v>3428</v>
      </c>
      <c r="AI128" s="21">
        <v>107.92500000000001</v>
      </c>
      <c r="AJ128" s="21">
        <v>100</v>
      </c>
      <c r="AK128" s="21" t="s">
        <v>2054</v>
      </c>
      <c r="AL128" t="s">
        <v>70</v>
      </c>
      <c r="AM128" t="s">
        <v>2027</v>
      </c>
    </row>
    <row r="129" spans="1:39" ht="15" hidden="1" thickTop="1" x14ac:dyDescent="0.35">
      <c r="A129" t="s">
        <v>2479</v>
      </c>
      <c r="B129" t="s">
        <v>2580</v>
      </c>
      <c r="C129" t="s">
        <v>117</v>
      </c>
      <c r="D129" t="s">
        <v>2581</v>
      </c>
      <c r="E129" t="s">
        <v>559</v>
      </c>
      <c r="F129">
        <v>1</v>
      </c>
      <c r="G129" t="s">
        <v>2050</v>
      </c>
      <c r="H129" t="s">
        <v>2051</v>
      </c>
      <c r="I129" t="s">
        <v>53</v>
      </c>
      <c r="J129" t="s">
        <v>67</v>
      </c>
      <c r="K129" t="s">
        <v>68</v>
      </c>
      <c r="L129" t="s">
        <v>2052</v>
      </c>
      <c r="M129" t="s">
        <v>2053</v>
      </c>
      <c r="N129">
        <v>0</v>
      </c>
      <c r="O129">
        <v>0</v>
      </c>
      <c r="P129">
        <v>0</v>
      </c>
      <c r="Q129">
        <v>1440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217</v>
      </c>
      <c r="AH129" s="21" t="s">
        <v>3425</v>
      </c>
      <c r="AI129" s="21">
        <v>107.92500000000001</v>
      </c>
      <c r="AJ129" s="21">
        <v>100</v>
      </c>
      <c r="AK129" s="21" t="s">
        <v>2054</v>
      </c>
      <c r="AL129" t="s">
        <v>70</v>
      </c>
      <c r="AM129" t="s">
        <v>2031</v>
      </c>
    </row>
    <row r="130" spans="1:39" ht="15" hidden="1" thickTop="1" x14ac:dyDescent="0.35">
      <c r="A130" t="s">
        <v>2597</v>
      </c>
      <c r="B130" t="s">
        <v>2583</v>
      </c>
      <c r="C130" t="s">
        <v>76</v>
      </c>
      <c r="D130" t="s">
        <v>2584</v>
      </c>
      <c r="E130" t="s">
        <v>119</v>
      </c>
      <c r="F130">
        <v>1</v>
      </c>
      <c r="G130" t="s">
        <v>2050</v>
      </c>
      <c r="H130" t="s">
        <v>2051</v>
      </c>
      <c r="I130" t="s">
        <v>53</v>
      </c>
      <c r="J130" t="s">
        <v>67</v>
      </c>
      <c r="K130" t="s">
        <v>68</v>
      </c>
      <c r="L130" t="s">
        <v>2052</v>
      </c>
      <c r="M130" t="s">
        <v>2053</v>
      </c>
      <c r="N130">
        <v>0</v>
      </c>
      <c r="O130">
        <v>0</v>
      </c>
      <c r="P130">
        <v>0</v>
      </c>
      <c r="Q130">
        <v>1440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t="s">
        <v>218</v>
      </c>
      <c r="AH130" s="21" t="s">
        <v>3425</v>
      </c>
      <c r="AI130" s="21">
        <v>107.92500000000001</v>
      </c>
      <c r="AJ130" s="21">
        <v>100</v>
      </c>
      <c r="AK130" s="21" t="s">
        <v>2054</v>
      </c>
      <c r="AL130" t="s">
        <v>70</v>
      </c>
      <c r="AM130" t="s">
        <v>2031</v>
      </c>
    </row>
    <row r="131" spans="1:39" ht="15" hidden="1" thickTop="1" x14ac:dyDescent="0.35">
      <c r="A131" t="s">
        <v>2602</v>
      </c>
      <c r="B131" t="s">
        <v>2591</v>
      </c>
      <c r="C131" t="s">
        <v>71</v>
      </c>
      <c r="D131" t="s">
        <v>2592</v>
      </c>
      <c r="E131" t="s">
        <v>72</v>
      </c>
      <c r="F131">
        <v>1</v>
      </c>
      <c r="G131" t="s">
        <v>2050</v>
      </c>
      <c r="H131" t="s">
        <v>2051</v>
      </c>
      <c r="I131" t="s">
        <v>53</v>
      </c>
      <c r="J131" t="s">
        <v>73</v>
      </c>
      <c r="K131" t="s">
        <v>68</v>
      </c>
      <c r="L131" t="s">
        <v>2052</v>
      </c>
      <c r="M131" t="s">
        <v>2053</v>
      </c>
      <c r="N131">
        <v>1</v>
      </c>
      <c r="O131">
        <v>57</v>
      </c>
      <c r="P131">
        <v>3.96</v>
      </c>
      <c r="Q131">
        <v>1440</v>
      </c>
      <c r="R131">
        <v>1</v>
      </c>
      <c r="S131">
        <v>57</v>
      </c>
      <c r="T131">
        <v>3.96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219</v>
      </c>
      <c r="AH131" s="21" t="s">
        <v>3428</v>
      </c>
      <c r="AI131" s="21">
        <v>107.92500000000001</v>
      </c>
      <c r="AJ131" s="21">
        <v>96.041666666666671</v>
      </c>
      <c r="AK131" s="21" t="s">
        <v>2054</v>
      </c>
      <c r="AL131" t="s">
        <v>75</v>
      </c>
      <c r="AM131" t="s">
        <v>2028</v>
      </c>
    </row>
    <row r="132" spans="1:39" ht="15" hidden="1" thickTop="1" x14ac:dyDescent="0.35">
      <c r="A132" t="s">
        <v>2607</v>
      </c>
      <c r="B132" t="s">
        <v>2593</v>
      </c>
      <c r="C132" t="s">
        <v>92</v>
      </c>
      <c r="D132" t="s">
        <v>2594</v>
      </c>
      <c r="E132" t="s">
        <v>119</v>
      </c>
      <c r="F132">
        <v>1</v>
      </c>
      <c r="G132" t="s">
        <v>2050</v>
      </c>
      <c r="H132" t="s">
        <v>2051</v>
      </c>
      <c r="I132" t="s">
        <v>53</v>
      </c>
      <c r="J132" t="s">
        <v>67</v>
      </c>
      <c r="K132" t="s">
        <v>68</v>
      </c>
      <c r="L132" t="s">
        <v>2052</v>
      </c>
      <c r="M132" t="s">
        <v>2053</v>
      </c>
      <c r="N132">
        <v>0</v>
      </c>
      <c r="O132">
        <v>0</v>
      </c>
      <c r="P132">
        <v>0</v>
      </c>
      <c r="Q132">
        <v>1440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220</v>
      </c>
      <c r="AH132" s="21" t="s">
        <v>3424</v>
      </c>
      <c r="AI132" s="21">
        <v>107.92500000000001</v>
      </c>
      <c r="AJ132" s="21">
        <v>100</v>
      </c>
      <c r="AK132" s="21" t="s">
        <v>2054</v>
      </c>
      <c r="AL132" t="s">
        <v>70</v>
      </c>
      <c r="AM132" t="s">
        <v>2029</v>
      </c>
    </row>
    <row r="133" spans="1:39" ht="15" hidden="1" thickTop="1" x14ac:dyDescent="0.35">
      <c r="A133" t="s">
        <v>2071</v>
      </c>
      <c r="B133" t="s">
        <v>2605</v>
      </c>
      <c r="C133" t="s">
        <v>102</v>
      </c>
      <c r="D133" t="s">
        <v>2606</v>
      </c>
      <c r="E133" t="s">
        <v>559</v>
      </c>
      <c r="F133">
        <v>1</v>
      </c>
      <c r="G133" t="s">
        <v>2050</v>
      </c>
      <c r="H133" t="s">
        <v>2051</v>
      </c>
      <c r="I133" t="s">
        <v>53</v>
      </c>
      <c r="J133" t="s">
        <v>67</v>
      </c>
      <c r="K133" t="s">
        <v>68</v>
      </c>
      <c r="L133" t="s">
        <v>2052</v>
      </c>
      <c r="M133" t="s">
        <v>2053</v>
      </c>
      <c r="N133">
        <v>0</v>
      </c>
      <c r="O133">
        <v>0</v>
      </c>
      <c r="P133">
        <v>0</v>
      </c>
      <c r="Q133">
        <v>1440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222</v>
      </c>
      <c r="AH133" s="21" t="s">
        <v>3424</v>
      </c>
      <c r="AI133" s="21">
        <v>107.92500000000001</v>
      </c>
      <c r="AJ133" s="21">
        <v>100</v>
      </c>
      <c r="AK133" s="21" t="s">
        <v>2054</v>
      </c>
      <c r="AL133" t="s">
        <v>70</v>
      </c>
      <c r="AM133" t="s">
        <v>2030</v>
      </c>
    </row>
    <row r="134" spans="1:39" ht="15" hidden="1" thickTop="1" x14ac:dyDescent="0.35">
      <c r="A134" t="s">
        <v>2072</v>
      </c>
      <c r="B134" t="s">
        <v>2608</v>
      </c>
      <c r="C134" t="s">
        <v>102</v>
      </c>
      <c r="D134" t="s">
        <v>2609</v>
      </c>
      <c r="E134" t="s">
        <v>559</v>
      </c>
      <c r="F134">
        <v>1</v>
      </c>
      <c r="G134" t="s">
        <v>2050</v>
      </c>
      <c r="H134" t="s">
        <v>2051</v>
      </c>
      <c r="I134" t="s">
        <v>53</v>
      </c>
      <c r="J134" t="s">
        <v>67</v>
      </c>
      <c r="K134" t="s">
        <v>68</v>
      </c>
      <c r="L134" t="s">
        <v>2052</v>
      </c>
      <c r="M134" t="s">
        <v>2053</v>
      </c>
      <c r="N134">
        <v>0</v>
      </c>
      <c r="O134">
        <v>0</v>
      </c>
      <c r="P134">
        <v>0</v>
      </c>
      <c r="Q134">
        <v>1440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223</v>
      </c>
      <c r="AH134" s="21" t="s">
        <v>3424</v>
      </c>
      <c r="AI134" s="21">
        <v>107.92500000000001</v>
      </c>
      <c r="AJ134" s="21">
        <v>100</v>
      </c>
      <c r="AK134" s="21" t="s">
        <v>2054</v>
      </c>
      <c r="AL134" t="s">
        <v>70</v>
      </c>
      <c r="AM134" t="s">
        <v>2028</v>
      </c>
    </row>
    <row r="135" spans="1:39" ht="15" hidden="1" thickTop="1" x14ac:dyDescent="0.35">
      <c r="A135" t="s">
        <v>2073</v>
      </c>
      <c r="B135" t="s">
        <v>2611</v>
      </c>
      <c r="C135" t="s">
        <v>117</v>
      </c>
      <c r="D135" t="s">
        <v>2612</v>
      </c>
      <c r="E135" t="s">
        <v>559</v>
      </c>
      <c r="F135">
        <v>1</v>
      </c>
      <c r="G135" t="s">
        <v>2050</v>
      </c>
      <c r="H135" t="s">
        <v>2051</v>
      </c>
      <c r="I135" t="s">
        <v>53</v>
      </c>
      <c r="J135" t="s">
        <v>67</v>
      </c>
      <c r="K135" t="s">
        <v>68</v>
      </c>
      <c r="L135" t="s">
        <v>2052</v>
      </c>
      <c r="M135" t="s">
        <v>2053</v>
      </c>
      <c r="N135">
        <v>0</v>
      </c>
      <c r="O135">
        <v>0</v>
      </c>
      <c r="P135">
        <v>0</v>
      </c>
      <c r="Q135">
        <v>1440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224</v>
      </c>
      <c r="AH135" s="21" t="s">
        <v>3424</v>
      </c>
      <c r="AI135" s="21">
        <v>107.92500000000001</v>
      </c>
      <c r="AJ135" s="21">
        <v>100</v>
      </c>
      <c r="AK135" s="21" t="s">
        <v>2054</v>
      </c>
      <c r="AL135" t="s">
        <v>70</v>
      </c>
      <c r="AM135" t="s">
        <v>2027</v>
      </c>
    </row>
    <row r="136" spans="1:39" ht="15" hidden="1" thickTop="1" x14ac:dyDescent="0.35">
      <c r="A136" t="s">
        <v>2624</v>
      </c>
      <c r="B136" t="s">
        <v>2617</v>
      </c>
      <c r="C136" t="s">
        <v>128</v>
      </c>
      <c r="D136" t="s">
        <v>2618</v>
      </c>
      <c r="E136" t="s">
        <v>112</v>
      </c>
      <c r="F136">
        <v>1</v>
      </c>
      <c r="G136" t="s">
        <v>2050</v>
      </c>
      <c r="H136" t="s">
        <v>2051</v>
      </c>
      <c r="I136" t="s">
        <v>53</v>
      </c>
      <c r="J136" t="s">
        <v>113</v>
      </c>
      <c r="K136" t="s">
        <v>68</v>
      </c>
      <c r="L136" t="s">
        <v>2052</v>
      </c>
      <c r="M136" t="s">
        <v>2619</v>
      </c>
      <c r="N136">
        <v>0</v>
      </c>
      <c r="O136">
        <v>0</v>
      </c>
      <c r="P136">
        <v>0</v>
      </c>
      <c r="Q136">
        <v>1140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225</v>
      </c>
      <c r="AH136" s="21" t="s">
        <v>3424</v>
      </c>
      <c r="AI136" s="21">
        <v>85.5</v>
      </c>
      <c r="AJ136" s="21">
        <v>100</v>
      </c>
      <c r="AK136" s="21" t="s">
        <v>2054</v>
      </c>
      <c r="AL136" t="s">
        <v>115</v>
      </c>
      <c r="AM136" t="s">
        <v>2027</v>
      </c>
    </row>
    <row r="137" spans="1:39" ht="15" hidden="1" thickTop="1" x14ac:dyDescent="0.35">
      <c r="A137" t="s">
        <v>2626</v>
      </c>
      <c r="B137" t="s">
        <v>2620</v>
      </c>
      <c r="C137" t="s">
        <v>66</v>
      </c>
      <c r="D137" t="s">
        <v>2621</v>
      </c>
      <c r="E137" t="s">
        <v>559</v>
      </c>
      <c r="F137">
        <v>1</v>
      </c>
      <c r="G137" t="s">
        <v>2050</v>
      </c>
      <c r="H137" t="s">
        <v>2051</v>
      </c>
      <c r="I137" t="s">
        <v>53</v>
      </c>
      <c r="J137" t="s">
        <v>67</v>
      </c>
      <c r="K137" t="s">
        <v>68</v>
      </c>
      <c r="L137" t="s">
        <v>2052</v>
      </c>
      <c r="M137" t="s">
        <v>2053</v>
      </c>
      <c r="N137">
        <v>0</v>
      </c>
      <c r="O137">
        <v>0</v>
      </c>
      <c r="P137">
        <v>0</v>
      </c>
      <c r="Q137">
        <v>1440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226</v>
      </c>
      <c r="AH137" s="21" t="s">
        <v>3424</v>
      </c>
      <c r="AI137" s="21">
        <v>107.92500000000001</v>
      </c>
      <c r="AJ137" s="21">
        <v>100</v>
      </c>
      <c r="AK137" s="21" t="s">
        <v>2054</v>
      </c>
      <c r="AL137" t="s">
        <v>70</v>
      </c>
      <c r="AM137" t="s">
        <v>2028</v>
      </c>
    </row>
    <row r="138" spans="1:39" ht="15" hidden="1" thickTop="1" x14ac:dyDescent="0.35">
      <c r="A138" t="s">
        <v>2630</v>
      </c>
      <c r="B138" t="s">
        <v>2628</v>
      </c>
      <c r="C138" t="s">
        <v>66</v>
      </c>
      <c r="D138" t="s">
        <v>2629</v>
      </c>
      <c r="E138" t="s">
        <v>559</v>
      </c>
      <c r="F138">
        <v>1</v>
      </c>
      <c r="G138" t="s">
        <v>2050</v>
      </c>
      <c r="H138" t="s">
        <v>2051</v>
      </c>
      <c r="I138" t="s">
        <v>53</v>
      </c>
      <c r="J138" t="s">
        <v>67</v>
      </c>
      <c r="K138" t="s">
        <v>68</v>
      </c>
      <c r="L138" t="s">
        <v>2052</v>
      </c>
      <c r="M138" t="s">
        <v>2064</v>
      </c>
      <c r="N138">
        <v>0</v>
      </c>
      <c r="O138">
        <v>0</v>
      </c>
      <c r="P138">
        <v>0</v>
      </c>
      <c r="Q138">
        <v>900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s">
        <v>227</v>
      </c>
      <c r="AH138" s="21" t="s">
        <v>3424</v>
      </c>
      <c r="AI138" s="21">
        <v>67.5</v>
      </c>
      <c r="AJ138" s="21">
        <v>100</v>
      </c>
      <c r="AK138" s="21" t="s">
        <v>2055</v>
      </c>
      <c r="AL138" t="s">
        <v>70</v>
      </c>
      <c r="AM138" t="s">
        <v>2027</v>
      </c>
    </row>
    <row r="139" spans="1:39" ht="15" hidden="1" thickTop="1" x14ac:dyDescent="0.35">
      <c r="A139" t="s">
        <v>2636</v>
      </c>
      <c r="B139" t="s">
        <v>2632</v>
      </c>
      <c r="C139" t="s">
        <v>100</v>
      </c>
      <c r="D139" t="s">
        <v>2633</v>
      </c>
      <c r="E139" t="s">
        <v>559</v>
      </c>
      <c r="F139">
        <v>1</v>
      </c>
      <c r="G139" t="s">
        <v>2050</v>
      </c>
      <c r="H139" t="s">
        <v>2051</v>
      </c>
      <c r="I139" t="s">
        <v>53</v>
      </c>
      <c r="J139" t="s">
        <v>67</v>
      </c>
      <c r="K139" t="s">
        <v>68</v>
      </c>
      <c r="L139" t="s">
        <v>2052</v>
      </c>
      <c r="M139" t="s">
        <v>2053</v>
      </c>
      <c r="N139">
        <v>0</v>
      </c>
      <c r="O139">
        <v>0</v>
      </c>
      <c r="P139">
        <v>0</v>
      </c>
      <c r="Q139">
        <v>1440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228</v>
      </c>
      <c r="AH139" s="21" t="s">
        <v>3424</v>
      </c>
      <c r="AI139" s="21">
        <v>107.92500000000001</v>
      </c>
      <c r="AJ139" s="21">
        <v>100</v>
      </c>
      <c r="AK139" s="21" t="s">
        <v>2054</v>
      </c>
      <c r="AL139" t="s">
        <v>70</v>
      </c>
      <c r="AM139" t="s">
        <v>2031</v>
      </c>
    </row>
    <row r="140" spans="1:39" ht="15" hidden="1" thickTop="1" x14ac:dyDescent="0.35">
      <c r="A140" t="s">
        <v>2637</v>
      </c>
      <c r="B140" t="s">
        <v>2634</v>
      </c>
      <c r="C140" t="s">
        <v>78</v>
      </c>
      <c r="D140" t="s">
        <v>2635</v>
      </c>
      <c r="E140" t="s">
        <v>559</v>
      </c>
      <c r="F140">
        <v>1</v>
      </c>
      <c r="G140" t="s">
        <v>2050</v>
      </c>
      <c r="H140" t="s">
        <v>2051</v>
      </c>
      <c r="I140" t="s">
        <v>53</v>
      </c>
      <c r="J140" t="s">
        <v>67</v>
      </c>
      <c r="K140" t="s">
        <v>68</v>
      </c>
      <c r="L140" t="s">
        <v>2052</v>
      </c>
      <c r="M140" t="s">
        <v>2053</v>
      </c>
      <c r="N140">
        <v>0</v>
      </c>
      <c r="O140">
        <v>0</v>
      </c>
      <c r="P140">
        <v>0</v>
      </c>
      <c r="Q140">
        <v>1440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229</v>
      </c>
      <c r="AH140" s="21" t="s">
        <v>3424</v>
      </c>
      <c r="AI140" s="21">
        <v>107.92500000000001</v>
      </c>
      <c r="AJ140" s="21">
        <v>100</v>
      </c>
      <c r="AK140" s="21" t="s">
        <v>2055</v>
      </c>
      <c r="AL140" t="s">
        <v>70</v>
      </c>
      <c r="AM140" t="s">
        <v>2031</v>
      </c>
    </row>
    <row r="141" spans="1:39" ht="15" hidden="1" thickTop="1" x14ac:dyDescent="0.35">
      <c r="A141" t="s">
        <v>2642</v>
      </c>
      <c r="B141" t="s">
        <v>2640</v>
      </c>
      <c r="C141" t="s">
        <v>3376</v>
      </c>
      <c r="D141" t="s">
        <v>2641</v>
      </c>
      <c r="E141" t="s">
        <v>559</v>
      </c>
      <c r="F141">
        <v>1</v>
      </c>
      <c r="G141" t="s">
        <v>2050</v>
      </c>
      <c r="H141" t="s">
        <v>2051</v>
      </c>
      <c r="I141" t="s">
        <v>53</v>
      </c>
      <c r="J141" t="s">
        <v>67</v>
      </c>
      <c r="K141" t="s">
        <v>68</v>
      </c>
      <c r="L141" t="s">
        <v>2052</v>
      </c>
      <c r="M141" t="s">
        <v>2053</v>
      </c>
      <c r="N141">
        <v>1</v>
      </c>
      <c r="O141">
        <v>20</v>
      </c>
      <c r="P141">
        <v>1.39</v>
      </c>
      <c r="Q141">
        <v>1440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20</v>
      </c>
      <c r="Z141">
        <v>1.39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t="s">
        <v>230</v>
      </c>
      <c r="AH141" s="21" t="s">
        <v>3424</v>
      </c>
      <c r="AI141" s="21">
        <v>107.92500000000001</v>
      </c>
      <c r="AJ141" s="21">
        <v>98.611111111111114</v>
      </c>
      <c r="AK141" s="21" t="s">
        <v>2055</v>
      </c>
      <c r="AL141" t="s">
        <v>70</v>
      </c>
      <c r="AM141" t="s">
        <v>2031</v>
      </c>
    </row>
    <row r="142" spans="1:39" ht="15" hidden="1" thickTop="1" x14ac:dyDescent="0.35">
      <c r="A142" t="s">
        <v>2646</v>
      </c>
      <c r="B142" t="s">
        <v>2644</v>
      </c>
      <c r="C142" t="s">
        <v>3376</v>
      </c>
      <c r="D142" t="s">
        <v>2645</v>
      </c>
      <c r="E142" t="s">
        <v>559</v>
      </c>
      <c r="F142">
        <v>1</v>
      </c>
      <c r="G142" t="s">
        <v>2050</v>
      </c>
      <c r="H142" t="s">
        <v>2051</v>
      </c>
      <c r="I142" t="s">
        <v>53</v>
      </c>
      <c r="J142" t="s">
        <v>67</v>
      </c>
      <c r="K142" t="s">
        <v>68</v>
      </c>
      <c r="L142" t="s">
        <v>2052</v>
      </c>
      <c r="M142" t="s">
        <v>2053</v>
      </c>
      <c r="N142">
        <v>0</v>
      </c>
      <c r="O142">
        <v>0</v>
      </c>
      <c r="P142">
        <v>0</v>
      </c>
      <c r="Q142">
        <v>1440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231</v>
      </c>
      <c r="AH142" s="21" t="s">
        <v>3424</v>
      </c>
      <c r="AI142" s="21">
        <v>107.92500000000001</v>
      </c>
      <c r="AJ142" s="21">
        <v>100</v>
      </c>
      <c r="AK142" s="21" t="s">
        <v>2054</v>
      </c>
      <c r="AL142" t="s">
        <v>70</v>
      </c>
      <c r="AM142" t="s">
        <v>2027</v>
      </c>
    </row>
    <row r="143" spans="1:39" ht="15" hidden="1" thickTop="1" x14ac:dyDescent="0.35">
      <c r="A143" t="s">
        <v>2658</v>
      </c>
      <c r="B143" t="s">
        <v>2648</v>
      </c>
      <c r="C143" t="s">
        <v>102</v>
      </c>
      <c r="D143" t="s">
        <v>2649</v>
      </c>
      <c r="E143" t="s">
        <v>559</v>
      </c>
      <c r="F143">
        <v>1</v>
      </c>
      <c r="G143" t="s">
        <v>2050</v>
      </c>
      <c r="H143" t="s">
        <v>2051</v>
      </c>
      <c r="I143" t="s">
        <v>53</v>
      </c>
      <c r="J143" t="s">
        <v>67</v>
      </c>
      <c r="K143" t="s">
        <v>68</v>
      </c>
      <c r="L143" t="s">
        <v>2052</v>
      </c>
      <c r="M143" t="s">
        <v>2053</v>
      </c>
      <c r="N143">
        <v>0</v>
      </c>
      <c r="O143">
        <v>0</v>
      </c>
      <c r="P143">
        <v>0</v>
      </c>
      <c r="Q143">
        <v>1440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232</v>
      </c>
      <c r="AH143" s="21" t="s">
        <v>3424</v>
      </c>
      <c r="AI143" s="21">
        <v>107.92500000000001</v>
      </c>
      <c r="AJ143" s="21">
        <v>100</v>
      </c>
      <c r="AK143" s="21" t="s">
        <v>2054</v>
      </c>
      <c r="AL143" t="s">
        <v>70</v>
      </c>
      <c r="AM143" t="s">
        <v>2030</v>
      </c>
    </row>
    <row r="144" spans="1:39" ht="15" hidden="1" thickTop="1" x14ac:dyDescent="0.35">
      <c r="A144" t="s">
        <v>2659</v>
      </c>
      <c r="B144" t="s">
        <v>2650</v>
      </c>
      <c r="C144" t="s">
        <v>92</v>
      </c>
      <c r="D144" t="s">
        <v>2651</v>
      </c>
      <c r="E144" t="s">
        <v>559</v>
      </c>
      <c r="F144">
        <v>1</v>
      </c>
      <c r="G144" t="s">
        <v>2050</v>
      </c>
      <c r="H144" t="s">
        <v>2051</v>
      </c>
      <c r="I144" t="s">
        <v>53</v>
      </c>
      <c r="J144" t="s">
        <v>67</v>
      </c>
      <c r="K144" t="s">
        <v>68</v>
      </c>
      <c r="L144" t="s">
        <v>2052</v>
      </c>
      <c r="M144" t="s">
        <v>2053</v>
      </c>
      <c r="N144">
        <v>0</v>
      </c>
      <c r="O144">
        <v>0</v>
      </c>
      <c r="P144">
        <v>0</v>
      </c>
      <c r="Q144">
        <v>1440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t="s">
        <v>233</v>
      </c>
      <c r="AH144" s="21" t="s">
        <v>3424</v>
      </c>
      <c r="AI144" s="21">
        <v>107.92500000000001</v>
      </c>
      <c r="AJ144" s="21">
        <v>100</v>
      </c>
      <c r="AK144" s="21" t="s">
        <v>2054</v>
      </c>
      <c r="AL144" t="s">
        <v>70</v>
      </c>
      <c r="AM144" t="s">
        <v>2028</v>
      </c>
    </row>
    <row r="145" spans="1:39" ht="15" hidden="1" thickTop="1" x14ac:dyDescent="0.35">
      <c r="A145" t="s">
        <v>2508</v>
      </c>
      <c r="B145" t="s">
        <v>2652</v>
      </c>
      <c r="C145" t="s">
        <v>76</v>
      </c>
      <c r="D145" t="s">
        <v>2653</v>
      </c>
      <c r="E145" t="s">
        <v>119</v>
      </c>
      <c r="F145">
        <v>1</v>
      </c>
      <c r="G145" t="s">
        <v>2050</v>
      </c>
      <c r="H145" t="s">
        <v>2051</v>
      </c>
      <c r="I145" t="s">
        <v>53</v>
      </c>
      <c r="J145" t="s">
        <v>67</v>
      </c>
      <c r="K145" t="s">
        <v>68</v>
      </c>
      <c r="L145" t="s">
        <v>2052</v>
      </c>
      <c r="M145" t="s">
        <v>2053</v>
      </c>
      <c r="N145">
        <v>0</v>
      </c>
      <c r="O145">
        <v>0</v>
      </c>
      <c r="P145">
        <v>0</v>
      </c>
      <c r="Q145">
        <v>1440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234</v>
      </c>
      <c r="AH145" s="21" t="s">
        <v>3424</v>
      </c>
      <c r="AI145" s="21">
        <v>107.92500000000001</v>
      </c>
      <c r="AJ145" s="21">
        <v>100</v>
      </c>
      <c r="AK145" s="21" t="s">
        <v>2054</v>
      </c>
      <c r="AL145" t="s">
        <v>70</v>
      </c>
      <c r="AM145" t="s">
        <v>2028</v>
      </c>
    </row>
    <row r="146" spans="1:39" ht="15" hidden="1" thickTop="1" x14ac:dyDescent="0.35">
      <c r="A146" t="s">
        <v>2660</v>
      </c>
      <c r="B146" t="s">
        <v>2654</v>
      </c>
      <c r="C146" t="s">
        <v>3376</v>
      </c>
      <c r="D146" t="s">
        <v>2655</v>
      </c>
      <c r="E146" t="s">
        <v>559</v>
      </c>
      <c r="F146">
        <v>1</v>
      </c>
      <c r="G146" t="s">
        <v>2050</v>
      </c>
      <c r="H146" t="s">
        <v>2051</v>
      </c>
      <c r="I146" t="s">
        <v>53</v>
      </c>
      <c r="J146" t="s">
        <v>67</v>
      </c>
      <c r="K146" t="s">
        <v>68</v>
      </c>
      <c r="L146" t="s">
        <v>2052</v>
      </c>
      <c r="M146" t="s">
        <v>2053</v>
      </c>
      <c r="N146">
        <v>0</v>
      </c>
      <c r="O146">
        <v>0</v>
      </c>
      <c r="P146">
        <v>0</v>
      </c>
      <c r="Q146">
        <v>1440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235</v>
      </c>
      <c r="AH146" s="21" t="s">
        <v>3424</v>
      </c>
      <c r="AI146" s="21">
        <v>107.92500000000001</v>
      </c>
      <c r="AJ146" s="21">
        <v>100</v>
      </c>
      <c r="AK146" s="21" t="s">
        <v>2054</v>
      </c>
      <c r="AL146" t="s">
        <v>70</v>
      </c>
      <c r="AM146" t="s">
        <v>2028</v>
      </c>
    </row>
    <row r="147" spans="1:39" ht="15" hidden="1" thickTop="1" x14ac:dyDescent="0.35">
      <c r="A147" t="s">
        <v>2661</v>
      </c>
      <c r="B147" t="s">
        <v>2656</v>
      </c>
      <c r="C147" t="s">
        <v>3376</v>
      </c>
      <c r="D147" t="s">
        <v>2657</v>
      </c>
      <c r="E147" t="s">
        <v>559</v>
      </c>
      <c r="F147">
        <v>1</v>
      </c>
      <c r="G147" t="s">
        <v>2050</v>
      </c>
      <c r="H147" t="s">
        <v>2051</v>
      </c>
      <c r="I147" t="s">
        <v>53</v>
      </c>
      <c r="J147" t="s">
        <v>67</v>
      </c>
      <c r="K147" t="s">
        <v>68</v>
      </c>
      <c r="L147" t="s">
        <v>2052</v>
      </c>
      <c r="M147" t="s">
        <v>2053</v>
      </c>
      <c r="N147">
        <v>0</v>
      </c>
      <c r="O147">
        <v>0</v>
      </c>
      <c r="P147">
        <v>0</v>
      </c>
      <c r="Q147">
        <v>1440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236</v>
      </c>
      <c r="AH147" s="21" t="s">
        <v>3425</v>
      </c>
      <c r="AI147" s="21">
        <v>107.92500000000001</v>
      </c>
      <c r="AJ147" s="21">
        <v>100</v>
      </c>
      <c r="AK147" s="21" t="s">
        <v>2055</v>
      </c>
      <c r="AL147" t="s">
        <v>70</v>
      </c>
      <c r="AM147" t="s">
        <v>2030</v>
      </c>
    </row>
    <row r="148" spans="1:39" ht="15" hidden="1" thickTop="1" x14ac:dyDescent="0.35">
      <c r="A148" t="s">
        <v>2666</v>
      </c>
      <c r="B148" t="s">
        <v>2664</v>
      </c>
      <c r="C148" t="s">
        <v>820</v>
      </c>
      <c r="D148" t="s">
        <v>2665</v>
      </c>
      <c r="E148" t="s">
        <v>72</v>
      </c>
      <c r="F148">
        <v>1</v>
      </c>
      <c r="G148" t="s">
        <v>2050</v>
      </c>
      <c r="H148" t="s">
        <v>2051</v>
      </c>
      <c r="I148" t="s">
        <v>53</v>
      </c>
      <c r="J148" t="s">
        <v>424</v>
      </c>
      <c r="K148" t="s">
        <v>68</v>
      </c>
      <c r="L148" t="s">
        <v>2052</v>
      </c>
      <c r="M148" t="s">
        <v>2064</v>
      </c>
      <c r="N148">
        <v>0</v>
      </c>
      <c r="O148">
        <v>0</v>
      </c>
      <c r="P148">
        <v>0</v>
      </c>
      <c r="Q148">
        <v>900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238</v>
      </c>
      <c r="AH148" s="21" t="s">
        <v>3425</v>
      </c>
      <c r="AI148" s="21">
        <v>67.5</v>
      </c>
      <c r="AJ148" s="21">
        <v>100</v>
      </c>
      <c r="AK148" s="21" t="s">
        <v>2054</v>
      </c>
      <c r="AL148" t="s">
        <v>75</v>
      </c>
      <c r="AM148" t="s">
        <v>2027</v>
      </c>
    </row>
    <row r="149" spans="1:39" ht="15" hidden="1" thickTop="1" x14ac:dyDescent="0.35">
      <c r="A149" t="s">
        <v>2671</v>
      </c>
      <c r="B149" t="s">
        <v>2669</v>
      </c>
      <c r="C149" t="s">
        <v>100</v>
      </c>
      <c r="D149" t="s">
        <v>2670</v>
      </c>
      <c r="E149" t="s">
        <v>119</v>
      </c>
      <c r="F149">
        <v>1</v>
      </c>
      <c r="G149" t="s">
        <v>2050</v>
      </c>
      <c r="H149" t="s">
        <v>2051</v>
      </c>
      <c r="I149" t="s">
        <v>53</v>
      </c>
      <c r="J149" t="s">
        <v>67</v>
      </c>
      <c r="K149" t="s">
        <v>68</v>
      </c>
      <c r="L149" t="s">
        <v>3397</v>
      </c>
      <c r="M149" t="s">
        <v>2317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239</v>
      </c>
      <c r="AH149" s="21" t="s">
        <v>3429</v>
      </c>
      <c r="AI149" s="21">
        <v>40.500000000000007</v>
      </c>
      <c r="AJ149" s="21" t="e">
        <v>#DIV/0!</v>
      </c>
      <c r="AK149" s="21" t="s">
        <v>2054</v>
      </c>
      <c r="AL149" t="s">
        <v>70</v>
      </c>
      <c r="AM149" t="s">
        <v>2027</v>
      </c>
    </row>
    <row r="150" spans="1:39" ht="15" hidden="1" thickTop="1" x14ac:dyDescent="0.35">
      <c r="A150" t="s">
        <v>2687</v>
      </c>
      <c r="B150" t="s">
        <v>2675</v>
      </c>
      <c r="C150" t="s">
        <v>78</v>
      </c>
      <c r="D150" t="s">
        <v>2676</v>
      </c>
      <c r="E150" t="s">
        <v>559</v>
      </c>
      <c r="F150">
        <v>1</v>
      </c>
      <c r="G150" t="s">
        <v>2050</v>
      </c>
      <c r="H150" t="s">
        <v>2051</v>
      </c>
      <c r="I150" t="s">
        <v>53</v>
      </c>
      <c r="J150" t="s">
        <v>67</v>
      </c>
      <c r="K150" t="s">
        <v>68</v>
      </c>
      <c r="L150" t="s">
        <v>2052</v>
      </c>
      <c r="M150" t="s">
        <v>2083</v>
      </c>
      <c r="N150">
        <v>0</v>
      </c>
      <c r="O150">
        <v>0</v>
      </c>
      <c r="P150">
        <v>0</v>
      </c>
      <c r="Q150">
        <v>960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t="s">
        <v>240</v>
      </c>
      <c r="AH150" s="21" t="s">
        <v>3424</v>
      </c>
      <c r="AI150" s="21">
        <v>72.000000000000014</v>
      </c>
      <c r="AJ150" s="21">
        <v>100</v>
      </c>
      <c r="AK150" s="21" t="s">
        <v>2054</v>
      </c>
      <c r="AL150" t="s">
        <v>70</v>
      </c>
      <c r="AM150" t="s">
        <v>2029</v>
      </c>
    </row>
    <row r="151" spans="1:39" ht="15" hidden="1" thickTop="1" x14ac:dyDescent="0.35">
      <c r="A151" t="s">
        <v>2688</v>
      </c>
      <c r="B151" t="s">
        <v>2677</v>
      </c>
      <c r="C151" t="s">
        <v>66</v>
      </c>
      <c r="D151" t="s">
        <v>2678</v>
      </c>
      <c r="E151" t="s">
        <v>559</v>
      </c>
      <c r="F151">
        <v>1</v>
      </c>
      <c r="G151" t="s">
        <v>2050</v>
      </c>
      <c r="H151" t="s">
        <v>2051</v>
      </c>
      <c r="I151" t="s">
        <v>53</v>
      </c>
      <c r="J151" t="s">
        <v>67</v>
      </c>
      <c r="K151" t="s">
        <v>68</v>
      </c>
      <c r="L151" t="s">
        <v>2052</v>
      </c>
      <c r="M151" t="s">
        <v>2064</v>
      </c>
      <c r="N151">
        <v>0</v>
      </c>
      <c r="O151">
        <v>0</v>
      </c>
      <c r="P151">
        <v>0</v>
      </c>
      <c r="Q151">
        <v>900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t="s">
        <v>241</v>
      </c>
      <c r="AH151" s="21" t="s">
        <v>3424</v>
      </c>
      <c r="AI151" s="21">
        <v>67.5</v>
      </c>
      <c r="AJ151" s="21">
        <v>100</v>
      </c>
      <c r="AK151" s="21" t="s">
        <v>2054</v>
      </c>
      <c r="AL151" t="s">
        <v>70</v>
      </c>
      <c r="AM151" t="s">
        <v>2028</v>
      </c>
    </row>
    <row r="152" spans="1:39" ht="15" hidden="1" thickTop="1" x14ac:dyDescent="0.35">
      <c r="A152" t="s">
        <v>2689</v>
      </c>
      <c r="B152" t="s">
        <v>2679</v>
      </c>
      <c r="C152" t="s">
        <v>100</v>
      </c>
      <c r="D152" t="s">
        <v>2680</v>
      </c>
      <c r="E152" t="s">
        <v>559</v>
      </c>
      <c r="F152">
        <v>1</v>
      </c>
      <c r="G152" t="s">
        <v>2050</v>
      </c>
      <c r="H152" t="s">
        <v>2051</v>
      </c>
      <c r="I152" t="s">
        <v>53</v>
      </c>
      <c r="J152" t="s">
        <v>67</v>
      </c>
      <c r="K152" t="s">
        <v>68</v>
      </c>
      <c r="L152" t="s">
        <v>2052</v>
      </c>
      <c r="M152" t="s">
        <v>2053</v>
      </c>
      <c r="N152">
        <v>0</v>
      </c>
      <c r="O152">
        <v>0</v>
      </c>
      <c r="P152">
        <v>0</v>
      </c>
      <c r="Q152">
        <v>1440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242</v>
      </c>
      <c r="AH152" s="21" t="s">
        <v>3424</v>
      </c>
      <c r="AI152" s="21">
        <v>107.92500000000001</v>
      </c>
      <c r="AJ152" s="21">
        <v>100</v>
      </c>
      <c r="AK152" s="21" t="s">
        <v>2054</v>
      </c>
      <c r="AL152" t="s">
        <v>70</v>
      </c>
      <c r="AM152" t="s">
        <v>2030</v>
      </c>
    </row>
    <row r="153" spans="1:39" ht="15" hidden="1" thickTop="1" x14ac:dyDescent="0.35">
      <c r="A153" t="s">
        <v>2690</v>
      </c>
      <c r="B153" t="s">
        <v>2681</v>
      </c>
      <c r="C153" t="s">
        <v>100</v>
      </c>
      <c r="D153" t="s">
        <v>2682</v>
      </c>
      <c r="E153" t="s">
        <v>559</v>
      </c>
      <c r="F153">
        <v>1</v>
      </c>
      <c r="G153" t="s">
        <v>2050</v>
      </c>
      <c r="H153" t="s">
        <v>2051</v>
      </c>
      <c r="I153" t="s">
        <v>53</v>
      </c>
      <c r="J153" t="s">
        <v>67</v>
      </c>
      <c r="K153" t="s">
        <v>68</v>
      </c>
      <c r="L153" t="s">
        <v>2052</v>
      </c>
      <c r="M153" t="s">
        <v>2053</v>
      </c>
      <c r="N153">
        <v>0</v>
      </c>
      <c r="O153">
        <v>0</v>
      </c>
      <c r="P153">
        <v>0</v>
      </c>
      <c r="Q153">
        <v>1440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t="s">
        <v>243</v>
      </c>
      <c r="AH153" s="21" t="s">
        <v>3424</v>
      </c>
      <c r="AI153" s="21">
        <v>107.92500000000001</v>
      </c>
      <c r="AJ153" s="21">
        <v>100</v>
      </c>
      <c r="AK153" s="21" t="s">
        <v>2055</v>
      </c>
      <c r="AL153" t="s">
        <v>70</v>
      </c>
      <c r="AM153" t="s">
        <v>2030</v>
      </c>
    </row>
    <row r="154" spans="1:39" ht="15" hidden="1" thickTop="1" x14ac:dyDescent="0.35">
      <c r="A154" t="s">
        <v>2691</v>
      </c>
      <c r="B154" t="s">
        <v>2683</v>
      </c>
      <c r="C154" t="s">
        <v>76</v>
      </c>
      <c r="D154" t="s">
        <v>2684</v>
      </c>
      <c r="E154" t="s">
        <v>559</v>
      </c>
      <c r="F154">
        <v>2</v>
      </c>
      <c r="G154" t="s">
        <v>2050</v>
      </c>
      <c r="H154" t="s">
        <v>2051</v>
      </c>
      <c r="I154" t="s">
        <v>53</v>
      </c>
      <c r="J154" t="s">
        <v>67</v>
      </c>
      <c r="K154" t="s">
        <v>68</v>
      </c>
      <c r="L154" t="s">
        <v>2052</v>
      </c>
      <c r="M154" t="s">
        <v>2064</v>
      </c>
      <c r="N154">
        <v>0</v>
      </c>
      <c r="O154">
        <v>0</v>
      </c>
      <c r="P154">
        <v>0</v>
      </c>
      <c r="Q154">
        <v>900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t="s">
        <v>244</v>
      </c>
      <c r="AH154" s="21" t="s">
        <v>3424</v>
      </c>
      <c r="AI154" s="21">
        <v>67.5</v>
      </c>
      <c r="AJ154" s="21">
        <v>100</v>
      </c>
      <c r="AK154" s="21" t="s">
        <v>2054</v>
      </c>
      <c r="AL154" t="s">
        <v>70</v>
      </c>
      <c r="AM154" t="s">
        <v>2029</v>
      </c>
    </row>
    <row r="155" spans="1:39" ht="15" hidden="1" thickTop="1" x14ac:dyDescent="0.35">
      <c r="A155" t="s">
        <v>2692</v>
      </c>
      <c r="B155" t="s">
        <v>2685</v>
      </c>
      <c r="C155" t="s">
        <v>78</v>
      </c>
      <c r="D155" t="s">
        <v>2686</v>
      </c>
      <c r="E155" t="s">
        <v>559</v>
      </c>
      <c r="F155">
        <v>1</v>
      </c>
      <c r="G155" t="s">
        <v>2050</v>
      </c>
      <c r="H155" t="s">
        <v>2051</v>
      </c>
      <c r="I155" t="s">
        <v>53</v>
      </c>
      <c r="J155" t="s">
        <v>67</v>
      </c>
      <c r="K155" t="s">
        <v>68</v>
      </c>
      <c r="L155" t="s">
        <v>2052</v>
      </c>
      <c r="M155" t="s">
        <v>2083</v>
      </c>
      <c r="N155">
        <v>0</v>
      </c>
      <c r="O155">
        <v>0</v>
      </c>
      <c r="P155">
        <v>0</v>
      </c>
      <c r="Q155">
        <v>960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245</v>
      </c>
      <c r="AH155" s="21" t="s">
        <v>3424</v>
      </c>
      <c r="AI155" s="21">
        <v>72.000000000000014</v>
      </c>
      <c r="AJ155" s="21">
        <v>100</v>
      </c>
      <c r="AK155" s="21" t="s">
        <v>2054</v>
      </c>
      <c r="AL155" t="s">
        <v>70</v>
      </c>
      <c r="AM155" t="s">
        <v>2030</v>
      </c>
    </row>
    <row r="156" spans="1:39" ht="15" hidden="1" thickTop="1" x14ac:dyDescent="0.35">
      <c r="A156" t="s">
        <v>2702</v>
      </c>
      <c r="B156" t="s">
        <v>2696</v>
      </c>
      <c r="C156" t="s">
        <v>3376</v>
      </c>
      <c r="D156" t="s">
        <v>2697</v>
      </c>
      <c r="E156" t="s">
        <v>559</v>
      </c>
      <c r="F156">
        <v>1</v>
      </c>
      <c r="G156" t="s">
        <v>2050</v>
      </c>
      <c r="H156" t="s">
        <v>2051</v>
      </c>
      <c r="I156" t="s">
        <v>53</v>
      </c>
      <c r="J156" t="s">
        <v>67</v>
      </c>
      <c r="K156" t="s">
        <v>68</v>
      </c>
      <c r="L156" t="s">
        <v>2052</v>
      </c>
      <c r="M156" t="s">
        <v>2053</v>
      </c>
      <c r="N156">
        <v>0</v>
      </c>
      <c r="O156">
        <v>0</v>
      </c>
      <c r="P156">
        <v>0</v>
      </c>
      <c r="Q156">
        <v>1440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246</v>
      </c>
      <c r="AH156" s="21" t="s">
        <v>3424</v>
      </c>
      <c r="AI156" s="21">
        <v>107.92500000000001</v>
      </c>
      <c r="AJ156" s="21">
        <v>100</v>
      </c>
      <c r="AK156" s="21" t="s">
        <v>2054</v>
      </c>
      <c r="AL156" t="s">
        <v>70</v>
      </c>
      <c r="AM156" t="s">
        <v>2029</v>
      </c>
    </row>
    <row r="157" spans="1:39" ht="15" hidden="1" thickTop="1" x14ac:dyDescent="0.35">
      <c r="A157" t="s">
        <v>2703</v>
      </c>
      <c r="B157" t="s">
        <v>2698</v>
      </c>
      <c r="C157" t="s">
        <v>66</v>
      </c>
      <c r="D157" t="s">
        <v>2699</v>
      </c>
      <c r="E157" t="s">
        <v>559</v>
      </c>
      <c r="F157">
        <v>1</v>
      </c>
      <c r="G157" t="s">
        <v>2050</v>
      </c>
      <c r="H157" t="s">
        <v>2051</v>
      </c>
      <c r="I157" t="s">
        <v>53</v>
      </c>
      <c r="J157" t="s">
        <v>67</v>
      </c>
      <c r="K157" t="s">
        <v>68</v>
      </c>
      <c r="L157" t="s">
        <v>2052</v>
      </c>
      <c r="M157" t="s">
        <v>2053</v>
      </c>
      <c r="N157">
        <v>0</v>
      </c>
      <c r="O157">
        <v>0</v>
      </c>
      <c r="P157">
        <v>0</v>
      </c>
      <c r="Q157">
        <v>1440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247</v>
      </c>
      <c r="AH157" s="21" t="s">
        <v>3424</v>
      </c>
      <c r="AI157" s="21">
        <v>107.92500000000001</v>
      </c>
      <c r="AJ157" s="21">
        <v>100</v>
      </c>
      <c r="AK157" s="21" t="s">
        <v>2054</v>
      </c>
      <c r="AL157" t="s">
        <v>70</v>
      </c>
      <c r="AM157" t="s">
        <v>2027</v>
      </c>
    </row>
    <row r="158" spans="1:39" ht="15" hidden="1" thickTop="1" x14ac:dyDescent="0.35">
      <c r="A158" t="s">
        <v>2704</v>
      </c>
      <c r="B158" t="s">
        <v>2700</v>
      </c>
      <c r="C158" t="s">
        <v>92</v>
      </c>
      <c r="D158" t="s">
        <v>2701</v>
      </c>
      <c r="E158" t="s">
        <v>119</v>
      </c>
      <c r="F158">
        <v>1</v>
      </c>
      <c r="G158" t="s">
        <v>2050</v>
      </c>
      <c r="H158" t="s">
        <v>2051</v>
      </c>
      <c r="I158" t="s">
        <v>53</v>
      </c>
      <c r="J158" t="s">
        <v>67</v>
      </c>
      <c r="K158" t="s">
        <v>68</v>
      </c>
      <c r="L158" t="s">
        <v>2052</v>
      </c>
      <c r="M158" t="s">
        <v>2053</v>
      </c>
      <c r="N158">
        <v>0</v>
      </c>
      <c r="O158">
        <v>0</v>
      </c>
      <c r="P158">
        <v>0</v>
      </c>
      <c r="Q158">
        <v>1440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248</v>
      </c>
      <c r="AH158" s="21" t="s">
        <v>3424</v>
      </c>
      <c r="AI158" s="21">
        <v>107.92500000000001</v>
      </c>
      <c r="AJ158" s="21">
        <v>100</v>
      </c>
      <c r="AK158" s="21" t="s">
        <v>2054</v>
      </c>
      <c r="AL158" t="s">
        <v>70</v>
      </c>
      <c r="AM158" t="s">
        <v>2029</v>
      </c>
    </row>
    <row r="159" spans="1:39" ht="15" hidden="1" thickTop="1" x14ac:dyDescent="0.35">
      <c r="A159" t="s">
        <v>2710</v>
      </c>
      <c r="B159" t="s">
        <v>2708</v>
      </c>
      <c r="C159" t="s">
        <v>100</v>
      </c>
      <c r="D159" t="s">
        <v>2709</v>
      </c>
      <c r="E159" t="s">
        <v>559</v>
      </c>
      <c r="F159">
        <v>1</v>
      </c>
      <c r="G159" t="s">
        <v>2050</v>
      </c>
      <c r="H159" t="s">
        <v>2051</v>
      </c>
      <c r="I159" t="s">
        <v>53</v>
      </c>
      <c r="J159" t="s">
        <v>67</v>
      </c>
      <c r="K159" t="s">
        <v>68</v>
      </c>
      <c r="L159" t="s">
        <v>2052</v>
      </c>
      <c r="M159" t="s">
        <v>2078</v>
      </c>
      <c r="N159">
        <v>0</v>
      </c>
      <c r="O159">
        <v>0</v>
      </c>
      <c r="P159">
        <v>0</v>
      </c>
      <c r="Q159">
        <v>960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249</v>
      </c>
      <c r="AH159" s="21" t="s">
        <v>3424</v>
      </c>
      <c r="AI159" s="21">
        <v>72</v>
      </c>
      <c r="AJ159" s="21">
        <v>100</v>
      </c>
      <c r="AK159" s="21" t="s">
        <v>2054</v>
      </c>
      <c r="AL159" t="s">
        <v>70</v>
      </c>
      <c r="AM159" t="s">
        <v>2029</v>
      </c>
    </row>
    <row r="160" spans="1:39" ht="15" hidden="1" thickTop="1" x14ac:dyDescent="0.35">
      <c r="A160" t="s">
        <v>2715</v>
      </c>
      <c r="B160" t="s">
        <v>2713</v>
      </c>
      <c r="C160" t="s">
        <v>78</v>
      </c>
      <c r="D160" t="s">
        <v>2714</v>
      </c>
      <c r="E160" t="s">
        <v>559</v>
      </c>
      <c r="F160">
        <v>1</v>
      </c>
      <c r="G160" t="s">
        <v>2050</v>
      </c>
      <c r="H160" t="s">
        <v>2051</v>
      </c>
      <c r="I160" t="s">
        <v>53</v>
      </c>
      <c r="J160" t="s">
        <v>67</v>
      </c>
      <c r="K160" t="s">
        <v>68</v>
      </c>
      <c r="L160" t="s">
        <v>2052</v>
      </c>
      <c r="M160" t="s">
        <v>2053</v>
      </c>
      <c r="N160">
        <v>0</v>
      </c>
      <c r="O160">
        <v>0</v>
      </c>
      <c r="P160">
        <v>0</v>
      </c>
      <c r="Q160">
        <v>1440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250</v>
      </c>
      <c r="AH160" s="21" t="s">
        <v>3424</v>
      </c>
      <c r="AI160" s="21">
        <v>107.92500000000001</v>
      </c>
      <c r="AJ160" s="21">
        <v>100</v>
      </c>
      <c r="AK160" s="21" t="s">
        <v>2054</v>
      </c>
      <c r="AL160" t="s">
        <v>70</v>
      </c>
      <c r="AM160" t="s">
        <v>2028</v>
      </c>
    </row>
    <row r="161" spans="1:39" ht="15" hidden="1" thickTop="1" x14ac:dyDescent="0.35">
      <c r="A161" t="s">
        <v>2724</v>
      </c>
      <c r="B161" t="s">
        <v>2718</v>
      </c>
      <c r="C161" t="s">
        <v>102</v>
      </c>
      <c r="D161" t="s">
        <v>2719</v>
      </c>
      <c r="E161" t="s">
        <v>559</v>
      </c>
      <c r="F161">
        <v>1</v>
      </c>
      <c r="G161" t="s">
        <v>2050</v>
      </c>
      <c r="H161" t="s">
        <v>2051</v>
      </c>
      <c r="I161" t="s">
        <v>53</v>
      </c>
      <c r="J161" t="s">
        <v>67</v>
      </c>
      <c r="K161" t="s">
        <v>68</v>
      </c>
      <c r="L161" t="s">
        <v>2052</v>
      </c>
      <c r="M161" t="s">
        <v>2053</v>
      </c>
      <c r="N161">
        <v>0</v>
      </c>
      <c r="O161">
        <v>0</v>
      </c>
      <c r="P161">
        <v>0</v>
      </c>
      <c r="Q161">
        <v>1440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251</v>
      </c>
      <c r="AH161" s="21" t="s">
        <v>3424</v>
      </c>
      <c r="AI161" s="21">
        <v>107.92500000000001</v>
      </c>
      <c r="AJ161" s="21">
        <v>100</v>
      </c>
      <c r="AK161" s="21" t="s">
        <v>2054</v>
      </c>
      <c r="AL161" t="s">
        <v>70</v>
      </c>
      <c r="AM161" t="s">
        <v>2031</v>
      </c>
    </row>
    <row r="162" spans="1:39" ht="15" hidden="1" thickTop="1" x14ac:dyDescent="0.35">
      <c r="A162" t="s">
        <v>2725</v>
      </c>
      <c r="B162" t="s">
        <v>2720</v>
      </c>
      <c r="C162" t="s">
        <v>102</v>
      </c>
      <c r="D162" t="s">
        <v>2721</v>
      </c>
      <c r="E162" t="s">
        <v>559</v>
      </c>
      <c r="F162">
        <v>1</v>
      </c>
      <c r="G162" t="s">
        <v>2050</v>
      </c>
      <c r="H162" t="s">
        <v>2051</v>
      </c>
      <c r="I162" t="s">
        <v>53</v>
      </c>
      <c r="J162" t="s">
        <v>67</v>
      </c>
      <c r="K162" t="s">
        <v>68</v>
      </c>
      <c r="L162" t="s">
        <v>2052</v>
      </c>
      <c r="M162" t="s">
        <v>2053</v>
      </c>
      <c r="N162">
        <v>0</v>
      </c>
      <c r="O162">
        <v>0</v>
      </c>
      <c r="P162">
        <v>0</v>
      </c>
      <c r="Q162">
        <v>1440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252</v>
      </c>
      <c r="AH162" s="21" t="s">
        <v>3424</v>
      </c>
      <c r="AI162" s="21">
        <v>107.92500000000001</v>
      </c>
      <c r="AJ162" s="21">
        <v>100</v>
      </c>
      <c r="AK162" s="21" t="s">
        <v>2054</v>
      </c>
      <c r="AL162" t="s">
        <v>70</v>
      </c>
      <c r="AM162" t="s">
        <v>2030</v>
      </c>
    </row>
    <row r="163" spans="1:39" ht="15" hidden="1" thickTop="1" x14ac:dyDescent="0.35">
      <c r="A163" t="s">
        <v>2726</v>
      </c>
      <c r="B163" t="s">
        <v>2722</v>
      </c>
      <c r="C163" t="s">
        <v>102</v>
      </c>
      <c r="D163" t="s">
        <v>2723</v>
      </c>
      <c r="E163" t="s">
        <v>559</v>
      </c>
      <c r="F163">
        <v>1</v>
      </c>
      <c r="G163" t="s">
        <v>2050</v>
      </c>
      <c r="H163" t="s">
        <v>2051</v>
      </c>
      <c r="I163" t="s">
        <v>53</v>
      </c>
      <c r="J163" t="s">
        <v>67</v>
      </c>
      <c r="K163" t="s">
        <v>68</v>
      </c>
      <c r="L163" t="s">
        <v>2052</v>
      </c>
      <c r="M163" t="s">
        <v>2053</v>
      </c>
      <c r="N163">
        <v>0</v>
      </c>
      <c r="O163">
        <v>0</v>
      </c>
      <c r="P163">
        <v>0</v>
      </c>
      <c r="Q163">
        <v>1440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253</v>
      </c>
      <c r="AH163" s="21" t="s">
        <v>3424</v>
      </c>
      <c r="AI163" s="21">
        <v>107.92500000000001</v>
      </c>
      <c r="AJ163" s="21">
        <v>100</v>
      </c>
      <c r="AK163" s="21" t="s">
        <v>2055</v>
      </c>
      <c r="AL163" t="s">
        <v>70</v>
      </c>
      <c r="AM163" t="s">
        <v>2031</v>
      </c>
    </row>
    <row r="164" spans="1:39" ht="15" hidden="1" thickTop="1" x14ac:dyDescent="0.35">
      <c r="A164" t="s">
        <v>2732</v>
      </c>
      <c r="B164" t="s">
        <v>2730</v>
      </c>
      <c r="C164" t="s">
        <v>92</v>
      </c>
      <c r="D164" t="s">
        <v>2731</v>
      </c>
      <c r="E164" t="s">
        <v>119</v>
      </c>
      <c r="F164">
        <v>1</v>
      </c>
      <c r="G164" t="s">
        <v>2050</v>
      </c>
      <c r="H164" t="s">
        <v>2051</v>
      </c>
      <c r="I164" t="s">
        <v>53</v>
      </c>
      <c r="J164" t="s">
        <v>67</v>
      </c>
      <c r="K164" t="s">
        <v>68</v>
      </c>
      <c r="L164" t="s">
        <v>2052</v>
      </c>
      <c r="M164" t="s">
        <v>2053</v>
      </c>
      <c r="N164">
        <v>0</v>
      </c>
      <c r="O164">
        <v>0</v>
      </c>
      <c r="P164">
        <v>0</v>
      </c>
      <c r="Q164">
        <v>1440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t="s">
        <v>254</v>
      </c>
      <c r="AH164" s="21" t="s">
        <v>3424</v>
      </c>
      <c r="AI164" s="21">
        <v>107.92500000000001</v>
      </c>
      <c r="AJ164" s="21">
        <v>100</v>
      </c>
      <c r="AK164" s="21" t="s">
        <v>2054</v>
      </c>
      <c r="AL164" t="s">
        <v>70</v>
      </c>
      <c r="AM164" t="s">
        <v>2029</v>
      </c>
    </row>
    <row r="165" spans="1:39" ht="15" hidden="1" thickTop="1" x14ac:dyDescent="0.35">
      <c r="A165" t="s">
        <v>2737</v>
      </c>
      <c r="B165" t="s">
        <v>2735</v>
      </c>
      <c r="C165" t="s">
        <v>81</v>
      </c>
      <c r="D165" t="s">
        <v>2736</v>
      </c>
      <c r="E165" t="s">
        <v>559</v>
      </c>
      <c r="F165">
        <v>1</v>
      </c>
      <c r="G165" t="s">
        <v>2050</v>
      </c>
      <c r="H165" t="s">
        <v>2051</v>
      </c>
      <c r="I165" t="s">
        <v>53</v>
      </c>
      <c r="J165" t="s">
        <v>82</v>
      </c>
      <c r="K165" t="s">
        <v>68</v>
      </c>
      <c r="L165" t="s">
        <v>2052</v>
      </c>
      <c r="M165" t="s">
        <v>2053</v>
      </c>
      <c r="N165">
        <v>0</v>
      </c>
      <c r="O165">
        <v>0</v>
      </c>
      <c r="P165">
        <v>0</v>
      </c>
      <c r="Q165">
        <v>1440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255</v>
      </c>
      <c r="AH165" s="21" t="s">
        <v>3428</v>
      </c>
      <c r="AI165" s="21">
        <v>107.92500000000001</v>
      </c>
      <c r="AJ165" s="21">
        <v>100</v>
      </c>
      <c r="AK165" s="21" t="s">
        <v>2054</v>
      </c>
      <c r="AL165" t="s">
        <v>70</v>
      </c>
      <c r="AM165" t="s">
        <v>2029</v>
      </c>
    </row>
    <row r="166" spans="1:39" ht="15" hidden="1" thickTop="1" x14ac:dyDescent="0.35">
      <c r="A166" t="s">
        <v>2077</v>
      </c>
      <c r="B166" t="s">
        <v>2738</v>
      </c>
      <c r="C166" t="s">
        <v>92</v>
      </c>
      <c r="D166" t="s">
        <v>2739</v>
      </c>
      <c r="E166" t="s">
        <v>119</v>
      </c>
      <c r="F166">
        <v>1</v>
      </c>
      <c r="G166" t="s">
        <v>2050</v>
      </c>
      <c r="H166" t="s">
        <v>2051</v>
      </c>
      <c r="I166" t="s">
        <v>53</v>
      </c>
      <c r="J166" t="s">
        <v>67</v>
      </c>
      <c r="K166" t="s">
        <v>68</v>
      </c>
      <c r="L166" t="s">
        <v>2052</v>
      </c>
      <c r="M166" t="s">
        <v>2053</v>
      </c>
      <c r="N166">
        <v>0</v>
      </c>
      <c r="O166">
        <v>0</v>
      </c>
      <c r="P166">
        <v>0</v>
      </c>
      <c r="Q166">
        <v>1440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t="s">
        <v>256</v>
      </c>
      <c r="AH166" s="21" t="s">
        <v>3424</v>
      </c>
      <c r="AI166" s="21">
        <v>107.92500000000001</v>
      </c>
      <c r="AJ166" s="21">
        <v>100</v>
      </c>
      <c r="AK166" s="21" t="s">
        <v>2055</v>
      </c>
      <c r="AL166" t="s">
        <v>70</v>
      </c>
      <c r="AM166" t="s">
        <v>2030</v>
      </c>
    </row>
    <row r="167" spans="1:39" ht="15" hidden="1" thickTop="1" x14ac:dyDescent="0.35">
      <c r="A167" t="s">
        <v>2752</v>
      </c>
      <c r="B167" t="s">
        <v>2744</v>
      </c>
      <c r="C167" t="s">
        <v>66</v>
      </c>
      <c r="D167" t="s">
        <v>2745</v>
      </c>
      <c r="E167" t="s">
        <v>559</v>
      </c>
      <c r="F167">
        <v>1</v>
      </c>
      <c r="G167" t="s">
        <v>2050</v>
      </c>
      <c r="H167" t="s">
        <v>2051</v>
      </c>
      <c r="I167" t="s">
        <v>53</v>
      </c>
      <c r="J167" t="s">
        <v>67</v>
      </c>
      <c r="K167" t="s">
        <v>68</v>
      </c>
      <c r="L167" t="s">
        <v>2052</v>
      </c>
      <c r="M167" t="s">
        <v>2053</v>
      </c>
      <c r="N167">
        <v>1</v>
      </c>
      <c r="O167">
        <v>31</v>
      </c>
      <c r="P167">
        <v>2.15</v>
      </c>
      <c r="Q167">
        <v>1440</v>
      </c>
      <c r="R167">
        <v>1</v>
      </c>
      <c r="S167">
        <v>31</v>
      </c>
      <c r="T167">
        <v>2.15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 t="s">
        <v>257</v>
      </c>
      <c r="AH167" s="21" t="s">
        <v>3424</v>
      </c>
      <c r="AI167" s="21">
        <v>107.92500000000001</v>
      </c>
      <c r="AJ167" s="21">
        <v>97.847222222222229</v>
      </c>
      <c r="AK167" s="21" t="s">
        <v>2055</v>
      </c>
      <c r="AL167" t="s">
        <v>70</v>
      </c>
      <c r="AM167" t="s">
        <v>2029</v>
      </c>
    </row>
    <row r="168" spans="1:39" ht="15" hidden="1" thickTop="1" x14ac:dyDescent="0.35">
      <c r="A168" t="s">
        <v>2753</v>
      </c>
      <c r="B168" t="s">
        <v>2746</v>
      </c>
      <c r="C168" t="s">
        <v>117</v>
      </c>
      <c r="D168" t="s">
        <v>2747</v>
      </c>
      <c r="E168" t="s">
        <v>559</v>
      </c>
      <c r="F168">
        <v>1</v>
      </c>
      <c r="G168" t="s">
        <v>2050</v>
      </c>
      <c r="H168" t="s">
        <v>2051</v>
      </c>
      <c r="I168" t="s">
        <v>53</v>
      </c>
      <c r="J168" t="s">
        <v>67</v>
      </c>
      <c r="K168" t="s">
        <v>68</v>
      </c>
      <c r="L168" t="s">
        <v>2052</v>
      </c>
      <c r="M168" t="s">
        <v>2053</v>
      </c>
      <c r="N168">
        <v>0</v>
      </c>
      <c r="O168">
        <v>0</v>
      </c>
      <c r="P168">
        <v>0</v>
      </c>
      <c r="Q168">
        <v>1440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t="s">
        <v>258</v>
      </c>
      <c r="AH168" s="21" t="s">
        <v>3424</v>
      </c>
      <c r="AI168" s="21">
        <v>107.92500000000001</v>
      </c>
      <c r="AJ168" s="21">
        <v>100</v>
      </c>
      <c r="AK168" s="21" t="s">
        <v>2054</v>
      </c>
      <c r="AL168" t="s">
        <v>70</v>
      </c>
      <c r="AM168" t="s">
        <v>2029</v>
      </c>
    </row>
    <row r="169" spans="1:39" ht="15" hidden="1" thickTop="1" x14ac:dyDescent="0.35">
      <c r="A169" t="s">
        <v>2754</v>
      </c>
      <c r="B169" t="s">
        <v>2748</v>
      </c>
      <c r="C169" t="s">
        <v>66</v>
      </c>
      <c r="D169" t="s">
        <v>2749</v>
      </c>
      <c r="E169" t="s">
        <v>559</v>
      </c>
      <c r="F169">
        <v>1</v>
      </c>
      <c r="G169" t="s">
        <v>2050</v>
      </c>
      <c r="H169" t="s">
        <v>2051</v>
      </c>
      <c r="I169" t="s">
        <v>53</v>
      </c>
      <c r="J169" t="s">
        <v>67</v>
      </c>
      <c r="K169" t="s">
        <v>68</v>
      </c>
      <c r="L169" t="s">
        <v>2052</v>
      </c>
      <c r="M169" t="s">
        <v>2053</v>
      </c>
      <c r="N169">
        <v>0</v>
      </c>
      <c r="O169">
        <v>0</v>
      </c>
      <c r="P169">
        <v>0</v>
      </c>
      <c r="Q169">
        <v>1440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t="s">
        <v>259</v>
      </c>
      <c r="AH169" s="21" t="s">
        <v>3427</v>
      </c>
      <c r="AI169" s="21">
        <v>107.92500000000001</v>
      </c>
      <c r="AJ169" s="21">
        <v>100</v>
      </c>
      <c r="AK169" s="21" t="s">
        <v>2054</v>
      </c>
      <c r="AL169" t="s">
        <v>70</v>
      </c>
      <c r="AM169" t="s">
        <v>2027</v>
      </c>
    </row>
    <row r="170" spans="1:39" ht="15" hidden="1" thickTop="1" x14ac:dyDescent="0.35">
      <c r="A170" t="s">
        <v>2756</v>
      </c>
      <c r="B170" t="s">
        <v>2750</v>
      </c>
      <c r="C170" t="s">
        <v>3376</v>
      </c>
      <c r="D170" t="s">
        <v>2751</v>
      </c>
      <c r="E170" t="s">
        <v>559</v>
      </c>
      <c r="F170">
        <v>1</v>
      </c>
      <c r="G170" t="s">
        <v>2050</v>
      </c>
      <c r="H170" t="s">
        <v>2051</v>
      </c>
      <c r="I170" t="s">
        <v>53</v>
      </c>
      <c r="J170" t="s">
        <v>67</v>
      </c>
      <c r="K170" t="s">
        <v>68</v>
      </c>
      <c r="L170" t="s">
        <v>2052</v>
      </c>
      <c r="M170" t="s">
        <v>2053</v>
      </c>
      <c r="N170">
        <v>0</v>
      </c>
      <c r="O170">
        <v>0</v>
      </c>
      <c r="P170">
        <v>0</v>
      </c>
      <c r="Q170">
        <v>1440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260</v>
      </c>
      <c r="AH170" s="21" t="s">
        <v>3424</v>
      </c>
      <c r="AI170" s="21">
        <v>107.92500000000001</v>
      </c>
      <c r="AJ170" s="21">
        <v>100</v>
      </c>
      <c r="AK170" s="21" t="s">
        <v>2055</v>
      </c>
      <c r="AL170" t="s">
        <v>70</v>
      </c>
      <c r="AM170" t="s">
        <v>2031</v>
      </c>
    </row>
    <row r="171" spans="1:39" ht="15" hidden="1" thickTop="1" x14ac:dyDescent="0.35">
      <c r="A171" t="s">
        <v>2764</v>
      </c>
      <c r="B171" t="s">
        <v>2758</v>
      </c>
      <c r="C171" t="s">
        <v>102</v>
      </c>
      <c r="D171" t="s">
        <v>2759</v>
      </c>
      <c r="E171" t="s">
        <v>559</v>
      </c>
      <c r="F171">
        <v>1</v>
      </c>
      <c r="G171" t="s">
        <v>2050</v>
      </c>
      <c r="H171" t="s">
        <v>2051</v>
      </c>
      <c r="I171" t="s">
        <v>53</v>
      </c>
      <c r="J171" t="s">
        <v>67</v>
      </c>
      <c r="K171" t="s">
        <v>68</v>
      </c>
      <c r="L171" t="s">
        <v>2052</v>
      </c>
      <c r="M171" t="s">
        <v>2053</v>
      </c>
      <c r="N171">
        <v>0</v>
      </c>
      <c r="O171">
        <v>0</v>
      </c>
      <c r="P171">
        <v>0</v>
      </c>
      <c r="Q171">
        <v>1440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261</v>
      </c>
      <c r="AH171" s="21" t="s">
        <v>3425</v>
      </c>
      <c r="AI171" s="21">
        <v>107.92500000000001</v>
      </c>
      <c r="AJ171" s="21">
        <v>100</v>
      </c>
      <c r="AK171" s="21" t="s">
        <v>2055</v>
      </c>
      <c r="AL171" t="s">
        <v>70</v>
      </c>
      <c r="AM171" t="s">
        <v>2030</v>
      </c>
    </row>
    <row r="172" spans="1:39" ht="15" hidden="1" thickTop="1" x14ac:dyDescent="0.35">
      <c r="A172" t="s">
        <v>2765</v>
      </c>
      <c r="B172" t="s">
        <v>2761</v>
      </c>
      <c r="C172" t="s">
        <v>111</v>
      </c>
      <c r="D172" t="s">
        <v>2762</v>
      </c>
      <c r="E172" t="s">
        <v>112</v>
      </c>
      <c r="F172">
        <v>1</v>
      </c>
      <c r="G172" t="s">
        <v>2050</v>
      </c>
      <c r="H172" t="s">
        <v>2051</v>
      </c>
      <c r="I172" t="s">
        <v>53</v>
      </c>
      <c r="J172" t="s">
        <v>113</v>
      </c>
      <c r="K172" t="s">
        <v>68</v>
      </c>
      <c r="L172" t="s">
        <v>2052</v>
      </c>
      <c r="M172" t="s">
        <v>2053</v>
      </c>
      <c r="N172">
        <v>0</v>
      </c>
      <c r="O172">
        <v>0</v>
      </c>
      <c r="P172">
        <v>0</v>
      </c>
      <c r="Q172">
        <v>1440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262</v>
      </c>
      <c r="AH172" s="21" t="s">
        <v>3425</v>
      </c>
      <c r="AI172" s="21">
        <v>107.92500000000001</v>
      </c>
      <c r="AJ172" s="21">
        <v>100</v>
      </c>
      <c r="AK172" s="21" t="s">
        <v>2054</v>
      </c>
      <c r="AL172" t="s">
        <v>115</v>
      </c>
      <c r="AM172" t="s">
        <v>2027</v>
      </c>
    </row>
    <row r="173" spans="1:39" ht="15" hidden="1" thickTop="1" x14ac:dyDescent="0.35">
      <c r="A173" t="s">
        <v>2773</v>
      </c>
      <c r="B173" t="s">
        <v>2769</v>
      </c>
      <c r="C173" t="s">
        <v>102</v>
      </c>
      <c r="D173" t="s">
        <v>2770</v>
      </c>
      <c r="E173" t="s">
        <v>559</v>
      </c>
      <c r="F173">
        <v>1</v>
      </c>
      <c r="G173" t="s">
        <v>2050</v>
      </c>
      <c r="H173" t="s">
        <v>2051</v>
      </c>
      <c r="I173" t="s">
        <v>53</v>
      </c>
      <c r="J173" t="s">
        <v>67</v>
      </c>
      <c r="K173" t="s">
        <v>68</v>
      </c>
      <c r="L173" t="s">
        <v>2052</v>
      </c>
      <c r="M173" t="s">
        <v>2053</v>
      </c>
      <c r="N173">
        <v>0</v>
      </c>
      <c r="O173">
        <v>0</v>
      </c>
      <c r="P173">
        <v>0</v>
      </c>
      <c r="Q173">
        <v>1440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263</v>
      </c>
      <c r="AH173" s="21" t="s">
        <v>3425</v>
      </c>
      <c r="AI173" s="21">
        <v>107.92500000000001</v>
      </c>
      <c r="AJ173" s="21">
        <v>100</v>
      </c>
      <c r="AK173" s="21" t="s">
        <v>2054</v>
      </c>
      <c r="AL173" t="s">
        <v>70</v>
      </c>
      <c r="AM173" t="s">
        <v>2029</v>
      </c>
    </row>
    <row r="174" spans="1:39" ht="15" hidden="1" thickTop="1" x14ac:dyDescent="0.35">
      <c r="A174" t="s">
        <v>2774</v>
      </c>
      <c r="B174" t="s">
        <v>2771</v>
      </c>
      <c r="C174" t="s">
        <v>565</v>
      </c>
      <c r="D174" t="s">
        <v>2772</v>
      </c>
      <c r="E174" t="s">
        <v>559</v>
      </c>
      <c r="F174">
        <v>2</v>
      </c>
      <c r="G174" t="s">
        <v>2050</v>
      </c>
      <c r="H174" t="s">
        <v>2051</v>
      </c>
      <c r="I174" t="s">
        <v>53</v>
      </c>
      <c r="J174" t="s">
        <v>427</v>
      </c>
      <c r="K174" t="s">
        <v>68</v>
      </c>
      <c r="L174" t="s">
        <v>2052</v>
      </c>
      <c r="M174" t="s">
        <v>2053</v>
      </c>
      <c r="N174">
        <v>0</v>
      </c>
      <c r="O174">
        <v>0</v>
      </c>
      <c r="P174">
        <v>0</v>
      </c>
      <c r="Q174">
        <v>1440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 t="s">
        <v>264</v>
      </c>
      <c r="AH174" s="21" t="s">
        <v>3427</v>
      </c>
      <c r="AI174" s="21">
        <v>107.92500000000001</v>
      </c>
      <c r="AJ174" s="21">
        <v>100</v>
      </c>
      <c r="AK174" s="21" t="s">
        <v>2054</v>
      </c>
      <c r="AL174" t="s">
        <v>70</v>
      </c>
      <c r="AM174" t="s">
        <v>2029</v>
      </c>
    </row>
    <row r="175" spans="1:39" ht="15" hidden="1" thickTop="1" x14ac:dyDescent="0.35">
      <c r="A175" t="s">
        <v>2527</v>
      </c>
      <c r="B175" t="s">
        <v>2778</v>
      </c>
      <c r="C175" t="s">
        <v>66</v>
      </c>
      <c r="D175" t="s">
        <v>2779</v>
      </c>
      <c r="E175" t="s">
        <v>119</v>
      </c>
      <c r="F175">
        <v>1</v>
      </c>
      <c r="G175" t="s">
        <v>2050</v>
      </c>
      <c r="H175" t="s">
        <v>2051</v>
      </c>
      <c r="I175" t="s">
        <v>53</v>
      </c>
      <c r="J175" t="s">
        <v>67</v>
      </c>
      <c r="K175" t="s">
        <v>68</v>
      </c>
      <c r="L175" t="s">
        <v>2052</v>
      </c>
      <c r="M175" t="s">
        <v>2063</v>
      </c>
      <c r="N175">
        <v>0</v>
      </c>
      <c r="O175">
        <v>0</v>
      </c>
      <c r="P175">
        <v>0</v>
      </c>
      <c r="Q175">
        <v>1020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265</v>
      </c>
      <c r="AH175" s="21" t="s">
        <v>3425</v>
      </c>
      <c r="AI175" s="21">
        <v>76.500000000000014</v>
      </c>
      <c r="AJ175" s="21">
        <v>100</v>
      </c>
      <c r="AK175" s="21" t="s">
        <v>2054</v>
      </c>
      <c r="AL175" t="s">
        <v>70</v>
      </c>
      <c r="AM175" t="s">
        <v>2028</v>
      </c>
    </row>
    <row r="176" spans="1:39" ht="15" hidden="1" thickTop="1" x14ac:dyDescent="0.35">
      <c r="A176" t="s">
        <v>2785</v>
      </c>
      <c r="B176" t="s">
        <v>2783</v>
      </c>
      <c r="C176" t="s">
        <v>78</v>
      </c>
      <c r="D176" t="s">
        <v>2784</v>
      </c>
      <c r="E176" t="s">
        <v>559</v>
      </c>
      <c r="F176">
        <v>1</v>
      </c>
      <c r="G176" t="s">
        <v>2050</v>
      </c>
      <c r="H176" t="s">
        <v>2051</v>
      </c>
      <c r="I176" t="s">
        <v>53</v>
      </c>
      <c r="J176" t="s">
        <v>67</v>
      </c>
      <c r="K176" t="s">
        <v>68</v>
      </c>
      <c r="L176" t="s">
        <v>2052</v>
      </c>
      <c r="M176" t="s">
        <v>2063</v>
      </c>
      <c r="N176">
        <v>0</v>
      </c>
      <c r="O176">
        <v>0</v>
      </c>
      <c r="P176">
        <v>0</v>
      </c>
      <c r="Q176">
        <v>1020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266</v>
      </c>
      <c r="AH176" s="21" t="s">
        <v>3425</v>
      </c>
      <c r="AI176" s="21">
        <v>76.500000000000014</v>
      </c>
      <c r="AJ176" s="21">
        <v>100</v>
      </c>
      <c r="AK176" s="21" t="s">
        <v>2055</v>
      </c>
      <c r="AL176" t="s">
        <v>70</v>
      </c>
      <c r="AM176" t="s">
        <v>2031</v>
      </c>
    </row>
    <row r="177" spans="1:39" ht="15" hidden="1" thickTop="1" x14ac:dyDescent="0.35">
      <c r="A177" t="s">
        <v>2791</v>
      </c>
      <c r="B177" t="s">
        <v>2787</v>
      </c>
      <c r="C177" t="s">
        <v>100</v>
      </c>
      <c r="D177" t="s">
        <v>2788</v>
      </c>
      <c r="E177" t="s">
        <v>559</v>
      </c>
      <c r="F177">
        <v>1</v>
      </c>
      <c r="G177" t="s">
        <v>2050</v>
      </c>
      <c r="H177" t="s">
        <v>2051</v>
      </c>
      <c r="I177" t="s">
        <v>53</v>
      </c>
      <c r="J177" t="s">
        <v>67</v>
      </c>
      <c r="K177" t="s">
        <v>68</v>
      </c>
      <c r="L177" t="s">
        <v>2052</v>
      </c>
      <c r="M177" t="s">
        <v>2083</v>
      </c>
      <c r="N177">
        <v>0</v>
      </c>
      <c r="O177">
        <v>0</v>
      </c>
      <c r="P177">
        <v>0</v>
      </c>
      <c r="Q177">
        <v>960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268</v>
      </c>
      <c r="AH177" s="21" t="s">
        <v>3427</v>
      </c>
      <c r="AI177" s="21">
        <v>72.000000000000014</v>
      </c>
      <c r="AJ177" s="21">
        <v>100</v>
      </c>
      <c r="AK177" s="21" t="s">
        <v>2055</v>
      </c>
      <c r="AL177" t="s">
        <v>70</v>
      </c>
      <c r="AM177" t="s">
        <v>2029</v>
      </c>
    </row>
    <row r="178" spans="1:39" ht="15" hidden="1" thickTop="1" x14ac:dyDescent="0.35">
      <c r="A178" t="s">
        <v>2796</v>
      </c>
      <c r="B178" t="s">
        <v>2794</v>
      </c>
      <c r="C178" t="s">
        <v>820</v>
      </c>
      <c r="D178" t="s">
        <v>2795</v>
      </c>
      <c r="E178" t="s">
        <v>72</v>
      </c>
      <c r="F178">
        <v>1</v>
      </c>
      <c r="G178" t="s">
        <v>2050</v>
      </c>
      <c r="H178" t="s">
        <v>2051</v>
      </c>
      <c r="I178" t="s">
        <v>53</v>
      </c>
      <c r="J178" t="s">
        <v>424</v>
      </c>
      <c r="K178" t="s">
        <v>68</v>
      </c>
      <c r="L178" t="s">
        <v>2052</v>
      </c>
      <c r="M178" t="s">
        <v>2053</v>
      </c>
      <c r="N178">
        <v>0</v>
      </c>
      <c r="O178">
        <v>0</v>
      </c>
      <c r="P178">
        <v>0</v>
      </c>
      <c r="Q178">
        <v>1440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 t="s">
        <v>269</v>
      </c>
      <c r="AH178" s="21" t="s">
        <v>3428</v>
      </c>
      <c r="AI178" s="21">
        <v>107.92500000000001</v>
      </c>
      <c r="AJ178" s="21">
        <v>100</v>
      </c>
      <c r="AK178" s="21" t="s">
        <v>2054</v>
      </c>
      <c r="AL178" t="s">
        <v>75</v>
      </c>
      <c r="AM178" t="s">
        <v>2027</v>
      </c>
    </row>
    <row r="179" spans="1:39" ht="15" hidden="1" thickTop="1" x14ac:dyDescent="0.35">
      <c r="A179" t="s">
        <v>2802</v>
      </c>
      <c r="B179" t="s">
        <v>2800</v>
      </c>
      <c r="C179" t="s">
        <v>102</v>
      </c>
      <c r="D179" t="s">
        <v>2801</v>
      </c>
      <c r="E179" t="s">
        <v>559</v>
      </c>
      <c r="F179">
        <v>1</v>
      </c>
      <c r="G179" t="s">
        <v>2050</v>
      </c>
      <c r="H179" t="s">
        <v>2051</v>
      </c>
      <c r="I179" t="s">
        <v>53</v>
      </c>
      <c r="J179" t="s">
        <v>67</v>
      </c>
      <c r="K179" t="s">
        <v>68</v>
      </c>
      <c r="L179" t="s">
        <v>2052</v>
      </c>
      <c r="M179" t="s">
        <v>2053</v>
      </c>
      <c r="N179">
        <v>0</v>
      </c>
      <c r="O179">
        <v>0</v>
      </c>
      <c r="P179">
        <v>0</v>
      </c>
      <c r="Q179">
        <v>1440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270</v>
      </c>
      <c r="AH179" s="21" t="s">
        <v>3425</v>
      </c>
      <c r="AI179" s="21">
        <v>107.92500000000001</v>
      </c>
      <c r="AJ179" s="21">
        <v>100</v>
      </c>
      <c r="AK179" s="21" t="s">
        <v>2054</v>
      </c>
      <c r="AL179" t="s">
        <v>70</v>
      </c>
      <c r="AM179" t="s">
        <v>2030</v>
      </c>
    </row>
    <row r="180" spans="1:39" ht="15" hidden="1" thickTop="1" x14ac:dyDescent="0.35">
      <c r="A180" t="s">
        <v>2808</v>
      </c>
      <c r="B180" t="s">
        <v>2805</v>
      </c>
      <c r="C180" t="s">
        <v>92</v>
      </c>
      <c r="D180" t="s">
        <v>2806</v>
      </c>
      <c r="E180" t="s">
        <v>559</v>
      </c>
      <c r="F180">
        <v>1</v>
      </c>
      <c r="G180" t="s">
        <v>2050</v>
      </c>
      <c r="H180" t="s">
        <v>2051</v>
      </c>
      <c r="I180" t="s">
        <v>53</v>
      </c>
      <c r="J180" t="s">
        <v>67</v>
      </c>
      <c r="K180" t="s">
        <v>68</v>
      </c>
      <c r="L180" t="s">
        <v>2052</v>
      </c>
      <c r="M180" t="s">
        <v>2053</v>
      </c>
      <c r="N180">
        <v>0</v>
      </c>
      <c r="O180">
        <v>0</v>
      </c>
      <c r="P180">
        <v>0</v>
      </c>
      <c r="Q180">
        <v>1440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271</v>
      </c>
      <c r="AH180" s="21" t="s">
        <v>3425</v>
      </c>
      <c r="AI180" s="21">
        <v>107.92500000000001</v>
      </c>
      <c r="AJ180" s="21">
        <v>100</v>
      </c>
      <c r="AK180" s="21" t="s">
        <v>2054</v>
      </c>
      <c r="AL180" t="s">
        <v>70</v>
      </c>
      <c r="AM180" t="s">
        <v>2029</v>
      </c>
    </row>
    <row r="181" spans="1:39" ht="15" hidden="1" thickTop="1" x14ac:dyDescent="0.35">
      <c r="A181" t="s">
        <v>2816</v>
      </c>
      <c r="B181" t="s">
        <v>2812</v>
      </c>
      <c r="C181" t="s">
        <v>111</v>
      </c>
      <c r="D181" t="s">
        <v>2813</v>
      </c>
      <c r="E181" t="s">
        <v>112</v>
      </c>
      <c r="F181">
        <v>1</v>
      </c>
      <c r="G181" t="s">
        <v>2050</v>
      </c>
      <c r="H181" t="s">
        <v>2051</v>
      </c>
      <c r="I181" t="s">
        <v>53</v>
      </c>
      <c r="J181" t="s">
        <v>113</v>
      </c>
      <c r="K181" t="s">
        <v>68</v>
      </c>
      <c r="L181" t="s">
        <v>2052</v>
      </c>
      <c r="M181" t="s">
        <v>2053</v>
      </c>
      <c r="N181">
        <v>0</v>
      </c>
      <c r="O181">
        <v>0</v>
      </c>
      <c r="P181">
        <v>0</v>
      </c>
      <c r="Q181">
        <v>1440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 t="s">
        <v>273</v>
      </c>
      <c r="AH181" s="21" t="s">
        <v>3424</v>
      </c>
      <c r="AI181" s="21">
        <v>107.92500000000001</v>
      </c>
      <c r="AJ181" s="21">
        <v>100</v>
      </c>
      <c r="AK181" s="21" t="s">
        <v>2054</v>
      </c>
      <c r="AL181" t="s">
        <v>115</v>
      </c>
      <c r="AM181" t="s">
        <v>2029</v>
      </c>
    </row>
    <row r="182" spans="1:39" ht="15" hidden="1" thickTop="1" x14ac:dyDescent="0.35">
      <c r="A182" t="s">
        <v>2821</v>
      </c>
      <c r="B182" t="s">
        <v>2814</v>
      </c>
      <c r="C182" t="s">
        <v>102</v>
      </c>
      <c r="D182" t="s">
        <v>2815</v>
      </c>
      <c r="E182" t="s">
        <v>559</v>
      </c>
      <c r="F182">
        <v>1</v>
      </c>
      <c r="G182" t="s">
        <v>2050</v>
      </c>
      <c r="H182" t="s">
        <v>2051</v>
      </c>
      <c r="I182" t="s">
        <v>53</v>
      </c>
      <c r="J182" t="s">
        <v>67</v>
      </c>
      <c r="K182" t="s">
        <v>68</v>
      </c>
      <c r="L182" t="s">
        <v>2052</v>
      </c>
      <c r="M182" t="s">
        <v>2064</v>
      </c>
      <c r="N182">
        <v>0</v>
      </c>
      <c r="O182">
        <v>0</v>
      </c>
      <c r="P182">
        <v>0</v>
      </c>
      <c r="Q182">
        <v>900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274</v>
      </c>
      <c r="AH182" s="21" t="s">
        <v>3429</v>
      </c>
      <c r="AI182" s="21">
        <v>67.5</v>
      </c>
      <c r="AJ182" s="21">
        <v>100</v>
      </c>
      <c r="AK182" s="21" t="s">
        <v>2054</v>
      </c>
      <c r="AL182" t="s">
        <v>70</v>
      </c>
      <c r="AM182" t="s">
        <v>2027</v>
      </c>
    </row>
    <row r="183" spans="1:39" ht="15" hidden="1" thickTop="1" x14ac:dyDescent="0.35">
      <c r="A183" t="s">
        <v>2822</v>
      </c>
      <c r="B183" t="s">
        <v>2817</v>
      </c>
      <c r="C183" t="s">
        <v>820</v>
      </c>
      <c r="D183" t="s">
        <v>2818</v>
      </c>
      <c r="E183" t="s">
        <v>72</v>
      </c>
      <c r="F183">
        <v>1</v>
      </c>
      <c r="G183" t="s">
        <v>2050</v>
      </c>
      <c r="H183" t="s">
        <v>2051</v>
      </c>
      <c r="I183" t="s">
        <v>53</v>
      </c>
      <c r="J183" t="s">
        <v>424</v>
      </c>
      <c r="K183" t="s">
        <v>68</v>
      </c>
      <c r="L183" t="s">
        <v>2052</v>
      </c>
      <c r="M183" t="s">
        <v>2064</v>
      </c>
      <c r="N183">
        <v>0</v>
      </c>
      <c r="O183">
        <v>0</v>
      </c>
      <c r="P183">
        <v>0</v>
      </c>
      <c r="Q183">
        <v>900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275</v>
      </c>
      <c r="AH183" s="21" t="s">
        <v>3425</v>
      </c>
      <c r="AI183" s="21">
        <v>67.5</v>
      </c>
      <c r="AJ183" s="21">
        <v>100</v>
      </c>
      <c r="AK183" s="21" t="s">
        <v>2054</v>
      </c>
      <c r="AL183" t="s">
        <v>75</v>
      </c>
      <c r="AM183" t="s">
        <v>2029</v>
      </c>
    </row>
    <row r="184" spans="1:39" ht="15" hidden="1" thickTop="1" x14ac:dyDescent="0.35">
      <c r="A184" t="s">
        <v>2827</v>
      </c>
      <c r="B184" t="s">
        <v>2825</v>
      </c>
      <c r="C184" t="s">
        <v>92</v>
      </c>
      <c r="D184" t="s">
        <v>2826</v>
      </c>
      <c r="E184" t="s">
        <v>119</v>
      </c>
      <c r="F184">
        <v>1</v>
      </c>
      <c r="G184" t="s">
        <v>2050</v>
      </c>
      <c r="H184" t="s">
        <v>2051</v>
      </c>
      <c r="I184" t="s">
        <v>53</v>
      </c>
      <c r="J184" t="s">
        <v>67</v>
      </c>
      <c r="K184" t="s">
        <v>68</v>
      </c>
      <c r="L184" t="s">
        <v>2052</v>
      </c>
      <c r="M184" t="s">
        <v>2053</v>
      </c>
      <c r="N184">
        <v>0</v>
      </c>
      <c r="O184">
        <v>0</v>
      </c>
      <c r="P184">
        <v>0</v>
      </c>
      <c r="Q184">
        <v>1440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 t="s">
        <v>276</v>
      </c>
      <c r="AH184" s="21" t="s">
        <v>3425</v>
      </c>
      <c r="AI184" s="21">
        <v>107.92500000000001</v>
      </c>
      <c r="AJ184" s="21">
        <v>100</v>
      </c>
      <c r="AK184" s="21" t="s">
        <v>2054</v>
      </c>
      <c r="AL184" t="s">
        <v>70</v>
      </c>
      <c r="AM184" t="s">
        <v>2028</v>
      </c>
    </row>
    <row r="185" spans="1:39" ht="15" hidden="1" thickTop="1" x14ac:dyDescent="0.35">
      <c r="A185" t="s">
        <v>2832</v>
      </c>
      <c r="B185" t="s">
        <v>2828</v>
      </c>
      <c r="C185" t="s">
        <v>78</v>
      </c>
      <c r="D185" t="s">
        <v>2829</v>
      </c>
      <c r="E185" t="s">
        <v>559</v>
      </c>
      <c r="F185">
        <v>2</v>
      </c>
      <c r="G185" t="s">
        <v>2050</v>
      </c>
      <c r="H185" t="s">
        <v>2051</v>
      </c>
      <c r="I185" t="s">
        <v>53</v>
      </c>
      <c r="J185" t="s">
        <v>67</v>
      </c>
      <c r="K185" t="s">
        <v>68</v>
      </c>
      <c r="L185" t="s">
        <v>2052</v>
      </c>
      <c r="M185" t="s">
        <v>2053</v>
      </c>
      <c r="N185">
        <v>0</v>
      </c>
      <c r="O185">
        <v>0</v>
      </c>
      <c r="P185">
        <v>0</v>
      </c>
      <c r="Q185">
        <v>1440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t="s">
        <v>277</v>
      </c>
      <c r="AH185" s="21" t="s">
        <v>3424</v>
      </c>
      <c r="AI185" s="21">
        <v>107.92500000000001</v>
      </c>
      <c r="AJ185" s="21">
        <v>100</v>
      </c>
      <c r="AK185" s="21" t="s">
        <v>2054</v>
      </c>
      <c r="AL185" t="s">
        <v>70</v>
      </c>
      <c r="AM185" t="s">
        <v>2027</v>
      </c>
    </row>
    <row r="186" spans="1:39" ht="15" hidden="1" thickTop="1" x14ac:dyDescent="0.35">
      <c r="A186" t="s">
        <v>2842</v>
      </c>
      <c r="B186" t="s">
        <v>2836</v>
      </c>
      <c r="C186" t="s">
        <v>117</v>
      </c>
      <c r="D186" t="s">
        <v>2837</v>
      </c>
      <c r="E186" t="s">
        <v>559</v>
      </c>
      <c r="F186">
        <v>1</v>
      </c>
      <c r="G186" t="s">
        <v>2050</v>
      </c>
      <c r="H186" t="s">
        <v>2051</v>
      </c>
      <c r="I186" t="s">
        <v>53</v>
      </c>
      <c r="J186" t="s">
        <v>67</v>
      </c>
      <c r="K186" t="s">
        <v>68</v>
      </c>
      <c r="L186" t="s">
        <v>2052</v>
      </c>
      <c r="M186" t="s">
        <v>2053</v>
      </c>
      <c r="N186">
        <v>0</v>
      </c>
      <c r="O186">
        <v>0</v>
      </c>
      <c r="P186">
        <v>0</v>
      </c>
      <c r="Q186">
        <v>1440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278</v>
      </c>
      <c r="AH186" s="21" t="s">
        <v>3425</v>
      </c>
      <c r="AI186" s="21">
        <v>107.92500000000001</v>
      </c>
      <c r="AJ186" s="21">
        <v>100</v>
      </c>
      <c r="AK186" s="21" t="s">
        <v>2054</v>
      </c>
      <c r="AL186" t="s">
        <v>70</v>
      </c>
      <c r="AM186" t="s">
        <v>2027</v>
      </c>
    </row>
    <row r="187" spans="1:39" ht="15" hidden="1" thickTop="1" x14ac:dyDescent="0.35">
      <c r="A187" t="s">
        <v>2843</v>
      </c>
      <c r="B187" t="s">
        <v>2838</v>
      </c>
      <c r="C187" t="s">
        <v>92</v>
      </c>
      <c r="D187" t="s">
        <v>2839</v>
      </c>
      <c r="E187" t="s">
        <v>119</v>
      </c>
      <c r="F187">
        <v>1</v>
      </c>
      <c r="G187" t="s">
        <v>2050</v>
      </c>
      <c r="H187" t="s">
        <v>2051</v>
      </c>
      <c r="I187" t="s">
        <v>53</v>
      </c>
      <c r="J187" t="s">
        <v>67</v>
      </c>
      <c r="K187" t="s">
        <v>68</v>
      </c>
      <c r="L187" t="s">
        <v>2052</v>
      </c>
      <c r="M187" t="s">
        <v>2053</v>
      </c>
      <c r="N187">
        <v>0</v>
      </c>
      <c r="O187">
        <v>0</v>
      </c>
      <c r="P187">
        <v>0</v>
      </c>
      <c r="Q187">
        <v>1440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279</v>
      </c>
      <c r="AH187" s="21" t="s">
        <v>3425</v>
      </c>
      <c r="AI187" s="21">
        <v>107.92500000000001</v>
      </c>
      <c r="AJ187" s="21">
        <v>100</v>
      </c>
      <c r="AK187" s="21" t="s">
        <v>2054</v>
      </c>
      <c r="AL187" t="s">
        <v>70</v>
      </c>
      <c r="AM187" t="s">
        <v>2029</v>
      </c>
    </row>
    <row r="188" spans="1:39" ht="15" hidden="1" thickTop="1" x14ac:dyDescent="0.35">
      <c r="A188" t="s">
        <v>2845</v>
      </c>
      <c r="B188" t="s">
        <v>2840</v>
      </c>
      <c r="C188" t="s">
        <v>92</v>
      </c>
      <c r="D188" t="s">
        <v>2841</v>
      </c>
      <c r="E188" t="s">
        <v>119</v>
      </c>
      <c r="F188">
        <v>1</v>
      </c>
      <c r="G188" t="s">
        <v>2050</v>
      </c>
      <c r="H188" t="s">
        <v>2051</v>
      </c>
      <c r="I188" t="s">
        <v>53</v>
      </c>
      <c r="J188" t="s">
        <v>67</v>
      </c>
      <c r="K188" t="s">
        <v>68</v>
      </c>
      <c r="L188" t="s">
        <v>2052</v>
      </c>
      <c r="M188" t="s">
        <v>2053</v>
      </c>
      <c r="N188">
        <v>0</v>
      </c>
      <c r="O188">
        <v>0</v>
      </c>
      <c r="P188">
        <v>0</v>
      </c>
      <c r="Q188">
        <v>1440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t="s">
        <v>280</v>
      </c>
      <c r="AH188" s="21" t="s">
        <v>3425</v>
      </c>
      <c r="AI188" s="21">
        <v>107.92500000000001</v>
      </c>
      <c r="AJ188" s="21">
        <v>100</v>
      </c>
      <c r="AK188" s="21" t="s">
        <v>2054</v>
      </c>
      <c r="AL188" t="s">
        <v>70</v>
      </c>
      <c r="AM188" t="s">
        <v>2029</v>
      </c>
    </row>
    <row r="189" spans="1:39" ht="15" hidden="1" thickTop="1" x14ac:dyDescent="0.35">
      <c r="A189" t="s">
        <v>283</v>
      </c>
      <c r="B189" t="s">
        <v>2849</v>
      </c>
      <c r="C189" t="s">
        <v>100</v>
      </c>
      <c r="D189" t="s">
        <v>2850</v>
      </c>
      <c r="E189" t="s">
        <v>559</v>
      </c>
      <c r="F189">
        <v>1</v>
      </c>
      <c r="G189" t="s">
        <v>2050</v>
      </c>
      <c r="H189" t="s">
        <v>2051</v>
      </c>
      <c r="I189" t="s">
        <v>53</v>
      </c>
      <c r="J189" t="s">
        <v>67</v>
      </c>
      <c r="K189" t="s">
        <v>68</v>
      </c>
      <c r="L189" t="s">
        <v>2052</v>
      </c>
      <c r="M189" t="s">
        <v>2053</v>
      </c>
      <c r="N189">
        <v>0</v>
      </c>
      <c r="O189">
        <v>0</v>
      </c>
      <c r="P189">
        <v>0</v>
      </c>
      <c r="Q189">
        <v>1440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281</v>
      </c>
      <c r="AH189" s="21" t="s">
        <v>3425</v>
      </c>
      <c r="AI189" s="21">
        <v>107.92500000000001</v>
      </c>
      <c r="AJ189" s="21">
        <v>100</v>
      </c>
      <c r="AK189" s="21" t="s">
        <v>2054</v>
      </c>
      <c r="AL189" t="s">
        <v>70</v>
      </c>
      <c r="AM189" t="s">
        <v>2029</v>
      </c>
    </row>
    <row r="190" spans="1:39" ht="15" hidden="1" thickTop="1" x14ac:dyDescent="0.35">
      <c r="A190" t="s">
        <v>2853</v>
      </c>
      <c r="B190" t="s">
        <v>2851</v>
      </c>
      <c r="C190" t="s">
        <v>71</v>
      </c>
      <c r="D190" t="s">
        <v>2852</v>
      </c>
      <c r="E190" t="s">
        <v>72</v>
      </c>
      <c r="F190">
        <v>1</v>
      </c>
      <c r="G190" t="s">
        <v>2050</v>
      </c>
      <c r="H190" t="s">
        <v>2051</v>
      </c>
      <c r="I190" t="s">
        <v>53</v>
      </c>
      <c r="J190" t="s">
        <v>73</v>
      </c>
      <c r="K190" t="s">
        <v>68</v>
      </c>
      <c r="L190" t="s">
        <v>2052</v>
      </c>
      <c r="M190" t="s">
        <v>2053</v>
      </c>
      <c r="N190">
        <v>0</v>
      </c>
      <c r="O190">
        <v>0</v>
      </c>
      <c r="P190">
        <v>0</v>
      </c>
      <c r="Q190">
        <v>1440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284</v>
      </c>
      <c r="AH190" s="21" t="s">
        <v>3428</v>
      </c>
      <c r="AI190" s="21">
        <v>107.92500000000001</v>
      </c>
      <c r="AJ190" s="21">
        <v>100</v>
      </c>
      <c r="AK190" s="21" t="s">
        <v>2054</v>
      </c>
      <c r="AL190" t="s">
        <v>75</v>
      </c>
      <c r="AM190" t="s">
        <v>2029</v>
      </c>
    </row>
    <row r="191" spans="1:39" ht="15" hidden="1" thickTop="1" x14ac:dyDescent="0.35">
      <c r="A191" t="s">
        <v>2859</v>
      </c>
      <c r="B191" t="s">
        <v>2857</v>
      </c>
      <c r="C191" t="s">
        <v>100</v>
      </c>
      <c r="D191" t="s">
        <v>2858</v>
      </c>
      <c r="E191" t="s">
        <v>559</v>
      </c>
      <c r="F191">
        <v>1</v>
      </c>
      <c r="G191" t="s">
        <v>2050</v>
      </c>
      <c r="H191" t="s">
        <v>2051</v>
      </c>
      <c r="I191" t="s">
        <v>53</v>
      </c>
      <c r="J191" t="s">
        <v>67</v>
      </c>
      <c r="K191" t="s">
        <v>68</v>
      </c>
      <c r="L191" t="s">
        <v>2052</v>
      </c>
      <c r="M191" t="s">
        <v>2053</v>
      </c>
      <c r="N191">
        <v>0</v>
      </c>
      <c r="O191">
        <v>0</v>
      </c>
      <c r="P191">
        <v>0</v>
      </c>
      <c r="Q191">
        <v>1440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289</v>
      </c>
      <c r="AH191" s="21" t="s">
        <v>3424</v>
      </c>
      <c r="AI191" s="21">
        <v>107.92500000000001</v>
      </c>
      <c r="AJ191" s="21">
        <v>100</v>
      </c>
      <c r="AK191" s="21" t="s">
        <v>2054</v>
      </c>
      <c r="AL191" t="s">
        <v>70</v>
      </c>
      <c r="AM191" t="s">
        <v>2028</v>
      </c>
    </row>
    <row r="192" spans="1:39" ht="15" hidden="1" thickTop="1" x14ac:dyDescent="0.35">
      <c r="A192" t="s">
        <v>2864</v>
      </c>
      <c r="B192" t="s">
        <v>2862</v>
      </c>
      <c r="C192" t="s">
        <v>81</v>
      </c>
      <c r="D192" t="s">
        <v>2863</v>
      </c>
      <c r="E192" t="s">
        <v>559</v>
      </c>
      <c r="F192">
        <v>1</v>
      </c>
      <c r="G192" t="s">
        <v>2050</v>
      </c>
      <c r="H192" t="s">
        <v>2051</v>
      </c>
      <c r="I192" t="s">
        <v>53</v>
      </c>
      <c r="J192" t="s">
        <v>82</v>
      </c>
      <c r="K192" t="s">
        <v>68</v>
      </c>
      <c r="L192" t="s">
        <v>2052</v>
      </c>
      <c r="M192" t="s">
        <v>2053</v>
      </c>
      <c r="N192">
        <v>0</v>
      </c>
      <c r="O192">
        <v>0</v>
      </c>
      <c r="P192">
        <v>0</v>
      </c>
      <c r="Q192">
        <v>1440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290</v>
      </c>
      <c r="AH192" s="21" t="s">
        <v>3424</v>
      </c>
      <c r="AI192" s="21">
        <v>107.92500000000001</v>
      </c>
      <c r="AJ192" s="21">
        <v>100</v>
      </c>
      <c r="AK192" s="21" t="s">
        <v>2054</v>
      </c>
      <c r="AL192" t="s">
        <v>70</v>
      </c>
      <c r="AM192" t="s">
        <v>2030</v>
      </c>
    </row>
    <row r="193" spans="1:39" ht="15" hidden="1" thickTop="1" x14ac:dyDescent="0.35">
      <c r="A193" t="s">
        <v>2870</v>
      </c>
      <c r="B193" t="s">
        <v>2868</v>
      </c>
      <c r="C193" t="s">
        <v>78</v>
      </c>
      <c r="D193" t="s">
        <v>2869</v>
      </c>
      <c r="E193" t="s">
        <v>559</v>
      </c>
      <c r="F193">
        <v>1</v>
      </c>
      <c r="G193" t="s">
        <v>2050</v>
      </c>
      <c r="H193" t="s">
        <v>2051</v>
      </c>
      <c r="I193" t="s">
        <v>53</v>
      </c>
      <c r="J193" t="s">
        <v>67</v>
      </c>
      <c r="K193" t="s">
        <v>68</v>
      </c>
      <c r="L193" t="s">
        <v>2052</v>
      </c>
      <c r="M193" t="s">
        <v>2064</v>
      </c>
      <c r="N193">
        <v>0</v>
      </c>
      <c r="O193">
        <v>0</v>
      </c>
      <c r="P193">
        <v>0</v>
      </c>
      <c r="Q193">
        <v>900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291</v>
      </c>
      <c r="AH193" s="21" t="s">
        <v>3424</v>
      </c>
      <c r="AI193" s="21">
        <v>67.5</v>
      </c>
      <c r="AJ193" s="21">
        <v>100</v>
      </c>
      <c r="AK193" s="21" t="s">
        <v>2054</v>
      </c>
      <c r="AL193" t="s">
        <v>70</v>
      </c>
      <c r="AM193" t="s">
        <v>2028</v>
      </c>
    </row>
    <row r="194" spans="1:39" ht="15" hidden="1" thickTop="1" x14ac:dyDescent="0.35">
      <c r="A194" t="s">
        <v>2875</v>
      </c>
      <c r="B194" t="s">
        <v>2876</v>
      </c>
      <c r="C194" t="s">
        <v>100</v>
      </c>
      <c r="D194" t="s">
        <v>2877</v>
      </c>
      <c r="E194" t="s">
        <v>559</v>
      </c>
      <c r="F194">
        <v>1</v>
      </c>
      <c r="G194" t="s">
        <v>2050</v>
      </c>
      <c r="H194" t="s">
        <v>2051</v>
      </c>
      <c r="I194" t="s">
        <v>53</v>
      </c>
      <c r="J194" t="s">
        <v>67</v>
      </c>
      <c r="K194" t="s">
        <v>68</v>
      </c>
      <c r="L194" t="s">
        <v>2052</v>
      </c>
      <c r="M194" t="s">
        <v>2053</v>
      </c>
      <c r="N194">
        <v>1</v>
      </c>
      <c r="O194">
        <v>42</v>
      </c>
      <c r="P194">
        <v>2.92</v>
      </c>
      <c r="Q194">
        <v>1440</v>
      </c>
      <c r="R194">
        <v>1</v>
      </c>
      <c r="S194">
        <v>42</v>
      </c>
      <c r="T194">
        <v>2.92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 t="s">
        <v>292</v>
      </c>
      <c r="AH194" s="21" t="s">
        <v>3424</v>
      </c>
      <c r="AI194" s="21">
        <v>107.92500000000001</v>
      </c>
      <c r="AJ194" s="21">
        <v>97.083333333333329</v>
      </c>
      <c r="AK194" s="21" t="s">
        <v>2054</v>
      </c>
      <c r="AL194" t="s">
        <v>70</v>
      </c>
      <c r="AM194" t="s">
        <v>2028</v>
      </c>
    </row>
    <row r="195" spans="1:39" ht="15" hidden="1" thickTop="1" x14ac:dyDescent="0.35">
      <c r="A195" t="s">
        <v>2882</v>
      </c>
      <c r="B195" t="s">
        <v>2883</v>
      </c>
      <c r="C195" t="s">
        <v>92</v>
      </c>
      <c r="D195" t="s">
        <v>2884</v>
      </c>
      <c r="E195" t="s">
        <v>559</v>
      </c>
      <c r="F195">
        <v>1</v>
      </c>
      <c r="G195" t="s">
        <v>2050</v>
      </c>
      <c r="H195" t="s">
        <v>2051</v>
      </c>
      <c r="I195" t="s">
        <v>53</v>
      </c>
      <c r="J195" t="s">
        <v>67</v>
      </c>
      <c r="K195" t="s">
        <v>68</v>
      </c>
      <c r="L195" t="s">
        <v>2052</v>
      </c>
      <c r="M195" t="s">
        <v>2053</v>
      </c>
      <c r="N195">
        <v>0</v>
      </c>
      <c r="O195">
        <v>0</v>
      </c>
      <c r="P195">
        <v>0</v>
      </c>
      <c r="Q195">
        <v>1440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 t="s">
        <v>293</v>
      </c>
      <c r="AH195" s="21" t="s">
        <v>3424</v>
      </c>
      <c r="AI195" s="21">
        <v>107.92500000000001</v>
      </c>
      <c r="AJ195" s="21">
        <v>100</v>
      </c>
      <c r="AK195" s="21" t="s">
        <v>2055</v>
      </c>
      <c r="AL195" t="s">
        <v>70</v>
      </c>
      <c r="AM195" t="s">
        <v>2029</v>
      </c>
    </row>
    <row r="196" spans="1:39" ht="15" hidden="1" thickTop="1" x14ac:dyDescent="0.35">
      <c r="A196" t="s">
        <v>2889</v>
      </c>
      <c r="B196" t="s">
        <v>2890</v>
      </c>
      <c r="C196" t="s">
        <v>92</v>
      </c>
      <c r="D196" t="s">
        <v>2891</v>
      </c>
      <c r="E196" t="s">
        <v>119</v>
      </c>
      <c r="F196">
        <v>1</v>
      </c>
      <c r="G196" t="s">
        <v>2050</v>
      </c>
      <c r="H196" t="s">
        <v>2051</v>
      </c>
      <c r="I196" t="s">
        <v>53</v>
      </c>
      <c r="J196" t="s">
        <v>67</v>
      </c>
      <c r="K196" t="s">
        <v>68</v>
      </c>
      <c r="L196" t="s">
        <v>2052</v>
      </c>
      <c r="M196" t="s">
        <v>2064</v>
      </c>
      <c r="N196">
        <v>1</v>
      </c>
      <c r="O196">
        <v>27</v>
      </c>
      <c r="P196">
        <v>3</v>
      </c>
      <c r="Q196">
        <v>900</v>
      </c>
      <c r="R196">
        <v>1</v>
      </c>
      <c r="S196">
        <v>27</v>
      </c>
      <c r="T196">
        <v>3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294</v>
      </c>
      <c r="AH196" s="21" t="s">
        <v>3425</v>
      </c>
      <c r="AI196" s="21">
        <v>67.5</v>
      </c>
      <c r="AJ196" s="21">
        <v>97</v>
      </c>
      <c r="AK196" s="21" t="s">
        <v>2054</v>
      </c>
      <c r="AL196" t="s">
        <v>70</v>
      </c>
      <c r="AM196" t="s">
        <v>2027</v>
      </c>
    </row>
    <row r="197" spans="1:39" ht="15" hidden="1" thickTop="1" x14ac:dyDescent="0.35">
      <c r="A197" t="s">
        <v>2896</v>
      </c>
      <c r="B197" t="s">
        <v>2900</v>
      </c>
      <c r="C197" t="s">
        <v>76</v>
      </c>
      <c r="D197" t="s">
        <v>2901</v>
      </c>
      <c r="E197" t="s">
        <v>559</v>
      </c>
      <c r="F197">
        <v>1</v>
      </c>
      <c r="G197" t="s">
        <v>2050</v>
      </c>
      <c r="H197" t="s">
        <v>2051</v>
      </c>
      <c r="I197" t="s">
        <v>53</v>
      </c>
      <c r="J197" t="s">
        <v>67</v>
      </c>
      <c r="K197" t="s">
        <v>68</v>
      </c>
      <c r="L197" t="s">
        <v>2052</v>
      </c>
      <c r="M197" t="s">
        <v>2053</v>
      </c>
      <c r="N197">
        <v>0</v>
      </c>
      <c r="O197">
        <v>0</v>
      </c>
      <c r="P197">
        <v>0</v>
      </c>
      <c r="Q197">
        <v>1440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 t="s">
        <v>296</v>
      </c>
      <c r="AH197" s="21" t="s">
        <v>3427</v>
      </c>
      <c r="AI197" s="21">
        <v>107.92500000000001</v>
      </c>
      <c r="AJ197" s="21">
        <v>100</v>
      </c>
      <c r="AK197" s="21" t="s">
        <v>2055</v>
      </c>
      <c r="AL197" t="s">
        <v>70</v>
      </c>
      <c r="AM197" t="s">
        <v>2030</v>
      </c>
    </row>
    <row r="198" spans="1:39" ht="15" hidden="1" thickTop="1" x14ac:dyDescent="0.35">
      <c r="A198" t="s">
        <v>2902</v>
      </c>
      <c r="B198" t="s">
        <v>2906</v>
      </c>
      <c r="C198" t="s">
        <v>78</v>
      </c>
      <c r="D198" t="s">
        <v>2907</v>
      </c>
      <c r="E198" t="s">
        <v>559</v>
      </c>
      <c r="F198">
        <v>1</v>
      </c>
      <c r="G198" t="s">
        <v>2050</v>
      </c>
      <c r="H198" t="s">
        <v>2051</v>
      </c>
      <c r="I198" t="s">
        <v>53</v>
      </c>
      <c r="J198" t="s">
        <v>67</v>
      </c>
      <c r="K198" t="s">
        <v>68</v>
      </c>
      <c r="L198" t="s">
        <v>2052</v>
      </c>
      <c r="M198" t="s">
        <v>2053</v>
      </c>
      <c r="N198">
        <v>0</v>
      </c>
      <c r="O198">
        <v>0</v>
      </c>
      <c r="P198">
        <v>0</v>
      </c>
      <c r="Q198">
        <v>1440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t="s">
        <v>297</v>
      </c>
      <c r="AH198" s="21" t="s">
        <v>3427</v>
      </c>
      <c r="AI198" s="21">
        <v>107.92500000000001</v>
      </c>
      <c r="AJ198" s="21">
        <v>100</v>
      </c>
      <c r="AK198" s="21" t="s">
        <v>2054</v>
      </c>
      <c r="AL198" t="s">
        <v>70</v>
      </c>
      <c r="AM198" t="s">
        <v>2028</v>
      </c>
    </row>
    <row r="199" spans="1:39" ht="15" hidden="1" thickTop="1" x14ac:dyDescent="0.35">
      <c r="A199" t="s">
        <v>2909</v>
      </c>
      <c r="B199" t="s">
        <v>2913</v>
      </c>
      <c r="C199" t="s">
        <v>3376</v>
      </c>
      <c r="D199" t="s">
        <v>2914</v>
      </c>
      <c r="E199" t="s">
        <v>559</v>
      </c>
      <c r="F199">
        <v>1</v>
      </c>
      <c r="G199" t="s">
        <v>2050</v>
      </c>
      <c r="H199" t="s">
        <v>2051</v>
      </c>
      <c r="I199" t="s">
        <v>53</v>
      </c>
      <c r="J199" t="s">
        <v>67</v>
      </c>
      <c r="K199" t="s">
        <v>68</v>
      </c>
      <c r="L199" t="s">
        <v>2052</v>
      </c>
      <c r="M199" t="s">
        <v>2053</v>
      </c>
      <c r="N199">
        <v>0</v>
      </c>
      <c r="O199">
        <v>0</v>
      </c>
      <c r="P199">
        <v>0</v>
      </c>
      <c r="Q199">
        <v>1440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298</v>
      </c>
      <c r="AH199" s="21" t="s">
        <v>3427</v>
      </c>
      <c r="AI199" s="21">
        <v>107.92500000000001</v>
      </c>
      <c r="AJ199" s="21">
        <v>100</v>
      </c>
      <c r="AK199" s="21" t="s">
        <v>2054</v>
      </c>
      <c r="AL199" t="s">
        <v>70</v>
      </c>
      <c r="AM199" t="s">
        <v>2027</v>
      </c>
    </row>
    <row r="200" spans="1:39" ht="15" hidden="1" thickTop="1" x14ac:dyDescent="0.35">
      <c r="A200" t="s">
        <v>2916</v>
      </c>
      <c r="B200" t="s">
        <v>2922</v>
      </c>
      <c r="C200" t="s">
        <v>66</v>
      </c>
      <c r="D200" t="s">
        <v>2923</v>
      </c>
      <c r="E200" t="s">
        <v>559</v>
      </c>
      <c r="F200">
        <v>1</v>
      </c>
      <c r="G200" t="s">
        <v>2050</v>
      </c>
      <c r="H200" t="s">
        <v>2051</v>
      </c>
      <c r="I200" t="s">
        <v>53</v>
      </c>
      <c r="J200" t="s">
        <v>67</v>
      </c>
      <c r="K200" t="s">
        <v>68</v>
      </c>
      <c r="L200" t="s">
        <v>2052</v>
      </c>
      <c r="M200" t="s">
        <v>2053</v>
      </c>
      <c r="N200">
        <v>0</v>
      </c>
      <c r="O200">
        <v>0</v>
      </c>
      <c r="P200">
        <v>0</v>
      </c>
      <c r="Q200">
        <v>1440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299</v>
      </c>
      <c r="AH200" s="21" t="s">
        <v>3424</v>
      </c>
      <c r="AI200" s="21">
        <v>107.92500000000001</v>
      </c>
      <c r="AJ200" s="21">
        <v>100</v>
      </c>
      <c r="AK200" s="21" t="s">
        <v>2054</v>
      </c>
      <c r="AL200" t="s">
        <v>70</v>
      </c>
      <c r="AM200" t="s">
        <v>2028</v>
      </c>
    </row>
    <row r="201" spans="1:39" ht="15" hidden="1" thickTop="1" x14ac:dyDescent="0.35">
      <c r="A201" t="s">
        <v>2919</v>
      </c>
      <c r="B201" t="s">
        <v>2925</v>
      </c>
      <c r="C201" t="s">
        <v>102</v>
      </c>
      <c r="D201" t="s">
        <v>2926</v>
      </c>
      <c r="E201" t="s">
        <v>559</v>
      </c>
      <c r="F201">
        <v>1</v>
      </c>
      <c r="G201" t="s">
        <v>2050</v>
      </c>
      <c r="H201" t="s">
        <v>2051</v>
      </c>
      <c r="I201" t="s">
        <v>53</v>
      </c>
      <c r="J201" t="s">
        <v>67</v>
      </c>
      <c r="K201" t="s">
        <v>68</v>
      </c>
      <c r="L201" t="s">
        <v>2052</v>
      </c>
      <c r="M201" t="s">
        <v>2053</v>
      </c>
      <c r="N201">
        <v>0</v>
      </c>
      <c r="O201">
        <v>0</v>
      </c>
      <c r="P201">
        <v>0</v>
      </c>
      <c r="Q201">
        <v>1440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300</v>
      </c>
      <c r="AH201" s="21" t="s">
        <v>3424</v>
      </c>
      <c r="AI201" s="21">
        <v>107.92500000000001</v>
      </c>
      <c r="AJ201" s="21">
        <v>100</v>
      </c>
      <c r="AK201" s="21" t="s">
        <v>2054</v>
      </c>
      <c r="AL201" t="s">
        <v>70</v>
      </c>
      <c r="AM201" t="s">
        <v>2028</v>
      </c>
    </row>
    <row r="202" spans="1:39" ht="15" hidden="1" thickTop="1" x14ac:dyDescent="0.35">
      <c r="A202" t="s">
        <v>2928</v>
      </c>
      <c r="B202" t="s">
        <v>2935</v>
      </c>
      <c r="C202" t="s">
        <v>76</v>
      </c>
      <c r="D202" t="s">
        <v>2936</v>
      </c>
      <c r="E202" t="s">
        <v>559</v>
      </c>
      <c r="F202">
        <v>1</v>
      </c>
      <c r="G202" t="s">
        <v>2050</v>
      </c>
      <c r="H202" t="s">
        <v>2051</v>
      </c>
      <c r="I202" t="s">
        <v>53</v>
      </c>
      <c r="J202" t="s">
        <v>67</v>
      </c>
      <c r="K202" t="s">
        <v>68</v>
      </c>
      <c r="L202" t="s">
        <v>2052</v>
      </c>
      <c r="M202" t="s">
        <v>2053</v>
      </c>
      <c r="N202">
        <v>0</v>
      </c>
      <c r="O202">
        <v>0</v>
      </c>
      <c r="P202">
        <v>0</v>
      </c>
      <c r="Q202">
        <v>1440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301</v>
      </c>
      <c r="AH202" s="21" t="s">
        <v>3424</v>
      </c>
      <c r="AI202" s="21">
        <v>107.92500000000001</v>
      </c>
      <c r="AJ202" s="21">
        <v>100</v>
      </c>
      <c r="AK202" s="21" t="s">
        <v>2055</v>
      </c>
      <c r="AL202" t="s">
        <v>70</v>
      </c>
      <c r="AM202" t="s">
        <v>2028</v>
      </c>
    </row>
    <row r="203" spans="1:39" ht="15" hidden="1" thickTop="1" x14ac:dyDescent="0.35">
      <c r="A203" t="s">
        <v>2929</v>
      </c>
      <c r="B203" t="s">
        <v>2938</v>
      </c>
      <c r="C203" t="s">
        <v>76</v>
      </c>
      <c r="D203" t="s">
        <v>2939</v>
      </c>
      <c r="E203" t="s">
        <v>119</v>
      </c>
      <c r="F203">
        <v>1</v>
      </c>
      <c r="G203" t="s">
        <v>2050</v>
      </c>
      <c r="H203" t="s">
        <v>2051</v>
      </c>
      <c r="I203" t="s">
        <v>53</v>
      </c>
      <c r="J203" t="s">
        <v>67</v>
      </c>
      <c r="K203" t="s">
        <v>68</v>
      </c>
      <c r="L203" t="s">
        <v>2052</v>
      </c>
      <c r="M203" t="s">
        <v>2053</v>
      </c>
      <c r="N203">
        <v>0</v>
      </c>
      <c r="O203">
        <v>0</v>
      </c>
      <c r="P203">
        <v>0</v>
      </c>
      <c r="Q203">
        <v>1440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302</v>
      </c>
      <c r="AH203" s="21" t="s">
        <v>3424</v>
      </c>
      <c r="AI203" s="21">
        <v>107.92500000000001</v>
      </c>
      <c r="AJ203" s="21">
        <v>100</v>
      </c>
      <c r="AK203" s="21" t="s">
        <v>2054</v>
      </c>
      <c r="AL203" t="s">
        <v>70</v>
      </c>
      <c r="AM203" t="s">
        <v>2029</v>
      </c>
    </row>
    <row r="204" spans="1:39" ht="15" hidden="1" thickTop="1" x14ac:dyDescent="0.35">
      <c r="A204" t="s">
        <v>2930</v>
      </c>
      <c r="B204" t="s">
        <v>2942</v>
      </c>
      <c r="C204" t="s">
        <v>128</v>
      </c>
      <c r="D204" t="s">
        <v>2943</v>
      </c>
      <c r="E204" t="s">
        <v>112</v>
      </c>
      <c r="F204">
        <v>1</v>
      </c>
      <c r="G204" t="s">
        <v>2050</v>
      </c>
      <c r="H204" t="s">
        <v>2051</v>
      </c>
      <c r="I204" t="s">
        <v>53</v>
      </c>
      <c r="J204" t="s">
        <v>113</v>
      </c>
      <c r="K204" t="s">
        <v>68</v>
      </c>
      <c r="L204" t="s">
        <v>2052</v>
      </c>
      <c r="M204" t="s">
        <v>2053</v>
      </c>
      <c r="N204">
        <v>0</v>
      </c>
      <c r="O204">
        <v>0</v>
      </c>
      <c r="P204">
        <v>0</v>
      </c>
      <c r="Q204">
        <v>1440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t="s">
        <v>303</v>
      </c>
      <c r="AH204" s="21" t="s">
        <v>3427</v>
      </c>
      <c r="AI204" s="21">
        <v>107.92500000000001</v>
      </c>
      <c r="AJ204" s="21">
        <v>100</v>
      </c>
      <c r="AK204" s="21" t="s">
        <v>2054</v>
      </c>
      <c r="AL204" t="s">
        <v>115</v>
      </c>
      <c r="AM204" t="s">
        <v>2027</v>
      </c>
    </row>
    <row r="205" spans="1:39" ht="15" hidden="1" thickTop="1" x14ac:dyDescent="0.35">
      <c r="A205" t="s">
        <v>2934</v>
      </c>
      <c r="B205" t="s">
        <v>2944</v>
      </c>
      <c r="C205" t="s">
        <v>237</v>
      </c>
      <c r="D205" t="s">
        <v>2945</v>
      </c>
      <c r="E205" t="s">
        <v>72</v>
      </c>
      <c r="F205">
        <v>1</v>
      </c>
      <c r="G205" t="s">
        <v>2050</v>
      </c>
      <c r="H205" t="s">
        <v>2051</v>
      </c>
      <c r="I205" t="s">
        <v>53</v>
      </c>
      <c r="J205" t="s">
        <v>73</v>
      </c>
      <c r="K205" t="s">
        <v>68</v>
      </c>
      <c r="L205" t="s">
        <v>2052</v>
      </c>
      <c r="M205" t="s">
        <v>2053</v>
      </c>
      <c r="N205">
        <v>0</v>
      </c>
      <c r="O205">
        <v>0</v>
      </c>
      <c r="P205">
        <v>0</v>
      </c>
      <c r="Q205">
        <v>1440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304</v>
      </c>
      <c r="AH205" s="21" t="s">
        <v>3427</v>
      </c>
      <c r="AI205" s="21">
        <v>107.92500000000001</v>
      </c>
      <c r="AJ205" s="21">
        <v>100</v>
      </c>
      <c r="AK205" s="21" t="s">
        <v>2054</v>
      </c>
      <c r="AL205" t="s">
        <v>75</v>
      </c>
      <c r="AM205" t="s">
        <v>2027</v>
      </c>
    </row>
    <row r="206" spans="1:39" ht="15" hidden="1" thickTop="1" x14ac:dyDescent="0.35">
      <c r="A206" t="s">
        <v>2947</v>
      </c>
      <c r="B206" t="s">
        <v>2953</v>
      </c>
      <c r="C206" t="s">
        <v>81</v>
      </c>
      <c r="D206" t="s">
        <v>2954</v>
      </c>
      <c r="E206" t="s">
        <v>559</v>
      </c>
      <c r="F206">
        <v>2</v>
      </c>
      <c r="G206" t="s">
        <v>2050</v>
      </c>
      <c r="H206" t="s">
        <v>2051</v>
      </c>
      <c r="I206" t="s">
        <v>53</v>
      </c>
      <c r="J206" t="s">
        <v>82</v>
      </c>
      <c r="K206" t="s">
        <v>68</v>
      </c>
      <c r="L206" t="s">
        <v>2052</v>
      </c>
      <c r="M206" t="s">
        <v>2083</v>
      </c>
      <c r="N206">
        <v>0</v>
      </c>
      <c r="O206">
        <v>0</v>
      </c>
      <c r="P206">
        <v>0</v>
      </c>
      <c r="Q206">
        <v>960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305</v>
      </c>
      <c r="AH206" s="21" t="s">
        <v>3427</v>
      </c>
      <c r="AI206" s="21">
        <v>72.000000000000014</v>
      </c>
      <c r="AJ206" s="21">
        <v>100</v>
      </c>
      <c r="AK206" s="21" t="s">
        <v>2054</v>
      </c>
      <c r="AL206" t="s">
        <v>70</v>
      </c>
      <c r="AM206" t="s">
        <v>2029</v>
      </c>
    </row>
    <row r="207" spans="1:39" ht="15" hidden="1" thickTop="1" x14ac:dyDescent="0.35">
      <c r="A207" t="s">
        <v>2948</v>
      </c>
      <c r="B207" t="s">
        <v>2955</v>
      </c>
      <c r="C207" t="s">
        <v>92</v>
      </c>
      <c r="D207" t="s">
        <v>2956</v>
      </c>
      <c r="E207" t="s">
        <v>559</v>
      </c>
      <c r="F207">
        <v>1</v>
      </c>
      <c r="G207" t="s">
        <v>2050</v>
      </c>
      <c r="H207" t="s">
        <v>2051</v>
      </c>
      <c r="I207" t="s">
        <v>53</v>
      </c>
      <c r="J207" t="s">
        <v>67</v>
      </c>
      <c r="K207" t="s">
        <v>68</v>
      </c>
      <c r="L207" t="s">
        <v>2052</v>
      </c>
      <c r="M207" t="s">
        <v>2053</v>
      </c>
      <c r="N207">
        <v>0</v>
      </c>
      <c r="O207">
        <v>0</v>
      </c>
      <c r="P207">
        <v>0</v>
      </c>
      <c r="Q207">
        <v>1440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306</v>
      </c>
      <c r="AH207" s="21" t="s">
        <v>3424</v>
      </c>
      <c r="AI207" s="21">
        <v>107.92500000000001</v>
      </c>
      <c r="AJ207" s="21">
        <v>100</v>
      </c>
      <c r="AK207" s="21" t="s">
        <v>2054</v>
      </c>
      <c r="AL207" t="s">
        <v>70</v>
      </c>
      <c r="AM207" t="s">
        <v>2027</v>
      </c>
    </row>
    <row r="208" spans="1:39" ht="15" hidden="1" thickTop="1" x14ac:dyDescent="0.35">
      <c r="A208" t="s">
        <v>2949</v>
      </c>
      <c r="B208" t="s">
        <v>2957</v>
      </c>
      <c r="C208" t="s">
        <v>66</v>
      </c>
      <c r="D208" t="s">
        <v>2958</v>
      </c>
      <c r="E208" t="s">
        <v>559</v>
      </c>
      <c r="F208">
        <v>1</v>
      </c>
      <c r="G208" t="s">
        <v>2050</v>
      </c>
      <c r="H208" t="s">
        <v>2051</v>
      </c>
      <c r="I208" t="s">
        <v>53</v>
      </c>
      <c r="J208" t="s">
        <v>67</v>
      </c>
      <c r="K208" t="s">
        <v>68</v>
      </c>
      <c r="L208" t="s">
        <v>2052</v>
      </c>
      <c r="M208" t="s">
        <v>2053</v>
      </c>
      <c r="N208">
        <v>0</v>
      </c>
      <c r="O208">
        <v>0</v>
      </c>
      <c r="P208">
        <v>0</v>
      </c>
      <c r="Q208">
        <v>1440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307</v>
      </c>
      <c r="AH208" s="21" t="s">
        <v>3424</v>
      </c>
      <c r="AI208" s="21">
        <v>107.92500000000001</v>
      </c>
      <c r="AJ208" s="21">
        <v>100</v>
      </c>
      <c r="AK208" s="21" t="s">
        <v>2054</v>
      </c>
      <c r="AL208" t="s">
        <v>70</v>
      </c>
      <c r="AM208" t="s">
        <v>2028</v>
      </c>
    </row>
    <row r="209" spans="1:39" ht="15" hidden="1" thickTop="1" x14ac:dyDescent="0.35">
      <c r="A209" t="s">
        <v>2560</v>
      </c>
      <c r="B209" t="s">
        <v>2968</v>
      </c>
      <c r="C209" t="s">
        <v>92</v>
      </c>
      <c r="D209" t="s">
        <v>2969</v>
      </c>
      <c r="E209" t="s">
        <v>119</v>
      </c>
      <c r="F209">
        <v>1</v>
      </c>
      <c r="G209" t="s">
        <v>2050</v>
      </c>
      <c r="H209" t="s">
        <v>2051</v>
      </c>
      <c r="I209" t="s">
        <v>53</v>
      </c>
      <c r="J209" t="s">
        <v>67</v>
      </c>
      <c r="K209" t="s">
        <v>68</v>
      </c>
      <c r="L209" t="s">
        <v>2052</v>
      </c>
      <c r="M209" t="s">
        <v>2053</v>
      </c>
      <c r="N209">
        <v>0</v>
      </c>
      <c r="O209">
        <v>0</v>
      </c>
      <c r="P209">
        <v>0</v>
      </c>
      <c r="Q209">
        <v>1440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 t="s">
        <v>308</v>
      </c>
      <c r="AH209" s="21" t="s">
        <v>3424</v>
      </c>
      <c r="AI209" s="21">
        <v>107.92500000000001</v>
      </c>
      <c r="AJ209" s="21">
        <v>100</v>
      </c>
      <c r="AK209" s="21" t="s">
        <v>2054</v>
      </c>
      <c r="AL209" t="s">
        <v>70</v>
      </c>
      <c r="AM209" t="s">
        <v>2028</v>
      </c>
    </row>
    <row r="210" spans="1:39" ht="15" hidden="1" thickTop="1" x14ac:dyDescent="0.35">
      <c r="A210" t="s">
        <v>2964</v>
      </c>
      <c r="B210" t="s">
        <v>2970</v>
      </c>
      <c r="C210" t="s">
        <v>86</v>
      </c>
      <c r="D210" t="s">
        <v>2971</v>
      </c>
      <c r="E210" t="s">
        <v>72</v>
      </c>
      <c r="F210">
        <v>1</v>
      </c>
      <c r="G210" t="s">
        <v>2050</v>
      </c>
      <c r="H210" t="s">
        <v>2051</v>
      </c>
      <c r="I210" t="s">
        <v>53</v>
      </c>
      <c r="J210" t="s">
        <v>73</v>
      </c>
      <c r="K210" t="s">
        <v>68</v>
      </c>
      <c r="L210" t="s">
        <v>2052</v>
      </c>
      <c r="M210" t="s">
        <v>2053</v>
      </c>
      <c r="N210">
        <v>0</v>
      </c>
      <c r="O210">
        <v>0</v>
      </c>
      <c r="P210">
        <v>0</v>
      </c>
      <c r="Q210">
        <v>1440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309</v>
      </c>
      <c r="AH210" s="21" t="s">
        <v>3424</v>
      </c>
      <c r="AI210" s="21">
        <v>107.92500000000001</v>
      </c>
      <c r="AJ210" s="21">
        <v>100</v>
      </c>
      <c r="AK210" s="21" t="s">
        <v>2054</v>
      </c>
      <c r="AL210" t="s">
        <v>75</v>
      </c>
      <c r="AM210" t="s">
        <v>2027</v>
      </c>
    </row>
    <row r="211" spans="1:39" ht="15" hidden="1" thickTop="1" x14ac:dyDescent="0.35">
      <c r="A211" t="s">
        <v>2973</v>
      </c>
      <c r="B211" t="s">
        <v>2977</v>
      </c>
      <c r="C211" t="s">
        <v>66</v>
      </c>
      <c r="D211" t="s">
        <v>2978</v>
      </c>
      <c r="E211" t="s">
        <v>559</v>
      </c>
      <c r="F211">
        <v>1</v>
      </c>
      <c r="G211" t="s">
        <v>2050</v>
      </c>
      <c r="H211" t="s">
        <v>2051</v>
      </c>
      <c r="I211" t="s">
        <v>53</v>
      </c>
      <c r="J211" t="s">
        <v>67</v>
      </c>
      <c r="K211" t="s">
        <v>68</v>
      </c>
      <c r="L211" t="s">
        <v>2052</v>
      </c>
      <c r="M211" t="s">
        <v>2064</v>
      </c>
      <c r="N211">
        <v>0</v>
      </c>
      <c r="O211">
        <v>0</v>
      </c>
      <c r="P211">
        <v>0</v>
      </c>
      <c r="Q211">
        <v>900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t="s">
        <v>310</v>
      </c>
      <c r="AH211" s="21" t="s">
        <v>3424</v>
      </c>
      <c r="AI211" s="21">
        <v>67.5</v>
      </c>
      <c r="AJ211" s="21">
        <v>100</v>
      </c>
      <c r="AK211" s="21" t="s">
        <v>2054</v>
      </c>
      <c r="AL211" t="s">
        <v>70</v>
      </c>
      <c r="AM211" t="s">
        <v>2029</v>
      </c>
    </row>
    <row r="212" spans="1:39" ht="15" hidden="1" thickTop="1" x14ac:dyDescent="0.35">
      <c r="A212" t="s">
        <v>2980</v>
      </c>
      <c r="B212" t="s">
        <v>2984</v>
      </c>
      <c r="C212" t="s">
        <v>76</v>
      </c>
      <c r="D212" t="s">
        <v>2985</v>
      </c>
      <c r="E212" t="s">
        <v>119</v>
      </c>
      <c r="F212">
        <v>1</v>
      </c>
      <c r="G212" t="s">
        <v>2050</v>
      </c>
      <c r="H212" t="s">
        <v>2051</v>
      </c>
      <c r="I212" t="s">
        <v>53</v>
      </c>
      <c r="J212" t="s">
        <v>67</v>
      </c>
      <c r="K212" t="s">
        <v>68</v>
      </c>
      <c r="L212" t="s">
        <v>2052</v>
      </c>
      <c r="M212" t="s">
        <v>2053</v>
      </c>
      <c r="N212">
        <v>0</v>
      </c>
      <c r="O212">
        <v>0</v>
      </c>
      <c r="P212">
        <v>0</v>
      </c>
      <c r="Q212">
        <v>1440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t="s">
        <v>311</v>
      </c>
      <c r="AH212" s="21" t="s">
        <v>3429</v>
      </c>
      <c r="AI212" s="21">
        <v>107.92500000000001</v>
      </c>
      <c r="AJ212" s="21">
        <v>100</v>
      </c>
      <c r="AK212" s="21" t="s">
        <v>2054</v>
      </c>
      <c r="AL212" t="s">
        <v>70</v>
      </c>
      <c r="AM212" t="s">
        <v>2029</v>
      </c>
    </row>
    <row r="213" spans="1:39" ht="15" hidden="1" thickTop="1" x14ac:dyDescent="0.35">
      <c r="A213" t="s">
        <v>2987</v>
      </c>
      <c r="B213" t="s">
        <v>2996</v>
      </c>
      <c r="C213" t="s">
        <v>71</v>
      </c>
      <c r="D213" t="s">
        <v>2997</v>
      </c>
      <c r="E213" t="s">
        <v>72</v>
      </c>
      <c r="F213">
        <v>2</v>
      </c>
      <c r="G213" t="s">
        <v>2050</v>
      </c>
      <c r="H213" t="s">
        <v>2051</v>
      </c>
      <c r="I213" t="s">
        <v>53</v>
      </c>
      <c r="J213" t="s">
        <v>73</v>
      </c>
      <c r="K213" t="s">
        <v>68</v>
      </c>
      <c r="L213" t="s">
        <v>2052</v>
      </c>
      <c r="M213" t="s">
        <v>2053</v>
      </c>
      <c r="N213">
        <v>0</v>
      </c>
      <c r="O213">
        <v>0</v>
      </c>
      <c r="P213">
        <v>0</v>
      </c>
      <c r="Q213">
        <v>1440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t="s">
        <v>312</v>
      </c>
      <c r="AH213" s="21" t="s">
        <v>3424</v>
      </c>
      <c r="AI213" s="21">
        <v>107.92500000000001</v>
      </c>
      <c r="AJ213" s="21">
        <v>100</v>
      </c>
      <c r="AK213" s="21" t="s">
        <v>2054</v>
      </c>
      <c r="AL213" t="s">
        <v>75</v>
      </c>
      <c r="AM213" t="s">
        <v>2028</v>
      </c>
    </row>
    <row r="214" spans="1:39" ht="15" hidden="1" thickTop="1" x14ac:dyDescent="0.35">
      <c r="A214" t="s">
        <v>2988</v>
      </c>
      <c r="B214" t="s">
        <v>2999</v>
      </c>
      <c r="C214" t="s">
        <v>86</v>
      </c>
      <c r="D214" t="s">
        <v>3000</v>
      </c>
      <c r="E214" t="s">
        <v>72</v>
      </c>
      <c r="F214">
        <v>2</v>
      </c>
      <c r="G214" t="s">
        <v>2050</v>
      </c>
      <c r="H214" t="s">
        <v>2051</v>
      </c>
      <c r="I214" t="s">
        <v>53</v>
      </c>
      <c r="J214" t="s">
        <v>73</v>
      </c>
      <c r="K214" t="s">
        <v>68</v>
      </c>
      <c r="L214" t="s">
        <v>2052</v>
      </c>
      <c r="M214" t="s">
        <v>2053</v>
      </c>
      <c r="N214">
        <v>0</v>
      </c>
      <c r="O214">
        <v>0</v>
      </c>
      <c r="P214">
        <v>0</v>
      </c>
      <c r="Q214">
        <v>1440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t="s">
        <v>313</v>
      </c>
      <c r="AH214" s="21" t="s">
        <v>3427</v>
      </c>
      <c r="AI214" s="21">
        <v>107.92500000000001</v>
      </c>
      <c r="AJ214" s="21">
        <v>100</v>
      </c>
      <c r="AK214" s="21" t="s">
        <v>2055</v>
      </c>
      <c r="AL214" t="s">
        <v>75</v>
      </c>
      <c r="AM214" t="s">
        <v>2029</v>
      </c>
    </row>
    <row r="215" spans="1:39" ht="15" hidden="1" thickTop="1" x14ac:dyDescent="0.35">
      <c r="A215" t="s">
        <v>2993</v>
      </c>
      <c r="B215" t="s">
        <v>3007</v>
      </c>
      <c r="C215" t="s">
        <v>102</v>
      </c>
      <c r="D215" t="s">
        <v>3008</v>
      </c>
      <c r="E215" t="s">
        <v>559</v>
      </c>
      <c r="F215">
        <v>1</v>
      </c>
      <c r="G215" t="s">
        <v>2050</v>
      </c>
      <c r="H215" t="s">
        <v>2051</v>
      </c>
      <c r="I215" t="s">
        <v>53</v>
      </c>
      <c r="J215" t="s">
        <v>67</v>
      </c>
      <c r="K215" t="s">
        <v>68</v>
      </c>
      <c r="L215" t="s">
        <v>2052</v>
      </c>
      <c r="M215" t="s">
        <v>2064</v>
      </c>
      <c r="N215">
        <v>0</v>
      </c>
      <c r="O215">
        <v>0</v>
      </c>
      <c r="P215">
        <v>0</v>
      </c>
      <c r="Q215">
        <v>900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314</v>
      </c>
      <c r="AH215" s="21" t="s">
        <v>3424</v>
      </c>
      <c r="AI215" s="21">
        <v>67.5</v>
      </c>
      <c r="AJ215" s="21">
        <v>100</v>
      </c>
      <c r="AK215" s="21" t="s">
        <v>2055</v>
      </c>
      <c r="AL215" t="s">
        <v>70</v>
      </c>
      <c r="AM215" t="s">
        <v>2029</v>
      </c>
    </row>
    <row r="216" spans="1:39" ht="15" hidden="1" thickTop="1" x14ac:dyDescent="0.35">
      <c r="A216" t="s">
        <v>2994</v>
      </c>
      <c r="B216" t="s">
        <v>3009</v>
      </c>
      <c r="C216" t="s">
        <v>66</v>
      </c>
      <c r="D216" t="s">
        <v>3010</v>
      </c>
      <c r="E216" t="s">
        <v>559</v>
      </c>
      <c r="F216">
        <v>1</v>
      </c>
      <c r="G216" t="s">
        <v>2050</v>
      </c>
      <c r="H216" t="s">
        <v>2051</v>
      </c>
      <c r="I216" t="s">
        <v>53</v>
      </c>
      <c r="J216" t="s">
        <v>67</v>
      </c>
      <c r="K216" t="s">
        <v>68</v>
      </c>
      <c r="L216" t="s">
        <v>2052</v>
      </c>
      <c r="M216" t="s">
        <v>2053</v>
      </c>
      <c r="N216">
        <v>0</v>
      </c>
      <c r="O216">
        <v>0</v>
      </c>
      <c r="P216">
        <v>0</v>
      </c>
      <c r="Q216">
        <v>1440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315</v>
      </c>
      <c r="AH216" s="21" t="s">
        <v>3428</v>
      </c>
      <c r="AI216" s="21">
        <v>107.92500000000001</v>
      </c>
      <c r="AJ216" s="21">
        <v>100</v>
      </c>
      <c r="AK216" s="21" t="s">
        <v>2055</v>
      </c>
      <c r="AL216" t="s">
        <v>70</v>
      </c>
      <c r="AM216" t="s">
        <v>2028</v>
      </c>
    </row>
    <row r="217" spans="1:39" ht="15" hidden="1" thickTop="1" x14ac:dyDescent="0.35">
      <c r="A217" t="s">
        <v>3003</v>
      </c>
      <c r="B217" t="s">
        <v>3015</v>
      </c>
      <c r="C217" t="s">
        <v>66</v>
      </c>
      <c r="D217" t="s">
        <v>3016</v>
      </c>
      <c r="E217" t="s">
        <v>119</v>
      </c>
      <c r="F217">
        <v>1</v>
      </c>
      <c r="G217" t="s">
        <v>2050</v>
      </c>
      <c r="H217" t="s">
        <v>2051</v>
      </c>
      <c r="I217" t="s">
        <v>53</v>
      </c>
      <c r="J217" t="s">
        <v>67</v>
      </c>
      <c r="K217" t="s">
        <v>68</v>
      </c>
      <c r="L217" t="s">
        <v>2052</v>
      </c>
      <c r="M217" t="s">
        <v>2053</v>
      </c>
      <c r="N217">
        <v>0</v>
      </c>
      <c r="O217">
        <v>0</v>
      </c>
      <c r="P217">
        <v>0</v>
      </c>
      <c r="Q217">
        <v>1440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316</v>
      </c>
      <c r="AH217" s="21" t="s">
        <v>3425</v>
      </c>
      <c r="AI217" s="21">
        <v>107.92500000000001</v>
      </c>
      <c r="AJ217" s="21">
        <v>100</v>
      </c>
      <c r="AK217" s="21" t="s">
        <v>2054</v>
      </c>
      <c r="AL217" t="s">
        <v>70</v>
      </c>
      <c r="AM217" t="s">
        <v>2027</v>
      </c>
    </row>
    <row r="218" spans="1:39" ht="15" hidden="1" thickTop="1" x14ac:dyDescent="0.35">
      <c r="A218" t="s">
        <v>3011</v>
      </c>
      <c r="B218" t="s">
        <v>3020</v>
      </c>
      <c r="C218" t="s">
        <v>66</v>
      </c>
      <c r="D218" t="s">
        <v>3021</v>
      </c>
      <c r="E218" t="s">
        <v>559</v>
      </c>
      <c r="F218">
        <v>1</v>
      </c>
      <c r="G218" t="s">
        <v>2050</v>
      </c>
      <c r="H218" t="s">
        <v>2051</v>
      </c>
      <c r="I218" t="s">
        <v>53</v>
      </c>
      <c r="J218" t="s">
        <v>67</v>
      </c>
      <c r="K218" t="s">
        <v>68</v>
      </c>
      <c r="L218" t="s">
        <v>2052</v>
      </c>
      <c r="M218" t="s">
        <v>2064</v>
      </c>
      <c r="N218">
        <v>0</v>
      </c>
      <c r="O218">
        <v>0</v>
      </c>
      <c r="P218">
        <v>0</v>
      </c>
      <c r="Q218">
        <v>900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317</v>
      </c>
      <c r="AH218" s="21" t="s">
        <v>3425</v>
      </c>
      <c r="AI218" s="21">
        <v>67.5</v>
      </c>
      <c r="AJ218" s="21">
        <v>100</v>
      </c>
      <c r="AK218" s="21" t="s">
        <v>2054</v>
      </c>
      <c r="AL218" t="s">
        <v>70</v>
      </c>
      <c r="AM218" t="s">
        <v>2029</v>
      </c>
    </row>
    <row r="219" spans="1:39" ht="15" hidden="1" thickTop="1" x14ac:dyDescent="0.35">
      <c r="A219" t="s">
        <v>3018</v>
      </c>
      <c r="B219" t="s">
        <v>3030</v>
      </c>
      <c r="C219" t="s">
        <v>3376</v>
      </c>
      <c r="D219" t="s">
        <v>3031</v>
      </c>
      <c r="E219" t="s">
        <v>559</v>
      </c>
      <c r="F219">
        <v>1</v>
      </c>
      <c r="G219" t="s">
        <v>2050</v>
      </c>
      <c r="H219" t="s">
        <v>2051</v>
      </c>
      <c r="I219" t="s">
        <v>53</v>
      </c>
      <c r="J219" t="s">
        <v>67</v>
      </c>
      <c r="K219" t="s">
        <v>68</v>
      </c>
      <c r="L219" t="s">
        <v>2052</v>
      </c>
      <c r="M219" t="s">
        <v>2053</v>
      </c>
      <c r="N219">
        <v>0</v>
      </c>
      <c r="O219">
        <v>0</v>
      </c>
      <c r="P219">
        <v>0</v>
      </c>
      <c r="Q219">
        <v>1440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t="s">
        <v>318</v>
      </c>
      <c r="AH219" s="21" t="s">
        <v>3424</v>
      </c>
      <c r="AI219" s="21">
        <v>107.92500000000001</v>
      </c>
      <c r="AJ219" s="21">
        <v>100</v>
      </c>
      <c r="AK219" s="21" t="s">
        <v>2054</v>
      </c>
      <c r="AL219" t="s">
        <v>70</v>
      </c>
      <c r="AM219" t="s">
        <v>2027</v>
      </c>
    </row>
    <row r="220" spans="1:39" ht="15" hidden="1" thickTop="1" x14ac:dyDescent="0.35">
      <c r="A220" t="s">
        <v>3023</v>
      </c>
      <c r="B220" t="s">
        <v>3032</v>
      </c>
      <c r="C220" t="s">
        <v>111</v>
      </c>
      <c r="D220" t="s">
        <v>3033</v>
      </c>
      <c r="E220" t="s">
        <v>112</v>
      </c>
      <c r="F220">
        <v>1</v>
      </c>
      <c r="G220" t="s">
        <v>2050</v>
      </c>
      <c r="H220" t="s">
        <v>2051</v>
      </c>
      <c r="I220" t="s">
        <v>53</v>
      </c>
      <c r="J220" t="s">
        <v>113</v>
      </c>
      <c r="K220" t="s">
        <v>68</v>
      </c>
      <c r="L220" t="s">
        <v>2052</v>
      </c>
      <c r="M220" t="s">
        <v>2053</v>
      </c>
      <c r="N220">
        <v>0</v>
      </c>
      <c r="O220">
        <v>0</v>
      </c>
      <c r="P220">
        <v>0</v>
      </c>
      <c r="Q220">
        <v>1440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319</v>
      </c>
      <c r="AH220" s="21" t="s">
        <v>3424</v>
      </c>
      <c r="AI220" s="21">
        <v>107.92500000000001</v>
      </c>
      <c r="AJ220" s="21">
        <v>100</v>
      </c>
      <c r="AK220" s="21" t="s">
        <v>2054</v>
      </c>
      <c r="AL220" t="s">
        <v>115</v>
      </c>
      <c r="AM220" t="s">
        <v>2029</v>
      </c>
    </row>
    <row r="221" spans="1:39" ht="15" hidden="1" thickTop="1" x14ac:dyDescent="0.35">
      <c r="A221" t="s">
        <v>3026</v>
      </c>
      <c r="B221" t="s">
        <v>3034</v>
      </c>
      <c r="C221" t="s">
        <v>78</v>
      </c>
      <c r="D221" t="s">
        <v>3035</v>
      </c>
      <c r="E221" t="s">
        <v>559</v>
      </c>
      <c r="F221">
        <v>1</v>
      </c>
      <c r="G221" t="s">
        <v>2050</v>
      </c>
      <c r="H221" t="s">
        <v>2051</v>
      </c>
      <c r="I221" t="s">
        <v>53</v>
      </c>
      <c r="J221" t="s">
        <v>67</v>
      </c>
      <c r="K221" t="s">
        <v>68</v>
      </c>
      <c r="L221" t="s">
        <v>2052</v>
      </c>
      <c r="M221" t="s">
        <v>2064</v>
      </c>
      <c r="N221">
        <v>0</v>
      </c>
      <c r="O221">
        <v>0</v>
      </c>
      <c r="P221">
        <v>0</v>
      </c>
      <c r="Q221">
        <v>900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320</v>
      </c>
      <c r="AH221" s="21" t="s">
        <v>3425</v>
      </c>
      <c r="AI221" s="21">
        <v>67.5</v>
      </c>
      <c r="AJ221" s="21">
        <v>100</v>
      </c>
      <c r="AK221" s="21" t="s">
        <v>2054</v>
      </c>
      <c r="AL221" t="s">
        <v>70</v>
      </c>
      <c r="AM221" t="s">
        <v>2029</v>
      </c>
    </row>
    <row r="222" spans="1:39" ht="15" hidden="1" thickTop="1" x14ac:dyDescent="0.35">
      <c r="A222" t="s">
        <v>3037</v>
      </c>
      <c r="B222" t="s">
        <v>3046</v>
      </c>
      <c r="C222" t="s">
        <v>237</v>
      </c>
      <c r="D222" t="s">
        <v>3047</v>
      </c>
      <c r="E222" t="s">
        <v>72</v>
      </c>
      <c r="F222">
        <v>1</v>
      </c>
      <c r="G222" t="s">
        <v>2050</v>
      </c>
      <c r="H222" t="s">
        <v>2051</v>
      </c>
      <c r="I222" t="s">
        <v>53</v>
      </c>
      <c r="J222" t="s">
        <v>73</v>
      </c>
      <c r="K222" t="s">
        <v>68</v>
      </c>
      <c r="L222" t="s">
        <v>2052</v>
      </c>
      <c r="M222" t="s">
        <v>2053</v>
      </c>
      <c r="N222">
        <v>0</v>
      </c>
      <c r="O222">
        <v>0</v>
      </c>
      <c r="P222">
        <v>0</v>
      </c>
      <c r="Q222">
        <v>1440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321</v>
      </c>
      <c r="AH222" s="21" t="s">
        <v>3428</v>
      </c>
      <c r="AI222" s="21">
        <v>107.92500000000001</v>
      </c>
      <c r="AJ222" s="21">
        <v>100</v>
      </c>
      <c r="AK222" s="21" t="s">
        <v>2054</v>
      </c>
      <c r="AL222" t="s">
        <v>75</v>
      </c>
      <c r="AM222" t="s">
        <v>2029</v>
      </c>
    </row>
    <row r="223" spans="1:39" ht="15" hidden="1" thickTop="1" x14ac:dyDescent="0.35">
      <c r="A223" t="s">
        <v>3040</v>
      </c>
      <c r="B223" t="s">
        <v>3050</v>
      </c>
      <c r="C223" t="s">
        <v>71</v>
      </c>
      <c r="D223" t="s">
        <v>3051</v>
      </c>
      <c r="E223" t="s">
        <v>72</v>
      </c>
      <c r="F223">
        <v>1</v>
      </c>
      <c r="G223" t="s">
        <v>2050</v>
      </c>
      <c r="H223" t="s">
        <v>2051</v>
      </c>
      <c r="I223" t="s">
        <v>53</v>
      </c>
      <c r="J223" t="s">
        <v>73</v>
      </c>
      <c r="K223" t="s">
        <v>68</v>
      </c>
      <c r="L223" t="s">
        <v>2052</v>
      </c>
      <c r="M223" t="s">
        <v>2053</v>
      </c>
      <c r="N223">
        <v>0</v>
      </c>
      <c r="O223">
        <v>0</v>
      </c>
      <c r="P223">
        <v>0</v>
      </c>
      <c r="Q223">
        <v>1440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 t="s">
        <v>322</v>
      </c>
      <c r="AH223" s="21" t="s">
        <v>3427</v>
      </c>
      <c r="AI223" s="21">
        <v>107.92500000000001</v>
      </c>
      <c r="AJ223" s="21">
        <v>100</v>
      </c>
      <c r="AK223" s="21" t="s">
        <v>2054</v>
      </c>
      <c r="AL223" t="s">
        <v>75</v>
      </c>
      <c r="AM223" t="s">
        <v>2029</v>
      </c>
    </row>
    <row r="224" spans="1:39" ht="15" hidden="1" thickTop="1" x14ac:dyDescent="0.35">
      <c r="A224" t="s">
        <v>3043</v>
      </c>
      <c r="B224" t="s">
        <v>3052</v>
      </c>
      <c r="C224" t="s">
        <v>237</v>
      </c>
      <c r="D224" t="s">
        <v>3053</v>
      </c>
      <c r="E224" t="s">
        <v>72</v>
      </c>
      <c r="F224">
        <v>1</v>
      </c>
      <c r="G224" t="s">
        <v>2050</v>
      </c>
      <c r="H224" t="s">
        <v>2051</v>
      </c>
      <c r="I224" t="s">
        <v>53</v>
      </c>
      <c r="J224" t="s">
        <v>73</v>
      </c>
      <c r="K224" t="s">
        <v>68</v>
      </c>
      <c r="L224" t="s">
        <v>2052</v>
      </c>
      <c r="M224" t="s">
        <v>2053</v>
      </c>
      <c r="N224">
        <v>0</v>
      </c>
      <c r="O224">
        <v>0</v>
      </c>
      <c r="P224">
        <v>0</v>
      </c>
      <c r="Q224">
        <v>1440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323</v>
      </c>
      <c r="AH224" s="21" t="s">
        <v>3424</v>
      </c>
      <c r="AI224" s="21">
        <v>107.92500000000001</v>
      </c>
      <c r="AJ224" s="21">
        <v>100</v>
      </c>
      <c r="AK224" s="21" t="s">
        <v>2054</v>
      </c>
      <c r="AL224" t="s">
        <v>75</v>
      </c>
      <c r="AM224" t="s">
        <v>2029</v>
      </c>
    </row>
    <row r="225" spans="1:39" ht="15" hidden="1" thickTop="1" x14ac:dyDescent="0.35">
      <c r="A225" t="s">
        <v>3044</v>
      </c>
      <c r="B225" t="s">
        <v>3054</v>
      </c>
      <c r="C225" t="s">
        <v>71</v>
      </c>
      <c r="D225" t="s">
        <v>3055</v>
      </c>
      <c r="E225" t="s">
        <v>72</v>
      </c>
      <c r="F225">
        <v>2</v>
      </c>
      <c r="G225" t="s">
        <v>2050</v>
      </c>
      <c r="H225" t="s">
        <v>2051</v>
      </c>
      <c r="I225" t="s">
        <v>53</v>
      </c>
      <c r="J225" t="s">
        <v>73</v>
      </c>
      <c r="K225" t="s">
        <v>68</v>
      </c>
      <c r="L225" t="s">
        <v>2052</v>
      </c>
      <c r="M225" t="s">
        <v>2053</v>
      </c>
      <c r="N225">
        <v>0</v>
      </c>
      <c r="O225">
        <v>0</v>
      </c>
      <c r="P225">
        <v>0</v>
      </c>
      <c r="Q225">
        <v>1440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 t="s">
        <v>324</v>
      </c>
      <c r="AH225" s="21" t="s">
        <v>3428</v>
      </c>
      <c r="AI225" s="21">
        <v>107.92500000000001</v>
      </c>
      <c r="AJ225" s="21">
        <v>100</v>
      </c>
      <c r="AK225" s="21" t="s">
        <v>2054</v>
      </c>
      <c r="AL225" t="s">
        <v>75</v>
      </c>
      <c r="AM225" t="s">
        <v>2029</v>
      </c>
    </row>
    <row r="226" spans="1:39" ht="15" hidden="1" thickTop="1" x14ac:dyDescent="0.35">
      <c r="A226" t="s">
        <v>3057</v>
      </c>
      <c r="B226" t="s">
        <v>3061</v>
      </c>
      <c r="C226" t="s">
        <v>76</v>
      </c>
      <c r="D226" t="s">
        <v>3062</v>
      </c>
      <c r="E226" t="s">
        <v>559</v>
      </c>
      <c r="F226">
        <v>1</v>
      </c>
      <c r="G226" t="s">
        <v>2050</v>
      </c>
      <c r="H226" t="s">
        <v>2051</v>
      </c>
      <c r="I226" t="s">
        <v>53</v>
      </c>
      <c r="J226" t="s">
        <v>67</v>
      </c>
      <c r="K226" t="s">
        <v>68</v>
      </c>
      <c r="L226" t="s">
        <v>2052</v>
      </c>
      <c r="M226" t="s">
        <v>2053</v>
      </c>
      <c r="N226">
        <v>0</v>
      </c>
      <c r="O226">
        <v>0</v>
      </c>
      <c r="P226">
        <v>0</v>
      </c>
      <c r="Q226">
        <v>1440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 t="s">
        <v>325</v>
      </c>
      <c r="AH226" s="21" t="s">
        <v>3424</v>
      </c>
      <c r="AI226" s="21">
        <v>107.92500000000001</v>
      </c>
      <c r="AJ226" s="21">
        <v>100</v>
      </c>
      <c r="AK226" s="21" t="s">
        <v>2055</v>
      </c>
      <c r="AL226" t="s">
        <v>70</v>
      </c>
      <c r="AM226" t="s">
        <v>2028</v>
      </c>
    </row>
    <row r="227" spans="1:39" ht="15" hidden="1" thickTop="1" x14ac:dyDescent="0.35">
      <c r="A227" t="s">
        <v>3064</v>
      </c>
      <c r="B227" t="s">
        <v>3068</v>
      </c>
      <c r="C227" t="s">
        <v>78</v>
      </c>
      <c r="D227" t="s">
        <v>3069</v>
      </c>
      <c r="E227" t="s">
        <v>559</v>
      </c>
      <c r="F227">
        <v>1</v>
      </c>
      <c r="G227" t="s">
        <v>2050</v>
      </c>
      <c r="H227" t="s">
        <v>2051</v>
      </c>
      <c r="I227" t="s">
        <v>53</v>
      </c>
      <c r="J227" t="s">
        <v>67</v>
      </c>
      <c r="K227" t="s">
        <v>68</v>
      </c>
      <c r="L227" t="s">
        <v>2052</v>
      </c>
      <c r="M227" t="s">
        <v>2053</v>
      </c>
      <c r="N227">
        <v>0</v>
      </c>
      <c r="O227">
        <v>0</v>
      </c>
      <c r="P227">
        <v>0</v>
      </c>
      <c r="Q227">
        <v>1440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326</v>
      </c>
      <c r="AH227" s="21" t="s">
        <v>3425</v>
      </c>
      <c r="AI227" s="21">
        <v>107.92500000000001</v>
      </c>
      <c r="AJ227" s="21">
        <v>100</v>
      </c>
      <c r="AK227" s="21" t="s">
        <v>2054</v>
      </c>
      <c r="AL227" t="s">
        <v>70</v>
      </c>
      <c r="AM227" t="s">
        <v>2029</v>
      </c>
    </row>
    <row r="228" spans="1:39" ht="15" hidden="1" thickTop="1" x14ac:dyDescent="0.35">
      <c r="A228" t="s">
        <v>3071</v>
      </c>
      <c r="B228" t="s">
        <v>3086</v>
      </c>
      <c r="C228" t="s">
        <v>92</v>
      </c>
      <c r="D228" t="s">
        <v>3087</v>
      </c>
      <c r="E228" t="s">
        <v>119</v>
      </c>
      <c r="F228">
        <v>1</v>
      </c>
      <c r="G228" t="s">
        <v>2050</v>
      </c>
      <c r="H228" t="s">
        <v>2051</v>
      </c>
      <c r="I228" t="s">
        <v>53</v>
      </c>
      <c r="J228" t="s">
        <v>67</v>
      </c>
      <c r="K228" t="s">
        <v>68</v>
      </c>
      <c r="L228" t="s">
        <v>2052</v>
      </c>
      <c r="M228" t="s">
        <v>2064</v>
      </c>
      <c r="N228">
        <v>0</v>
      </c>
      <c r="O228">
        <v>0</v>
      </c>
      <c r="P228">
        <v>0</v>
      </c>
      <c r="Q228">
        <v>900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t="s">
        <v>327</v>
      </c>
      <c r="AH228" s="21" t="s">
        <v>3425</v>
      </c>
      <c r="AI228" s="21">
        <v>67.5</v>
      </c>
      <c r="AJ228" s="21">
        <v>100</v>
      </c>
      <c r="AK228" s="21" t="s">
        <v>2054</v>
      </c>
      <c r="AL228" t="s">
        <v>70</v>
      </c>
      <c r="AM228" t="s">
        <v>2029</v>
      </c>
    </row>
    <row r="229" spans="1:39" ht="15" hidden="1" thickTop="1" x14ac:dyDescent="0.35">
      <c r="A229" t="s">
        <v>3076</v>
      </c>
      <c r="B229" t="s">
        <v>3094</v>
      </c>
      <c r="C229" t="s">
        <v>76</v>
      </c>
      <c r="D229" t="s">
        <v>3095</v>
      </c>
      <c r="E229" t="s">
        <v>119</v>
      </c>
      <c r="F229">
        <v>1</v>
      </c>
      <c r="G229" t="s">
        <v>2050</v>
      </c>
      <c r="H229" t="s">
        <v>2051</v>
      </c>
      <c r="I229" t="s">
        <v>53</v>
      </c>
      <c r="J229" t="s">
        <v>67</v>
      </c>
      <c r="K229" t="s">
        <v>68</v>
      </c>
      <c r="L229" t="s">
        <v>2052</v>
      </c>
      <c r="M229" t="s">
        <v>2053</v>
      </c>
      <c r="N229">
        <v>0</v>
      </c>
      <c r="O229">
        <v>0</v>
      </c>
      <c r="P229">
        <v>0</v>
      </c>
      <c r="Q229">
        <v>1440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328</v>
      </c>
      <c r="AH229" s="21" t="s">
        <v>3425</v>
      </c>
      <c r="AI229" s="21">
        <v>107.92500000000001</v>
      </c>
      <c r="AJ229" s="21">
        <v>100</v>
      </c>
      <c r="AK229" s="21" t="s">
        <v>2054</v>
      </c>
      <c r="AL229" t="s">
        <v>70</v>
      </c>
      <c r="AM229" t="s">
        <v>2028</v>
      </c>
    </row>
    <row r="230" spans="1:39" ht="15" hidden="1" thickTop="1" x14ac:dyDescent="0.35">
      <c r="A230" t="s">
        <v>3080</v>
      </c>
      <c r="B230" t="s">
        <v>3100</v>
      </c>
      <c r="C230" t="s">
        <v>100</v>
      </c>
      <c r="D230" t="s">
        <v>3101</v>
      </c>
      <c r="E230" t="s">
        <v>559</v>
      </c>
      <c r="F230">
        <v>1</v>
      </c>
      <c r="G230" t="s">
        <v>2050</v>
      </c>
      <c r="H230" t="s">
        <v>2051</v>
      </c>
      <c r="I230" t="s">
        <v>53</v>
      </c>
      <c r="J230" t="s">
        <v>67</v>
      </c>
      <c r="K230" t="s">
        <v>68</v>
      </c>
      <c r="L230" t="s">
        <v>2052</v>
      </c>
      <c r="M230" t="s">
        <v>2053</v>
      </c>
      <c r="N230">
        <v>0</v>
      </c>
      <c r="O230">
        <v>0</v>
      </c>
      <c r="P230">
        <v>0</v>
      </c>
      <c r="Q230">
        <v>1440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t="s">
        <v>329</v>
      </c>
      <c r="AH230" s="21" t="s">
        <v>3427</v>
      </c>
      <c r="AI230" s="21">
        <v>107.92500000000001</v>
      </c>
      <c r="AJ230" s="21">
        <v>100</v>
      </c>
      <c r="AK230" s="21" t="s">
        <v>2054</v>
      </c>
      <c r="AL230" t="s">
        <v>70</v>
      </c>
      <c r="AM230" t="s">
        <v>2030</v>
      </c>
    </row>
    <row r="231" spans="1:39" ht="15" hidden="1" thickTop="1" x14ac:dyDescent="0.35">
      <c r="A231" t="s">
        <v>3084</v>
      </c>
      <c r="B231" t="s">
        <v>3106</v>
      </c>
      <c r="C231" t="s">
        <v>66</v>
      </c>
      <c r="D231" t="s">
        <v>3107</v>
      </c>
      <c r="E231" t="s">
        <v>559</v>
      </c>
      <c r="F231">
        <v>1</v>
      </c>
      <c r="G231" t="s">
        <v>2050</v>
      </c>
      <c r="H231" t="s">
        <v>2051</v>
      </c>
      <c r="I231" t="s">
        <v>53</v>
      </c>
      <c r="J231" t="s">
        <v>67</v>
      </c>
      <c r="K231" t="s">
        <v>68</v>
      </c>
      <c r="L231" t="s">
        <v>2052</v>
      </c>
      <c r="M231" t="s">
        <v>2053</v>
      </c>
      <c r="N231">
        <v>0</v>
      </c>
      <c r="O231">
        <v>0</v>
      </c>
      <c r="P231">
        <v>0</v>
      </c>
      <c r="Q231">
        <v>1440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330</v>
      </c>
      <c r="AH231" s="21" t="s">
        <v>3424</v>
      </c>
      <c r="AI231" s="21">
        <v>107.92500000000001</v>
      </c>
      <c r="AJ231" s="21">
        <v>100</v>
      </c>
      <c r="AK231" s="21" t="s">
        <v>2054</v>
      </c>
      <c r="AL231" t="s">
        <v>70</v>
      </c>
      <c r="AM231" t="s">
        <v>2028</v>
      </c>
    </row>
    <row r="232" spans="1:39" ht="15" hidden="1" thickTop="1" x14ac:dyDescent="0.35">
      <c r="A232" t="s">
        <v>3085</v>
      </c>
      <c r="B232" t="s">
        <v>3109</v>
      </c>
      <c r="C232" t="s">
        <v>100</v>
      </c>
      <c r="D232" t="s">
        <v>3110</v>
      </c>
      <c r="E232" t="s">
        <v>559</v>
      </c>
      <c r="F232">
        <v>1</v>
      </c>
      <c r="G232" t="s">
        <v>2050</v>
      </c>
      <c r="H232" t="s">
        <v>2051</v>
      </c>
      <c r="I232" t="s">
        <v>53</v>
      </c>
      <c r="J232" t="s">
        <v>67</v>
      </c>
      <c r="K232" t="s">
        <v>68</v>
      </c>
      <c r="L232" t="s">
        <v>2052</v>
      </c>
      <c r="M232" t="s">
        <v>2053</v>
      </c>
      <c r="N232">
        <v>0</v>
      </c>
      <c r="O232">
        <v>0</v>
      </c>
      <c r="P232">
        <v>0</v>
      </c>
      <c r="Q232">
        <v>1440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331</v>
      </c>
      <c r="AH232" s="21" t="s">
        <v>3424</v>
      </c>
      <c r="AI232" s="21">
        <v>107.92500000000001</v>
      </c>
      <c r="AJ232" s="21">
        <v>100</v>
      </c>
      <c r="AK232" s="21" t="s">
        <v>2054</v>
      </c>
      <c r="AL232" t="s">
        <v>70</v>
      </c>
      <c r="AM232" t="s">
        <v>2029</v>
      </c>
    </row>
    <row r="233" spans="1:39" ht="15" hidden="1" thickTop="1" x14ac:dyDescent="0.35">
      <c r="A233" t="s">
        <v>3088</v>
      </c>
      <c r="B233" t="s">
        <v>3112</v>
      </c>
      <c r="C233" t="s">
        <v>66</v>
      </c>
      <c r="D233" t="s">
        <v>3113</v>
      </c>
      <c r="E233" t="s">
        <v>559</v>
      </c>
      <c r="F233">
        <v>1</v>
      </c>
      <c r="G233" t="s">
        <v>2050</v>
      </c>
      <c r="H233" t="s">
        <v>2051</v>
      </c>
      <c r="I233" t="s">
        <v>53</v>
      </c>
      <c r="J233" t="s">
        <v>67</v>
      </c>
      <c r="K233" t="s">
        <v>68</v>
      </c>
      <c r="L233" t="s">
        <v>2052</v>
      </c>
      <c r="M233" t="s">
        <v>2053</v>
      </c>
      <c r="N233">
        <v>0</v>
      </c>
      <c r="O233">
        <v>0</v>
      </c>
      <c r="P233">
        <v>0</v>
      </c>
      <c r="Q233">
        <v>1440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t="s">
        <v>332</v>
      </c>
      <c r="AH233" s="21" t="s">
        <v>3424</v>
      </c>
      <c r="AI233" s="21">
        <v>107.92500000000001</v>
      </c>
      <c r="AJ233" s="21">
        <v>100</v>
      </c>
      <c r="AK233" s="21" t="s">
        <v>2054</v>
      </c>
      <c r="AL233" t="s">
        <v>70</v>
      </c>
      <c r="AM233" t="s">
        <v>2029</v>
      </c>
    </row>
    <row r="234" spans="1:39" ht="15" hidden="1" thickTop="1" x14ac:dyDescent="0.35">
      <c r="A234" t="s">
        <v>3089</v>
      </c>
      <c r="B234" t="s">
        <v>3114</v>
      </c>
      <c r="C234" t="s">
        <v>76</v>
      </c>
      <c r="D234" t="s">
        <v>3115</v>
      </c>
      <c r="E234" t="s">
        <v>559</v>
      </c>
      <c r="F234">
        <v>1</v>
      </c>
      <c r="G234" t="s">
        <v>2050</v>
      </c>
      <c r="H234" t="s">
        <v>2051</v>
      </c>
      <c r="I234" t="s">
        <v>53</v>
      </c>
      <c r="J234" t="s">
        <v>67</v>
      </c>
      <c r="K234" t="s">
        <v>68</v>
      </c>
      <c r="L234" t="s">
        <v>2052</v>
      </c>
      <c r="M234" t="s">
        <v>2053</v>
      </c>
      <c r="N234">
        <v>0</v>
      </c>
      <c r="O234">
        <v>0</v>
      </c>
      <c r="P234">
        <v>0</v>
      </c>
      <c r="Q234">
        <v>1440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333</v>
      </c>
      <c r="AH234" s="21" t="s">
        <v>3429</v>
      </c>
      <c r="AI234" s="21">
        <v>107.92500000000001</v>
      </c>
      <c r="AJ234" s="21">
        <v>100</v>
      </c>
      <c r="AK234" s="21" t="s">
        <v>2054</v>
      </c>
      <c r="AL234" t="s">
        <v>70</v>
      </c>
      <c r="AM234" t="s">
        <v>2027</v>
      </c>
    </row>
    <row r="235" spans="1:39" ht="15" hidden="1" thickTop="1" x14ac:dyDescent="0.35">
      <c r="A235" t="s">
        <v>3091</v>
      </c>
      <c r="B235" t="s">
        <v>3116</v>
      </c>
      <c r="C235" t="s">
        <v>66</v>
      </c>
      <c r="D235" t="s">
        <v>3117</v>
      </c>
      <c r="E235" t="s">
        <v>559</v>
      </c>
      <c r="F235">
        <v>1</v>
      </c>
      <c r="G235" t="s">
        <v>2050</v>
      </c>
      <c r="H235" t="s">
        <v>2051</v>
      </c>
      <c r="I235" t="s">
        <v>53</v>
      </c>
      <c r="J235" t="s">
        <v>67</v>
      </c>
      <c r="K235" t="s">
        <v>68</v>
      </c>
      <c r="L235" t="s">
        <v>2052</v>
      </c>
      <c r="M235" t="s">
        <v>2053</v>
      </c>
      <c r="N235">
        <v>0</v>
      </c>
      <c r="O235">
        <v>0</v>
      </c>
      <c r="P235">
        <v>0</v>
      </c>
      <c r="Q235">
        <v>1440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334</v>
      </c>
      <c r="AH235" s="21" t="s">
        <v>3424</v>
      </c>
      <c r="AI235" s="21">
        <v>107.92500000000001</v>
      </c>
      <c r="AJ235" s="21">
        <v>100</v>
      </c>
      <c r="AK235" s="21" t="s">
        <v>2054</v>
      </c>
      <c r="AL235" t="s">
        <v>70</v>
      </c>
      <c r="AM235" t="s">
        <v>2029</v>
      </c>
    </row>
    <row r="236" spans="1:39" ht="15" hidden="1" thickTop="1" x14ac:dyDescent="0.35">
      <c r="A236" t="s">
        <v>3097</v>
      </c>
      <c r="B236" t="s">
        <v>3119</v>
      </c>
      <c r="C236" t="s">
        <v>102</v>
      </c>
      <c r="D236" t="s">
        <v>3120</v>
      </c>
      <c r="E236" t="s">
        <v>559</v>
      </c>
      <c r="F236">
        <v>1</v>
      </c>
      <c r="G236" t="s">
        <v>2050</v>
      </c>
      <c r="H236" t="s">
        <v>2051</v>
      </c>
      <c r="I236" t="s">
        <v>53</v>
      </c>
      <c r="J236" t="s">
        <v>67</v>
      </c>
      <c r="K236" t="s">
        <v>68</v>
      </c>
      <c r="L236" t="s">
        <v>2052</v>
      </c>
      <c r="M236" t="s">
        <v>2053</v>
      </c>
      <c r="N236">
        <v>0</v>
      </c>
      <c r="O236">
        <v>0</v>
      </c>
      <c r="P236">
        <v>0</v>
      </c>
      <c r="Q236">
        <v>1440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335</v>
      </c>
      <c r="AH236" s="21" t="s">
        <v>3424</v>
      </c>
      <c r="AI236" s="21">
        <v>107.92500000000001</v>
      </c>
      <c r="AJ236" s="21">
        <v>100</v>
      </c>
      <c r="AK236" s="21" t="s">
        <v>2054</v>
      </c>
      <c r="AL236" t="s">
        <v>70</v>
      </c>
      <c r="AM236" t="s">
        <v>2028</v>
      </c>
    </row>
    <row r="237" spans="1:39" ht="15" hidden="1" thickTop="1" x14ac:dyDescent="0.35">
      <c r="A237" t="s">
        <v>3098</v>
      </c>
      <c r="B237" t="s">
        <v>3122</v>
      </c>
      <c r="C237" t="s">
        <v>100</v>
      </c>
      <c r="D237" t="s">
        <v>3123</v>
      </c>
      <c r="E237" t="s">
        <v>559</v>
      </c>
      <c r="F237">
        <v>1</v>
      </c>
      <c r="G237" t="s">
        <v>2050</v>
      </c>
      <c r="H237" t="s">
        <v>2051</v>
      </c>
      <c r="I237" t="s">
        <v>53</v>
      </c>
      <c r="J237" t="s">
        <v>67</v>
      </c>
      <c r="K237" t="s">
        <v>68</v>
      </c>
      <c r="L237" t="s">
        <v>2052</v>
      </c>
      <c r="M237" t="s">
        <v>2064</v>
      </c>
      <c r="N237">
        <v>0</v>
      </c>
      <c r="O237">
        <v>0</v>
      </c>
      <c r="P237">
        <v>0</v>
      </c>
      <c r="Q237">
        <v>900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336</v>
      </c>
      <c r="AH237" s="21" t="s">
        <v>3424</v>
      </c>
      <c r="AI237" s="21">
        <v>67.5</v>
      </c>
      <c r="AJ237" s="21">
        <v>100</v>
      </c>
      <c r="AK237" s="21" t="s">
        <v>2054</v>
      </c>
      <c r="AL237" t="s">
        <v>70</v>
      </c>
      <c r="AM237" t="s">
        <v>2027</v>
      </c>
    </row>
    <row r="238" spans="1:39" ht="15" hidden="1" thickTop="1" x14ac:dyDescent="0.35">
      <c r="A238" t="s">
        <v>3104</v>
      </c>
      <c r="B238" t="s">
        <v>3128</v>
      </c>
      <c r="C238" t="s">
        <v>92</v>
      </c>
      <c r="D238" t="s">
        <v>3129</v>
      </c>
      <c r="E238" t="s">
        <v>119</v>
      </c>
      <c r="F238">
        <v>1</v>
      </c>
      <c r="G238" t="s">
        <v>2050</v>
      </c>
      <c r="H238" t="s">
        <v>2051</v>
      </c>
      <c r="I238" t="s">
        <v>53</v>
      </c>
      <c r="J238" t="s">
        <v>67</v>
      </c>
      <c r="K238" t="s">
        <v>68</v>
      </c>
      <c r="L238" t="s">
        <v>2052</v>
      </c>
      <c r="M238" t="s">
        <v>2064</v>
      </c>
      <c r="N238">
        <v>0</v>
      </c>
      <c r="O238">
        <v>0</v>
      </c>
      <c r="P238">
        <v>0</v>
      </c>
      <c r="Q238">
        <v>900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337</v>
      </c>
      <c r="AH238" s="21" t="s">
        <v>3425</v>
      </c>
      <c r="AI238" s="21">
        <v>67.5</v>
      </c>
      <c r="AJ238" s="21">
        <v>100</v>
      </c>
      <c r="AK238" s="21" t="s">
        <v>2054</v>
      </c>
      <c r="AL238" t="s">
        <v>70</v>
      </c>
      <c r="AM238" t="s">
        <v>2029</v>
      </c>
    </row>
    <row r="239" spans="1:39" ht="15" hidden="1" thickTop="1" x14ac:dyDescent="0.35">
      <c r="A239" t="s">
        <v>3121</v>
      </c>
      <c r="B239" t="s">
        <v>3131</v>
      </c>
      <c r="C239" t="s">
        <v>71</v>
      </c>
      <c r="D239" t="s">
        <v>3132</v>
      </c>
      <c r="E239" t="s">
        <v>72</v>
      </c>
      <c r="F239">
        <v>1</v>
      </c>
      <c r="G239" t="s">
        <v>2050</v>
      </c>
      <c r="H239" t="s">
        <v>2051</v>
      </c>
      <c r="I239" t="s">
        <v>53</v>
      </c>
      <c r="J239" t="s">
        <v>73</v>
      </c>
      <c r="K239" t="s">
        <v>68</v>
      </c>
      <c r="L239" t="s">
        <v>2052</v>
      </c>
      <c r="M239" t="s">
        <v>2082</v>
      </c>
      <c r="N239">
        <v>0</v>
      </c>
      <c r="O239">
        <v>0</v>
      </c>
      <c r="P239">
        <v>0</v>
      </c>
      <c r="Q239">
        <v>780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t="s">
        <v>339</v>
      </c>
      <c r="AH239" s="21" t="s">
        <v>3424</v>
      </c>
      <c r="AI239" s="21">
        <v>58.500000000000014</v>
      </c>
      <c r="AJ239" s="21">
        <v>100</v>
      </c>
      <c r="AK239" s="21" t="s">
        <v>2054</v>
      </c>
      <c r="AL239" t="s">
        <v>75</v>
      </c>
      <c r="AM239" t="s">
        <v>2027</v>
      </c>
    </row>
    <row r="240" spans="1:39" ht="15" hidden="1" thickTop="1" x14ac:dyDescent="0.35">
      <c r="A240" t="s">
        <v>3124</v>
      </c>
      <c r="B240" t="s">
        <v>3133</v>
      </c>
      <c r="C240" t="s">
        <v>135</v>
      </c>
      <c r="D240" t="s">
        <v>3134</v>
      </c>
      <c r="E240" t="s">
        <v>136</v>
      </c>
      <c r="F240">
        <v>4</v>
      </c>
      <c r="G240" t="s">
        <v>2050</v>
      </c>
      <c r="H240" t="s">
        <v>2051</v>
      </c>
      <c r="I240" t="s">
        <v>53</v>
      </c>
      <c r="J240" t="s">
        <v>137</v>
      </c>
      <c r="K240" t="s">
        <v>68</v>
      </c>
      <c r="L240" t="s">
        <v>2052</v>
      </c>
      <c r="M240" t="s">
        <v>2053</v>
      </c>
      <c r="N240">
        <v>0</v>
      </c>
      <c r="O240">
        <v>0</v>
      </c>
      <c r="P240">
        <v>0</v>
      </c>
      <c r="Q240">
        <v>1440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t="s">
        <v>340</v>
      </c>
      <c r="AH240" s="21" t="s">
        <v>3430</v>
      </c>
      <c r="AI240" s="21">
        <v>107.92500000000001</v>
      </c>
      <c r="AJ240" s="21">
        <v>100</v>
      </c>
      <c r="AK240" s="21" t="s">
        <v>2055</v>
      </c>
      <c r="AL240" t="s">
        <v>115</v>
      </c>
      <c r="AM240" t="s">
        <v>2029</v>
      </c>
    </row>
    <row r="241" spans="1:39" ht="15" hidden="1" thickTop="1" x14ac:dyDescent="0.35">
      <c r="A241" t="s">
        <v>3125</v>
      </c>
      <c r="B241" t="s">
        <v>3135</v>
      </c>
      <c r="C241" t="s">
        <v>820</v>
      </c>
      <c r="D241" t="s">
        <v>3136</v>
      </c>
      <c r="E241" t="s">
        <v>72</v>
      </c>
      <c r="F241">
        <v>1</v>
      </c>
      <c r="G241" t="s">
        <v>2050</v>
      </c>
      <c r="H241" t="s">
        <v>2051</v>
      </c>
      <c r="I241" t="s">
        <v>53</v>
      </c>
      <c r="J241" t="s">
        <v>424</v>
      </c>
      <c r="K241" t="s">
        <v>68</v>
      </c>
      <c r="L241" t="s">
        <v>2052</v>
      </c>
      <c r="M241" t="s">
        <v>2053</v>
      </c>
      <c r="N241">
        <v>0</v>
      </c>
      <c r="O241">
        <v>0</v>
      </c>
      <c r="P241">
        <v>0</v>
      </c>
      <c r="Q241">
        <v>1440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341</v>
      </c>
      <c r="AH241" s="21" t="s">
        <v>3427</v>
      </c>
      <c r="AI241" s="21">
        <v>107.92500000000001</v>
      </c>
      <c r="AJ241" s="21">
        <v>100</v>
      </c>
      <c r="AK241" s="21" t="s">
        <v>2054</v>
      </c>
      <c r="AL241" t="s">
        <v>75</v>
      </c>
      <c r="AM241" t="s">
        <v>2027</v>
      </c>
    </row>
    <row r="242" spans="1:39" ht="15" hidden="1" thickTop="1" x14ac:dyDescent="0.35">
      <c r="A242" t="s">
        <v>3138</v>
      </c>
      <c r="B242" t="s">
        <v>3145</v>
      </c>
      <c r="C242" t="s">
        <v>117</v>
      </c>
      <c r="D242" t="s">
        <v>3146</v>
      </c>
      <c r="E242" t="s">
        <v>559</v>
      </c>
      <c r="F242">
        <v>1</v>
      </c>
      <c r="G242" t="s">
        <v>2050</v>
      </c>
      <c r="H242" t="s">
        <v>2051</v>
      </c>
      <c r="I242" t="s">
        <v>53</v>
      </c>
      <c r="J242" t="s">
        <v>67</v>
      </c>
      <c r="K242" t="s">
        <v>68</v>
      </c>
      <c r="L242" t="s">
        <v>2052</v>
      </c>
      <c r="M242" t="s">
        <v>2053</v>
      </c>
      <c r="N242">
        <v>0</v>
      </c>
      <c r="O242">
        <v>0</v>
      </c>
      <c r="P242">
        <v>0</v>
      </c>
      <c r="Q242">
        <v>1440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t="s">
        <v>342</v>
      </c>
      <c r="AH242" s="21" t="s">
        <v>3424</v>
      </c>
      <c r="AI242" s="21">
        <v>107.92500000000001</v>
      </c>
      <c r="AJ242" s="21">
        <v>100</v>
      </c>
      <c r="AK242" s="21" t="s">
        <v>2054</v>
      </c>
      <c r="AL242" t="s">
        <v>70</v>
      </c>
      <c r="AM242" t="s">
        <v>2029</v>
      </c>
    </row>
    <row r="243" spans="1:39" ht="15" hidden="1" thickTop="1" x14ac:dyDescent="0.35">
      <c r="A243" t="s">
        <v>3141</v>
      </c>
      <c r="B243" t="s">
        <v>3147</v>
      </c>
      <c r="C243" t="s">
        <v>102</v>
      </c>
      <c r="D243" t="s">
        <v>3148</v>
      </c>
      <c r="E243" t="s">
        <v>559</v>
      </c>
      <c r="F243">
        <v>1</v>
      </c>
      <c r="G243" t="s">
        <v>2050</v>
      </c>
      <c r="H243" t="s">
        <v>2051</v>
      </c>
      <c r="I243" t="s">
        <v>53</v>
      </c>
      <c r="J243" t="s">
        <v>67</v>
      </c>
      <c r="K243" t="s">
        <v>68</v>
      </c>
      <c r="L243" t="s">
        <v>2052</v>
      </c>
      <c r="M243" t="s">
        <v>2053</v>
      </c>
      <c r="N243">
        <v>0</v>
      </c>
      <c r="O243">
        <v>0</v>
      </c>
      <c r="P243">
        <v>0</v>
      </c>
      <c r="Q243">
        <v>1440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t="s">
        <v>343</v>
      </c>
      <c r="AH243" s="21" t="s">
        <v>3424</v>
      </c>
      <c r="AI243" s="21">
        <v>107.92500000000001</v>
      </c>
      <c r="AJ243" s="21">
        <v>100</v>
      </c>
      <c r="AK243" s="21" t="s">
        <v>2055</v>
      </c>
      <c r="AL243" t="s">
        <v>70</v>
      </c>
      <c r="AM243" t="s">
        <v>2027</v>
      </c>
    </row>
    <row r="244" spans="1:39" ht="15" hidden="1" thickTop="1" x14ac:dyDescent="0.35">
      <c r="A244" t="s">
        <v>3149</v>
      </c>
      <c r="B244" t="s">
        <v>3151</v>
      </c>
      <c r="C244" t="s">
        <v>76</v>
      </c>
      <c r="D244" t="s">
        <v>3152</v>
      </c>
      <c r="E244" t="s">
        <v>559</v>
      </c>
      <c r="F244">
        <v>1</v>
      </c>
      <c r="G244" t="s">
        <v>2050</v>
      </c>
      <c r="H244" t="s">
        <v>2051</v>
      </c>
      <c r="I244" t="s">
        <v>53</v>
      </c>
      <c r="J244" t="s">
        <v>67</v>
      </c>
      <c r="K244" t="s">
        <v>68</v>
      </c>
      <c r="L244" t="s">
        <v>2052</v>
      </c>
      <c r="M244" t="s">
        <v>2053</v>
      </c>
      <c r="N244">
        <v>0</v>
      </c>
      <c r="O244">
        <v>0</v>
      </c>
      <c r="P244">
        <v>0</v>
      </c>
      <c r="Q244">
        <v>1440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344</v>
      </c>
      <c r="AH244" s="21" t="s">
        <v>3427</v>
      </c>
      <c r="AI244" s="21">
        <v>107.92500000000001</v>
      </c>
      <c r="AJ244" s="21">
        <v>100</v>
      </c>
      <c r="AK244" s="21" t="s">
        <v>2054</v>
      </c>
      <c r="AL244" t="s">
        <v>70</v>
      </c>
      <c r="AM244" t="s">
        <v>2028</v>
      </c>
    </row>
    <row r="245" spans="1:39" ht="15" hidden="1" thickTop="1" x14ac:dyDescent="0.35">
      <c r="A245" t="s">
        <v>3154</v>
      </c>
      <c r="B245" t="s">
        <v>3165</v>
      </c>
      <c r="C245" t="s">
        <v>117</v>
      </c>
      <c r="D245" t="s">
        <v>3166</v>
      </c>
      <c r="E245" t="s">
        <v>559</v>
      </c>
      <c r="F245">
        <v>1</v>
      </c>
      <c r="G245" t="s">
        <v>2050</v>
      </c>
      <c r="H245" t="s">
        <v>2051</v>
      </c>
      <c r="I245" t="s">
        <v>53</v>
      </c>
      <c r="J245" t="s">
        <v>67</v>
      </c>
      <c r="K245" t="s">
        <v>68</v>
      </c>
      <c r="L245" t="s">
        <v>2052</v>
      </c>
      <c r="M245" t="s">
        <v>2053</v>
      </c>
      <c r="N245">
        <v>0</v>
      </c>
      <c r="O245">
        <v>0</v>
      </c>
      <c r="P245">
        <v>0</v>
      </c>
      <c r="Q245">
        <v>1440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345</v>
      </c>
      <c r="AH245" s="21" t="s">
        <v>3427</v>
      </c>
      <c r="AI245" s="21">
        <v>107.92500000000001</v>
      </c>
      <c r="AJ245" s="21">
        <v>100</v>
      </c>
      <c r="AK245" s="21" t="s">
        <v>2054</v>
      </c>
      <c r="AL245" t="s">
        <v>70</v>
      </c>
      <c r="AM245" t="s">
        <v>2029</v>
      </c>
    </row>
    <row r="246" spans="1:39" ht="15" hidden="1" thickTop="1" x14ac:dyDescent="0.35">
      <c r="A246" t="s">
        <v>2079</v>
      </c>
      <c r="B246" t="s">
        <v>3171</v>
      </c>
      <c r="C246" t="s">
        <v>66</v>
      </c>
      <c r="D246" t="s">
        <v>3010</v>
      </c>
      <c r="E246" t="s">
        <v>559</v>
      </c>
      <c r="F246">
        <v>1</v>
      </c>
      <c r="G246" t="s">
        <v>2050</v>
      </c>
      <c r="H246" t="s">
        <v>2051</v>
      </c>
      <c r="I246" t="s">
        <v>53</v>
      </c>
      <c r="J246" t="s">
        <v>67</v>
      </c>
      <c r="K246" t="s">
        <v>68</v>
      </c>
      <c r="L246" t="s">
        <v>2052</v>
      </c>
      <c r="M246" t="s">
        <v>2053</v>
      </c>
      <c r="N246">
        <v>0</v>
      </c>
      <c r="O246">
        <v>0</v>
      </c>
      <c r="P246">
        <v>0</v>
      </c>
      <c r="Q246">
        <v>1440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346</v>
      </c>
      <c r="AH246" s="21" t="s">
        <v>3428</v>
      </c>
      <c r="AI246" s="21">
        <v>107.92500000000001</v>
      </c>
      <c r="AJ246" s="21">
        <v>100</v>
      </c>
      <c r="AK246" s="21" t="s">
        <v>2055</v>
      </c>
      <c r="AL246" t="s">
        <v>70</v>
      </c>
      <c r="AM246" t="s">
        <v>2030</v>
      </c>
    </row>
    <row r="247" spans="1:39" ht="15" hidden="1" thickTop="1" x14ac:dyDescent="0.35">
      <c r="A247" t="s">
        <v>2589</v>
      </c>
      <c r="B247" t="s">
        <v>3172</v>
      </c>
      <c r="C247" t="s">
        <v>66</v>
      </c>
      <c r="D247" t="s">
        <v>3173</v>
      </c>
      <c r="E247" t="s">
        <v>559</v>
      </c>
      <c r="F247">
        <v>1</v>
      </c>
      <c r="G247" t="s">
        <v>2050</v>
      </c>
      <c r="H247" t="s">
        <v>2051</v>
      </c>
      <c r="I247" t="s">
        <v>53</v>
      </c>
      <c r="J247" t="s">
        <v>67</v>
      </c>
      <c r="K247" t="s">
        <v>68</v>
      </c>
      <c r="L247" t="s">
        <v>2052</v>
      </c>
      <c r="M247" t="s">
        <v>2053</v>
      </c>
      <c r="N247">
        <v>1</v>
      </c>
      <c r="O247">
        <v>20</v>
      </c>
      <c r="P247">
        <v>1.39</v>
      </c>
      <c r="Q247">
        <v>1440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20</v>
      </c>
      <c r="Z247">
        <v>1.39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347</v>
      </c>
      <c r="AH247" s="21" t="s">
        <v>3427</v>
      </c>
      <c r="AI247" s="21">
        <v>107.92500000000001</v>
      </c>
      <c r="AJ247" s="21">
        <v>98.611111111111114</v>
      </c>
      <c r="AK247" s="21" t="s">
        <v>2055</v>
      </c>
      <c r="AL247" t="s">
        <v>70</v>
      </c>
      <c r="AM247" t="s">
        <v>2030</v>
      </c>
    </row>
    <row r="248" spans="1:39" ht="15" hidden="1" thickTop="1" x14ac:dyDescent="0.35">
      <c r="A248" t="s">
        <v>3168</v>
      </c>
      <c r="B248" t="s">
        <v>3174</v>
      </c>
      <c r="C248" t="s">
        <v>117</v>
      </c>
      <c r="D248" t="s">
        <v>3175</v>
      </c>
      <c r="E248" t="s">
        <v>559</v>
      </c>
      <c r="F248">
        <v>1</v>
      </c>
      <c r="G248" t="s">
        <v>2050</v>
      </c>
      <c r="H248" t="s">
        <v>2051</v>
      </c>
      <c r="I248" t="s">
        <v>53</v>
      </c>
      <c r="J248" t="s">
        <v>67</v>
      </c>
      <c r="K248" t="s">
        <v>68</v>
      </c>
      <c r="L248" t="s">
        <v>2052</v>
      </c>
      <c r="M248" t="s">
        <v>2053</v>
      </c>
      <c r="N248">
        <v>0</v>
      </c>
      <c r="O248">
        <v>0</v>
      </c>
      <c r="P248">
        <v>0</v>
      </c>
      <c r="Q248">
        <v>1440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348</v>
      </c>
      <c r="AH248" s="21" t="s">
        <v>3430</v>
      </c>
      <c r="AI248" s="21">
        <v>107.92500000000001</v>
      </c>
      <c r="AJ248" s="21">
        <v>100</v>
      </c>
      <c r="AK248" s="21" t="s">
        <v>2054</v>
      </c>
      <c r="AL248" t="s">
        <v>70</v>
      </c>
      <c r="AM248" t="s">
        <v>2030</v>
      </c>
    </row>
    <row r="249" spans="1:39" ht="15" hidden="1" thickTop="1" x14ac:dyDescent="0.35">
      <c r="A249" t="s">
        <v>3177</v>
      </c>
      <c r="B249" t="s">
        <v>3186</v>
      </c>
      <c r="C249" t="s">
        <v>117</v>
      </c>
      <c r="D249" t="s">
        <v>3187</v>
      </c>
      <c r="E249" t="s">
        <v>559</v>
      </c>
      <c r="F249">
        <v>1</v>
      </c>
      <c r="G249" t="s">
        <v>2050</v>
      </c>
      <c r="H249" t="s">
        <v>2051</v>
      </c>
      <c r="I249" t="s">
        <v>53</v>
      </c>
      <c r="J249" t="s">
        <v>67</v>
      </c>
      <c r="K249" t="s">
        <v>68</v>
      </c>
      <c r="L249" t="s">
        <v>2052</v>
      </c>
      <c r="M249" t="s">
        <v>2053</v>
      </c>
      <c r="N249">
        <v>0</v>
      </c>
      <c r="O249">
        <v>0</v>
      </c>
      <c r="P249">
        <v>0</v>
      </c>
      <c r="Q249">
        <v>1440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349</v>
      </c>
      <c r="AH249" s="21" t="s">
        <v>3427</v>
      </c>
      <c r="AI249" s="21">
        <v>107.92500000000001</v>
      </c>
      <c r="AJ249" s="21">
        <v>100</v>
      </c>
      <c r="AK249" s="21" t="s">
        <v>2054</v>
      </c>
      <c r="AL249" t="s">
        <v>70</v>
      </c>
      <c r="AM249" t="s">
        <v>2029</v>
      </c>
    </row>
    <row r="250" spans="1:39" ht="15" hidden="1" thickTop="1" x14ac:dyDescent="0.35">
      <c r="A250" t="s">
        <v>3178</v>
      </c>
      <c r="B250" t="s">
        <v>3188</v>
      </c>
      <c r="C250" t="s">
        <v>92</v>
      </c>
      <c r="D250" t="s">
        <v>3189</v>
      </c>
      <c r="E250" t="s">
        <v>119</v>
      </c>
      <c r="F250">
        <v>1</v>
      </c>
      <c r="G250" t="s">
        <v>2050</v>
      </c>
      <c r="H250" t="s">
        <v>2051</v>
      </c>
      <c r="I250" t="s">
        <v>53</v>
      </c>
      <c r="J250" t="s">
        <v>67</v>
      </c>
      <c r="K250" t="s">
        <v>68</v>
      </c>
      <c r="L250" t="s">
        <v>2052</v>
      </c>
      <c r="M250" t="s">
        <v>2053</v>
      </c>
      <c r="N250">
        <v>0</v>
      </c>
      <c r="O250">
        <v>0</v>
      </c>
      <c r="P250">
        <v>0</v>
      </c>
      <c r="Q250">
        <v>1440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350</v>
      </c>
      <c r="AH250" s="21" t="s">
        <v>3427</v>
      </c>
      <c r="AI250" s="21">
        <v>107.92500000000001</v>
      </c>
      <c r="AJ250" s="21">
        <v>100</v>
      </c>
      <c r="AK250" s="21" t="s">
        <v>2054</v>
      </c>
      <c r="AL250" t="s">
        <v>70</v>
      </c>
      <c r="AM250" t="s">
        <v>2027</v>
      </c>
    </row>
    <row r="251" spans="1:39" ht="15" hidden="1" thickTop="1" x14ac:dyDescent="0.35">
      <c r="A251" t="s">
        <v>3183</v>
      </c>
      <c r="B251" t="s">
        <v>3190</v>
      </c>
      <c r="C251" t="s">
        <v>71</v>
      </c>
      <c r="D251" t="s">
        <v>3191</v>
      </c>
      <c r="E251" t="s">
        <v>72</v>
      </c>
      <c r="F251">
        <v>1</v>
      </c>
      <c r="G251" t="s">
        <v>2050</v>
      </c>
      <c r="H251" t="s">
        <v>2051</v>
      </c>
      <c r="I251" t="s">
        <v>53</v>
      </c>
      <c r="J251" t="s">
        <v>73</v>
      </c>
      <c r="K251" t="s">
        <v>68</v>
      </c>
      <c r="L251" t="s">
        <v>2052</v>
      </c>
      <c r="M251" t="s">
        <v>2053</v>
      </c>
      <c r="N251">
        <v>0</v>
      </c>
      <c r="O251">
        <v>0</v>
      </c>
      <c r="P251">
        <v>0</v>
      </c>
      <c r="Q251">
        <v>1440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351</v>
      </c>
      <c r="AH251" s="21" t="s">
        <v>3427</v>
      </c>
      <c r="AI251" s="21">
        <v>107.92500000000001</v>
      </c>
      <c r="AJ251" s="21">
        <v>100</v>
      </c>
      <c r="AK251" s="21" t="s">
        <v>2054</v>
      </c>
      <c r="AL251" t="s">
        <v>75</v>
      </c>
      <c r="AM251" t="s">
        <v>2030</v>
      </c>
    </row>
    <row r="252" spans="1:39" ht="15" hidden="1" thickTop="1" x14ac:dyDescent="0.35">
      <c r="A252" t="s">
        <v>3192</v>
      </c>
      <c r="B252" t="s">
        <v>3201</v>
      </c>
      <c r="C252" t="s">
        <v>76</v>
      </c>
      <c r="D252" t="s">
        <v>3202</v>
      </c>
      <c r="E252" t="s">
        <v>559</v>
      </c>
      <c r="F252">
        <v>1</v>
      </c>
      <c r="G252" t="s">
        <v>2050</v>
      </c>
      <c r="H252" t="s">
        <v>2051</v>
      </c>
      <c r="I252" t="s">
        <v>53</v>
      </c>
      <c r="J252" t="s">
        <v>67</v>
      </c>
      <c r="K252" t="s">
        <v>68</v>
      </c>
      <c r="L252" t="s">
        <v>2052</v>
      </c>
      <c r="M252" t="s">
        <v>2064</v>
      </c>
      <c r="N252">
        <v>0</v>
      </c>
      <c r="O252">
        <v>0</v>
      </c>
      <c r="P252">
        <v>0</v>
      </c>
      <c r="Q252">
        <v>900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353</v>
      </c>
      <c r="AH252" s="21" t="s">
        <v>3425</v>
      </c>
      <c r="AI252" s="21">
        <v>67.5</v>
      </c>
      <c r="AJ252" s="21">
        <v>100</v>
      </c>
      <c r="AK252" s="21" t="s">
        <v>2054</v>
      </c>
      <c r="AL252" t="s">
        <v>70</v>
      </c>
      <c r="AM252" t="s">
        <v>2028</v>
      </c>
    </row>
    <row r="253" spans="1:39" ht="15" hidden="1" thickTop="1" x14ac:dyDescent="0.35">
      <c r="A253" t="s">
        <v>3193</v>
      </c>
      <c r="B253" t="s">
        <v>3204</v>
      </c>
      <c r="C253" t="s">
        <v>102</v>
      </c>
      <c r="D253" t="s">
        <v>3205</v>
      </c>
      <c r="E253" t="s">
        <v>559</v>
      </c>
      <c r="F253">
        <v>1</v>
      </c>
      <c r="G253" t="s">
        <v>2050</v>
      </c>
      <c r="H253" t="s">
        <v>2051</v>
      </c>
      <c r="I253" t="s">
        <v>53</v>
      </c>
      <c r="J253" t="s">
        <v>67</v>
      </c>
      <c r="K253" t="s">
        <v>68</v>
      </c>
      <c r="L253" t="s">
        <v>2052</v>
      </c>
      <c r="M253" t="s">
        <v>2053</v>
      </c>
      <c r="N253">
        <v>0</v>
      </c>
      <c r="O253">
        <v>0</v>
      </c>
      <c r="P253">
        <v>0</v>
      </c>
      <c r="Q253">
        <v>1440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t="s">
        <v>354</v>
      </c>
      <c r="AH253" s="21" t="s">
        <v>3425</v>
      </c>
      <c r="AI253" s="21">
        <v>107.92500000000001</v>
      </c>
      <c r="AJ253" s="21">
        <v>100</v>
      </c>
      <c r="AK253" s="21" t="s">
        <v>2054</v>
      </c>
      <c r="AL253" t="s">
        <v>70</v>
      </c>
      <c r="AM253" t="s">
        <v>2027</v>
      </c>
    </row>
    <row r="254" spans="1:39" ht="15" hidden="1" thickTop="1" x14ac:dyDescent="0.35">
      <c r="A254" t="s">
        <v>3197</v>
      </c>
      <c r="B254" t="s">
        <v>3216</v>
      </c>
      <c r="C254" t="s">
        <v>111</v>
      </c>
      <c r="D254" t="s">
        <v>3217</v>
      </c>
      <c r="E254" t="s">
        <v>112</v>
      </c>
      <c r="F254">
        <v>1</v>
      </c>
      <c r="G254" t="s">
        <v>2050</v>
      </c>
      <c r="H254" t="s">
        <v>2051</v>
      </c>
      <c r="I254" t="s">
        <v>53</v>
      </c>
      <c r="J254" t="s">
        <v>113</v>
      </c>
      <c r="K254" t="s">
        <v>68</v>
      </c>
      <c r="L254" t="s">
        <v>2052</v>
      </c>
      <c r="M254" t="s">
        <v>2053</v>
      </c>
      <c r="N254">
        <v>0</v>
      </c>
      <c r="O254">
        <v>0</v>
      </c>
      <c r="P254">
        <v>0</v>
      </c>
      <c r="Q254">
        <v>1440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355</v>
      </c>
      <c r="AH254" s="21" t="s">
        <v>3424</v>
      </c>
      <c r="AI254" s="21">
        <v>107.92500000000001</v>
      </c>
      <c r="AJ254" s="21">
        <v>100</v>
      </c>
      <c r="AK254" s="21" t="s">
        <v>2054</v>
      </c>
      <c r="AL254" t="s">
        <v>115</v>
      </c>
      <c r="AM254" t="s">
        <v>2029</v>
      </c>
    </row>
    <row r="255" spans="1:39" ht="15" hidden="1" thickTop="1" x14ac:dyDescent="0.35">
      <c r="A255" t="s">
        <v>3206</v>
      </c>
      <c r="B255" t="s">
        <v>3219</v>
      </c>
      <c r="C255" t="s">
        <v>92</v>
      </c>
      <c r="D255" t="s">
        <v>3220</v>
      </c>
      <c r="E255" t="s">
        <v>119</v>
      </c>
      <c r="F255">
        <v>1</v>
      </c>
      <c r="G255" t="s">
        <v>2050</v>
      </c>
      <c r="H255" t="s">
        <v>2051</v>
      </c>
      <c r="I255" t="s">
        <v>53</v>
      </c>
      <c r="J255" t="s">
        <v>67</v>
      </c>
      <c r="K255" t="s">
        <v>68</v>
      </c>
      <c r="L255" t="s">
        <v>2052</v>
      </c>
      <c r="M255" t="s">
        <v>2082</v>
      </c>
      <c r="N255">
        <v>0</v>
      </c>
      <c r="O255">
        <v>0</v>
      </c>
      <c r="P255">
        <v>0</v>
      </c>
      <c r="Q255">
        <v>780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t="s">
        <v>356</v>
      </c>
      <c r="AH255" s="21" t="s">
        <v>3424</v>
      </c>
      <c r="AI255" s="21">
        <v>58.500000000000014</v>
      </c>
      <c r="AJ255" s="21">
        <v>100</v>
      </c>
      <c r="AK255" s="21" t="s">
        <v>2054</v>
      </c>
      <c r="AL255" t="s">
        <v>70</v>
      </c>
      <c r="AM255" t="s">
        <v>2027</v>
      </c>
    </row>
    <row r="256" spans="1:39" ht="15" hidden="1" thickTop="1" x14ac:dyDescent="0.35">
      <c r="A256" t="s">
        <v>3210</v>
      </c>
      <c r="B256" t="s">
        <v>3230</v>
      </c>
      <c r="C256" t="s">
        <v>100</v>
      </c>
      <c r="D256" t="s">
        <v>3231</v>
      </c>
      <c r="E256" t="s">
        <v>559</v>
      </c>
      <c r="F256">
        <v>1</v>
      </c>
      <c r="G256" t="s">
        <v>2050</v>
      </c>
      <c r="H256" t="s">
        <v>2051</v>
      </c>
      <c r="I256" t="s">
        <v>53</v>
      </c>
      <c r="J256" t="s">
        <v>67</v>
      </c>
      <c r="K256" t="s">
        <v>68</v>
      </c>
      <c r="L256" t="s">
        <v>2052</v>
      </c>
      <c r="M256" t="s">
        <v>2064</v>
      </c>
      <c r="N256">
        <v>0</v>
      </c>
      <c r="O256">
        <v>0</v>
      </c>
      <c r="P256">
        <v>0</v>
      </c>
      <c r="Q256">
        <v>900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t="s">
        <v>358</v>
      </c>
      <c r="AH256" s="21" t="s">
        <v>3424</v>
      </c>
      <c r="AI256" s="21">
        <v>67.5</v>
      </c>
      <c r="AJ256" s="21">
        <v>100</v>
      </c>
      <c r="AK256" s="21" t="s">
        <v>2054</v>
      </c>
      <c r="AL256" t="s">
        <v>70</v>
      </c>
      <c r="AM256" t="s">
        <v>2028</v>
      </c>
    </row>
    <row r="257" spans="1:39" ht="15" hidden="1" thickTop="1" x14ac:dyDescent="0.35">
      <c r="A257" t="s">
        <v>3212</v>
      </c>
      <c r="B257" t="s">
        <v>3234</v>
      </c>
      <c r="C257" t="s">
        <v>102</v>
      </c>
      <c r="D257" t="s">
        <v>3235</v>
      </c>
      <c r="E257" t="s">
        <v>559</v>
      </c>
      <c r="F257">
        <v>1</v>
      </c>
      <c r="G257" t="s">
        <v>2050</v>
      </c>
      <c r="H257" t="s">
        <v>2051</v>
      </c>
      <c r="I257" t="s">
        <v>53</v>
      </c>
      <c r="J257" t="s">
        <v>67</v>
      </c>
      <c r="K257" t="s">
        <v>68</v>
      </c>
      <c r="L257" t="s">
        <v>2052</v>
      </c>
      <c r="M257" t="s">
        <v>2053</v>
      </c>
      <c r="N257">
        <v>0</v>
      </c>
      <c r="O257">
        <v>0</v>
      </c>
      <c r="P257">
        <v>0</v>
      </c>
      <c r="Q257">
        <v>1440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 t="s">
        <v>359</v>
      </c>
      <c r="AH257" s="21" t="s">
        <v>3424</v>
      </c>
      <c r="AI257" s="21">
        <v>107.92500000000001</v>
      </c>
      <c r="AJ257" s="21">
        <v>100</v>
      </c>
      <c r="AK257" s="21" t="s">
        <v>2054</v>
      </c>
      <c r="AL257" t="s">
        <v>70</v>
      </c>
      <c r="AM257" t="s">
        <v>2029</v>
      </c>
    </row>
    <row r="258" spans="1:39" ht="15" hidden="1" thickTop="1" x14ac:dyDescent="0.35">
      <c r="A258" t="s">
        <v>3221</v>
      </c>
      <c r="B258" t="s">
        <v>3243</v>
      </c>
      <c r="C258" t="s">
        <v>81</v>
      </c>
      <c r="D258" t="s">
        <v>3244</v>
      </c>
      <c r="E258" t="s">
        <v>559</v>
      </c>
      <c r="F258">
        <v>2</v>
      </c>
      <c r="G258" t="s">
        <v>2050</v>
      </c>
      <c r="H258" t="s">
        <v>2051</v>
      </c>
      <c r="I258" t="s">
        <v>53</v>
      </c>
      <c r="J258" t="s">
        <v>82</v>
      </c>
      <c r="K258" t="s">
        <v>68</v>
      </c>
      <c r="L258" t="s">
        <v>2052</v>
      </c>
      <c r="M258" t="s">
        <v>2078</v>
      </c>
      <c r="N258">
        <v>0</v>
      </c>
      <c r="O258">
        <v>0</v>
      </c>
      <c r="P258">
        <v>0</v>
      </c>
      <c r="Q258">
        <v>960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 t="s">
        <v>360</v>
      </c>
      <c r="AH258" s="21" t="s">
        <v>3424</v>
      </c>
      <c r="AI258" s="21">
        <v>72</v>
      </c>
      <c r="AJ258" s="21">
        <v>100</v>
      </c>
      <c r="AK258" s="21" t="s">
        <v>2054</v>
      </c>
      <c r="AL258" t="s">
        <v>70</v>
      </c>
      <c r="AM258" t="s">
        <v>2030</v>
      </c>
    </row>
    <row r="259" spans="1:39" ht="15" hidden="1" thickTop="1" x14ac:dyDescent="0.35">
      <c r="A259" t="s">
        <v>3223</v>
      </c>
      <c r="B259" t="s">
        <v>3247</v>
      </c>
      <c r="C259" t="s">
        <v>78</v>
      </c>
      <c r="D259" t="s">
        <v>3248</v>
      </c>
      <c r="E259" t="s">
        <v>559</v>
      </c>
      <c r="F259">
        <v>1</v>
      </c>
      <c r="G259" t="s">
        <v>2050</v>
      </c>
      <c r="H259" t="s">
        <v>2051</v>
      </c>
      <c r="I259" t="s">
        <v>53</v>
      </c>
      <c r="J259" t="s">
        <v>67</v>
      </c>
      <c r="K259" t="s">
        <v>68</v>
      </c>
      <c r="L259" t="s">
        <v>2052</v>
      </c>
      <c r="M259" t="s">
        <v>2053</v>
      </c>
      <c r="N259">
        <v>0</v>
      </c>
      <c r="O259">
        <v>0</v>
      </c>
      <c r="P259">
        <v>0</v>
      </c>
      <c r="Q259">
        <v>1440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361</v>
      </c>
      <c r="AH259" s="21" t="s">
        <v>3429</v>
      </c>
      <c r="AI259" s="21">
        <v>107.92500000000001</v>
      </c>
      <c r="AJ259" s="21">
        <v>100</v>
      </c>
      <c r="AK259" s="21" t="s">
        <v>2054</v>
      </c>
      <c r="AL259" t="s">
        <v>70</v>
      </c>
      <c r="AM259" t="s">
        <v>2029</v>
      </c>
    </row>
    <row r="260" spans="1:39" ht="15" hidden="1" thickTop="1" x14ac:dyDescent="0.35">
      <c r="A260" t="s">
        <v>3225</v>
      </c>
      <c r="B260" t="s">
        <v>3251</v>
      </c>
      <c r="C260" t="s">
        <v>66</v>
      </c>
      <c r="D260" t="s">
        <v>3252</v>
      </c>
      <c r="E260" t="s">
        <v>559</v>
      </c>
      <c r="F260">
        <v>1</v>
      </c>
      <c r="G260" t="s">
        <v>2050</v>
      </c>
      <c r="H260" t="s">
        <v>2051</v>
      </c>
      <c r="I260" t="s">
        <v>53</v>
      </c>
      <c r="J260" t="s">
        <v>67</v>
      </c>
      <c r="K260" t="s">
        <v>68</v>
      </c>
      <c r="L260" t="s">
        <v>2052</v>
      </c>
      <c r="M260" t="s">
        <v>2064</v>
      </c>
      <c r="N260">
        <v>0</v>
      </c>
      <c r="O260">
        <v>0</v>
      </c>
      <c r="P260">
        <v>0</v>
      </c>
      <c r="Q260">
        <v>900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362</v>
      </c>
      <c r="AH260" s="21" t="s">
        <v>3425</v>
      </c>
      <c r="AI260" s="21">
        <v>67.5</v>
      </c>
      <c r="AJ260" s="21">
        <v>100</v>
      </c>
      <c r="AK260" s="21" t="s">
        <v>2054</v>
      </c>
      <c r="AL260" t="s">
        <v>70</v>
      </c>
      <c r="AM260" t="s">
        <v>2031</v>
      </c>
    </row>
    <row r="261" spans="1:39" ht="15" hidden="1" thickTop="1" x14ac:dyDescent="0.35">
      <c r="A261" t="s">
        <v>3227</v>
      </c>
      <c r="B261" t="s">
        <v>3256</v>
      </c>
      <c r="C261" t="s">
        <v>3376</v>
      </c>
      <c r="D261" t="s">
        <v>3257</v>
      </c>
      <c r="E261" t="s">
        <v>559</v>
      </c>
      <c r="F261">
        <v>1</v>
      </c>
      <c r="G261" t="s">
        <v>2050</v>
      </c>
      <c r="H261" t="s">
        <v>2051</v>
      </c>
      <c r="I261" t="s">
        <v>53</v>
      </c>
      <c r="J261" t="s">
        <v>67</v>
      </c>
      <c r="K261" t="s">
        <v>68</v>
      </c>
      <c r="L261" t="s">
        <v>2052</v>
      </c>
      <c r="M261" t="s">
        <v>2053</v>
      </c>
      <c r="N261">
        <v>0</v>
      </c>
      <c r="O261">
        <v>0</v>
      </c>
      <c r="P261">
        <v>0</v>
      </c>
      <c r="Q261">
        <v>1440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363</v>
      </c>
      <c r="AH261" s="21" t="s">
        <v>3424</v>
      </c>
      <c r="AI261" s="21">
        <v>107.92500000000001</v>
      </c>
      <c r="AJ261" s="21">
        <v>100</v>
      </c>
      <c r="AK261" s="21" t="s">
        <v>2054</v>
      </c>
      <c r="AL261" t="s">
        <v>70</v>
      </c>
      <c r="AM261" t="s">
        <v>2027</v>
      </c>
    </row>
    <row r="262" spans="1:39" ht="15" hidden="1" thickTop="1" x14ac:dyDescent="0.35">
      <c r="A262" t="s">
        <v>3229</v>
      </c>
      <c r="B262" t="s">
        <v>3260</v>
      </c>
      <c r="C262" t="s">
        <v>92</v>
      </c>
      <c r="D262" t="s">
        <v>3261</v>
      </c>
      <c r="E262" t="s">
        <v>119</v>
      </c>
      <c r="F262">
        <v>1</v>
      </c>
      <c r="G262" t="s">
        <v>2050</v>
      </c>
      <c r="H262" t="s">
        <v>2051</v>
      </c>
      <c r="I262" t="s">
        <v>53</v>
      </c>
      <c r="J262" t="s">
        <v>67</v>
      </c>
      <c r="K262" t="s">
        <v>68</v>
      </c>
      <c r="L262" t="s">
        <v>2052</v>
      </c>
      <c r="M262" t="s">
        <v>2053</v>
      </c>
      <c r="N262">
        <v>0</v>
      </c>
      <c r="O262">
        <v>0</v>
      </c>
      <c r="P262">
        <v>0</v>
      </c>
      <c r="Q262">
        <v>1440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364</v>
      </c>
      <c r="AH262" s="21" t="s">
        <v>3425</v>
      </c>
      <c r="AI262" s="21">
        <v>107.92500000000001</v>
      </c>
      <c r="AJ262" s="21">
        <v>100</v>
      </c>
      <c r="AK262" s="21" t="s">
        <v>2054</v>
      </c>
      <c r="AL262" t="s">
        <v>70</v>
      </c>
      <c r="AM262" t="s">
        <v>2028</v>
      </c>
    </row>
    <row r="263" spans="1:39" ht="15" hidden="1" thickTop="1" x14ac:dyDescent="0.35">
      <c r="A263" t="s">
        <v>3232</v>
      </c>
      <c r="B263" t="s">
        <v>3263</v>
      </c>
      <c r="C263" t="s">
        <v>128</v>
      </c>
      <c r="D263" t="s">
        <v>3264</v>
      </c>
      <c r="E263" t="s">
        <v>112</v>
      </c>
      <c r="F263">
        <v>1</v>
      </c>
      <c r="G263" t="s">
        <v>2050</v>
      </c>
      <c r="H263" t="s">
        <v>2051</v>
      </c>
      <c r="I263" t="s">
        <v>53</v>
      </c>
      <c r="J263" t="s">
        <v>113</v>
      </c>
      <c r="K263" t="s">
        <v>68</v>
      </c>
      <c r="L263" t="s">
        <v>2052</v>
      </c>
      <c r="M263" t="s">
        <v>2053</v>
      </c>
      <c r="N263">
        <v>0</v>
      </c>
      <c r="O263">
        <v>0</v>
      </c>
      <c r="P263">
        <v>0</v>
      </c>
      <c r="Q263">
        <v>1440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365</v>
      </c>
      <c r="AH263" s="21" t="s">
        <v>3427</v>
      </c>
      <c r="AI263" s="21">
        <v>107.92500000000001</v>
      </c>
      <c r="AJ263" s="21">
        <v>100</v>
      </c>
      <c r="AK263" s="21" t="s">
        <v>2054</v>
      </c>
      <c r="AL263" t="s">
        <v>115</v>
      </c>
      <c r="AM263" t="s">
        <v>2029</v>
      </c>
    </row>
    <row r="264" spans="1:39" ht="15" hidden="1" thickTop="1" x14ac:dyDescent="0.35">
      <c r="A264" t="s">
        <v>3239</v>
      </c>
      <c r="B264" t="s">
        <v>3270</v>
      </c>
      <c r="C264" t="s">
        <v>76</v>
      </c>
      <c r="D264" t="s">
        <v>3271</v>
      </c>
      <c r="E264" t="s">
        <v>559</v>
      </c>
      <c r="F264">
        <v>1</v>
      </c>
      <c r="G264" t="s">
        <v>2050</v>
      </c>
      <c r="H264" t="s">
        <v>2051</v>
      </c>
      <c r="I264" t="s">
        <v>53</v>
      </c>
      <c r="J264" t="s">
        <v>67</v>
      </c>
      <c r="K264" t="s">
        <v>68</v>
      </c>
      <c r="L264" t="s">
        <v>2052</v>
      </c>
      <c r="M264" t="s">
        <v>2053</v>
      </c>
      <c r="N264">
        <v>0</v>
      </c>
      <c r="O264">
        <v>0</v>
      </c>
      <c r="P264">
        <v>0</v>
      </c>
      <c r="Q264">
        <v>1440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366</v>
      </c>
      <c r="AH264" s="21" t="s">
        <v>3424</v>
      </c>
      <c r="AI264" s="21">
        <v>107.92500000000001</v>
      </c>
      <c r="AJ264" s="21">
        <v>100</v>
      </c>
      <c r="AK264" s="21" t="s">
        <v>2054</v>
      </c>
      <c r="AL264" t="s">
        <v>70</v>
      </c>
      <c r="AM264" t="s">
        <v>2029</v>
      </c>
    </row>
    <row r="265" spans="1:39" ht="15" hidden="1" thickTop="1" x14ac:dyDescent="0.35">
      <c r="A265" t="s">
        <v>3246</v>
      </c>
      <c r="B265" t="s">
        <v>3277</v>
      </c>
      <c r="C265" t="s">
        <v>76</v>
      </c>
      <c r="D265" t="s">
        <v>3278</v>
      </c>
      <c r="E265" t="s">
        <v>559</v>
      </c>
      <c r="F265">
        <v>1</v>
      </c>
      <c r="G265" t="s">
        <v>2050</v>
      </c>
      <c r="H265" t="s">
        <v>2051</v>
      </c>
      <c r="I265" t="s">
        <v>53</v>
      </c>
      <c r="J265" t="s">
        <v>67</v>
      </c>
      <c r="K265" t="s">
        <v>68</v>
      </c>
      <c r="L265" t="s">
        <v>2052</v>
      </c>
      <c r="M265" t="s">
        <v>2064</v>
      </c>
      <c r="N265">
        <v>0</v>
      </c>
      <c r="O265">
        <v>0</v>
      </c>
      <c r="P265">
        <v>0</v>
      </c>
      <c r="Q265">
        <v>900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367</v>
      </c>
      <c r="AH265" s="21" t="s">
        <v>3427</v>
      </c>
      <c r="AI265" s="21">
        <v>67.5</v>
      </c>
      <c r="AJ265" s="21">
        <v>100</v>
      </c>
      <c r="AK265" s="21" t="s">
        <v>2055</v>
      </c>
      <c r="AL265" t="s">
        <v>70</v>
      </c>
      <c r="AM265" t="s">
        <v>2030</v>
      </c>
    </row>
    <row r="266" spans="1:39" ht="15" hidden="1" thickTop="1" x14ac:dyDescent="0.35">
      <c r="A266" t="s">
        <v>3254</v>
      </c>
      <c r="B266" t="s">
        <v>3283</v>
      </c>
      <c r="C266" t="s">
        <v>78</v>
      </c>
      <c r="D266" t="s">
        <v>3284</v>
      </c>
      <c r="E266" t="s">
        <v>559</v>
      </c>
      <c r="F266">
        <v>1</v>
      </c>
      <c r="G266" t="s">
        <v>2050</v>
      </c>
      <c r="H266" t="s">
        <v>2051</v>
      </c>
      <c r="I266" t="s">
        <v>53</v>
      </c>
      <c r="J266" t="s">
        <v>67</v>
      </c>
      <c r="K266" t="s">
        <v>68</v>
      </c>
      <c r="L266" t="s">
        <v>2052</v>
      </c>
      <c r="M266" t="s">
        <v>2053</v>
      </c>
      <c r="N266">
        <v>0</v>
      </c>
      <c r="O266">
        <v>0</v>
      </c>
      <c r="P266">
        <v>0</v>
      </c>
      <c r="Q266">
        <v>1440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368</v>
      </c>
      <c r="AH266" s="21" t="s">
        <v>3427</v>
      </c>
      <c r="AI266" s="21">
        <v>107.92500000000001</v>
      </c>
      <c r="AJ266" s="21">
        <v>100</v>
      </c>
      <c r="AK266" s="21" t="s">
        <v>2055</v>
      </c>
      <c r="AL266" t="s">
        <v>70</v>
      </c>
      <c r="AM266" t="s">
        <v>2031</v>
      </c>
    </row>
    <row r="267" spans="1:39" ht="15" hidden="1" thickTop="1" x14ac:dyDescent="0.35">
      <c r="A267" t="s">
        <v>3255</v>
      </c>
      <c r="B267" t="s">
        <v>3286</v>
      </c>
      <c r="C267" t="s">
        <v>66</v>
      </c>
      <c r="D267" t="s">
        <v>3287</v>
      </c>
      <c r="E267" t="s">
        <v>559</v>
      </c>
      <c r="F267">
        <v>1</v>
      </c>
      <c r="G267" t="s">
        <v>2050</v>
      </c>
      <c r="H267" t="s">
        <v>2051</v>
      </c>
      <c r="I267" t="s">
        <v>53</v>
      </c>
      <c r="J267" t="s">
        <v>67</v>
      </c>
      <c r="K267" t="s">
        <v>68</v>
      </c>
      <c r="L267" t="s">
        <v>2052</v>
      </c>
      <c r="M267" t="s">
        <v>2064</v>
      </c>
      <c r="N267">
        <v>0</v>
      </c>
      <c r="O267">
        <v>0</v>
      </c>
      <c r="P267">
        <v>0</v>
      </c>
      <c r="Q267">
        <v>900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 t="s">
        <v>369</v>
      </c>
      <c r="AH267" s="21" t="s">
        <v>3424</v>
      </c>
      <c r="AI267" s="21">
        <v>67.5</v>
      </c>
      <c r="AJ267" s="21">
        <v>100</v>
      </c>
      <c r="AK267" s="21" t="s">
        <v>2055</v>
      </c>
      <c r="AL267" t="s">
        <v>70</v>
      </c>
      <c r="AM267" t="s">
        <v>2029</v>
      </c>
    </row>
    <row r="268" spans="1:39" ht="15" hidden="1" thickTop="1" x14ac:dyDescent="0.35">
      <c r="A268" t="s">
        <v>3259</v>
      </c>
      <c r="B268" t="s">
        <v>3290</v>
      </c>
      <c r="C268" t="s">
        <v>92</v>
      </c>
      <c r="D268" t="s">
        <v>3291</v>
      </c>
      <c r="E268" t="s">
        <v>119</v>
      </c>
      <c r="F268">
        <v>1</v>
      </c>
      <c r="G268" t="s">
        <v>2050</v>
      </c>
      <c r="H268" t="s">
        <v>2051</v>
      </c>
      <c r="I268" t="s">
        <v>53</v>
      </c>
      <c r="J268" t="s">
        <v>67</v>
      </c>
      <c r="K268" t="s">
        <v>68</v>
      </c>
      <c r="L268" t="s">
        <v>2052</v>
      </c>
      <c r="M268" t="s">
        <v>2063</v>
      </c>
      <c r="N268">
        <v>0</v>
      </c>
      <c r="O268">
        <v>0</v>
      </c>
      <c r="P268">
        <v>0</v>
      </c>
      <c r="Q268">
        <v>1020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370</v>
      </c>
      <c r="AH268" s="21" t="s">
        <v>3424</v>
      </c>
      <c r="AI268" s="21">
        <v>76.500000000000014</v>
      </c>
      <c r="AJ268" s="21">
        <v>100</v>
      </c>
      <c r="AK268" s="21" t="s">
        <v>2054</v>
      </c>
      <c r="AL268" t="s">
        <v>70</v>
      </c>
      <c r="AM268" t="s">
        <v>2027</v>
      </c>
    </row>
    <row r="269" spans="1:39" ht="15" hidden="1" thickTop="1" x14ac:dyDescent="0.35">
      <c r="A269" t="s">
        <v>3265</v>
      </c>
      <c r="B269" t="s">
        <v>3292</v>
      </c>
      <c r="C269" t="s">
        <v>86</v>
      </c>
      <c r="D269" t="s">
        <v>3293</v>
      </c>
      <c r="E269" t="s">
        <v>72</v>
      </c>
      <c r="F269">
        <v>1</v>
      </c>
      <c r="G269" t="s">
        <v>2050</v>
      </c>
      <c r="H269" t="s">
        <v>2051</v>
      </c>
      <c r="I269" t="s">
        <v>53</v>
      </c>
      <c r="J269" t="s">
        <v>73</v>
      </c>
      <c r="K269" t="s">
        <v>68</v>
      </c>
      <c r="L269" t="s">
        <v>2052</v>
      </c>
      <c r="M269" t="s">
        <v>2083</v>
      </c>
      <c r="N269">
        <v>0</v>
      </c>
      <c r="O269">
        <v>0</v>
      </c>
      <c r="P269">
        <v>0</v>
      </c>
      <c r="Q269">
        <v>960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t="s">
        <v>371</v>
      </c>
      <c r="AH269" s="21" t="s">
        <v>3424</v>
      </c>
      <c r="AI269" s="21">
        <v>72.000000000000014</v>
      </c>
      <c r="AJ269" s="21">
        <v>100</v>
      </c>
      <c r="AK269" s="21" t="s">
        <v>2054</v>
      </c>
      <c r="AL269" t="s">
        <v>75</v>
      </c>
      <c r="AM269" t="s">
        <v>2029</v>
      </c>
    </row>
    <row r="270" spans="1:39" ht="15" hidden="1" thickTop="1" x14ac:dyDescent="0.35">
      <c r="A270" t="s">
        <v>3266</v>
      </c>
      <c r="B270" t="s">
        <v>3294</v>
      </c>
      <c r="C270" t="s">
        <v>66</v>
      </c>
      <c r="D270" t="s">
        <v>3295</v>
      </c>
      <c r="E270" t="s">
        <v>559</v>
      </c>
      <c r="F270">
        <v>1</v>
      </c>
      <c r="G270" t="s">
        <v>2050</v>
      </c>
      <c r="H270" t="s">
        <v>2051</v>
      </c>
      <c r="I270" t="s">
        <v>53</v>
      </c>
      <c r="J270" t="s">
        <v>67</v>
      </c>
      <c r="K270" t="s">
        <v>68</v>
      </c>
      <c r="L270" t="s">
        <v>2052</v>
      </c>
      <c r="M270" t="s">
        <v>2064</v>
      </c>
      <c r="N270">
        <v>0</v>
      </c>
      <c r="O270">
        <v>0</v>
      </c>
      <c r="P270">
        <v>0</v>
      </c>
      <c r="Q270">
        <v>900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t="s">
        <v>372</v>
      </c>
      <c r="AH270" s="21" t="s">
        <v>3424</v>
      </c>
      <c r="AI270" s="21">
        <v>67.5</v>
      </c>
      <c r="AJ270" s="21">
        <v>100</v>
      </c>
      <c r="AK270" s="21" t="s">
        <v>2054</v>
      </c>
      <c r="AL270" t="s">
        <v>70</v>
      </c>
      <c r="AM270" t="s">
        <v>2030</v>
      </c>
    </row>
    <row r="271" spans="1:39" ht="15" hidden="1" thickTop="1" x14ac:dyDescent="0.35">
      <c r="A271" t="s">
        <v>3273</v>
      </c>
      <c r="B271" t="s">
        <v>3303</v>
      </c>
      <c r="C271" t="s">
        <v>92</v>
      </c>
      <c r="D271" t="s">
        <v>3304</v>
      </c>
      <c r="E271" t="s">
        <v>559</v>
      </c>
      <c r="F271">
        <v>1</v>
      </c>
      <c r="G271" t="s">
        <v>2050</v>
      </c>
      <c r="H271" t="s">
        <v>2051</v>
      </c>
      <c r="I271" t="s">
        <v>53</v>
      </c>
      <c r="J271" t="s">
        <v>67</v>
      </c>
      <c r="K271" t="s">
        <v>68</v>
      </c>
      <c r="L271" t="s">
        <v>2052</v>
      </c>
      <c r="M271" t="s">
        <v>2053</v>
      </c>
      <c r="N271">
        <v>0</v>
      </c>
      <c r="O271">
        <v>0</v>
      </c>
      <c r="P271">
        <v>0</v>
      </c>
      <c r="Q271">
        <v>1440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373</v>
      </c>
      <c r="AH271" s="21" t="s">
        <v>3424</v>
      </c>
      <c r="AI271" s="21">
        <v>107.92500000000001</v>
      </c>
      <c r="AJ271" s="21">
        <v>100</v>
      </c>
      <c r="AK271" s="21" t="s">
        <v>2054</v>
      </c>
      <c r="AL271" t="s">
        <v>70</v>
      </c>
      <c r="AM271" t="s">
        <v>2031</v>
      </c>
    </row>
    <row r="272" spans="1:39" ht="15" hidden="1" thickTop="1" x14ac:dyDescent="0.35">
      <c r="A272" t="s">
        <v>3276</v>
      </c>
      <c r="B272" t="s">
        <v>3308</v>
      </c>
      <c r="C272" t="s">
        <v>78</v>
      </c>
      <c r="D272" t="s">
        <v>3309</v>
      </c>
      <c r="E272" t="s">
        <v>559</v>
      </c>
      <c r="F272">
        <v>1</v>
      </c>
      <c r="G272" t="s">
        <v>2050</v>
      </c>
      <c r="H272" t="s">
        <v>2051</v>
      </c>
      <c r="I272" t="s">
        <v>53</v>
      </c>
      <c r="J272" t="s">
        <v>67</v>
      </c>
      <c r="K272" t="s">
        <v>68</v>
      </c>
      <c r="L272" t="s">
        <v>2052</v>
      </c>
      <c r="M272" t="s">
        <v>2053</v>
      </c>
      <c r="N272">
        <v>0</v>
      </c>
      <c r="O272">
        <v>0</v>
      </c>
      <c r="P272">
        <v>0</v>
      </c>
      <c r="Q272">
        <v>1440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374</v>
      </c>
      <c r="AH272" s="21" t="s">
        <v>3427</v>
      </c>
      <c r="AI272" s="21">
        <v>107.92500000000001</v>
      </c>
      <c r="AJ272" s="21">
        <v>100</v>
      </c>
      <c r="AK272" s="21" t="s">
        <v>2055</v>
      </c>
      <c r="AL272" t="s">
        <v>70</v>
      </c>
      <c r="AM272" t="s">
        <v>2028</v>
      </c>
    </row>
    <row r="273" spans="1:39" ht="15" hidden="1" thickTop="1" x14ac:dyDescent="0.35">
      <c r="A273" t="s">
        <v>3282</v>
      </c>
      <c r="B273" t="s">
        <v>3314</v>
      </c>
      <c r="C273" t="s">
        <v>76</v>
      </c>
      <c r="D273" t="s">
        <v>3315</v>
      </c>
      <c r="E273" t="s">
        <v>119</v>
      </c>
      <c r="F273">
        <v>1</v>
      </c>
      <c r="G273" t="s">
        <v>2050</v>
      </c>
      <c r="H273" t="s">
        <v>2051</v>
      </c>
      <c r="I273" t="s">
        <v>53</v>
      </c>
      <c r="J273" t="s">
        <v>67</v>
      </c>
      <c r="K273" t="s">
        <v>68</v>
      </c>
      <c r="L273" t="s">
        <v>2052</v>
      </c>
      <c r="M273" t="s">
        <v>2064</v>
      </c>
      <c r="N273">
        <v>0</v>
      </c>
      <c r="O273">
        <v>0</v>
      </c>
      <c r="P273">
        <v>0</v>
      </c>
      <c r="Q273">
        <v>900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375</v>
      </c>
      <c r="AH273" s="21" t="s">
        <v>3427</v>
      </c>
      <c r="AI273" s="21">
        <v>67.5</v>
      </c>
      <c r="AJ273" s="21">
        <v>100</v>
      </c>
      <c r="AK273" s="21" t="s">
        <v>2054</v>
      </c>
      <c r="AL273" t="s">
        <v>70</v>
      </c>
      <c r="AM273" t="s">
        <v>2028</v>
      </c>
    </row>
    <row r="274" spans="1:39" ht="15" hidden="1" thickTop="1" x14ac:dyDescent="0.35">
      <c r="A274" t="s">
        <v>3297</v>
      </c>
      <c r="B274" t="s">
        <v>3324</v>
      </c>
      <c r="C274" t="s">
        <v>76</v>
      </c>
      <c r="D274" t="s">
        <v>3325</v>
      </c>
      <c r="E274" t="s">
        <v>559</v>
      </c>
      <c r="F274">
        <v>1</v>
      </c>
      <c r="G274" t="s">
        <v>2050</v>
      </c>
      <c r="H274" t="s">
        <v>2051</v>
      </c>
      <c r="I274" t="s">
        <v>53</v>
      </c>
      <c r="J274" t="s">
        <v>67</v>
      </c>
      <c r="K274" t="s">
        <v>68</v>
      </c>
      <c r="L274" t="s">
        <v>2052</v>
      </c>
      <c r="M274" t="s">
        <v>2053</v>
      </c>
      <c r="N274">
        <v>0</v>
      </c>
      <c r="O274">
        <v>0</v>
      </c>
      <c r="P274">
        <v>0</v>
      </c>
      <c r="Q274">
        <v>1440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376</v>
      </c>
      <c r="AH274" s="21" t="s">
        <v>3425</v>
      </c>
      <c r="AI274" s="21">
        <v>107.92500000000001</v>
      </c>
      <c r="AJ274" s="21">
        <v>100</v>
      </c>
      <c r="AK274" s="21" t="s">
        <v>2054</v>
      </c>
      <c r="AL274" t="s">
        <v>70</v>
      </c>
      <c r="AM274" t="s">
        <v>2028</v>
      </c>
    </row>
    <row r="275" spans="1:39" ht="15" hidden="1" thickTop="1" x14ac:dyDescent="0.35">
      <c r="A275" t="s">
        <v>3298</v>
      </c>
      <c r="B275" t="s">
        <v>3326</v>
      </c>
      <c r="C275" t="s">
        <v>86</v>
      </c>
      <c r="D275" t="s">
        <v>3327</v>
      </c>
      <c r="E275" t="s">
        <v>72</v>
      </c>
      <c r="F275">
        <v>2</v>
      </c>
      <c r="G275" t="s">
        <v>2050</v>
      </c>
      <c r="H275" t="s">
        <v>2051</v>
      </c>
      <c r="I275" t="s">
        <v>53</v>
      </c>
      <c r="J275" t="s">
        <v>73</v>
      </c>
      <c r="K275" t="s">
        <v>68</v>
      </c>
      <c r="L275" t="s">
        <v>2052</v>
      </c>
      <c r="M275" t="s">
        <v>2053</v>
      </c>
      <c r="N275">
        <v>0</v>
      </c>
      <c r="O275">
        <v>0</v>
      </c>
      <c r="P275">
        <v>0</v>
      </c>
      <c r="Q275">
        <v>1440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377</v>
      </c>
      <c r="AH275" s="21" t="s">
        <v>3424</v>
      </c>
      <c r="AI275" s="21">
        <v>107.92500000000001</v>
      </c>
      <c r="AJ275" s="21">
        <v>100</v>
      </c>
      <c r="AK275" s="21" t="s">
        <v>2054</v>
      </c>
      <c r="AL275" t="s">
        <v>75</v>
      </c>
      <c r="AM275" t="s">
        <v>2029</v>
      </c>
    </row>
    <row r="276" spans="1:39" ht="15" hidden="1" thickTop="1" x14ac:dyDescent="0.35">
      <c r="A276" t="s">
        <v>3305</v>
      </c>
      <c r="B276" t="s">
        <v>3336</v>
      </c>
      <c r="C276" t="s">
        <v>76</v>
      </c>
      <c r="D276" t="s">
        <v>3337</v>
      </c>
      <c r="E276" t="s">
        <v>559</v>
      </c>
      <c r="F276">
        <v>1</v>
      </c>
      <c r="G276" t="s">
        <v>2050</v>
      </c>
      <c r="H276" t="s">
        <v>2051</v>
      </c>
      <c r="I276" t="s">
        <v>53</v>
      </c>
      <c r="J276" t="s">
        <v>67</v>
      </c>
      <c r="K276" t="s">
        <v>68</v>
      </c>
      <c r="L276" t="s">
        <v>2052</v>
      </c>
      <c r="M276" t="s">
        <v>2053</v>
      </c>
      <c r="N276">
        <v>0</v>
      </c>
      <c r="O276">
        <v>0</v>
      </c>
      <c r="P276">
        <v>0</v>
      </c>
      <c r="Q276">
        <v>1440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378</v>
      </c>
      <c r="AH276" s="21" t="s">
        <v>3424</v>
      </c>
      <c r="AI276" s="21">
        <v>107.92500000000001</v>
      </c>
      <c r="AJ276" s="21">
        <v>100</v>
      </c>
      <c r="AK276" s="21" t="s">
        <v>2054</v>
      </c>
      <c r="AL276" t="s">
        <v>70</v>
      </c>
      <c r="AM276" t="s">
        <v>2029</v>
      </c>
    </row>
    <row r="277" spans="1:39" ht="15" hidden="1" thickTop="1" x14ac:dyDescent="0.35">
      <c r="A277" t="s">
        <v>3312</v>
      </c>
      <c r="B277" t="s">
        <v>3338</v>
      </c>
      <c r="C277" t="s">
        <v>102</v>
      </c>
      <c r="D277" t="s">
        <v>3339</v>
      </c>
      <c r="E277" t="s">
        <v>559</v>
      </c>
      <c r="F277">
        <v>1</v>
      </c>
      <c r="G277" t="s">
        <v>2050</v>
      </c>
      <c r="H277" t="s">
        <v>2051</v>
      </c>
      <c r="I277" t="s">
        <v>53</v>
      </c>
      <c r="J277" t="s">
        <v>67</v>
      </c>
      <c r="K277" t="s">
        <v>68</v>
      </c>
      <c r="L277" t="s">
        <v>2052</v>
      </c>
      <c r="M277" t="s">
        <v>2053</v>
      </c>
      <c r="N277">
        <v>0</v>
      </c>
      <c r="O277">
        <v>0</v>
      </c>
      <c r="P277">
        <v>0</v>
      </c>
      <c r="Q277">
        <v>1440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379</v>
      </c>
      <c r="AH277" s="21" t="s">
        <v>3424</v>
      </c>
      <c r="AI277" s="21">
        <v>107.92500000000001</v>
      </c>
      <c r="AJ277" s="21">
        <v>100</v>
      </c>
      <c r="AK277" s="21" t="s">
        <v>2054</v>
      </c>
      <c r="AL277" t="s">
        <v>70</v>
      </c>
      <c r="AM277" t="s">
        <v>2027</v>
      </c>
    </row>
    <row r="278" spans="1:39" ht="15" hidden="1" thickTop="1" x14ac:dyDescent="0.35">
      <c r="A278" t="s">
        <v>3313</v>
      </c>
      <c r="B278" t="s">
        <v>3340</v>
      </c>
      <c r="C278" t="s">
        <v>102</v>
      </c>
      <c r="D278" t="s">
        <v>3341</v>
      </c>
      <c r="E278" t="s">
        <v>559</v>
      </c>
      <c r="F278">
        <v>1</v>
      </c>
      <c r="G278" t="s">
        <v>2050</v>
      </c>
      <c r="H278" t="s">
        <v>2051</v>
      </c>
      <c r="I278" t="s">
        <v>53</v>
      </c>
      <c r="J278" t="s">
        <v>67</v>
      </c>
      <c r="K278" t="s">
        <v>68</v>
      </c>
      <c r="L278" t="s">
        <v>2052</v>
      </c>
      <c r="M278" t="s">
        <v>2053</v>
      </c>
      <c r="N278">
        <v>0</v>
      </c>
      <c r="O278">
        <v>0</v>
      </c>
      <c r="P278">
        <v>0</v>
      </c>
      <c r="Q278">
        <v>1440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380</v>
      </c>
      <c r="AH278" s="21" t="s">
        <v>3425</v>
      </c>
      <c r="AI278" s="21">
        <v>107.92500000000001</v>
      </c>
      <c r="AJ278" s="21">
        <v>100</v>
      </c>
      <c r="AK278" s="21" t="s">
        <v>2054</v>
      </c>
      <c r="AL278" t="s">
        <v>70</v>
      </c>
      <c r="AM278" t="s">
        <v>2028</v>
      </c>
    </row>
    <row r="279" spans="1:39" ht="15" hidden="1" thickTop="1" x14ac:dyDescent="0.35">
      <c r="A279" t="s">
        <v>3316</v>
      </c>
      <c r="B279" t="s">
        <v>3342</v>
      </c>
      <c r="C279" t="s">
        <v>66</v>
      </c>
      <c r="D279" t="s">
        <v>3343</v>
      </c>
      <c r="E279" t="s">
        <v>559</v>
      </c>
      <c r="F279">
        <v>2</v>
      </c>
      <c r="G279" t="s">
        <v>2050</v>
      </c>
      <c r="H279" t="s">
        <v>2051</v>
      </c>
      <c r="I279" t="s">
        <v>53</v>
      </c>
      <c r="J279" t="s">
        <v>67</v>
      </c>
      <c r="K279" t="s">
        <v>68</v>
      </c>
      <c r="L279" t="s">
        <v>2052</v>
      </c>
      <c r="M279" t="s">
        <v>2053</v>
      </c>
      <c r="N279">
        <v>0</v>
      </c>
      <c r="O279">
        <v>0</v>
      </c>
      <c r="P279">
        <v>0</v>
      </c>
      <c r="Q279">
        <v>1440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381</v>
      </c>
      <c r="AH279" s="21" t="s">
        <v>3425</v>
      </c>
      <c r="AI279" s="21">
        <v>107.92500000000001</v>
      </c>
      <c r="AJ279" s="21">
        <v>100</v>
      </c>
      <c r="AK279" s="21" t="s">
        <v>2054</v>
      </c>
      <c r="AL279" t="s">
        <v>70</v>
      </c>
      <c r="AM279" t="s">
        <v>2028</v>
      </c>
    </row>
    <row r="280" spans="1:39" ht="15" hidden="1" thickTop="1" x14ac:dyDescent="0.35">
      <c r="A280" t="s">
        <v>3317</v>
      </c>
      <c r="B280" t="s">
        <v>3344</v>
      </c>
      <c r="C280" t="s">
        <v>78</v>
      </c>
      <c r="D280" t="s">
        <v>3345</v>
      </c>
      <c r="E280" t="s">
        <v>559</v>
      </c>
      <c r="F280">
        <v>1</v>
      </c>
      <c r="G280" t="s">
        <v>2050</v>
      </c>
      <c r="H280" t="s">
        <v>2051</v>
      </c>
      <c r="I280" t="s">
        <v>53</v>
      </c>
      <c r="J280" t="s">
        <v>67</v>
      </c>
      <c r="K280" t="s">
        <v>68</v>
      </c>
      <c r="L280" t="s">
        <v>2052</v>
      </c>
      <c r="M280" t="s">
        <v>2064</v>
      </c>
      <c r="N280">
        <v>0</v>
      </c>
      <c r="O280">
        <v>0</v>
      </c>
      <c r="P280">
        <v>0</v>
      </c>
      <c r="Q280">
        <v>900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382</v>
      </c>
      <c r="AH280" s="21" t="s">
        <v>3424</v>
      </c>
      <c r="AI280" s="21">
        <v>67.5</v>
      </c>
      <c r="AJ280" s="21">
        <v>100</v>
      </c>
      <c r="AK280" s="21" t="s">
        <v>2055</v>
      </c>
      <c r="AL280" t="s">
        <v>70</v>
      </c>
      <c r="AM280" t="s">
        <v>2028</v>
      </c>
    </row>
    <row r="281" spans="1:39" ht="15" hidden="1" thickTop="1" x14ac:dyDescent="0.35">
      <c r="A281" t="s">
        <v>3318</v>
      </c>
      <c r="B281" t="s">
        <v>3347</v>
      </c>
      <c r="C281" t="s">
        <v>78</v>
      </c>
      <c r="D281" t="s">
        <v>3348</v>
      </c>
      <c r="E281" t="s">
        <v>559</v>
      </c>
      <c r="F281">
        <v>2</v>
      </c>
      <c r="G281" t="s">
        <v>2050</v>
      </c>
      <c r="H281" t="s">
        <v>2051</v>
      </c>
      <c r="I281" t="s">
        <v>53</v>
      </c>
      <c r="J281" t="s">
        <v>67</v>
      </c>
      <c r="K281" t="s">
        <v>68</v>
      </c>
      <c r="L281" t="s">
        <v>2052</v>
      </c>
      <c r="M281" t="s">
        <v>2053</v>
      </c>
      <c r="N281">
        <v>0</v>
      </c>
      <c r="O281">
        <v>0</v>
      </c>
      <c r="P281">
        <v>0</v>
      </c>
      <c r="Q281">
        <v>1440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383</v>
      </c>
      <c r="AH281" s="21" t="s">
        <v>3425</v>
      </c>
      <c r="AI281" s="21">
        <v>107.92500000000001</v>
      </c>
      <c r="AJ281" s="21">
        <v>100</v>
      </c>
      <c r="AK281" s="21" t="s">
        <v>2054</v>
      </c>
      <c r="AL281" t="s">
        <v>70</v>
      </c>
      <c r="AM281" t="s">
        <v>2028</v>
      </c>
    </row>
    <row r="282" spans="1:39" ht="15" hidden="1" thickTop="1" x14ac:dyDescent="0.35">
      <c r="A282" t="s">
        <v>3321</v>
      </c>
      <c r="B282" t="s">
        <v>3352</v>
      </c>
      <c r="C282" t="s">
        <v>100</v>
      </c>
      <c r="D282" t="s">
        <v>3353</v>
      </c>
      <c r="E282" t="s">
        <v>559</v>
      </c>
      <c r="F282">
        <v>1</v>
      </c>
      <c r="G282" t="s">
        <v>2050</v>
      </c>
      <c r="H282" t="s">
        <v>2051</v>
      </c>
      <c r="I282" t="s">
        <v>53</v>
      </c>
      <c r="J282" t="s">
        <v>67</v>
      </c>
      <c r="K282" t="s">
        <v>68</v>
      </c>
      <c r="L282" t="s">
        <v>2052</v>
      </c>
      <c r="M282" t="s">
        <v>2053</v>
      </c>
      <c r="N282">
        <v>0</v>
      </c>
      <c r="O282">
        <v>0</v>
      </c>
      <c r="P282">
        <v>0</v>
      </c>
      <c r="Q282">
        <v>1440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384</v>
      </c>
      <c r="AH282" s="21" t="s">
        <v>3425</v>
      </c>
      <c r="AI282" s="21">
        <v>107.92500000000001</v>
      </c>
      <c r="AJ282" s="21">
        <v>100</v>
      </c>
      <c r="AK282" s="21" t="s">
        <v>2054</v>
      </c>
      <c r="AL282" t="s">
        <v>70</v>
      </c>
      <c r="AM282" t="s">
        <v>2031</v>
      </c>
    </row>
    <row r="283" spans="1:39" ht="15" hidden="1" thickTop="1" x14ac:dyDescent="0.35">
      <c r="A283" t="s">
        <v>3322</v>
      </c>
      <c r="B283" t="s">
        <v>3354</v>
      </c>
      <c r="C283" t="s">
        <v>86</v>
      </c>
      <c r="D283" t="s">
        <v>3355</v>
      </c>
      <c r="E283" t="s">
        <v>72</v>
      </c>
      <c r="F283">
        <v>1</v>
      </c>
      <c r="G283" t="s">
        <v>2050</v>
      </c>
      <c r="H283" t="s">
        <v>2051</v>
      </c>
      <c r="I283" t="s">
        <v>53</v>
      </c>
      <c r="J283" t="s">
        <v>73</v>
      </c>
      <c r="K283" t="s">
        <v>68</v>
      </c>
      <c r="L283" t="s">
        <v>2052</v>
      </c>
      <c r="M283" t="s">
        <v>2053</v>
      </c>
      <c r="N283">
        <v>0</v>
      </c>
      <c r="O283">
        <v>0</v>
      </c>
      <c r="P283">
        <v>0</v>
      </c>
      <c r="Q283">
        <v>1440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t="s">
        <v>385</v>
      </c>
      <c r="AH283" s="21" t="s">
        <v>3427</v>
      </c>
      <c r="AI283" s="21">
        <v>107.92500000000001</v>
      </c>
      <c r="AJ283" s="21">
        <v>100</v>
      </c>
      <c r="AK283" s="21" t="s">
        <v>2054</v>
      </c>
      <c r="AL283" t="s">
        <v>75</v>
      </c>
      <c r="AM283" t="s">
        <v>2027</v>
      </c>
    </row>
    <row r="284" spans="1:39" ht="15" hidden="1" thickTop="1" x14ac:dyDescent="0.35">
      <c r="A284" t="s">
        <v>3323</v>
      </c>
      <c r="B284" t="s">
        <v>3356</v>
      </c>
      <c r="C284" t="s">
        <v>71</v>
      </c>
      <c r="D284" t="s">
        <v>3357</v>
      </c>
      <c r="E284" t="s">
        <v>72</v>
      </c>
      <c r="F284">
        <v>1</v>
      </c>
      <c r="G284" t="s">
        <v>2050</v>
      </c>
      <c r="H284" t="s">
        <v>2051</v>
      </c>
      <c r="I284" t="s">
        <v>53</v>
      </c>
      <c r="J284" t="s">
        <v>73</v>
      </c>
      <c r="K284" t="s">
        <v>68</v>
      </c>
      <c r="L284" t="s">
        <v>2052</v>
      </c>
      <c r="M284" t="s">
        <v>2053</v>
      </c>
      <c r="N284">
        <v>1</v>
      </c>
      <c r="O284">
        <v>49</v>
      </c>
      <c r="P284">
        <v>3.4</v>
      </c>
      <c r="Q284">
        <v>1440</v>
      </c>
      <c r="R284">
        <v>1</v>
      </c>
      <c r="S284">
        <v>49</v>
      </c>
      <c r="T284">
        <v>3.4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t="s">
        <v>386</v>
      </c>
      <c r="AH284" s="21" t="s">
        <v>3424</v>
      </c>
      <c r="AI284" s="21">
        <v>107.92500000000001</v>
      </c>
      <c r="AJ284" s="21">
        <v>96.597222222222229</v>
      </c>
      <c r="AK284" s="21" t="s">
        <v>2054</v>
      </c>
      <c r="AL284" t="s">
        <v>75</v>
      </c>
      <c r="AM284" t="s">
        <v>2028</v>
      </c>
    </row>
    <row r="285" spans="1:39" ht="15" hidden="1" thickTop="1" x14ac:dyDescent="0.35">
      <c r="A285" t="s">
        <v>2623</v>
      </c>
      <c r="B285" t="s">
        <v>3358</v>
      </c>
      <c r="C285" t="s">
        <v>66</v>
      </c>
      <c r="D285" t="s">
        <v>3359</v>
      </c>
      <c r="E285" t="s">
        <v>559</v>
      </c>
      <c r="F285">
        <v>1</v>
      </c>
      <c r="G285" t="s">
        <v>2050</v>
      </c>
      <c r="H285" t="s">
        <v>2051</v>
      </c>
      <c r="I285" t="s">
        <v>53</v>
      </c>
      <c r="J285" t="s">
        <v>67</v>
      </c>
      <c r="K285" t="s">
        <v>68</v>
      </c>
      <c r="L285" t="s">
        <v>2052</v>
      </c>
      <c r="M285" t="s">
        <v>2053</v>
      </c>
      <c r="N285">
        <v>0</v>
      </c>
      <c r="O285">
        <v>0</v>
      </c>
      <c r="P285">
        <v>0</v>
      </c>
      <c r="Q285">
        <v>1440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387</v>
      </c>
      <c r="AH285" s="21" t="s">
        <v>3425</v>
      </c>
      <c r="AI285" s="21">
        <v>107.92500000000001</v>
      </c>
      <c r="AJ285" s="21">
        <v>100</v>
      </c>
      <c r="AK285" s="21" t="s">
        <v>2054</v>
      </c>
      <c r="AL285" t="s">
        <v>70</v>
      </c>
      <c r="AM285" t="s">
        <v>2028</v>
      </c>
    </row>
    <row r="286" spans="1:39" ht="15" hidden="1" thickTop="1" x14ac:dyDescent="0.35">
      <c r="A286" t="s">
        <v>3332</v>
      </c>
      <c r="B286" t="s">
        <v>3361</v>
      </c>
      <c r="C286" t="s">
        <v>76</v>
      </c>
      <c r="D286" t="s">
        <v>3362</v>
      </c>
      <c r="E286" t="s">
        <v>559</v>
      </c>
      <c r="F286">
        <v>2</v>
      </c>
      <c r="G286" t="s">
        <v>2050</v>
      </c>
      <c r="H286" t="s">
        <v>2051</v>
      </c>
      <c r="I286" t="s">
        <v>53</v>
      </c>
      <c r="J286" t="s">
        <v>67</v>
      </c>
      <c r="K286" t="s">
        <v>68</v>
      </c>
      <c r="L286" t="s">
        <v>2052</v>
      </c>
      <c r="M286" t="s">
        <v>2064</v>
      </c>
      <c r="N286">
        <v>0</v>
      </c>
      <c r="O286">
        <v>0</v>
      </c>
      <c r="P286">
        <v>0</v>
      </c>
      <c r="Q286">
        <v>900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t="s">
        <v>388</v>
      </c>
      <c r="AH286" s="21" t="s">
        <v>3424</v>
      </c>
      <c r="AI286" s="21">
        <v>67.5</v>
      </c>
      <c r="AJ286" s="21">
        <v>100</v>
      </c>
      <c r="AK286" s="21" t="s">
        <v>2055</v>
      </c>
      <c r="AL286" t="s">
        <v>70</v>
      </c>
      <c r="AM286" t="s">
        <v>2029</v>
      </c>
    </row>
    <row r="287" spans="1:39" ht="15" hidden="1" thickTop="1" x14ac:dyDescent="0.35">
      <c r="A287" t="s">
        <v>2625</v>
      </c>
      <c r="B287" t="s">
        <v>3369</v>
      </c>
      <c r="C287" t="s">
        <v>100</v>
      </c>
      <c r="D287" t="s">
        <v>3370</v>
      </c>
      <c r="E287" t="s">
        <v>559</v>
      </c>
      <c r="F287">
        <v>1</v>
      </c>
      <c r="G287" t="s">
        <v>2050</v>
      </c>
      <c r="H287" t="s">
        <v>2051</v>
      </c>
      <c r="I287" t="s">
        <v>53</v>
      </c>
      <c r="J287" t="s">
        <v>67</v>
      </c>
      <c r="K287" t="s">
        <v>68</v>
      </c>
      <c r="L287" t="s">
        <v>2052</v>
      </c>
      <c r="M287" t="s">
        <v>2053</v>
      </c>
      <c r="N287">
        <v>0</v>
      </c>
      <c r="O287">
        <v>0</v>
      </c>
      <c r="P287">
        <v>0</v>
      </c>
      <c r="Q287">
        <v>1440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389</v>
      </c>
      <c r="AH287" s="21" t="s">
        <v>3427</v>
      </c>
      <c r="AI287" s="21">
        <v>107.92500000000001</v>
      </c>
      <c r="AJ287" s="21">
        <v>100</v>
      </c>
      <c r="AK287" s="21" t="s">
        <v>2054</v>
      </c>
      <c r="AL287" t="s">
        <v>70</v>
      </c>
      <c r="AM287" t="s">
        <v>2031</v>
      </c>
    </row>
    <row r="288" spans="1:39" ht="15" hidden="1" thickTop="1" x14ac:dyDescent="0.35">
      <c r="A288" t="s">
        <v>3364</v>
      </c>
      <c r="B288" t="s">
        <v>3371</v>
      </c>
      <c r="C288" t="s">
        <v>100</v>
      </c>
      <c r="D288" t="s">
        <v>3372</v>
      </c>
      <c r="E288" t="s">
        <v>559</v>
      </c>
      <c r="F288">
        <v>1</v>
      </c>
      <c r="G288" t="s">
        <v>2050</v>
      </c>
      <c r="H288" t="s">
        <v>2051</v>
      </c>
      <c r="I288" t="s">
        <v>53</v>
      </c>
      <c r="J288" t="s">
        <v>67</v>
      </c>
      <c r="K288" t="s">
        <v>68</v>
      </c>
      <c r="L288" t="s">
        <v>2052</v>
      </c>
      <c r="M288" t="s">
        <v>2064</v>
      </c>
      <c r="N288">
        <v>0</v>
      </c>
      <c r="O288">
        <v>0</v>
      </c>
      <c r="P288">
        <v>0</v>
      </c>
      <c r="Q288">
        <v>900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390</v>
      </c>
      <c r="AH288" s="21" t="s">
        <v>3424</v>
      </c>
      <c r="AI288" s="21">
        <v>67.5</v>
      </c>
      <c r="AJ288" s="21">
        <v>100</v>
      </c>
      <c r="AK288" s="21" t="s">
        <v>2054</v>
      </c>
      <c r="AL288" t="s">
        <v>70</v>
      </c>
      <c r="AM288" t="s">
        <v>2028</v>
      </c>
    </row>
    <row r="289" spans="1:39" ht="15" hidden="1" thickTop="1" x14ac:dyDescent="0.35">
      <c r="A289" t="s">
        <v>3365</v>
      </c>
      <c r="B289" t="s">
        <v>3373</v>
      </c>
      <c r="C289" t="s">
        <v>92</v>
      </c>
      <c r="D289" t="s">
        <v>3374</v>
      </c>
      <c r="E289" t="s">
        <v>119</v>
      </c>
      <c r="F289">
        <v>1</v>
      </c>
      <c r="G289" t="s">
        <v>2050</v>
      </c>
      <c r="H289" t="s">
        <v>2051</v>
      </c>
      <c r="I289" t="s">
        <v>53</v>
      </c>
      <c r="J289" t="s">
        <v>67</v>
      </c>
      <c r="K289" t="s">
        <v>68</v>
      </c>
      <c r="L289" t="s">
        <v>2052</v>
      </c>
      <c r="M289" t="s">
        <v>2064</v>
      </c>
      <c r="N289">
        <v>0</v>
      </c>
      <c r="O289">
        <v>0</v>
      </c>
      <c r="P289">
        <v>0</v>
      </c>
      <c r="Q289">
        <v>900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391</v>
      </c>
      <c r="AH289" s="21" t="s">
        <v>3425</v>
      </c>
      <c r="AI289" s="21">
        <v>67.5</v>
      </c>
      <c r="AJ289" s="21">
        <v>100</v>
      </c>
      <c r="AK289" s="21" t="s">
        <v>2054</v>
      </c>
      <c r="AL289" t="s">
        <v>70</v>
      </c>
      <c r="AM289" t="s">
        <v>2030</v>
      </c>
    </row>
    <row r="290" spans="1:39" ht="15" thickTop="1" x14ac:dyDescent="0.35">
      <c r="AH290" s="21"/>
      <c r="AI290" s="21"/>
      <c r="AJ290" s="21"/>
      <c r="AK290" s="21"/>
    </row>
    <row r="291" spans="1:39" x14ac:dyDescent="0.35">
      <c r="AH291" s="21"/>
      <c r="AI291" s="21"/>
      <c r="AJ291" s="21"/>
      <c r="AK291" s="21"/>
    </row>
    <row r="292" spans="1:39" x14ac:dyDescent="0.35">
      <c r="AH292" s="21"/>
      <c r="AI292" s="21"/>
      <c r="AJ292" s="21"/>
      <c r="AK292" s="21"/>
    </row>
    <row r="293" spans="1:39" x14ac:dyDescent="0.35">
      <c r="AH293" s="21"/>
      <c r="AI293" s="21"/>
      <c r="AJ293" s="21"/>
      <c r="AK293" s="21"/>
    </row>
    <row r="294" spans="1:39" x14ac:dyDescent="0.35">
      <c r="AH294" s="21"/>
      <c r="AI294" s="21"/>
      <c r="AJ294" s="21"/>
      <c r="AK294" s="21"/>
    </row>
    <row r="295" spans="1:39" x14ac:dyDescent="0.35">
      <c r="AH295" s="21"/>
      <c r="AI295" s="21"/>
      <c r="AJ295" s="21"/>
      <c r="AK295" s="21"/>
    </row>
    <row r="296" spans="1:39" x14ac:dyDescent="0.35">
      <c r="AH296" s="21"/>
      <c r="AI296" s="21"/>
      <c r="AJ296" s="21"/>
      <c r="AK296" s="21"/>
    </row>
    <row r="297" spans="1:39" x14ac:dyDescent="0.35">
      <c r="AH297" s="21"/>
      <c r="AI297" s="21"/>
      <c r="AJ297" s="21"/>
      <c r="AK297" s="21"/>
    </row>
    <row r="298" spans="1:39" x14ac:dyDescent="0.35">
      <c r="AH298" s="21"/>
      <c r="AI298" s="21"/>
      <c r="AJ298" s="21"/>
      <c r="AK298" s="21"/>
    </row>
    <row r="299" spans="1:39" x14ac:dyDescent="0.35">
      <c r="AH299" s="21"/>
      <c r="AI299" s="21"/>
      <c r="AJ299" s="21"/>
      <c r="AK299" s="21"/>
    </row>
    <row r="300" spans="1:39" x14ac:dyDescent="0.35">
      <c r="AH300" s="21"/>
      <c r="AI300" s="21"/>
      <c r="AJ300" s="21"/>
      <c r="AK300" s="21"/>
    </row>
    <row r="301" spans="1:39" x14ac:dyDescent="0.35">
      <c r="AH301" s="21"/>
      <c r="AI301" s="21"/>
      <c r="AJ301" s="21"/>
      <c r="AK301" s="21"/>
    </row>
    <row r="302" spans="1:39" x14ac:dyDescent="0.35">
      <c r="AH302" s="21"/>
      <c r="AI302" s="21"/>
      <c r="AJ302" s="21"/>
      <c r="AK302" s="21"/>
    </row>
    <row r="303" spans="1:39" x14ac:dyDescent="0.35">
      <c r="AH303" s="21"/>
      <c r="AI303" s="21"/>
      <c r="AJ303" s="21"/>
      <c r="AK303" s="21"/>
    </row>
    <row r="304" spans="1:39" x14ac:dyDescent="0.35">
      <c r="AH304" s="21"/>
      <c r="AI304" s="21"/>
      <c r="AJ304" s="21"/>
      <c r="AK304" s="21"/>
    </row>
    <row r="305" spans="34:37" x14ac:dyDescent="0.35">
      <c r="AH305" s="21"/>
      <c r="AI305" s="21"/>
      <c r="AJ305" s="21"/>
      <c r="AK305" s="21"/>
    </row>
    <row r="306" spans="34:37" x14ac:dyDescent="0.35">
      <c r="AH306" s="21"/>
      <c r="AI306" s="21"/>
      <c r="AJ306" s="21"/>
      <c r="AK306" s="21"/>
    </row>
    <row r="307" spans="34:37" x14ac:dyDescent="0.35">
      <c r="AH307" s="21"/>
      <c r="AI307" s="21"/>
      <c r="AJ307" s="21"/>
      <c r="AK307" s="21"/>
    </row>
    <row r="308" spans="34:37" x14ac:dyDescent="0.35">
      <c r="AH308" s="21"/>
      <c r="AI308" s="21"/>
      <c r="AJ308" s="21"/>
      <c r="AK308" s="21"/>
    </row>
    <row r="309" spans="34:37" x14ac:dyDescent="0.35">
      <c r="AH309" s="21"/>
      <c r="AI309" s="21"/>
      <c r="AJ309" s="21"/>
      <c r="AK309" s="21"/>
    </row>
    <row r="310" spans="34:37" x14ac:dyDescent="0.35">
      <c r="AH310" s="21"/>
      <c r="AI310" s="21"/>
      <c r="AJ310" s="21"/>
      <c r="AK310" s="21"/>
    </row>
    <row r="311" spans="34:37" x14ac:dyDescent="0.35">
      <c r="AH311" s="21"/>
      <c r="AI311" s="21"/>
      <c r="AJ311" s="21"/>
      <c r="AK311" s="21"/>
    </row>
    <row r="312" spans="34:37" x14ac:dyDescent="0.35">
      <c r="AH312" s="21"/>
      <c r="AI312" s="21"/>
      <c r="AJ312" s="21"/>
      <c r="AK312" s="21"/>
    </row>
    <row r="313" spans="34:37" x14ac:dyDescent="0.35">
      <c r="AH313" s="21"/>
      <c r="AI313" s="21"/>
      <c r="AJ313" s="21"/>
      <c r="AK313" s="21"/>
    </row>
    <row r="314" spans="34:37" x14ac:dyDescent="0.35">
      <c r="AH314" s="21"/>
      <c r="AI314" s="21"/>
      <c r="AJ314" s="21"/>
      <c r="AK314" s="21"/>
    </row>
    <row r="315" spans="34:37" x14ac:dyDescent="0.35">
      <c r="AH315" s="21"/>
      <c r="AI315" s="21"/>
      <c r="AJ315" s="21"/>
      <c r="AK315" s="21"/>
    </row>
    <row r="316" spans="34:37" x14ac:dyDescent="0.35">
      <c r="AH316" s="21"/>
      <c r="AI316" s="21"/>
      <c r="AJ316" s="21"/>
      <c r="AK316" s="21"/>
    </row>
    <row r="317" spans="34:37" x14ac:dyDescent="0.35">
      <c r="AH317" s="21"/>
      <c r="AI317" s="21"/>
      <c r="AJ317" s="21"/>
      <c r="AK317" s="21"/>
    </row>
    <row r="318" spans="34:37" x14ac:dyDescent="0.35">
      <c r="AH318" s="21"/>
      <c r="AI318" s="21"/>
      <c r="AJ318" s="21"/>
      <c r="AK318" s="21"/>
    </row>
    <row r="319" spans="34:37" x14ac:dyDescent="0.35">
      <c r="AH319" s="21"/>
      <c r="AI319" s="21"/>
      <c r="AJ319" s="21"/>
      <c r="AK319" s="21"/>
    </row>
    <row r="320" spans="34:37" x14ac:dyDescent="0.35">
      <c r="AH320" s="21"/>
      <c r="AI320" s="21"/>
      <c r="AJ320" s="21"/>
      <c r="AK320" s="21"/>
    </row>
    <row r="321" spans="34:37" x14ac:dyDescent="0.35">
      <c r="AH321" s="21"/>
      <c r="AI321" s="21"/>
      <c r="AJ321" s="21"/>
      <c r="AK321" s="21"/>
    </row>
    <row r="322" spans="34:37" x14ac:dyDescent="0.35">
      <c r="AH322" s="21"/>
      <c r="AI322" s="21"/>
      <c r="AJ322" s="21"/>
      <c r="AK322" s="21"/>
    </row>
    <row r="323" spans="34:37" x14ac:dyDescent="0.35">
      <c r="AH323" s="21"/>
      <c r="AI323" s="21"/>
      <c r="AJ323" s="21"/>
      <c r="AK323" s="21"/>
    </row>
    <row r="324" spans="34:37" x14ac:dyDescent="0.35">
      <c r="AH324" s="21"/>
      <c r="AI324" s="21"/>
      <c r="AJ324" s="21"/>
      <c r="AK324" s="21"/>
    </row>
    <row r="325" spans="34:37" x14ac:dyDescent="0.35">
      <c r="AH325" s="21"/>
      <c r="AI325" s="21"/>
      <c r="AJ325" s="21"/>
      <c r="AK325" s="21"/>
    </row>
    <row r="326" spans="34:37" x14ac:dyDescent="0.35">
      <c r="AH326" s="21"/>
      <c r="AI326" s="21"/>
      <c r="AJ326" s="21"/>
      <c r="AK326" s="21"/>
    </row>
    <row r="327" spans="34:37" x14ac:dyDescent="0.35">
      <c r="AH327" s="21"/>
      <c r="AI327" s="21"/>
      <c r="AJ327" s="21"/>
      <c r="AK327" s="21"/>
    </row>
    <row r="328" spans="34:37" x14ac:dyDescent="0.35">
      <c r="AH328" s="21"/>
      <c r="AI328" s="21"/>
      <c r="AJ328" s="21"/>
      <c r="AK328" s="21"/>
    </row>
    <row r="329" spans="34:37" x14ac:dyDescent="0.35">
      <c r="AH329" s="21"/>
      <c r="AI329" s="21"/>
      <c r="AJ329" s="21"/>
      <c r="AK329" s="21"/>
    </row>
    <row r="330" spans="34:37" x14ac:dyDescent="0.35">
      <c r="AH330" s="21"/>
      <c r="AI330" s="21"/>
      <c r="AJ330" s="21"/>
      <c r="AK330" s="21"/>
    </row>
    <row r="331" spans="34:37" x14ac:dyDescent="0.35">
      <c r="AH331" s="21"/>
      <c r="AI331" s="21"/>
      <c r="AJ331" s="21"/>
      <c r="AK331" s="21"/>
    </row>
    <row r="332" spans="34:37" x14ac:dyDescent="0.35">
      <c r="AH332" s="21"/>
      <c r="AI332" s="21"/>
      <c r="AJ332" s="21"/>
      <c r="AK332" s="21"/>
    </row>
    <row r="333" spans="34:37" x14ac:dyDescent="0.35">
      <c r="AH333" s="21"/>
      <c r="AI333" s="21"/>
      <c r="AJ333" s="21"/>
      <c r="AK333" s="21"/>
    </row>
    <row r="334" spans="34:37" x14ac:dyDescent="0.35">
      <c r="AH334" s="21"/>
      <c r="AI334" s="21"/>
      <c r="AJ334" s="21"/>
      <c r="AK334" s="21"/>
    </row>
    <row r="335" spans="34:37" x14ac:dyDescent="0.35">
      <c r="AH335" s="21"/>
      <c r="AI335" s="21"/>
      <c r="AJ335" s="21"/>
      <c r="AK335" s="21"/>
    </row>
    <row r="336" spans="34:37" x14ac:dyDescent="0.35">
      <c r="AH336" s="21"/>
      <c r="AI336" s="21"/>
      <c r="AJ336" s="21"/>
      <c r="AK336" s="21"/>
    </row>
    <row r="337" spans="34:37" x14ac:dyDescent="0.35">
      <c r="AH337" s="21"/>
      <c r="AI337" s="21"/>
      <c r="AJ337" s="21"/>
      <c r="AK337" s="21"/>
    </row>
    <row r="338" spans="34:37" x14ac:dyDescent="0.35">
      <c r="AH338" s="21"/>
      <c r="AI338" s="21"/>
      <c r="AJ338" s="21"/>
      <c r="AK338" s="21"/>
    </row>
    <row r="339" spans="34:37" x14ac:dyDescent="0.35">
      <c r="AH339" s="21"/>
      <c r="AI339" s="21"/>
      <c r="AJ339" s="21"/>
      <c r="AK339" s="21"/>
    </row>
    <row r="340" spans="34:37" x14ac:dyDescent="0.35">
      <c r="AH340" s="21"/>
      <c r="AI340" s="21"/>
      <c r="AJ340" s="21"/>
      <c r="AK340" s="21"/>
    </row>
    <row r="341" spans="34:37" x14ac:dyDescent="0.35">
      <c r="AH341" s="21"/>
      <c r="AI341" s="21"/>
      <c r="AJ341" s="21"/>
      <c r="AK341" s="21"/>
    </row>
    <row r="342" spans="34:37" x14ac:dyDescent="0.35">
      <c r="AH342" s="21"/>
      <c r="AI342" s="21"/>
      <c r="AJ342" s="21"/>
      <c r="AK342" s="21"/>
    </row>
    <row r="343" spans="34:37" x14ac:dyDescent="0.35">
      <c r="AH343" s="21"/>
      <c r="AI343" s="21"/>
      <c r="AJ343" s="21"/>
      <c r="AK343" s="21"/>
    </row>
    <row r="344" spans="34:37" x14ac:dyDescent="0.35">
      <c r="AH344" s="21"/>
      <c r="AI344" s="21"/>
      <c r="AJ344" s="21"/>
      <c r="AK344" s="21"/>
    </row>
    <row r="345" spans="34:37" x14ac:dyDescent="0.35">
      <c r="AH345" s="21"/>
      <c r="AI345" s="21"/>
      <c r="AJ345" s="21"/>
      <c r="AK345" s="21"/>
    </row>
    <row r="346" spans="34:37" x14ac:dyDescent="0.35">
      <c r="AH346" s="21"/>
      <c r="AI346" s="21"/>
      <c r="AJ346" s="21"/>
      <c r="AK346" s="21"/>
    </row>
    <row r="347" spans="34:37" x14ac:dyDescent="0.35">
      <c r="AH347" s="21"/>
      <c r="AI347" s="21"/>
      <c r="AJ347" s="21"/>
      <c r="AK347" s="21"/>
    </row>
    <row r="348" spans="34:37" x14ac:dyDescent="0.35">
      <c r="AH348" s="21"/>
      <c r="AI348" s="21"/>
      <c r="AJ348" s="21"/>
      <c r="AK348" s="21"/>
    </row>
    <row r="349" spans="34:37" x14ac:dyDescent="0.35">
      <c r="AH349" s="21"/>
      <c r="AI349" s="21"/>
      <c r="AJ349" s="21"/>
      <c r="AK349" s="21"/>
    </row>
    <row r="350" spans="34:37" x14ac:dyDescent="0.35">
      <c r="AH350" s="21"/>
      <c r="AI350" s="21"/>
      <c r="AJ350" s="21"/>
      <c r="AK350" s="21"/>
    </row>
    <row r="351" spans="34:37" x14ac:dyDescent="0.35">
      <c r="AH351" s="21"/>
      <c r="AI351" s="21"/>
      <c r="AJ351" s="21"/>
      <c r="AK351" s="21"/>
    </row>
    <row r="352" spans="34:37" x14ac:dyDescent="0.35">
      <c r="AH352" s="21"/>
      <c r="AI352" s="21"/>
      <c r="AJ352" s="21"/>
      <c r="AK352" s="21"/>
    </row>
    <row r="353" spans="34:37" x14ac:dyDescent="0.35">
      <c r="AH353" s="21"/>
      <c r="AI353" s="21"/>
      <c r="AJ353" s="21"/>
      <c r="AK353" s="21"/>
    </row>
    <row r="354" spans="34:37" x14ac:dyDescent="0.35">
      <c r="AH354" s="21"/>
      <c r="AI354" s="21"/>
      <c r="AJ354" s="21"/>
      <c r="AK354" s="21"/>
    </row>
    <row r="355" spans="34:37" x14ac:dyDescent="0.35">
      <c r="AH355" s="21"/>
      <c r="AI355" s="21"/>
      <c r="AJ355" s="21"/>
      <c r="AK355" s="21"/>
    </row>
    <row r="356" spans="34:37" x14ac:dyDescent="0.35">
      <c r="AH356" s="21"/>
      <c r="AI356" s="21"/>
      <c r="AJ356" s="21"/>
      <c r="AK356" s="21"/>
    </row>
    <row r="357" spans="34:37" x14ac:dyDescent="0.35">
      <c r="AH357" s="21"/>
      <c r="AI357" s="21"/>
      <c r="AJ357" s="21"/>
      <c r="AK357" s="21"/>
    </row>
    <row r="358" spans="34:37" x14ac:dyDescent="0.35">
      <c r="AH358" s="21"/>
      <c r="AI358" s="21"/>
      <c r="AJ358" s="21"/>
      <c r="AK358" s="21"/>
    </row>
    <row r="359" spans="34:37" x14ac:dyDescent="0.35">
      <c r="AH359" s="21"/>
      <c r="AI359" s="21"/>
      <c r="AJ359" s="21"/>
      <c r="AK359" s="21"/>
    </row>
    <row r="360" spans="34:37" x14ac:dyDescent="0.35">
      <c r="AH360" s="21"/>
      <c r="AI360" s="21"/>
      <c r="AJ360" s="21"/>
      <c r="AK360" s="21"/>
    </row>
    <row r="361" spans="34:37" x14ac:dyDescent="0.35">
      <c r="AH361" s="21"/>
      <c r="AI361" s="21"/>
      <c r="AJ361" s="21"/>
      <c r="AK361" s="21"/>
    </row>
    <row r="362" spans="34:37" x14ac:dyDescent="0.35">
      <c r="AH362" s="21"/>
      <c r="AI362" s="21"/>
      <c r="AJ362" s="21"/>
      <c r="AK362" s="21"/>
    </row>
    <row r="363" spans="34:37" x14ac:dyDescent="0.35">
      <c r="AH363" s="21"/>
      <c r="AI363" s="21"/>
      <c r="AJ363" s="21"/>
      <c r="AK363" s="21"/>
    </row>
    <row r="364" spans="34:37" x14ac:dyDescent="0.35">
      <c r="AH364" s="21"/>
      <c r="AI364" s="21"/>
      <c r="AJ364" s="21"/>
      <c r="AK364" s="21"/>
    </row>
    <row r="365" spans="34:37" x14ac:dyDescent="0.35">
      <c r="AH365" s="21"/>
      <c r="AI365" s="21"/>
      <c r="AJ365" s="21"/>
      <c r="AK365" s="21"/>
    </row>
    <row r="366" spans="34:37" x14ac:dyDescent="0.35">
      <c r="AH366" s="21"/>
      <c r="AI366" s="21"/>
      <c r="AJ366" s="21"/>
      <c r="AK366" s="21"/>
    </row>
    <row r="367" spans="34:37" x14ac:dyDescent="0.35">
      <c r="AH367" s="21"/>
      <c r="AI367" s="21"/>
      <c r="AJ367" s="21"/>
      <c r="AK367" s="21"/>
    </row>
    <row r="368" spans="34:37" x14ac:dyDescent="0.35">
      <c r="AH368" s="21"/>
      <c r="AI368" s="21"/>
      <c r="AJ368" s="21"/>
      <c r="AK368" s="21"/>
    </row>
    <row r="369" spans="34:37" x14ac:dyDescent="0.35">
      <c r="AH369" s="21"/>
      <c r="AI369" s="21"/>
      <c r="AJ369" s="21"/>
      <c r="AK369" s="21"/>
    </row>
    <row r="370" spans="34:37" x14ac:dyDescent="0.35">
      <c r="AH370" s="21"/>
      <c r="AI370" s="21"/>
      <c r="AJ370" s="21"/>
      <c r="AK370" s="21"/>
    </row>
    <row r="371" spans="34:37" x14ac:dyDescent="0.35">
      <c r="AH371" s="21"/>
      <c r="AI371" s="21"/>
      <c r="AJ371" s="21"/>
      <c r="AK371" s="21"/>
    </row>
    <row r="372" spans="34:37" x14ac:dyDescent="0.35">
      <c r="AH372" s="21"/>
      <c r="AI372" s="21"/>
      <c r="AJ372" s="21"/>
      <c r="AK372" s="21"/>
    </row>
    <row r="373" spans="34:37" x14ac:dyDescent="0.35">
      <c r="AH373" s="21"/>
      <c r="AI373" s="21"/>
      <c r="AJ373" s="21"/>
      <c r="AK373" s="21"/>
    </row>
    <row r="374" spans="34:37" x14ac:dyDescent="0.35">
      <c r="AH374" s="21"/>
      <c r="AI374" s="21"/>
      <c r="AJ374" s="21"/>
      <c r="AK374" s="21"/>
    </row>
    <row r="375" spans="34:37" x14ac:dyDescent="0.35">
      <c r="AH375" s="21"/>
      <c r="AI375" s="21"/>
      <c r="AJ375" s="21"/>
      <c r="AK375" s="21"/>
    </row>
    <row r="376" spans="34:37" x14ac:dyDescent="0.35">
      <c r="AH376" s="21"/>
      <c r="AI376" s="21"/>
      <c r="AJ376" s="21"/>
      <c r="AK376" s="21"/>
    </row>
    <row r="377" spans="34:37" x14ac:dyDescent="0.35">
      <c r="AH377" s="21"/>
      <c r="AI377" s="21"/>
      <c r="AJ377" s="21"/>
      <c r="AK377" s="21"/>
    </row>
    <row r="378" spans="34:37" x14ac:dyDescent="0.35">
      <c r="AH378" s="21"/>
      <c r="AI378" s="21"/>
      <c r="AJ378" s="21"/>
      <c r="AK378" s="21"/>
    </row>
    <row r="379" spans="34:37" x14ac:dyDescent="0.35">
      <c r="AH379" s="21"/>
      <c r="AI379" s="21"/>
      <c r="AJ379" s="21"/>
      <c r="AK379" s="21"/>
    </row>
    <row r="380" spans="34:37" x14ac:dyDescent="0.35">
      <c r="AH380" s="21"/>
      <c r="AI380" s="21"/>
      <c r="AJ380" s="21"/>
      <c r="AK380" s="21"/>
    </row>
    <row r="381" spans="34:37" x14ac:dyDescent="0.35">
      <c r="AH381" s="21"/>
      <c r="AI381" s="21"/>
      <c r="AJ381" s="21"/>
      <c r="AK381" s="21"/>
    </row>
    <row r="382" spans="34:37" x14ac:dyDescent="0.35">
      <c r="AH382" s="21"/>
      <c r="AI382" s="21"/>
      <c r="AJ382" s="21"/>
      <c r="AK382" s="21"/>
    </row>
    <row r="383" spans="34:37" x14ac:dyDescent="0.35">
      <c r="AH383" s="21"/>
      <c r="AI383" s="21"/>
      <c r="AJ383" s="21"/>
      <c r="AK383" s="21"/>
    </row>
    <row r="384" spans="34:37" x14ac:dyDescent="0.35">
      <c r="AH384" s="21"/>
      <c r="AI384" s="21"/>
      <c r="AJ384" s="21"/>
      <c r="AK384" s="21"/>
    </row>
    <row r="385" spans="34:37" x14ac:dyDescent="0.35">
      <c r="AH385" s="21"/>
      <c r="AI385" s="21"/>
      <c r="AJ385" s="21"/>
      <c r="AK385" s="21"/>
    </row>
    <row r="386" spans="34:37" x14ac:dyDescent="0.35">
      <c r="AH386" s="21"/>
      <c r="AI386" s="21"/>
      <c r="AJ386" s="21"/>
      <c r="AK386" s="21"/>
    </row>
    <row r="387" spans="34:37" x14ac:dyDescent="0.35">
      <c r="AH387" s="21"/>
      <c r="AI387" s="21"/>
      <c r="AJ387" s="21"/>
      <c r="AK387" s="21"/>
    </row>
    <row r="388" spans="34:37" x14ac:dyDescent="0.35">
      <c r="AH388" s="21"/>
      <c r="AI388" s="21"/>
      <c r="AJ388" s="21"/>
      <c r="AK388" s="21"/>
    </row>
    <row r="389" spans="34:37" x14ac:dyDescent="0.35">
      <c r="AH389" s="21"/>
      <c r="AI389" s="21"/>
      <c r="AJ389" s="21"/>
      <c r="AK389" s="21"/>
    </row>
    <row r="390" spans="34:37" x14ac:dyDescent="0.35">
      <c r="AH390" s="21"/>
      <c r="AI390" s="21"/>
      <c r="AJ390" s="21"/>
      <c r="AK390" s="21"/>
    </row>
    <row r="391" spans="34:37" x14ac:dyDescent="0.35">
      <c r="AH391" s="21"/>
      <c r="AI391" s="21"/>
      <c r="AJ391" s="21"/>
      <c r="AK391" s="21"/>
    </row>
    <row r="392" spans="34:37" x14ac:dyDescent="0.35">
      <c r="AH392" s="21"/>
      <c r="AI392" s="21"/>
      <c r="AJ392" s="21"/>
      <c r="AK392" s="21"/>
    </row>
    <row r="393" spans="34:37" x14ac:dyDescent="0.35">
      <c r="AH393" s="21"/>
      <c r="AI393" s="21"/>
      <c r="AJ393" s="21"/>
      <c r="AK393" s="21"/>
    </row>
    <row r="394" spans="34:37" x14ac:dyDescent="0.35">
      <c r="AH394" s="21"/>
      <c r="AI394" s="21"/>
      <c r="AJ394" s="21"/>
      <c r="AK394" s="21"/>
    </row>
    <row r="395" spans="34:37" x14ac:dyDescent="0.35">
      <c r="AH395" s="21"/>
      <c r="AI395" s="21"/>
      <c r="AJ395" s="21"/>
      <c r="AK395" s="21"/>
    </row>
    <row r="396" spans="34:37" x14ac:dyDescent="0.35">
      <c r="AH396" s="21"/>
      <c r="AI396" s="21"/>
      <c r="AJ396" s="21"/>
      <c r="AK396" s="21"/>
    </row>
    <row r="397" spans="34:37" x14ac:dyDescent="0.35">
      <c r="AH397" s="21"/>
      <c r="AI397" s="21"/>
      <c r="AJ397" s="21"/>
      <c r="AK397" s="21"/>
    </row>
    <row r="398" spans="34:37" x14ac:dyDescent="0.35">
      <c r="AH398" s="21"/>
      <c r="AI398" s="21"/>
      <c r="AJ398" s="21"/>
      <c r="AK398" s="21"/>
    </row>
    <row r="399" spans="34:37" x14ac:dyDescent="0.35">
      <c r="AH399" s="21"/>
      <c r="AI399" s="21"/>
      <c r="AJ399" s="21"/>
      <c r="AK399" s="21"/>
    </row>
    <row r="400" spans="34:37" x14ac:dyDescent="0.35">
      <c r="AH400" s="21"/>
      <c r="AI400" s="21"/>
      <c r="AJ400" s="21"/>
      <c r="AK400" s="21"/>
    </row>
    <row r="401" spans="34:37" x14ac:dyDescent="0.35">
      <c r="AH401" s="21"/>
      <c r="AI401" s="21"/>
      <c r="AJ401" s="21"/>
      <c r="AK401" s="21"/>
    </row>
    <row r="402" spans="34:37" x14ac:dyDescent="0.35">
      <c r="AH402" s="21"/>
      <c r="AI402" s="21"/>
      <c r="AJ402" s="21"/>
      <c r="AK402" s="21"/>
    </row>
    <row r="403" spans="34:37" x14ac:dyDescent="0.35">
      <c r="AH403" s="21"/>
      <c r="AI403" s="21"/>
      <c r="AJ403" s="21"/>
      <c r="AK403" s="21"/>
    </row>
    <row r="404" spans="34:37" x14ac:dyDescent="0.35">
      <c r="AH404" s="21"/>
      <c r="AI404" s="21"/>
      <c r="AJ404" s="21"/>
      <c r="AK404" s="21"/>
    </row>
    <row r="405" spans="34:37" x14ac:dyDescent="0.35">
      <c r="AH405" s="21"/>
      <c r="AI405" s="21"/>
      <c r="AJ405" s="21"/>
      <c r="AK405" s="21"/>
    </row>
    <row r="406" spans="34:37" x14ac:dyDescent="0.35">
      <c r="AH406" s="21"/>
      <c r="AI406" s="21"/>
      <c r="AJ406" s="21"/>
      <c r="AK406" s="21"/>
    </row>
    <row r="407" spans="34:37" x14ac:dyDescent="0.35">
      <c r="AH407" s="21"/>
      <c r="AI407" s="21"/>
      <c r="AJ407" s="21"/>
      <c r="AK407" s="21"/>
    </row>
    <row r="408" spans="34:37" x14ac:dyDescent="0.35">
      <c r="AH408" s="21"/>
      <c r="AI408" s="21"/>
      <c r="AJ408" s="21"/>
      <c r="AK408" s="21"/>
    </row>
    <row r="409" spans="34:37" x14ac:dyDescent="0.35">
      <c r="AH409" s="21"/>
      <c r="AI409" s="21"/>
      <c r="AJ409" s="21"/>
      <c r="AK409" s="21"/>
    </row>
    <row r="410" spans="34:37" x14ac:dyDescent="0.35">
      <c r="AH410" s="21"/>
      <c r="AI410" s="21"/>
      <c r="AJ410" s="21"/>
      <c r="AK410" s="21"/>
    </row>
    <row r="411" spans="34:37" x14ac:dyDescent="0.35">
      <c r="AH411" s="21"/>
      <c r="AI411" s="21"/>
      <c r="AJ411" s="21"/>
      <c r="AK411" s="21"/>
    </row>
    <row r="412" spans="34:37" x14ac:dyDescent="0.35">
      <c r="AH412" s="21"/>
      <c r="AI412" s="21"/>
      <c r="AJ412" s="21"/>
      <c r="AK412" s="21"/>
    </row>
    <row r="413" spans="34:37" x14ac:dyDescent="0.35">
      <c r="AH413" s="21"/>
      <c r="AI413" s="21"/>
      <c r="AJ413" s="21"/>
      <c r="AK413" s="21"/>
    </row>
    <row r="414" spans="34:37" x14ac:dyDescent="0.35">
      <c r="AH414" s="21"/>
      <c r="AI414" s="21"/>
      <c r="AJ414" s="21"/>
      <c r="AK414" s="21"/>
    </row>
    <row r="415" spans="34:37" x14ac:dyDescent="0.35">
      <c r="AH415" s="21"/>
      <c r="AI415" s="21"/>
      <c r="AJ415" s="21"/>
      <c r="AK415" s="21"/>
    </row>
    <row r="416" spans="34:37" x14ac:dyDescent="0.35">
      <c r="AH416" s="21"/>
      <c r="AI416" s="21"/>
      <c r="AJ416" s="21"/>
      <c r="AK416" s="21"/>
    </row>
    <row r="417" spans="34:37" x14ac:dyDescent="0.35">
      <c r="AH417" s="21"/>
      <c r="AI417" s="21"/>
      <c r="AJ417" s="21"/>
      <c r="AK417" s="21"/>
    </row>
    <row r="418" spans="34:37" x14ac:dyDescent="0.35">
      <c r="AH418" s="21"/>
      <c r="AI418" s="21"/>
      <c r="AJ418" s="21"/>
      <c r="AK418" s="21"/>
    </row>
    <row r="419" spans="34:37" x14ac:dyDescent="0.35">
      <c r="AH419" s="21"/>
      <c r="AI419" s="21"/>
      <c r="AJ419" s="21"/>
      <c r="AK419" s="21"/>
    </row>
    <row r="420" spans="34:37" x14ac:dyDescent="0.35">
      <c r="AH420" s="21"/>
      <c r="AI420" s="21"/>
      <c r="AJ420" s="21"/>
      <c r="AK420" s="21"/>
    </row>
    <row r="421" spans="34:37" x14ac:dyDescent="0.35">
      <c r="AH421" s="21"/>
      <c r="AI421" s="21"/>
      <c r="AJ421" s="21"/>
      <c r="AK421" s="21"/>
    </row>
    <row r="422" spans="34:37" x14ac:dyDescent="0.35">
      <c r="AH422" s="21"/>
      <c r="AI422" s="21"/>
      <c r="AJ422" s="21"/>
      <c r="AK422" s="21"/>
    </row>
    <row r="423" spans="34:37" x14ac:dyDescent="0.35">
      <c r="AH423" s="21"/>
      <c r="AI423" s="21"/>
      <c r="AJ423" s="21"/>
      <c r="AK423" s="21"/>
    </row>
    <row r="424" spans="34:37" x14ac:dyDescent="0.35">
      <c r="AH424" s="21"/>
      <c r="AI424" s="21"/>
      <c r="AJ424" s="21"/>
      <c r="AK424" s="21"/>
    </row>
    <row r="425" spans="34:37" x14ac:dyDescent="0.35">
      <c r="AH425" s="21"/>
      <c r="AI425" s="21"/>
      <c r="AJ425" s="21"/>
      <c r="AK425" s="21"/>
    </row>
    <row r="426" spans="34:37" x14ac:dyDescent="0.35">
      <c r="AH426" s="21"/>
      <c r="AI426" s="21"/>
      <c r="AJ426" s="21"/>
      <c r="AK426" s="21"/>
    </row>
    <row r="427" spans="34:37" x14ac:dyDescent="0.35">
      <c r="AH427" s="21"/>
      <c r="AI427" s="21"/>
      <c r="AJ427" s="21"/>
      <c r="AK427" s="21"/>
    </row>
    <row r="428" spans="34:37" x14ac:dyDescent="0.35">
      <c r="AH428" s="21"/>
      <c r="AI428" s="21"/>
      <c r="AJ428" s="21"/>
      <c r="AK428" s="21"/>
    </row>
    <row r="429" spans="34:37" x14ac:dyDescent="0.35">
      <c r="AH429" s="21"/>
      <c r="AI429" s="21"/>
      <c r="AJ429" s="21"/>
      <c r="AK429" s="21"/>
    </row>
    <row r="430" spans="34:37" x14ac:dyDescent="0.35">
      <c r="AH430" s="21"/>
      <c r="AI430" s="21"/>
      <c r="AJ430" s="21"/>
      <c r="AK430" s="21"/>
    </row>
    <row r="431" spans="34:37" x14ac:dyDescent="0.35">
      <c r="AH431" s="21"/>
      <c r="AI431" s="21"/>
      <c r="AJ431" s="21"/>
      <c r="AK431" s="21"/>
    </row>
    <row r="432" spans="34:37" x14ac:dyDescent="0.35">
      <c r="AH432" s="21"/>
      <c r="AI432" s="21"/>
      <c r="AJ432" s="21"/>
      <c r="AK432" s="21"/>
    </row>
    <row r="433" spans="34:37" x14ac:dyDescent="0.35">
      <c r="AH433" s="21"/>
      <c r="AI433" s="21"/>
      <c r="AJ433" s="21"/>
      <c r="AK433" s="21"/>
    </row>
    <row r="434" spans="34:37" x14ac:dyDescent="0.35">
      <c r="AH434" s="21"/>
      <c r="AI434" s="21"/>
      <c r="AJ434" s="21"/>
      <c r="AK434" s="21"/>
    </row>
    <row r="435" spans="34:37" x14ac:dyDescent="0.35">
      <c r="AH435" s="21"/>
      <c r="AI435" s="21"/>
      <c r="AJ435" s="21"/>
      <c r="AK435" s="21"/>
    </row>
    <row r="436" spans="34:37" x14ac:dyDescent="0.35">
      <c r="AH436" s="21"/>
      <c r="AI436" s="21"/>
      <c r="AJ436" s="21"/>
      <c r="AK436" s="21"/>
    </row>
    <row r="437" spans="34:37" x14ac:dyDescent="0.35">
      <c r="AH437" s="21"/>
      <c r="AI437" s="21"/>
      <c r="AJ437" s="21"/>
      <c r="AK437" s="21"/>
    </row>
    <row r="438" spans="34:37" x14ac:dyDescent="0.35">
      <c r="AH438" s="21"/>
      <c r="AI438" s="21"/>
      <c r="AJ438" s="21"/>
      <c r="AK438" s="21"/>
    </row>
    <row r="439" spans="34:37" x14ac:dyDescent="0.35">
      <c r="AH439" s="21"/>
      <c r="AI439" s="21"/>
      <c r="AJ439" s="21"/>
      <c r="AK439" s="21"/>
    </row>
    <row r="440" spans="34:37" x14ac:dyDescent="0.35">
      <c r="AH440" s="21"/>
      <c r="AI440" s="21"/>
      <c r="AJ440" s="21"/>
      <c r="AK440" s="21"/>
    </row>
    <row r="441" spans="34:37" x14ac:dyDescent="0.35">
      <c r="AH441" s="21"/>
      <c r="AI441" s="21"/>
      <c r="AJ441" s="21"/>
      <c r="AK441" s="21"/>
    </row>
    <row r="442" spans="34:37" x14ac:dyDescent="0.35">
      <c r="AH442" s="21"/>
      <c r="AI442" s="21"/>
      <c r="AJ442" s="21"/>
      <c r="AK442" s="21"/>
    </row>
    <row r="443" spans="34:37" x14ac:dyDescent="0.35">
      <c r="AH443" s="21"/>
      <c r="AI443" s="21"/>
      <c r="AJ443" s="21"/>
      <c r="AK443" s="21"/>
    </row>
    <row r="444" spans="34:37" x14ac:dyDescent="0.35">
      <c r="AH444" s="21"/>
      <c r="AI444" s="21"/>
      <c r="AJ444" s="21"/>
      <c r="AK444" s="21"/>
    </row>
    <row r="445" spans="34:37" x14ac:dyDescent="0.35">
      <c r="AH445" s="21"/>
      <c r="AI445" s="21"/>
      <c r="AJ445" s="21"/>
      <c r="AK445" s="21"/>
    </row>
    <row r="446" spans="34:37" x14ac:dyDescent="0.35">
      <c r="AH446" s="21"/>
      <c r="AI446" s="21"/>
      <c r="AJ446" s="21"/>
      <c r="AK446" s="21"/>
    </row>
    <row r="447" spans="34:37" x14ac:dyDescent="0.35">
      <c r="AH447" s="21"/>
      <c r="AI447" s="21"/>
      <c r="AJ447" s="21"/>
      <c r="AK447" s="21"/>
    </row>
    <row r="448" spans="34:37" x14ac:dyDescent="0.35">
      <c r="AH448" s="21"/>
      <c r="AI448" s="21"/>
      <c r="AJ448" s="21"/>
      <c r="AK448" s="21"/>
    </row>
    <row r="449" spans="34:37" x14ac:dyDescent="0.35">
      <c r="AH449" s="21"/>
      <c r="AI449" s="21"/>
      <c r="AJ449" s="21"/>
      <c r="AK449" s="21"/>
    </row>
    <row r="450" spans="34:37" x14ac:dyDescent="0.35">
      <c r="AH450" s="21"/>
      <c r="AI450" s="21"/>
      <c r="AJ450" s="21"/>
      <c r="AK450" s="21"/>
    </row>
    <row r="451" spans="34:37" x14ac:dyDescent="0.35">
      <c r="AH451" s="21"/>
      <c r="AI451" s="21"/>
      <c r="AJ451" s="21"/>
      <c r="AK451" s="21"/>
    </row>
  </sheetData>
  <autoFilter ref="A6:AM451" xr:uid="{8FF9FFF1-F09B-4379-9302-DEF64DE976AF}">
    <filterColumn colId="8">
      <filters>
        <filter val="CRML"/>
        <filter val="CRMS"/>
      </filters>
    </filterColumn>
  </autoFilter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9BB4B-7593-479D-BD3D-744FCED46D15}">
  <sheetPr filterMode="1"/>
  <dimension ref="A1:AM451"/>
  <sheetViews>
    <sheetView workbookViewId="0">
      <selection activeCell="A290" sqref="A290:AM451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3435</v>
      </c>
      <c r="D2" s="8" t="s">
        <v>51</v>
      </c>
      <c r="G2" t="s">
        <v>3435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B=283,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hidden="1" thickTop="1" x14ac:dyDescent="0.35">
      <c r="A7" t="s">
        <v>2087</v>
      </c>
      <c r="B7" t="s">
        <v>2088</v>
      </c>
      <c r="C7" t="s">
        <v>66</v>
      </c>
      <c r="D7" t="s">
        <v>2089</v>
      </c>
      <c r="E7" t="s">
        <v>559</v>
      </c>
      <c r="F7">
        <v>1</v>
      </c>
      <c r="G7" t="s">
        <v>2050</v>
      </c>
      <c r="H7" t="s">
        <v>2051</v>
      </c>
      <c r="I7" t="s">
        <v>53</v>
      </c>
      <c r="J7" t="s">
        <v>67</v>
      </c>
      <c r="K7" t="s">
        <v>68</v>
      </c>
      <c r="L7" t="s">
        <v>2052</v>
      </c>
      <c r="M7" t="s">
        <v>2064</v>
      </c>
      <c r="N7">
        <v>0</v>
      </c>
      <c r="O7">
        <v>0</v>
      </c>
      <c r="P7">
        <v>0</v>
      </c>
      <c r="Q7">
        <v>900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69</v>
      </c>
      <c r="AH7" s="21" t="s">
        <v>3424</v>
      </c>
      <c r="AI7" s="21">
        <v>67.5</v>
      </c>
      <c r="AJ7" s="21">
        <v>100</v>
      </c>
      <c r="AK7" s="21" t="s">
        <v>2054</v>
      </c>
      <c r="AL7" t="s">
        <v>70</v>
      </c>
      <c r="AM7" t="s">
        <v>2029</v>
      </c>
    </row>
    <row r="8" spans="1:39" ht="15" hidden="1" thickTop="1" x14ac:dyDescent="0.35">
      <c r="A8" t="s">
        <v>2090</v>
      </c>
      <c r="B8" t="s">
        <v>2091</v>
      </c>
      <c r="C8" t="s">
        <v>71</v>
      </c>
      <c r="D8" t="s">
        <v>2092</v>
      </c>
      <c r="E8" t="s">
        <v>72</v>
      </c>
      <c r="F8">
        <v>2</v>
      </c>
      <c r="G8" t="s">
        <v>2050</v>
      </c>
      <c r="H8" t="s">
        <v>2051</v>
      </c>
      <c r="I8" t="s">
        <v>53</v>
      </c>
      <c r="J8" t="s">
        <v>73</v>
      </c>
      <c r="K8" t="s">
        <v>68</v>
      </c>
      <c r="L8" t="s">
        <v>2052</v>
      </c>
      <c r="M8" t="s">
        <v>2093</v>
      </c>
      <c r="N8">
        <v>0</v>
      </c>
      <c r="O8">
        <v>0</v>
      </c>
      <c r="P8">
        <v>0</v>
      </c>
      <c r="Q8">
        <v>840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74</v>
      </c>
      <c r="AH8" s="21" t="s">
        <v>3424</v>
      </c>
      <c r="AI8" s="21">
        <v>63</v>
      </c>
      <c r="AJ8" s="21">
        <v>100</v>
      </c>
      <c r="AK8" s="21" t="s">
        <v>2055</v>
      </c>
      <c r="AL8" t="s">
        <v>75</v>
      </c>
      <c r="AM8" t="s">
        <v>2027</v>
      </c>
    </row>
    <row r="9" spans="1:39" ht="15" hidden="1" thickTop="1" x14ac:dyDescent="0.35">
      <c r="A9" t="s">
        <v>2056</v>
      </c>
      <c r="B9" t="s">
        <v>2095</v>
      </c>
      <c r="C9" t="s">
        <v>76</v>
      </c>
      <c r="D9" t="s">
        <v>2096</v>
      </c>
      <c r="E9" t="s">
        <v>559</v>
      </c>
      <c r="F9">
        <v>3</v>
      </c>
      <c r="G9" t="s">
        <v>2050</v>
      </c>
      <c r="H9" t="s">
        <v>2051</v>
      </c>
      <c r="I9" t="s">
        <v>53</v>
      </c>
      <c r="J9" t="s">
        <v>67</v>
      </c>
      <c r="K9" t="s">
        <v>68</v>
      </c>
      <c r="L9" t="s">
        <v>2052</v>
      </c>
      <c r="M9" t="s">
        <v>2064</v>
      </c>
      <c r="N9">
        <v>0</v>
      </c>
      <c r="O9">
        <v>0</v>
      </c>
      <c r="P9">
        <v>0</v>
      </c>
      <c r="Q9">
        <v>900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77</v>
      </c>
      <c r="AH9" s="21" t="s">
        <v>3424</v>
      </c>
      <c r="AI9" s="21">
        <v>67.5</v>
      </c>
      <c r="AJ9" s="21">
        <v>100</v>
      </c>
      <c r="AK9" s="21" t="s">
        <v>2055</v>
      </c>
      <c r="AL9" t="s">
        <v>70</v>
      </c>
      <c r="AM9" t="s">
        <v>2028</v>
      </c>
    </row>
    <row r="10" spans="1:39" ht="15" hidden="1" thickTop="1" x14ac:dyDescent="0.35">
      <c r="A10" t="s">
        <v>2057</v>
      </c>
      <c r="B10" t="s">
        <v>2098</v>
      </c>
      <c r="C10" t="s">
        <v>78</v>
      </c>
      <c r="D10" t="s">
        <v>2099</v>
      </c>
      <c r="E10" t="s">
        <v>559</v>
      </c>
      <c r="F10">
        <v>2</v>
      </c>
      <c r="G10" t="s">
        <v>2050</v>
      </c>
      <c r="H10" t="s">
        <v>2051</v>
      </c>
      <c r="I10" t="s">
        <v>53</v>
      </c>
      <c r="J10" t="s">
        <v>67</v>
      </c>
      <c r="K10" t="s">
        <v>68</v>
      </c>
      <c r="L10" t="s">
        <v>2052</v>
      </c>
      <c r="M10" t="s">
        <v>2064</v>
      </c>
      <c r="N10">
        <v>1</v>
      </c>
      <c r="O10">
        <v>36</v>
      </c>
      <c r="P10">
        <v>4</v>
      </c>
      <c r="Q10">
        <v>900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36</v>
      </c>
      <c r="Z10">
        <v>4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80</v>
      </c>
      <c r="AH10" s="21" t="s">
        <v>3424</v>
      </c>
      <c r="AI10" s="21">
        <v>67.5</v>
      </c>
      <c r="AJ10" s="21">
        <v>96</v>
      </c>
      <c r="AK10" s="21" t="s">
        <v>2055</v>
      </c>
      <c r="AL10" t="s">
        <v>70</v>
      </c>
      <c r="AM10" t="s">
        <v>2029</v>
      </c>
    </row>
    <row r="11" spans="1:39" ht="15" hidden="1" thickTop="1" x14ac:dyDescent="0.35">
      <c r="A11" t="s">
        <v>2058</v>
      </c>
      <c r="B11" t="s">
        <v>2101</v>
      </c>
      <c r="C11" t="s">
        <v>565</v>
      </c>
      <c r="D11" t="s">
        <v>2102</v>
      </c>
      <c r="E11" t="s">
        <v>559</v>
      </c>
      <c r="F11">
        <v>1</v>
      </c>
      <c r="G11" t="s">
        <v>2050</v>
      </c>
      <c r="H11" t="s">
        <v>2051</v>
      </c>
      <c r="I11" t="s">
        <v>53</v>
      </c>
      <c r="J11" t="s">
        <v>427</v>
      </c>
      <c r="K11" t="s">
        <v>68</v>
      </c>
      <c r="L11" t="s">
        <v>2052</v>
      </c>
      <c r="M11" t="s">
        <v>2053</v>
      </c>
      <c r="N11">
        <v>0</v>
      </c>
      <c r="O11">
        <v>0</v>
      </c>
      <c r="P11">
        <v>0</v>
      </c>
      <c r="Q11">
        <v>1440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83</v>
      </c>
      <c r="AH11" s="21" t="s">
        <v>3425</v>
      </c>
      <c r="AI11" s="21">
        <v>107.92500000000001</v>
      </c>
      <c r="AJ11" s="21">
        <v>100</v>
      </c>
      <c r="AK11" s="21" t="s">
        <v>2054</v>
      </c>
      <c r="AL11" t="s">
        <v>70</v>
      </c>
      <c r="AM11" t="s">
        <v>2029</v>
      </c>
    </row>
    <row r="12" spans="1:39" ht="15" hidden="1" thickTop="1" x14ac:dyDescent="0.35">
      <c r="A12" t="s">
        <v>2059</v>
      </c>
      <c r="B12" t="s">
        <v>2103</v>
      </c>
      <c r="C12" t="s">
        <v>565</v>
      </c>
      <c r="D12" t="s">
        <v>2104</v>
      </c>
      <c r="E12" t="s">
        <v>559</v>
      </c>
      <c r="F12">
        <v>2</v>
      </c>
      <c r="G12" t="s">
        <v>2050</v>
      </c>
      <c r="H12" t="s">
        <v>2051</v>
      </c>
      <c r="I12" t="s">
        <v>53</v>
      </c>
      <c r="J12" t="s">
        <v>427</v>
      </c>
      <c r="K12" t="s">
        <v>68</v>
      </c>
      <c r="L12" t="s">
        <v>2052</v>
      </c>
      <c r="M12" t="s">
        <v>2063</v>
      </c>
      <c r="N12">
        <v>0</v>
      </c>
      <c r="O12">
        <v>0</v>
      </c>
      <c r="P12">
        <v>0</v>
      </c>
      <c r="Q12">
        <v>1020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84</v>
      </c>
      <c r="AH12" s="21" t="s">
        <v>3425</v>
      </c>
      <c r="AI12" s="21">
        <v>76.500000000000014</v>
      </c>
      <c r="AJ12" s="21">
        <v>100</v>
      </c>
      <c r="AK12" s="21" t="s">
        <v>2054</v>
      </c>
      <c r="AL12" t="s">
        <v>70</v>
      </c>
      <c r="AM12" t="s">
        <v>2027</v>
      </c>
    </row>
    <row r="13" spans="1:39" ht="15" hidden="1" thickTop="1" x14ac:dyDescent="0.35">
      <c r="A13" t="s">
        <v>2105</v>
      </c>
      <c r="B13" t="s">
        <v>2107</v>
      </c>
      <c r="C13" t="s">
        <v>81</v>
      </c>
      <c r="D13" t="s">
        <v>2108</v>
      </c>
      <c r="E13" t="s">
        <v>559</v>
      </c>
      <c r="F13">
        <v>1</v>
      </c>
      <c r="G13" t="s">
        <v>2050</v>
      </c>
      <c r="H13" t="s">
        <v>2051</v>
      </c>
      <c r="I13" t="s">
        <v>53</v>
      </c>
      <c r="J13" t="s">
        <v>82</v>
      </c>
      <c r="K13" t="s">
        <v>68</v>
      </c>
      <c r="L13" t="s">
        <v>2052</v>
      </c>
      <c r="M13" t="s">
        <v>2100</v>
      </c>
      <c r="N13">
        <v>0</v>
      </c>
      <c r="O13">
        <v>0</v>
      </c>
      <c r="P13">
        <v>0</v>
      </c>
      <c r="Q13">
        <v>840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85</v>
      </c>
      <c r="AH13" s="21" t="s">
        <v>3425</v>
      </c>
      <c r="AI13" s="21">
        <v>62.999999999999986</v>
      </c>
      <c r="AJ13" s="21">
        <v>100</v>
      </c>
      <c r="AK13" s="21" t="s">
        <v>2055</v>
      </c>
      <c r="AL13" t="s">
        <v>70</v>
      </c>
      <c r="AM13" t="s">
        <v>2030</v>
      </c>
    </row>
    <row r="14" spans="1:39" ht="15" hidden="1" thickTop="1" x14ac:dyDescent="0.35">
      <c r="A14" t="s">
        <v>2106</v>
      </c>
      <c r="B14" t="s">
        <v>2109</v>
      </c>
      <c r="C14" t="s">
        <v>820</v>
      </c>
      <c r="D14" t="s">
        <v>2110</v>
      </c>
      <c r="E14" t="s">
        <v>72</v>
      </c>
      <c r="F14">
        <v>2</v>
      </c>
      <c r="G14" t="s">
        <v>2050</v>
      </c>
      <c r="H14" t="s">
        <v>2051</v>
      </c>
      <c r="I14" t="s">
        <v>53</v>
      </c>
      <c r="J14" t="s">
        <v>424</v>
      </c>
      <c r="K14" t="s">
        <v>68</v>
      </c>
      <c r="L14" t="s">
        <v>2052</v>
      </c>
      <c r="M14" t="s">
        <v>2053</v>
      </c>
      <c r="N14">
        <v>0</v>
      </c>
      <c r="O14">
        <v>0</v>
      </c>
      <c r="P14">
        <v>0</v>
      </c>
      <c r="Q14">
        <v>1440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87</v>
      </c>
      <c r="AH14" s="21" t="s">
        <v>3425</v>
      </c>
      <c r="AI14" s="21">
        <v>107.92500000000001</v>
      </c>
      <c r="AJ14" s="21">
        <v>100</v>
      </c>
      <c r="AK14" s="21" t="s">
        <v>2054</v>
      </c>
      <c r="AL14" t="s">
        <v>75</v>
      </c>
      <c r="AM14" t="s">
        <v>2027</v>
      </c>
    </row>
    <row r="15" spans="1:39" ht="15" hidden="1" thickTop="1" x14ac:dyDescent="0.35">
      <c r="A15" t="s">
        <v>2111</v>
      </c>
      <c r="B15" t="s">
        <v>2112</v>
      </c>
      <c r="C15" t="s">
        <v>78</v>
      </c>
      <c r="D15" t="s">
        <v>2113</v>
      </c>
      <c r="E15" t="s">
        <v>559</v>
      </c>
      <c r="F15">
        <v>1</v>
      </c>
      <c r="G15" t="s">
        <v>2050</v>
      </c>
      <c r="H15" t="s">
        <v>2051</v>
      </c>
      <c r="I15" t="s">
        <v>53</v>
      </c>
      <c r="J15" t="s">
        <v>67</v>
      </c>
      <c r="K15" t="s">
        <v>68</v>
      </c>
      <c r="L15" t="s">
        <v>2052</v>
      </c>
      <c r="M15" t="s">
        <v>2053</v>
      </c>
      <c r="N15">
        <v>0</v>
      </c>
      <c r="O15">
        <v>0</v>
      </c>
      <c r="P15">
        <v>0</v>
      </c>
      <c r="Q15">
        <v>1440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89</v>
      </c>
      <c r="AH15" s="21" t="s">
        <v>3425</v>
      </c>
      <c r="AI15" s="21">
        <v>107.92500000000001</v>
      </c>
      <c r="AJ15" s="21">
        <v>100</v>
      </c>
      <c r="AK15" s="21" t="s">
        <v>2054</v>
      </c>
      <c r="AL15" t="s">
        <v>70</v>
      </c>
      <c r="AM15" t="s">
        <v>2030</v>
      </c>
    </row>
    <row r="16" spans="1:39" ht="15" hidden="1" thickTop="1" x14ac:dyDescent="0.35">
      <c r="A16" t="s">
        <v>2114</v>
      </c>
      <c r="B16" t="s">
        <v>2116</v>
      </c>
      <c r="C16" t="s">
        <v>71</v>
      </c>
      <c r="D16" t="s">
        <v>2117</v>
      </c>
      <c r="E16" t="s">
        <v>72</v>
      </c>
      <c r="F16">
        <v>1</v>
      </c>
      <c r="G16" t="s">
        <v>2050</v>
      </c>
      <c r="H16" t="s">
        <v>2051</v>
      </c>
      <c r="I16" t="s">
        <v>53</v>
      </c>
      <c r="J16" t="s">
        <v>73</v>
      </c>
      <c r="K16" t="s">
        <v>68</v>
      </c>
      <c r="L16" t="s">
        <v>2052</v>
      </c>
      <c r="M16" t="s">
        <v>2053</v>
      </c>
      <c r="N16">
        <v>1</v>
      </c>
      <c r="O16">
        <v>23</v>
      </c>
      <c r="P16">
        <v>1.6</v>
      </c>
      <c r="Q16">
        <v>1440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23</v>
      </c>
      <c r="Z16">
        <v>1.6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90</v>
      </c>
      <c r="AH16" s="21" t="s">
        <v>3426</v>
      </c>
      <c r="AI16" s="21">
        <v>107.92500000000001</v>
      </c>
      <c r="AJ16" s="21">
        <v>98.402777777777771</v>
      </c>
      <c r="AK16" s="21" t="s">
        <v>2055</v>
      </c>
      <c r="AL16" t="s">
        <v>75</v>
      </c>
      <c r="AM16" t="s">
        <v>2028</v>
      </c>
    </row>
    <row r="17" spans="1:39" ht="15" hidden="1" thickTop="1" x14ac:dyDescent="0.35">
      <c r="A17" t="s">
        <v>2115</v>
      </c>
      <c r="B17" t="s">
        <v>2118</v>
      </c>
      <c r="C17" t="s">
        <v>66</v>
      </c>
      <c r="D17" t="s">
        <v>2119</v>
      </c>
      <c r="E17" t="s">
        <v>559</v>
      </c>
      <c r="F17">
        <v>2</v>
      </c>
      <c r="G17" t="s">
        <v>2050</v>
      </c>
      <c r="H17" t="s">
        <v>2051</v>
      </c>
      <c r="I17" t="s">
        <v>53</v>
      </c>
      <c r="J17" t="s">
        <v>67</v>
      </c>
      <c r="K17" t="s">
        <v>68</v>
      </c>
      <c r="L17" t="s">
        <v>2052</v>
      </c>
      <c r="M17" t="s">
        <v>2064</v>
      </c>
      <c r="N17">
        <v>0</v>
      </c>
      <c r="O17">
        <v>0</v>
      </c>
      <c r="P17">
        <v>0</v>
      </c>
      <c r="Q17">
        <v>900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91</v>
      </c>
      <c r="AH17" s="21" t="s">
        <v>3427</v>
      </c>
      <c r="AI17" s="21">
        <v>67.5</v>
      </c>
      <c r="AJ17" s="21">
        <v>100</v>
      </c>
      <c r="AK17" s="21" t="s">
        <v>2055</v>
      </c>
      <c r="AL17" t="s">
        <v>70</v>
      </c>
      <c r="AM17" t="s">
        <v>2029</v>
      </c>
    </row>
    <row r="18" spans="1:39" ht="15" hidden="1" thickTop="1" x14ac:dyDescent="0.35">
      <c r="A18" t="s">
        <v>2120</v>
      </c>
      <c r="B18" t="s">
        <v>2123</v>
      </c>
      <c r="C18" t="s">
        <v>66</v>
      </c>
      <c r="D18" t="s">
        <v>2124</v>
      </c>
      <c r="E18" t="s">
        <v>559</v>
      </c>
      <c r="F18">
        <v>1</v>
      </c>
      <c r="G18" t="s">
        <v>2050</v>
      </c>
      <c r="H18" t="s">
        <v>2051</v>
      </c>
      <c r="I18" t="s">
        <v>53</v>
      </c>
      <c r="J18" t="s">
        <v>67</v>
      </c>
      <c r="K18" t="s">
        <v>68</v>
      </c>
      <c r="L18" t="s">
        <v>2052</v>
      </c>
      <c r="M18" t="s">
        <v>2053</v>
      </c>
      <c r="N18">
        <v>0</v>
      </c>
      <c r="O18">
        <v>0</v>
      </c>
      <c r="P18">
        <v>0</v>
      </c>
      <c r="Q18">
        <v>1440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93</v>
      </c>
      <c r="AH18" s="21" t="s">
        <v>3427</v>
      </c>
      <c r="AI18" s="21">
        <v>107.92500000000001</v>
      </c>
      <c r="AJ18" s="21">
        <v>100</v>
      </c>
      <c r="AK18" s="21" t="s">
        <v>2054</v>
      </c>
      <c r="AL18" t="s">
        <v>70</v>
      </c>
      <c r="AM18" t="s">
        <v>2031</v>
      </c>
    </row>
    <row r="19" spans="1:39" ht="15" hidden="1" thickTop="1" x14ac:dyDescent="0.35">
      <c r="A19" t="s">
        <v>2121</v>
      </c>
      <c r="B19" t="s">
        <v>2125</v>
      </c>
      <c r="C19" t="s">
        <v>1515</v>
      </c>
      <c r="D19" t="s">
        <v>2126</v>
      </c>
      <c r="E19" t="s">
        <v>95</v>
      </c>
      <c r="F19">
        <v>1</v>
      </c>
      <c r="G19" t="s">
        <v>2050</v>
      </c>
      <c r="H19" t="s">
        <v>2051</v>
      </c>
      <c r="I19" t="s">
        <v>53</v>
      </c>
      <c r="J19" t="s">
        <v>1516</v>
      </c>
      <c r="K19" t="s">
        <v>68</v>
      </c>
      <c r="L19" t="s">
        <v>2052</v>
      </c>
      <c r="M19" t="s">
        <v>2053</v>
      </c>
      <c r="N19">
        <v>0</v>
      </c>
      <c r="O19">
        <v>0</v>
      </c>
      <c r="P19">
        <v>0</v>
      </c>
      <c r="Q19">
        <v>1440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97</v>
      </c>
      <c r="AH19" s="21" t="s">
        <v>3427</v>
      </c>
      <c r="AI19" s="21">
        <v>107.92500000000001</v>
      </c>
      <c r="AJ19" s="21">
        <v>100</v>
      </c>
      <c r="AK19" s="21" t="s">
        <v>2055</v>
      </c>
      <c r="AL19" t="s">
        <v>75</v>
      </c>
      <c r="AM19" t="s">
        <v>2027</v>
      </c>
    </row>
    <row r="20" spans="1:39" ht="15" hidden="1" thickTop="1" x14ac:dyDescent="0.35">
      <c r="A20" t="s">
        <v>2122</v>
      </c>
      <c r="B20" t="s">
        <v>2127</v>
      </c>
      <c r="C20" t="s">
        <v>71</v>
      </c>
      <c r="D20" t="s">
        <v>2128</v>
      </c>
      <c r="E20" t="s">
        <v>72</v>
      </c>
      <c r="F20">
        <v>1</v>
      </c>
      <c r="G20" t="s">
        <v>2050</v>
      </c>
      <c r="H20" t="s">
        <v>2051</v>
      </c>
      <c r="I20" t="s">
        <v>53</v>
      </c>
      <c r="J20" t="s">
        <v>73</v>
      </c>
      <c r="K20" t="s">
        <v>68</v>
      </c>
      <c r="L20" t="s">
        <v>2052</v>
      </c>
      <c r="M20" t="s">
        <v>2053</v>
      </c>
      <c r="N20">
        <v>0</v>
      </c>
      <c r="O20">
        <v>0</v>
      </c>
      <c r="P20">
        <v>0</v>
      </c>
      <c r="Q20">
        <v>1440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98</v>
      </c>
      <c r="AH20" s="21" t="s">
        <v>3427</v>
      </c>
      <c r="AI20" s="21">
        <v>107.92500000000001</v>
      </c>
      <c r="AJ20" s="21">
        <v>100</v>
      </c>
      <c r="AK20" s="21" t="s">
        <v>2054</v>
      </c>
      <c r="AL20" t="s">
        <v>75</v>
      </c>
      <c r="AM20" t="s">
        <v>2028</v>
      </c>
    </row>
    <row r="21" spans="1:39" ht="15" hidden="1" thickTop="1" x14ac:dyDescent="0.35">
      <c r="A21" t="s">
        <v>2129</v>
      </c>
      <c r="B21" t="s">
        <v>2132</v>
      </c>
      <c r="C21" t="s">
        <v>78</v>
      </c>
      <c r="D21" t="s">
        <v>2133</v>
      </c>
      <c r="E21" t="s">
        <v>559</v>
      </c>
      <c r="F21">
        <v>1</v>
      </c>
      <c r="G21" t="s">
        <v>2050</v>
      </c>
      <c r="H21" t="s">
        <v>2051</v>
      </c>
      <c r="I21" t="s">
        <v>53</v>
      </c>
      <c r="J21" t="s">
        <v>67</v>
      </c>
      <c r="K21" t="s">
        <v>68</v>
      </c>
      <c r="L21" t="s">
        <v>2052</v>
      </c>
      <c r="M21" t="s">
        <v>2053</v>
      </c>
      <c r="N21">
        <v>0</v>
      </c>
      <c r="O21">
        <v>0</v>
      </c>
      <c r="P21">
        <v>0</v>
      </c>
      <c r="Q21">
        <v>1440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99</v>
      </c>
      <c r="AH21" s="21" t="s">
        <v>3427</v>
      </c>
      <c r="AI21" s="21">
        <v>107.92500000000001</v>
      </c>
      <c r="AJ21" s="21">
        <v>100</v>
      </c>
      <c r="AK21" s="21" t="s">
        <v>2054</v>
      </c>
      <c r="AL21" t="s">
        <v>70</v>
      </c>
      <c r="AM21" t="s">
        <v>2027</v>
      </c>
    </row>
    <row r="22" spans="1:39" ht="15" hidden="1" thickTop="1" x14ac:dyDescent="0.35">
      <c r="A22" t="s">
        <v>2130</v>
      </c>
      <c r="B22" t="s">
        <v>2134</v>
      </c>
      <c r="C22" t="s">
        <v>100</v>
      </c>
      <c r="D22" t="s">
        <v>2135</v>
      </c>
      <c r="E22" t="s">
        <v>559</v>
      </c>
      <c r="F22">
        <v>1</v>
      </c>
      <c r="G22" t="s">
        <v>2050</v>
      </c>
      <c r="H22" t="s">
        <v>2051</v>
      </c>
      <c r="I22" t="s">
        <v>53</v>
      </c>
      <c r="J22" t="s">
        <v>67</v>
      </c>
      <c r="K22" t="s">
        <v>68</v>
      </c>
      <c r="L22" t="s">
        <v>2052</v>
      </c>
      <c r="M22" t="s">
        <v>2053</v>
      </c>
      <c r="N22">
        <v>0</v>
      </c>
      <c r="O22">
        <v>0</v>
      </c>
      <c r="P22">
        <v>0</v>
      </c>
      <c r="Q22">
        <v>1440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101</v>
      </c>
      <c r="AH22" s="21" t="s">
        <v>3424</v>
      </c>
      <c r="AI22" s="21">
        <v>107.92500000000001</v>
      </c>
      <c r="AJ22" s="21">
        <v>100</v>
      </c>
      <c r="AK22" s="21" t="s">
        <v>2054</v>
      </c>
      <c r="AL22" t="s">
        <v>70</v>
      </c>
      <c r="AM22" t="s">
        <v>2028</v>
      </c>
    </row>
    <row r="23" spans="1:39" ht="15" hidden="1" thickTop="1" x14ac:dyDescent="0.35">
      <c r="A23" t="s">
        <v>2131</v>
      </c>
      <c r="B23" t="s">
        <v>2136</v>
      </c>
      <c r="C23" t="s">
        <v>102</v>
      </c>
      <c r="D23" t="s">
        <v>2137</v>
      </c>
      <c r="E23" t="s">
        <v>559</v>
      </c>
      <c r="F23">
        <v>1</v>
      </c>
      <c r="G23" t="s">
        <v>2050</v>
      </c>
      <c r="H23" t="s">
        <v>2051</v>
      </c>
      <c r="I23" t="s">
        <v>53</v>
      </c>
      <c r="J23" t="s">
        <v>67</v>
      </c>
      <c r="K23" t="s">
        <v>68</v>
      </c>
      <c r="L23" t="s">
        <v>2052</v>
      </c>
      <c r="M23" t="s">
        <v>2053</v>
      </c>
      <c r="N23">
        <v>0</v>
      </c>
      <c r="O23">
        <v>0</v>
      </c>
      <c r="P23">
        <v>0</v>
      </c>
      <c r="Q23">
        <v>1440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103</v>
      </c>
      <c r="AH23" s="21" t="s">
        <v>3425</v>
      </c>
      <c r="AI23" s="21">
        <v>107.92500000000001</v>
      </c>
      <c r="AJ23" s="21">
        <v>100</v>
      </c>
      <c r="AK23" s="21" t="s">
        <v>2054</v>
      </c>
      <c r="AL23" t="s">
        <v>70</v>
      </c>
      <c r="AM23" t="s">
        <v>2027</v>
      </c>
    </row>
    <row r="24" spans="1:39" ht="15" hidden="1" thickTop="1" x14ac:dyDescent="0.35">
      <c r="A24" t="s">
        <v>2138</v>
      </c>
      <c r="B24" t="s">
        <v>2140</v>
      </c>
      <c r="C24" t="s">
        <v>66</v>
      </c>
      <c r="D24" t="s">
        <v>2141</v>
      </c>
      <c r="E24" t="s">
        <v>559</v>
      </c>
      <c r="F24">
        <v>2</v>
      </c>
      <c r="G24" t="s">
        <v>2050</v>
      </c>
      <c r="H24" t="s">
        <v>2051</v>
      </c>
      <c r="I24" t="s">
        <v>53</v>
      </c>
      <c r="J24" t="s">
        <v>67</v>
      </c>
      <c r="K24" t="s">
        <v>68</v>
      </c>
      <c r="L24" t="s">
        <v>2052</v>
      </c>
      <c r="M24" t="s">
        <v>2053</v>
      </c>
      <c r="N24">
        <v>0</v>
      </c>
      <c r="O24">
        <v>0</v>
      </c>
      <c r="P24">
        <v>0</v>
      </c>
      <c r="Q24">
        <v>1440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104</v>
      </c>
      <c r="AH24" s="21" t="s">
        <v>3428</v>
      </c>
      <c r="AI24" s="21">
        <v>107.92500000000001</v>
      </c>
      <c r="AJ24" s="21">
        <v>100</v>
      </c>
      <c r="AK24" s="21" t="s">
        <v>2054</v>
      </c>
      <c r="AL24" t="s">
        <v>70</v>
      </c>
      <c r="AM24" t="s">
        <v>2028</v>
      </c>
    </row>
    <row r="25" spans="1:39" ht="15" hidden="1" thickTop="1" x14ac:dyDescent="0.35">
      <c r="A25" t="s">
        <v>2060</v>
      </c>
      <c r="B25" t="s">
        <v>2147</v>
      </c>
      <c r="C25" t="s">
        <v>76</v>
      </c>
      <c r="D25" t="s">
        <v>2148</v>
      </c>
      <c r="E25" t="s">
        <v>559</v>
      </c>
      <c r="F25">
        <v>1</v>
      </c>
      <c r="G25" t="s">
        <v>2050</v>
      </c>
      <c r="H25" t="s">
        <v>2051</v>
      </c>
      <c r="I25" t="s">
        <v>53</v>
      </c>
      <c r="J25" t="s">
        <v>67</v>
      </c>
      <c r="K25" t="s">
        <v>68</v>
      </c>
      <c r="L25" t="s">
        <v>2052</v>
      </c>
      <c r="M25" t="s">
        <v>2064</v>
      </c>
      <c r="N25">
        <v>0</v>
      </c>
      <c r="O25">
        <v>0</v>
      </c>
      <c r="P25">
        <v>0</v>
      </c>
      <c r="Q25">
        <v>900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105</v>
      </c>
      <c r="AH25" s="21" t="s">
        <v>3425</v>
      </c>
      <c r="AI25" s="21">
        <v>67.5</v>
      </c>
      <c r="AJ25" s="21">
        <v>100</v>
      </c>
      <c r="AK25" s="21" t="s">
        <v>2054</v>
      </c>
      <c r="AL25" t="s">
        <v>70</v>
      </c>
      <c r="AM25" t="s">
        <v>2029</v>
      </c>
    </row>
    <row r="26" spans="1:39" ht="15" hidden="1" thickTop="1" x14ac:dyDescent="0.35">
      <c r="A26" t="s">
        <v>2142</v>
      </c>
      <c r="B26" t="s">
        <v>2149</v>
      </c>
      <c r="C26" t="s">
        <v>76</v>
      </c>
      <c r="D26" t="s">
        <v>2150</v>
      </c>
      <c r="E26" t="s">
        <v>559</v>
      </c>
      <c r="F26">
        <v>1</v>
      </c>
      <c r="G26" t="s">
        <v>2050</v>
      </c>
      <c r="H26" t="s">
        <v>2051</v>
      </c>
      <c r="I26" t="s">
        <v>53</v>
      </c>
      <c r="J26" t="s">
        <v>67</v>
      </c>
      <c r="K26" t="s">
        <v>68</v>
      </c>
      <c r="L26" t="s">
        <v>2052</v>
      </c>
      <c r="M26" t="s">
        <v>2064</v>
      </c>
      <c r="N26">
        <v>0</v>
      </c>
      <c r="O26">
        <v>0</v>
      </c>
      <c r="P26">
        <v>0</v>
      </c>
      <c r="Q26">
        <v>900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106</v>
      </c>
      <c r="AH26" s="21" t="s">
        <v>3424</v>
      </c>
      <c r="AI26" s="21">
        <v>67.5</v>
      </c>
      <c r="AJ26" s="21">
        <v>100</v>
      </c>
      <c r="AK26" s="21" t="s">
        <v>2054</v>
      </c>
      <c r="AL26" t="s">
        <v>70</v>
      </c>
      <c r="AM26" t="s">
        <v>2028</v>
      </c>
    </row>
    <row r="27" spans="1:39" ht="15" hidden="1" thickTop="1" x14ac:dyDescent="0.35">
      <c r="A27" t="s">
        <v>2143</v>
      </c>
      <c r="B27" t="s">
        <v>2151</v>
      </c>
      <c r="C27" t="s">
        <v>86</v>
      </c>
      <c r="D27" t="s">
        <v>2152</v>
      </c>
      <c r="E27" t="s">
        <v>72</v>
      </c>
      <c r="F27">
        <v>1</v>
      </c>
      <c r="G27" t="s">
        <v>2050</v>
      </c>
      <c r="H27" t="s">
        <v>2051</v>
      </c>
      <c r="I27" t="s">
        <v>53</v>
      </c>
      <c r="J27" t="s">
        <v>73</v>
      </c>
      <c r="K27" t="s">
        <v>68</v>
      </c>
      <c r="L27" t="s">
        <v>2052</v>
      </c>
      <c r="M27" t="s">
        <v>2064</v>
      </c>
      <c r="N27">
        <v>0</v>
      </c>
      <c r="O27">
        <v>0</v>
      </c>
      <c r="P27">
        <v>0</v>
      </c>
      <c r="Q27">
        <v>900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107</v>
      </c>
      <c r="AH27" s="21" t="s">
        <v>3424</v>
      </c>
      <c r="AI27" s="21">
        <v>67.5</v>
      </c>
      <c r="AJ27" s="21">
        <v>100</v>
      </c>
      <c r="AK27" s="21" t="s">
        <v>2054</v>
      </c>
      <c r="AL27" t="s">
        <v>75</v>
      </c>
      <c r="AM27" t="s">
        <v>2029</v>
      </c>
    </row>
    <row r="28" spans="1:39" ht="15" hidden="1" thickTop="1" x14ac:dyDescent="0.35">
      <c r="A28" t="s">
        <v>2145</v>
      </c>
      <c r="B28" t="s">
        <v>2156</v>
      </c>
      <c r="C28" t="s">
        <v>102</v>
      </c>
      <c r="D28" t="s">
        <v>2157</v>
      </c>
      <c r="E28" t="s">
        <v>559</v>
      </c>
      <c r="F28">
        <v>1</v>
      </c>
      <c r="G28" t="s">
        <v>2050</v>
      </c>
      <c r="H28" t="s">
        <v>2051</v>
      </c>
      <c r="I28" t="s">
        <v>53</v>
      </c>
      <c r="J28" t="s">
        <v>67</v>
      </c>
      <c r="K28" t="s">
        <v>68</v>
      </c>
      <c r="L28" t="s">
        <v>2052</v>
      </c>
      <c r="M28" t="s">
        <v>2053</v>
      </c>
      <c r="N28">
        <v>0</v>
      </c>
      <c r="O28">
        <v>0</v>
      </c>
      <c r="P28">
        <v>0</v>
      </c>
      <c r="Q28">
        <v>1440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108</v>
      </c>
      <c r="AH28" s="21" t="s">
        <v>3425</v>
      </c>
      <c r="AI28" s="21">
        <v>107.92500000000001</v>
      </c>
      <c r="AJ28" s="21">
        <v>100</v>
      </c>
      <c r="AK28" s="21" t="s">
        <v>2054</v>
      </c>
      <c r="AL28" t="s">
        <v>70</v>
      </c>
      <c r="AM28" t="s">
        <v>2027</v>
      </c>
    </row>
    <row r="29" spans="1:39" ht="15" hidden="1" thickTop="1" x14ac:dyDescent="0.35">
      <c r="A29" t="s">
        <v>2153</v>
      </c>
      <c r="B29" t="s">
        <v>2160</v>
      </c>
      <c r="C29" t="s">
        <v>102</v>
      </c>
      <c r="D29" t="s">
        <v>2161</v>
      </c>
      <c r="E29" t="s">
        <v>559</v>
      </c>
      <c r="F29">
        <v>1</v>
      </c>
      <c r="G29" t="s">
        <v>2050</v>
      </c>
      <c r="H29" t="s">
        <v>2051</v>
      </c>
      <c r="I29" t="s">
        <v>53</v>
      </c>
      <c r="J29" t="s">
        <v>67</v>
      </c>
      <c r="K29" t="s">
        <v>68</v>
      </c>
      <c r="L29" t="s">
        <v>2052</v>
      </c>
      <c r="M29" t="s">
        <v>2053</v>
      </c>
      <c r="N29">
        <v>0</v>
      </c>
      <c r="O29">
        <v>0</v>
      </c>
      <c r="P29">
        <v>0</v>
      </c>
      <c r="Q29">
        <v>1440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109</v>
      </c>
      <c r="AH29" s="21" t="s">
        <v>3429</v>
      </c>
      <c r="AI29" s="21">
        <v>107.92500000000001</v>
      </c>
      <c r="AJ29" s="21">
        <v>100</v>
      </c>
      <c r="AK29" s="21" t="s">
        <v>2055</v>
      </c>
      <c r="AL29" t="s">
        <v>70</v>
      </c>
      <c r="AM29" t="s">
        <v>2028</v>
      </c>
    </row>
    <row r="30" spans="1:39" ht="15" hidden="1" thickTop="1" x14ac:dyDescent="0.35">
      <c r="A30" t="s">
        <v>2154</v>
      </c>
      <c r="B30" t="s">
        <v>2162</v>
      </c>
      <c r="C30" t="s">
        <v>78</v>
      </c>
      <c r="D30" t="s">
        <v>2163</v>
      </c>
      <c r="E30" t="s">
        <v>559</v>
      </c>
      <c r="F30">
        <v>1</v>
      </c>
      <c r="G30" t="s">
        <v>2050</v>
      </c>
      <c r="H30" t="s">
        <v>2051</v>
      </c>
      <c r="I30" t="s">
        <v>53</v>
      </c>
      <c r="J30" t="s">
        <v>67</v>
      </c>
      <c r="K30" t="s">
        <v>68</v>
      </c>
      <c r="L30" t="s">
        <v>2052</v>
      </c>
      <c r="M30" t="s">
        <v>2053</v>
      </c>
      <c r="N30">
        <v>0</v>
      </c>
      <c r="O30">
        <v>0</v>
      </c>
      <c r="P30">
        <v>0</v>
      </c>
      <c r="Q30">
        <v>1440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110</v>
      </c>
      <c r="AH30" s="21" t="s">
        <v>3424</v>
      </c>
      <c r="AI30" s="21">
        <v>107.92500000000001</v>
      </c>
      <c r="AJ30" s="21">
        <v>100</v>
      </c>
      <c r="AK30" s="21" t="s">
        <v>2054</v>
      </c>
      <c r="AL30" t="s">
        <v>70</v>
      </c>
      <c r="AM30" t="s">
        <v>2029</v>
      </c>
    </row>
    <row r="31" spans="1:39" ht="15" hidden="1" thickTop="1" x14ac:dyDescent="0.35">
      <c r="A31" t="s">
        <v>2158</v>
      </c>
      <c r="B31" t="s">
        <v>2164</v>
      </c>
      <c r="C31" t="s">
        <v>111</v>
      </c>
      <c r="D31" t="s">
        <v>2165</v>
      </c>
      <c r="E31" t="s">
        <v>112</v>
      </c>
      <c r="F31">
        <v>1</v>
      </c>
      <c r="G31" t="s">
        <v>2050</v>
      </c>
      <c r="H31" t="s">
        <v>2051</v>
      </c>
      <c r="I31" t="s">
        <v>53</v>
      </c>
      <c r="J31" t="s">
        <v>113</v>
      </c>
      <c r="K31" t="s">
        <v>68</v>
      </c>
      <c r="L31" t="s">
        <v>2052</v>
      </c>
      <c r="M31" t="s">
        <v>2053</v>
      </c>
      <c r="N31">
        <v>0</v>
      </c>
      <c r="O31">
        <v>0</v>
      </c>
      <c r="P31">
        <v>0</v>
      </c>
      <c r="Q31">
        <v>1440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114</v>
      </c>
      <c r="AH31" s="21" t="s">
        <v>3424</v>
      </c>
      <c r="AI31" s="21">
        <v>107.92500000000001</v>
      </c>
      <c r="AJ31" s="21">
        <v>100</v>
      </c>
      <c r="AK31" s="21" t="s">
        <v>2054</v>
      </c>
      <c r="AL31" t="s">
        <v>115</v>
      </c>
      <c r="AM31" t="s">
        <v>2027</v>
      </c>
    </row>
    <row r="32" spans="1:39" ht="15" hidden="1" thickTop="1" x14ac:dyDescent="0.35">
      <c r="A32" t="s">
        <v>2166</v>
      </c>
      <c r="B32" t="s">
        <v>2171</v>
      </c>
      <c r="C32" t="s">
        <v>117</v>
      </c>
      <c r="D32" t="s">
        <v>2172</v>
      </c>
      <c r="E32" t="s">
        <v>559</v>
      </c>
      <c r="F32">
        <v>1</v>
      </c>
      <c r="G32" t="s">
        <v>2050</v>
      </c>
      <c r="H32" t="s">
        <v>2051</v>
      </c>
      <c r="I32" t="s">
        <v>53</v>
      </c>
      <c r="J32" t="s">
        <v>67</v>
      </c>
      <c r="K32" t="s">
        <v>68</v>
      </c>
      <c r="L32" t="s">
        <v>2052</v>
      </c>
      <c r="M32" t="s">
        <v>2066</v>
      </c>
      <c r="N32">
        <v>0</v>
      </c>
      <c r="O32">
        <v>0</v>
      </c>
      <c r="P32">
        <v>0</v>
      </c>
      <c r="Q32">
        <v>780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118</v>
      </c>
      <c r="AH32" s="21" t="s">
        <v>3425</v>
      </c>
      <c r="AI32" s="21">
        <v>58.5</v>
      </c>
      <c r="AJ32" s="21">
        <v>100</v>
      </c>
      <c r="AK32" s="21" t="s">
        <v>2054</v>
      </c>
      <c r="AL32" t="s">
        <v>70</v>
      </c>
      <c r="AM32" t="s">
        <v>2029</v>
      </c>
    </row>
    <row r="33" spans="1:39" ht="15" hidden="1" thickTop="1" x14ac:dyDescent="0.35">
      <c r="A33" t="s">
        <v>2168</v>
      </c>
      <c r="B33" t="s">
        <v>2173</v>
      </c>
      <c r="C33" t="s">
        <v>76</v>
      </c>
      <c r="D33" t="s">
        <v>2174</v>
      </c>
      <c r="E33" t="s">
        <v>119</v>
      </c>
      <c r="F33">
        <v>1</v>
      </c>
      <c r="G33" t="s">
        <v>2050</v>
      </c>
      <c r="H33" t="s">
        <v>2051</v>
      </c>
      <c r="I33" t="s">
        <v>53</v>
      </c>
      <c r="J33" t="s">
        <v>67</v>
      </c>
      <c r="K33" t="s">
        <v>68</v>
      </c>
      <c r="L33" t="s">
        <v>2052</v>
      </c>
      <c r="M33" t="s">
        <v>2053</v>
      </c>
      <c r="N33">
        <v>0</v>
      </c>
      <c r="O33">
        <v>0</v>
      </c>
      <c r="P33">
        <v>0</v>
      </c>
      <c r="Q33">
        <v>1440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120</v>
      </c>
      <c r="AH33" s="21" t="s">
        <v>3425</v>
      </c>
      <c r="AI33" s="21">
        <v>107.92500000000001</v>
      </c>
      <c r="AJ33" s="21">
        <v>100</v>
      </c>
      <c r="AK33" s="21" t="s">
        <v>2054</v>
      </c>
      <c r="AL33" t="s">
        <v>70</v>
      </c>
      <c r="AM33" t="s">
        <v>2028</v>
      </c>
    </row>
    <row r="34" spans="1:39" ht="15" hidden="1" thickTop="1" x14ac:dyDescent="0.35">
      <c r="A34" t="s">
        <v>2169</v>
      </c>
      <c r="B34" t="s">
        <v>2175</v>
      </c>
      <c r="C34" t="s">
        <v>76</v>
      </c>
      <c r="D34" t="s">
        <v>2176</v>
      </c>
      <c r="E34" t="s">
        <v>559</v>
      </c>
      <c r="F34">
        <v>2</v>
      </c>
      <c r="G34" t="s">
        <v>2050</v>
      </c>
      <c r="H34" t="s">
        <v>2051</v>
      </c>
      <c r="I34" t="s">
        <v>53</v>
      </c>
      <c r="J34" t="s">
        <v>67</v>
      </c>
      <c r="K34" t="s">
        <v>68</v>
      </c>
      <c r="L34" t="s">
        <v>2052</v>
      </c>
      <c r="M34" t="s">
        <v>2053</v>
      </c>
      <c r="N34">
        <v>0</v>
      </c>
      <c r="O34">
        <v>0</v>
      </c>
      <c r="P34">
        <v>0</v>
      </c>
      <c r="Q34">
        <v>1440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121</v>
      </c>
      <c r="AH34" s="21" t="s">
        <v>3425</v>
      </c>
      <c r="AI34" s="21">
        <v>107.92500000000001</v>
      </c>
      <c r="AJ34" s="21">
        <v>100</v>
      </c>
      <c r="AK34" s="21" t="s">
        <v>2055</v>
      </c>
      <c r="AL34" t="s">
        <v>70</v>
      </c>
      <c r="AM34" t="s">
        <v>2030</v>
      </c>
    </row>
    <row r="35" spans="1:39" ht="15" hidden="1" thickTop="1" x14ac:dyDescent="0.35">
      <c r="A35" t="s">
        <v>2177</v>
      </c>
      <c r="B35" t="s">
        <v>2183</v>
      </c>
      <c r="C35" t="s">
        <v>76</v>
      </c>
      <c r="D35" t="s">
        <v>2184</v>
      </c>
      <c r="E35" t="s">
        <v>559</v>
      </c>
      <c r="F35">
        <v>2</v>
      </c>
      <c r="G35" t="s">
        <v>2050</v>
      </c>
      <c r="H35" t="s">
        <v>2051</v>
      </c>
      <c r="I35" t="s">
        <v>53</v>
      </c>
      <c r="J35" t="s">
        <v>67</v>
      </c>
      <c r="K35" t="s">
        <v>68</v>
      </c>
      <c r="L35" t="s">
        <v>2052</v>
      </c>
      <c r="M35" t="s">
        <v>2064</v>
      </c>
      <c r="N35">
        <v>0</v>
      </c>
      <c r="O35">
        <v>0</v>
      </c>
      <c r="P35">
        <v>0</v>
      </c>
      <c r="Q35">
        <v>900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122</v>
      </c>
      <c r="AH35" s="21" t="s">
        <v>3424</v>
      </c>
      <c r="AI35" s="21">
        <v>67.5</v>
      </c>
      <c r="AJ35" s="21">
        <v>100</v>
      </c>
      <c r="AK35" s="21" t="s">
        <v>2055</v>
      </c>
      <c r="AL35" t="s">
        <v>70</v>
      </c>
      <c r="AM35" t="s">
        <v>2029</v>
      </c>
    </row>
    <row r="36" spans="1:39" ht="15" hidden="1" thickTop="1" x14ac:dyDescent="0.35">
      <c r="A36" t="s">
        <v>2178</v>
      </c>
      <c r="B36" t="s">
        <v>2185</v>
      </c>
      <c r="C36" t="s">
        <v>81</v>
      </c>
      <c r="D36" t="s">
        <v>2186</v>
      </c>
      <c r="E36" t="s">
        <v>559</v>
      </c>
      <c r="F36">
        <v>2</v>
      </c>
      <c r="G36" t="s">
        <v>2050</v>
      </c>
      <c r="H36" t="s">
        <v>2051</v>
      </c>
      <c r="I36" t="s">
        <v>53</v>
      </c>
      <c r="J36" t="s">
        <v>82</v>
      </c>
      <c r="K36" t="s">
        <v>68</v>
      </c>
      <c r="L36" t="s">
        <v>2052</v>
      </c>
      <c r="M36" t="s">
        <v>2053</v>
      </c>
      <c r="N36">
        <v>0</v>
      </c>
      <c r="O36">
        <v>0</v>
      </c>
      <c r="P36">
        <v>0</v>
      </c>
      <c r="Q36">
        <v>1440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123</v>
      </c>
      <c r="AH36" s="21" t="s">
        <v>3425</v>
      </c>
      <c r="AI36" s="21">
        <v>107.92500000000001</v>
      </c>
      <c r="AJ36" s="21">
        <v>100</v>
      </c>
      <c r="AK36" s="21" t="s">
        <v>2054</v>
      </c>
      <c r="AL36" t="s">
        <v>70</v>
      </c>
      <c r="AM36" t="s">
        <v>2027</v>
      </c>
    </row>
    <row r="37" spans="1:39" ht="15" hidden="1" thickTop="1" x14ac:dyDescent="0.35">
      <c r="A37" t="s">
        <v>2179</v>
      </c>
      <c r="B37" t="s">
        <v>2187</v>
      </c>
      <c r="C37" t="s">
        <v>100</v>
      </c>
      <c r="D37" t="s">
        <v>2188</v>
      </c>
      <c r="E37" t="s">
        <v>559</v>
      </c>
      <c r="F37">
        <v>1</v>
      </c>
      <c r="G37" t="s">
        <v>2050</v>
      </c>
      <c r="H37" t="s">
        <v>2051</v>
      </c>
      <c r="I37" t="s">
        <v>53</v>
      </c>
      <c r="J37" t="s">
        <v>67</v>
      </c>
      <c r="K37" t="s">
        <v>68</v>
      </c>
      <c r="L37" t="s">
        <v>2052</v>
      </c>
      <c r="M37" t="s">
        <v>2053</v>
      </c>
      <c r="N37">
        <v>0</v>
      </c>
      <c r="O37">
        <v>0</v>
      </c>
      <c r="P37">
        <v>0</v>
      </c>
      <c r="Q37">
        <v>1440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124</v>
      </c>
      <c r="AH37" s="21" t="s">
        <v>3424</v>
      </c>
      <c r="AI37" s="21">
        <v>107.92500000000001</v>
      </c>
      <c r="AJ37" s="21">
        <v>100</v>
      </c>
      <c r="AK37" s="21" t="s">
        <v>2054</v>
      </c>
      <c r="AL37" t="s">
        <v>70</v>
      </c>
      <c r="AM37" t="s">
        <v>2031</v>
      </c>
    </row>
    <row r="38" spans="1:39" ht="15" hidden="1" thickTop="1" x14ac:dyDescent="0.35">
      <c r="A38" t="s">
        <v>2181</v>
      </c>
      <c r="B38" t="s">
        <v>2189</v>
      </c>
      <c r="C38" t="s">
        <v>76</v>
      </c>
      <c r="D38" t="s">
        <v>2190</v>
      </c>
      <c r="E38" t="s">
        <v>559</v>
      </c>
      <c r="F38">
        <v>2</v>
      </c>
      <c r="G38" t="s">
        <v>2050</v>
      </c>
      <c r="H38" t="s">
        <v>2051</v>
      </c>
      <c r="I38" t="s">
        <v>53</v>
      </c>
      <c r="J38" t="s">
        <v>67</v>
      </c>
      <c r="K38" t="s">
        <v>68</v>
      </c>
      <c r="L38" t="s">
        <v>2052</v>
      </c>
      <c r="M38" t="s">
        <v>2084</v>
      </c>
      <c r="N38">
        <v>0</v>
      </c>
      <c r="O38">
        <v>0</v>
      </c>
      <c r="P38">
        <v>0</v>
      </c>
      <c r="Q38">
        <v>840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125</v>
      </c>
      <c r="AH38" s="21" t="s">
        <v>3424</v>
      </c>
      <c r="AI38" s="21">
        <v>62.999999999999986</v>
      </c>
      <c r="AJ38" s="21">
        <v>100</v>
      </c>
      <c r="AK38" s="21" t="s">
        <v>2055</v>
      </c>
      <c r="AL38" t="s">
        <v>70</v>
      </c>
      <c r="AM38" t="s">
        <v>2027</v>
      </c>
    </row>
    <row r="39" spans="1:39" ht="15" hidden="1" thickTop="1" x14ac:dyDescent="0.35">
      <c r="A39" t="s">
        <v>2191</v>
      </c>
      <c r="B39" t="s">
        <v>2195</v>
      </c>
      <c r="C39" t="s">
        <v>565</v>
      </c>
      <c r="D39" t="s">
        <v>2196</v>
      </c>
      <c r="E39" t="s">
        <v>559</v>
      </c>
      <c r="F39">
        <v>2</v>
      </c>
      <c r="G39" t="s">
        <v>2050</v>
      </c>
      <c r="H39" t="s">
        <v>2051</v>
      </c>
      <c r="I39" t="s">
        <v>53</v>
      </c>
      <c r="J39" t="s">
        <v>427</v>
      </c>
      <c r="K39" t="s">
        <v>68</v>
      </c>
      <c r="L39" t="s">
        <v>2052</v>
      </c>
      <c r="M39" t="s">
        <v>2053</v>
      </c>
      <c r="N39">
        <v>0</v>
      </c>
      <c r="O39">
        <v>0</v>
      </c>
      <c r="P39">
        <v>0</v>
      </c>
      <c r="Q39">
        <v>1440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127</v>
      </c>
      <c r="AH39" s="21" t="s">
        <v>3425</v>
      </c>
      <c r="AI39" s="21">
        <v>107.92500000000001</v>
      </c>
      <c r="AJ39" s="21">
        <v>100</v>
      </c>
      <c r="AK39" s="21" t="s">
        <v>2055</v>
      </c>
      <c r="AL39" t="s">
        <v>70</v>
      </c>
      <c r="AM39" t="s">
        <v>2029</v>
      </c>
    </row>
    <row r="40" spans="1:39" ht="15" hidden="1" thickTop="1" x14ac:dyDescent="0.35">
      <c r="A40" t="s">
        <v>2193</v>
      </c>
      <c r="B40" t="s">
        <v>2197</v>
      </c>
      <c r="C40" t="s">
        <v>128</v>
      </c>
      <c r="D40" t="s">
        <v>2198</v>
      </c>
      <c r="E40" t="s">
        <v>112</v>
      </c>
      <c r="F40">
        <v>1</v>
      </c>
      <c r="G40" t="s">
        <v>2050</v>
      </c>
      <c r="H40" t="s">
        <v>2051</v>
      </c>
      <c r="I40" t="s">
        <v>53</v>
      </c>
      <c r="J40" t="s">
        <v>113</v>
      </c>
      <c r="K40" t="s">
        <v>68</v>
      </c>
      <c r="L40" t="s">
        <v>2052</v>
      </c>
      <c r="M40" t="s">
        <v>2053</v>
      </c>
      <c r="N40">
        <v>0</v>
      </c>
      <c r="O40">
        <v>0</v>
      </c>
      <c r="P40">
        <v>0</v>
      </c>
      <c r="Q40">
        <v>1440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129</v>
      </c>
      <c r="AH40" s="21" t="s">
        <v>3425</v>
      </c>
      <c r="AI40" s="21">
        <v>107.92500000000001</v>
      </c>
      <c r="AJ40" s="21">
        <v>100</v>
      </c>
      <c r="AK40" s="21" t="s">
        <v>2055</v>
      </c>
      <c r="AL40" t="s">
        <v>115</v>
      </c>
      <c r="AM40" t="s">
        <v>2027</v>
      </c>
    </row>
    <row r="41" spans="1:39" ht="15" hidden="1" thickTop="1" x14ac:dyDescent="0.35">
      <c r="A41" t="s">
        <v>2061</v>
      </c>
      <c r="B41" t="s">
        <v>2200</v>
      </c>
      <c r="C41" t="s">
        <v>117</v>
      </c>
      <c r="D41" t="s">
        <v>2201</v>
      </c>
      <c r="E41" t="s">
        <v>559</v>
      </c>
      <c r="F41">
        <v>1</v>
      </c>
      <c r="G41" t="s">
        <v>2050</v>
      </c>
      <c r="H41" t="s">
        <v>2051</v>
      </c>
      <c r="I41" t="s">
        <v>53</v>
      </c>
      <c r="J41" t="s">
        <v>67</v>
      </c>
      <c r="K41" t="s">
        <v>68</v>
      </c>
      <c r="L41" t="s">
        <v>2052</v>
      </c>
      <c r="M41" t="s">
        <v>2053</v>
      </c>
      <c r="N41">
        <v>0</v>
      </c>
      <c r="O41">
        <v>0</v>
      </c>
      <c r="P41">
        <v>0</v>
      </c>
      <c r="Q41">
        <v>1440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130</v>
      </c>
      <c r="AH41" s="21" t="s">
        <v>3424</v>
      </c>
      <c r="AI41" s="21">
        <v>107.92500000000001</v>
      </c>
      <c r="AJ41" s="21">
        <v>100</v>
      </c>
      <c r="AK41" s="21" t="s">
        <v>2054</v>
      </c>
      <c r="AL41" t="s">
        <v>70</v>
      </c>
      <c r="AM41" t="s">
        <v>2029</v>
      </c>
    </row>
    <row r="42" spans="1:39" ht="15" hidden="1" thickTop="1" x14ac:dyDescent="0.35">
      <c r="A42" t="s">
        <v>2202</v>
      </c>
      <c r="B42" t="s">
        <v>2207</v>
      </c>
      <c r="C42" t="s">
        <v>86</v>
      </c>
      <c r="D42" t="s">
        <v>2208</v>
      </c>
      <c r="E42" t="s">
        <v>72</v>
      </c>
      <c r="F42">
        <v>1</v>
      </c>
      <c r="G42" t="s">
        <v>2050</v>
      </c>
      <c r="H42" t="s">
        <v>2051</v>
      </c>
      <c r="I42" t="s">
        <v>53</v>
      </c>
      <c r="J42" t="s">
        <v>73</v>
      </c>
      <c r="K42" t="s">
        <v>68</v>
      </c>
      <c r="L42" t="s">
        <v>2052</v>
      </c>
      <c r="M42" t="s">
        <v>2063</v>
      </c>
      <c r="N42">
        <v>0</v>
      </c>
      <c r="O42">
        <v>0</v>
      </c>
      <c r="P42">
        <v>0</v>
      </c>
      <c r="Q42">
        <v>1020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131</v>
      </c>
      <c r="AH42" s="21" t="s">
        <v>3430</v>
      </c>
      <c r="AI42" s="21">
        <v>76.500000000000014</v>
      </c>
      <c r="AJ42" s="21">
        <v>100</v>
      </c>
      <c r="AK42" s="21" t="s">
        <v>2054</v>
      </c>
      <c r="AL42" t="s">
        <v>75</v>
      </c>
      <c r="AM42" t="s">
        <v>2027</v>
      </c>
    </row>
    <row r="43" spans="1:39" ht="15" hidden="1" thickTop="1" x14ac:dyDescent="0.35">
      <c r="A43" t="s">
        <v>2062</v>
      </c>
      <c r="B43" t="s">
        <v>2213</v>
      </c>
      <c r="C43" t="s">
        <v>820</v>
      </c>
      <c r="D43" t="s">
        <v>2214</v>
      </c>
      <c r="E43" t="s">
        <v>72</v>
      </c>
      <c r="F43">
        <v>1</v>
      </c>
      <c r="G43" t="s">
        <v>2050</v>
      </c>
      <c r="H43" t="s">
        <v>2051</v>
      </c>
      <c r="I43" t="s">
        <v>53</v>
      </c>
      <c r="J43" t="s">
        <v>424</v>
      </c>
      <c r="K43" t="s">
        <v>68</v>
      </c>
      <c r="L43" t="s">
        <v>2052</v>
      </c>
      <c r="M43" t="s">
        <v>2053</v>
      </c>
      <c r="N43">
        <v>0</v>
      </c>
      <c r="O43">
        <v>0</v>
      </c>
      <c r="P43">
        <v>0</v>
      </c>
      <c r="Q43">
        <v>1440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133</v>
      </c>
      <c r="AH43" s="21" t="s">
        <v>3425</v>
      </c>
      <c r="AI43" s="21">
        <v>107.92500000000001</v>
      </c>
      <c r="AJ43" s="21">
        <v>100</v>
      </c>
      <c r="AK43" s="21" t="s">
        <v>2054</v>
      </c>
      <c r="AL43" t="s">
        <v>75</v>
      </c>
      <c r="AM43" t="s">
        <v>2027</v>
      </c>
    </row>
    <row r="44" spans="1:39" ht="15" hidden="1" thickTop="1" x14ac:dyDescent="0.35">
      <c r="A44" t="s">
        <v>2205</v>
      </c>
      <c r="B44" t="s">
        <v>2215</v>
      </c>
      <c r="C44" t="s">
        <v>3376</v>
      </c>
      <c r="D44" t="s">
        <v>2216</v>
      </c>
      <c r="E44" t="s">
        <v>559</v>
      </c>
      <c r="F44">
        <v>1</v>
      </c>
      <c r="G44" t="s">
        <v>2050</v>
      </c>
      <c r="H44" t="s">
        <v>2051</v>
      </c>
      <c r="I44" t="s">
        <v>53</v>
      </c>
      <c r="J44" t="s">
        <v>67</v>
      </c>
      <c r="K44" t="s">
        <v>68</v>
      </c>
      <c r="L44" t="s">
        <v>2052</v>
      </c>
      <c r="M44" t="s">
        <v>2053</v>
      </c>
      <c r="N44">
        <v>0</v>
      </c>
      <c r="O44">
        <v>0</v>
      </c>
      <c r="P44">
        <v>0</v>
      </c>
      <c r="Q44">
        <v>1440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134</v>
      </c>
      <c r="AH44" s="21" t="s">
        <v>3425</v>
      </c>
      <c r="AI44" s="21">
        <v>107.92500000000001</v>
      </c>
      <c r="AJ44" s="21">
        <v>100</v>
      </c>
      <c r="AK44" s="21" t="s">
        <v>2054</v>
      </c>
      <c r="AL44" t="s">
        <v>70</v>
      </c>
      <c r="AM44" t="s">
        <v>2027</v>
      </c>
    </row>
    <row r="45" spans="1:39" ht="15" hidden="1" thickTop="1" x14ac:dyDescent="0.35">
      <c r="A45" t="s">
        <v>2209</v>
      </c>
      <c r="B45" t="s">
        <v>2220</v>
      </c>
      <c r="C45" t="s">
        <v>135</v>
      </c>
      <c r="D45" t="s">
        <v>2221</v>
      </c>
      <c r="E45" t="s">
        <v>136</v>
      </c>
      <c r="F45">
        <v>1</v>
      </c>
      <c r="G45" t="s">
        <v>2050</v>
      </c>
      <c r="H45" t="s">
        <v>2051</v>
      </c>
      <c r="I45" t="s">
        <v>53</v>
      </c>
      <c r="J45" t="s">
        <v>137</v>
      </c>
      <c r="K45" t="s">
        <v>68</v>
      </c>
      <c r="L45" t="s">
        <v>2052</v>
      </c>
      <c r="M45" t="s">
        <v>2053</v>
      </c>
      <c r="N45">
        <v>0</v>
      </c>
      <c r="O45">
        <v>0</v>
      </c>
      <c r="P45">
        <v>0</v>
      </c>
      <c r="Q45">
        <v>1440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138</v>
      </c>
      <c r="AH45" s="21" t="s">
        <v>3425</v>
      </c>
      <c r="AI45" s="21">
        <v>107.92500000000001</v>
      </c>
      <c r="AJ45" s="21">
        <v>100</v>
      </c>
      <c r="AK45" s="21" t="s">
        <v>2054</v>
      </c>
      <c r="AL45" t="s">
        <v>115</v>
      </c>
      <c r="AM45" t="s">
        <v>2027</v>
      </c>
    </row>
    <row r="46" spans="1:39" ht="15" hidden="1" thickTop="1" x14ac:dyDescent="0.35">
      <c r="A46" t="s">
        <v>2211</v>
      </c>
      <c r="B46" t="s">
        <v>2222</v>
      </c>
      <c r="C46" t="s">
        <v>3376</v>
      </c>
      <c r="D46" t="s">
        <v>2223</v>
      </c>
      <c r="E46" t="s">
        <v>559</v>
      </c>
      <c r="F46">
        <v>1</v>
      </c>
      <c r="G46" t="s">
        <v>2050</v>
      </c>
      <c r="H46" t="s">
        <v>2051</v>
      </c>
      <c r="I46" t="s">
        <v>53</v>
      </c>
      <c r="J46" t="s">
        <v>67</v>
      </c>
      <c r="K46" t="s">
        <v>68</v>
      </c>
      <c r="L46" t="s">
        <v>2052</v>
      </c>
      <c r="M46" t="s">
        <v>2053</v>
      </c>
      <c r="N46">
        <v>0</v>
      </c>
      <c r="O46">
        <v>0</v>
      </c>
      <c r="P46">
        <v>0</v>
      </c>
      <c r="Q46">
        <v>1440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139</v>
      </c>
      <c r="AH46" s="21" t="s">
        <v>3425</v>
      </c>
      <c r="AI46" s="21">
        <v>107.92500000000001</v>
      </c>
      <c r="AJ46" s="21">
        <v>100</v>
      </c>
      <c r="AK46" s="21" t="s">
        <v>2054</v>
      </c>
      <c r="AL46" t="s">
        <v>70</v>
      </c>
      <c r="AM46" t="s">
        <v>2027</v>
      </c>
    </row>
    <row r="47" spans="1:39" ht="15" hidden="1" thickTop="1" x14ac:dyDescent="0.35">
      <c r="A47" t="s">
        <v>2217</v>
      </c>
      <c r="B47" t="s">
        <v>2230</v>
      </c>
      <c r="C47" t="s">
        <v>78</v>
      </c>
      <c r="D47" t="s">
        <v>2231</v>
      </c>
      <c r="E47" t="s">
        <v>559</v>
      </c>
      <c r="F47">
        <v>1</v>
      </c>
      <c r="G47" t="s">
        <v>2050</v>
      </c>
      <c r="H47" t="s">
        <v>2051</v>
      </c>
      <c r="I47" t="s">
        <v>53</v>
      </c>
      <c r="J47" t="s">
        <v>67</v>
      </c>
      <c r="K47" t="s">
        <v>68</v>
      </c>
      <c r="L47" t="s">
        <v>2052</v>
      </c>
      <c r="M47" t="s">
        <v>2053</v>
      </c>
      <c r="N47">
        <v>0</v>
      </c>
      <c r="O47">
        <v>0</v>
      </c>
      <c r="P47">
        <v>0</v>
      </c>
      <c r="Q47">
        <v>1440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140</v>
      </c>
      <c r="AH47" s="21" t="s">
        <v>3425</v>
      </c>
      <c r="AI47" s="21">
        <v>107.92500000000001</v>
      </c>
      <c r="AJ47" s="21">
        <v>100</v>
      </c>
      <c r="AK47" s="21" t="s">
        <v>2054</v>
      </c>
      <c r="AL47" t="s">
        <v>70</v>
      </c>
      <c r="AM47" t="s">
        <v>2029</v>
      </c>
    </row>
    <row r="48" spans="1:39" ht="15" hidden="1" thickTop="1" x14ac:dyDescent="0.35">
      <c r="A48" t="s">
        <v>2218</v>
      </c>
      <c r="B48" t="s">
        <v>2232</v>
      </c>
      <c r="C48" t="s">
        <v>92</v>
      </c>
      <c r="D48" t="s">
        <v>2233</v>
      </c>
      <c r="E48" t="s">
        <v>119</v>
      </c>
      <c r="F48">
        <v>1</v>
      </c>
      <c r="G48" t="s">
        <v>2050</v>
      </c>
      <c r="H48" t="s">
        <v>2051</v>
      </c>
      <c r="I48" t="s">
        <v>53</v>
      </c>
      <c r="J48" t="s">
        <v>67</v>
      </c>
      <c r="K48" t="s">
        <v>68</v>
      </c>
      <c r="L48" t="s">
        <v>2052</v>
      </c>
      <c r="M48" t="s">
        <v>2053</v>
      </c>
      <c r="N48">
        <v>0</v>
      </c>
      <c r="O48">
        <v>0</v>
      </c>
      <c r="P48">
        <v>0</v>
      </c>
      <c r="Q48">
        <v>1440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141</v>
      </c>
      <c r="AH48" s="21" t="s">
        <v>3427</v>
      </c>
      <c r="AI48" s="21">
        <v>107.92500000000001</v>
      </c>
      <c r="AJ48" s="21">
        <v>100</v>
      </c>
      <c r="AK48" s="21" t="s">
        <v>2054</v>
      </c>
      <c r="AL48" t="s">
        <v>70</v>
      </c>
      <c r="AM48" t="s">
        <v>2027</v>
      </c>
    </row>
    <row r="49" spans="1:39" ht="15" hidden="1" thickTop="1" x14ac:dyDescent="0.35">
      <c r="A49" t="s">
        <v>2224</v>
      </c>
      <c r="B49" t="s">
        <v>2238</v>
      </c>
      <c r="C49" t="s">
        <v>81</v>
      </c>
      <c r="D49" t="s">
        <v>2239</v>
      </c>
      <c r="E49" t="s">
        <v>559</v>
      </c>
      <c r="F49">
        <v>1</v>
      </c>
      <c r="G49" t="s">
        <v>2050</v>
      </c>
      <c r="H49" t="s">
        <v>2051</v>
      </c>
      <c r="I49" t="s">
        <v>53</v>
      </c>
      <c r="J49" t="s">
        <v>82</v>
      </c>
      <c r="K49" t="s">
        <v>68</v>
      </c>
      <c r="L49" t="s">
        <v>2052</v>
      </c>
      <c r="M49" t="s">
        <v>2053</v>
      </c>
      <c r="N49">
        <v>1</v>
      </c>
      <c r="O49">
        <v>20</v>
      </c>
      <c r="P49">
        <v>1.39</v>
      </c>
      <c r="Q49">
        <v>1440</v>
      </c>
      <c r="R49">
        <v>1</v>
      </c>
      <c r="S49">
        <v>20</v>
      </c>
      <c r="T49">
        <v>1.39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142</v>
      </c>
      <c r="AH49" s="21" t="s">
        <v>3425</v>
      </c>
      <c r="AI49" s="21">
        <v>107.92500000000001</v>
      </c>
      <c r="AJ49" s="21">
        <v>98.611111111111114</v>
      </c>
      <c r="AK49" s="21" t="s">
        <v>2054</v>
      </c>
      <c r="AL49" t="s">
        <v>70</v>
      </c>
      <c r="AM49" t="s">
        <v>2029</v>
      </c>
    </row>
    <row r="50" spans="1:39" ht="15" hidden="1" thickTop="1" x14ac:dyDescent="0.35">
      <c r="A50" t="s">
        <v>2225</v>
      </c>
      <c r="B50" t="s">
        <v>2240</v>
      </c>
      <c r="C50" t="s">
        <v>76</v>
      </c>
      <c r="D50" t="s">
        <v>2241</v>
      </c>
      <c r="E50" t="s">
        <v>119</v>
      </c>
      <c r="F50">
        <v>1</v>
      </c>
      <c r="G50" t="s">
        <v>2050</v>
      </c>
      <c r="H50" t="s">
        <v>2051</v>
      </c>
      <c r="I50" t="s">
        <v>53</v>
      </c>
      <c r="J50" t="s">
        <v>67</v>
      </c>
      <c r="K50" t="s">
        <v>68</v>
      </c>
      <c r="L50" t="s">
        <v>2052</v>
      </c>
      <c r="M50" t="s">
        <v>2053</v>
      </c>
      <c r="N50">
        <v>0</v>
      </c>
      <c r="O50">
        <v>0</v>
      </c>
      <c r="P50">
        <v>0</v>
      </c>
      <c r="Q50">
        <v>1440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143</v>
      </c>
      <c r="AH50" s="21" t="s">
        <v>3424</v>
      </c>
      <c r="AI50" s="21">
        <v>107.92500000000001</v>
      </c>
      <c r="AJ50" s="21">
        <v>100</v>
      </c>
      <c r="AK50" s="21" t="s">
        <v>2054</v>
      </c>
      <c r="AL50" t="s">
        <v>70</v>
      </c>
      <c r="AM50" t="s">
        <v>2029</v>
      </c>
    </row>
    <row r="51" spans="1:39" ht="15" hidden="1" thickTop="1" x14ac:dyDescent="0.35">
      <c r="A51" t="s">
        <v>2227</v>
      </c>
      <c r="B51" t="s">
        <v>2244</v>
      </c>
      <c r="C51" t="s">
        <v>78</v>
      </c>
      <c r="D51" t="s">
        <v>2245</v>
      </c>
      <c r="E51" t="s">
        <v>559</v>
      </c>
      <c r="F51">
        <v>1</v>
      </c>
      <c r="G51" t="s">
        <v>2050</v>
      </c>
      <c r="H51" t="s">
        <v>2051</v>
      </c>
      <c r="I51" t="s">
        <v>53</v>
      </c>
      <c r="J51" t="s">
        <v>67</v>
      </c>
      <c r="K51" t="s">
        <v>68</v>
      </c>
      <c r="L51" t="s">
        <v>2052</v>
      </c>
      <c r="M51" t="s">
        <v>2053</v>
      </c>
      <c r="N51">
        <v>0</v>
      </c>
      <c r="O51">
        <v>0</v>
      </c>
      <c r="P51">
        <v>0</v>
      </c>
      <c r="Q51">
        <v>1440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144</v>
      </c>
      <c r="AH51" s="21" t="s">
        <v>3425</v>
      </c>
      <c r="AI51" s="21">
        <v>107.92500000000001</v>
      </c>
      <c r="AJ51" s="21">
        <v>100</v>
      </c>
      <c r="AK51" s="21" t="s">
        <v>2054</v>
      </c>
      <c r="AL51" t="s">
        <v>70</v>
      </c>
      <c r="AM51" t="s">
        <v>2030</v>
      </c>
    </row>
    <row r="52" spans="1:39" ht="15" hidden="1" thickTop="1" x14ac:dyDescent="0.35">
      <c r="A52" t="s">
        <v>2228</v>
      </c>
      <c r="B52" t="s">
        <v>2247</v>
      </c>
      <c r="C52" t="s">
        <v>66</v>
      </c>
      <c r="D52" t="s">
        <v>2248</v>
      </c>
      <c r="E52" t="s">
        <v>559</v>
      </c>
      <c r="F52">
        <v>1</v>
      </c>
      <c r="G52" t="s">
        <v>2050</v>
      </c>
      <c r="H52" t="s">
        <v>2051</v>
      </c>
      <c r="I52" t="s">
        <v>53</v>
      </c>
      <c r="J52" t="s">
        <v>67</v>
      </c>
      <c r="K52" t="s">
        <v>68</v>
      </c>
      <c r="L52" t="s">
        <v>2052</v>
      </c>
      <c r="M52" t="s">
        <v>2084</v>
      </c>
      <c r="N52">
        <v>0</v>
      </c>
      <c r="O52">
        <v>0</v>
      </c>
      <c r="P52">
        <v>0</v>
      </c>
      <c r="Q52">
        <v>840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145</v>
      </c>
      <c r="AH52" s="21" t="s">
        <v>3427</v>
      </c>
      <c r="AI52" s="21">
        <v>62.999999999999986</v>
      </c>
      <c r="AJ52" s="21">
        <v>100</v>
      </c>
      <c r="AK52" s="21" t="s">
        <v>2055</v>
      </c>
      <c r="AL52" t="s">
        <v>70</v>
      </c>
      <c r="AM52" t="s">
        <v>2028</v>
      </c>
    </row>
    <row r="53" spans="1:39" ht="15" hidden="1" thickTop="1" x14ac:dyDescent="0.35">
      <c r="A53" t="s">
        <v>2234</v>
      </c>
      <c r="B53" t="s">
        <v>2251</v>
      </c>
      <c r="C53" t="s">
        <v>92</v>
      </c>
      <c r="D53" t="s">
        <v>2252</v>
      </c>
      <c r="E53" t="s">
        <v>119</v>
      </c>
      <c r="F53">
        <v>1</v>
      </c>
      <c r="G53" t="s">
        <v>2050</v>
      </c>
      <c r="H53" t="s">
        <v>2051</v>
      </c>
      <c r="I53" t="s">
        <v>53</v>
      </c>
      <c r="J53" t="s">
        <v>67</v>
      </c>
      <c r="K53" t="s">
        <v>68</v>
      </c>
      <c r="L53" t="s">
        <v>2052</v>
      </c>
      <c r="M53" t="s">
        <v>2053</v>
      </c>
      <c r="N53">
        <v>0</v>
      </c>
      <c r="O53">
        <v>0</v>
      </c>
      <c r="P53">
        <v>0</v>
      </c>
      <c r="Q53">
        <v>1440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147</v>
      </c>
      <c r="AH53" s="21" t="s">
        <v>3424</v>
      </c>
      <c r="AI53" s="21">
        <v>107.92500000000001</v>
      </c>
      <c r="AJ53" s="21">
        <v>100</v>
      </c>
      <c r="AK53" s="21" t="s">
        <v>2054</v>
      </c>
      <c r="AL53" t="s">
        <v>70</v>
      </c>
      <c r="AM53" t="s">
        <v>2029</v>
      </c>
    </row>
    <row r="54" spans="1:39" ht="15" hidden="1" thickTop="1" x14ac:dyDescent="0.35">
      <c r="A54" t="s">
        <v>2236</v>
      </c>
      <c r="B54" t="s">
        <v>2256</v>
      </c>
      <c r="C54" t="s">
        <v>102</v>
      </c>
      <c r="D54" t="s">
        <v>2257</v>
      </c>
      <c r="E54" t="s">
        <v>559</v>
      </c>
      <c r="F54">
        <v>1</v>
      </c>
      <c r="G54" t="s">
        <v>2050</v>
      </c>
      <c r="H54" t="s">
        <v>2051</v>
      </c>
      <c r="I54" t="s">
        <v>53</v>
      </c>
      <c r="J54" t="s">
        <v>67</v>
      </c>
      <c r="K54" t="s">
        <v>68</v>
      </c>
      <c r="L54" t="s">
        <v>2052</v>
      </c>
      <c r="M54" t="s">
        <v>2053</v>
      </c>
      <c r="N54">
        <v>0</v>
      </c>
      <c r="O54">
        <v>0</v>
      </c>
      <c r="P54">
        <v>0</v>
      </c>
      <c r="Q54">
        <v>1440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148</v>
      </c>
      <c r="AH54" s="21" t="s">
        <v>3425</v>
      </c>
      <c r="AI54" s="21">
        <v>107.92500000000001</v>
      </c>
      <c r="AJ54" s="21">
        <v>100</v>
      </c>
      <c r="AK54" s="21" t="s">
        <v>2054</v>
      </c>
      <c r="AL54" t="s">
        <v>70</v>
      </c>
      <c r="AM54" t="s">
        <v>2029</v>
      </c>
    </row>
    <row r="55" spans="1:39" ht="15" hidden="1" thickTop="1" x14ac:dyDescent="0.35">
      <c r="A55" t="s">
        <v>2242</v>
      </c>
      <c r="B55" t="s">
        <v>2262</v>
      </c>
      <c r="C55" t="s">
        <v>66</v>
      </c>
      <c r="D55" t="s">
        <v>2263</v>
      </c>
      <c r="E55" t="s">
        <v>559</v>
      </c>
      <c r="F55">
        <v>1</v>
      </c>
      <c r="G55" t="s">
        <v>2050</v>
      </c>
      <c r="H55" t="s">
        <v>2051</v>
      </c>
      <c r="I55" t="s">
        <v>53</v>
      </c>
      <c r="J55" t="s">
        <v>67</v>
      </c>
      <c r="K55" t="s">
        <v>68</v>
      </c>
      <c r="L55" t="s">
        <v>2052</v>
      </c>
      <c r="M55" t="s">
        <v>2063</v>
      </c>
      <c r="N55">
        <v>0</v>
      </c>
      <c r="O55">
        <v>0</v>
      </c>
      <c r="P55">
        <v>0</v>
      </c>
      <c r="Q55">
        <v>1020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150</v>
      </c>
      <c r="AH55" s="21" t="s">
        <v>3427</v>
      </c>
      <c r="AI55" s="21">
        <v>76.500000000000014</v>
      </c>
      <c r="AJ55" s="21">
        <v>100</v>
      </c>
      <c r="AK55" s="21" t="s">
        <v>2054</v>
      </c>
      <c r="AL55" t="s">
        <v>70</v>
      </c>
      <c r="AM55" t="s">
        <v>2029</v>
      </c>
    </row>
    <row r="56" spans="1:39" ht="15" hidden="1" thickTop="1" x14ac:dyDescent="0.35">
      <c r="A56" t="s">
        <v>2243</v>
      </c>
      <c r="B56" t="s">
        <v>2265</v>
      </c>
      <c r="C56" t="s">
        <v>66</v>
      </c>
      <c r="D56" t="s">
        <v>2266</v>
      </c>
      <c r="E56" t="s">
        <v>559</v>
      </c>
      <c r="F56">
        <v>1</v>
      </c>
      <c r="G56" t="s">
        <v>2050</v>
      </c>
      <c r="H56" t="s">
        <v>2051</v>
      </c>
      <c r="I56" t="s">
        <v>53</v>
      </c>
      <c r="J56" t="s">
        <v>67</v>
      </c>
      <c r="K56" t="s">
        <v>68</v>
      </c>
      <c r="L56" t="s">
        <v>2052</v>
      </c>
      <c r="M56" t="s">
        <v>2064</v>
      </c>
      <c r="N56">
        <v>0</v>
      </c>
      <c r="O56">
        <v>0</v>
      </c>
      <c r="P56">
        <v>0</v>
      </c>
      <c r="Q56">
        <v>900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151</v>
      </c>
      <c r="AH56" s="21" t="s">
        <v>3427</v>
      </c>
      <c r="AI56" s="21">
        <v>67.5</v>
      </c>
      <c r="AJ56" s="21">
        <v>100</v>
      </c>
      <c r="AK56" s="21" t="s">
        <v>2054</v>
      </c>
      <c r="AL56" t="s">
        <v>70</v>
      </c>
      <c r="AM56" t="s">
        <v>2029</v>
      </c>
    </row>
    <row r="57" spans="1:39" ht="15" hidden="1" thickTop="1" x14ac:dyDescent="0.35">
      <c r="A57" t="s">
        <v>2249</v>
      </c>
      <c r="B57" t="s">
        <v>2269</v>
      </c>
      <c r="C57" t="s">
        <v>565</v>
      </c>
      <c r="D57" t="s">
        <v>2270</v>
      </c>
      <c r="E57" t="s">
        <v>559</v>
      </c>
      <c r="F57">
        <v>1</v>
      </c>
      <c r="G57" t="s">
        <v>2050</v>
      </c>
      <c r="H57" t="s">
        <v>2051</v>
      </c>
      <c r="I57" t="s">
        <v>53</v>
      </c>
      <c r="J57" t="s">
        <v>427</v>
      </c>
      <c r="K57" t="s">
        <v>68</v>
      </c>
      <c r="L57" t="s">
        <v>2052</v>
      </c>
      <c r="M57" t="s">
        <v>2053</v>
      </c>
      <c r="N57">
        <v>0</v>
      </c>
      <c r="O57">
        <v>0</v>
      </c>
      <c r="P57">
        <v>0</v>
      </c>
      <c r="Q57">
        <v>1440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152</v>
      </c>
      <c r="AH57" s="21" t="s">
        <v>3425</v>
      </c>
      <c r="AI57" s="21">
        <v>107.92500000000001</v>
      </c>
      <c r="AJ57" s="21">
        <v>100</v>
      </c>
      <c r="AK57" s="21" t="s">
        <v>2054</v>
      </c>
      <c r="AL57" t="s">
        <v>70</v>
      </c>
      <c r="AM57" t="s">
        <v>2028</v>
      </c>
    </row>
    <row r="58" spans="1:39" ht="15" hidden="1" thickTop="1" x14ac:dyDescent="0.35">
      <c r="A58" t="s">
        <v>2253</v>
      </c>
      <c r="B58" t="s">
        <v>2273</v>
      </c>
      <c r="C58" t="s">
        <v>100</v>
      </c>
      <c r="D58" t="s">
        <v>2274</v>
      </c>
      <c r="E58" t="s">
        <v>559</v>
      </c>
      <c r="F58">
        <v>1</v>
      </c>
      <c r="G58" t="s">
        <v>2050</v>
      </c>
      <c r="H58" t="s">
        <v>2051</v>
      </c>
      <c r="I58" t="s">
        <v>53</v>
      </c>
      <c r="J58" t="s">
        <v>67</v>
      </c>
      <c r="K58" t="s">
        <v>68</v>
      </c>
      <c r="L58" t="s">
        <v>2052</v>
      </c>
      <c r="M58" t="s">
        <v>2053</v>
      </c>
      <c r="N58">
        <v>0</v>
      </c>
      <c r="O58">
        <v>0</v>
      </c>
      <c r="P58">
        <v>0</v>
      </c>
      <c r="Q58">
        <v>1440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153</v>
      </c>
      <c r="AH58" s="21" t="s">
        <v>3425</v>
      </c>
      <c r="AI58" s="21">
        <v>107.92500000000001</v>
      </c>
      <c r="AJ58" s="21">
        <v>100</v>
      </c>
      <c r="AK58" s="21" t="s">
        <v>2054</v>
      </c>
      <c r="AL58" t="s">
        <v>70</v>
      </c>
      <c r="AM58" t="s">
        <v>2028</v>
      </c>
    </row>
    <row r="59" spans="1:39" ht="15" hidden="1" thickTop="1" x14ac:dyDescent="0.35">
      <c r="A59" t="s">
        <v>2254</v>
      </c>
      <c r="B59" t="s">
        <v>2275</v>
      </c>
      <c r="C59" t="s">
        <v>66</v>
      </c>
      <c r="D59" t="s">
        <v>2276</v>
      </c>
      <c r="E59" t="s">
        <v>559</v>
      </c>
      <c r="F59">
        <v>1</v>
      </c>
      <c r="G59" t="s">
        <v>2050</v>
      </c>
      <c r="H59" t="s">
        <v>2051</v>
      </c>
      <c r="I59" t="s">
        <v>53</v>
      </c>
      <c r="J59" t="s">
        <v>67</v>
      </c>
      <c r="K59" t="s">
        <v>68</v>
      </c>
      <c r="L59" t="s">
        <v>2052</v>
      </c>
      <c r="M59" t="s">
        <v>2053</v>
      </c>
      <c r="N59">
        <v>0</v>
      </c>
      <c r="O59">
        <v>0</v>
      </c>
      <c r="P59">
        <v>0</v>
      </c>
      <c r="Q59">
        <v>1440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154</v>
      </c>
      <c r="AH59" s="21" t="s">
        <v>3424</v>
      </c>
      <c r="AI59" s="21">
        <v>107.92500000000001</v>
      </c>
      <c r="AJ59" s="21">
        <v>100</v>
      </c>
      <c r="AK59" s="21" t="s">
        <v>2054</v>
      </c>
      <c r="AL59" t="s">
        <v>70</v>
      </c>
      <c r="AM59" t="s">
        <v>2030</v>
      </c>
    </row>
    <row r="60" spans="1:39" ht="15" hidden="1" thickTop="1" x14ac:dyDescent="0.35">
      <c r="A60" t="s">
        <v>2258</v>
      </c>
      <c r="B60" t="s">
        <v>2277</v>
      </c>
      <c r="C60" t="s">
        <v>81</v>
      </c>
      <c r="D60" t="s">
        <v>2278</v>
      </c>
      <c r="E60" t="s">
        <v>559</v>
      </c>
      <c r="F60">
        <v>1</v>
      </c>
      <c r="G60" t="s">
        <v>2050</v>
      </c>
      <c r="H60" t="s">
        <v>2051</v>
      </c>
      <c r="I60" t="s">
        <v>53</v>
      </c>
      <c r="J60" t="s">
        <v>82</v>
      </c>
      <c r="K60" t="s">
        <v>68</v>
      </c>
      <c r="L60" t="s">
        <v>2052</v>
      </c>
      <c r="M60" t="s">
        <v>2053</v>
      </c>
      <c r="N60">
        <v>0</v>
      </c>
      <c r="O60">
        <v>0</v>
      </c>
      <c r="P60">
        <v>0</v>
      </c>
      <c r="Q60">
        <v>1440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155</v>
      </c>
      <c r="AH60" s="21" t="s">
        <v>3427</v>
      </c>
      <c r="AI60" s="21">
        <v>107.92500000000001</v>
      </c>
      <c r="AJ60" s="21">
        <v>100</v>
      </c>
      <c r="AK60" s="21" t="s">
        <v>2054</v>
      </c>
      <c r="AL60" t="s">
        <v>70</v>
      </c>
      <c r="AM60" t="s">
        <v>2030</v>
      </c>
    </row>
    <row r="61" spans="1:39" ht="15" hidden="1" thickTop="1" x14ac:dyDescent="0.35">
      <c r="A61" t="s">
        <v>2260</v>
      </c>
      <c r="B61" t="s">
        <v>2279</v>
      </c>
      <c r="C61" t="s">
        <v>102</v>
      </c>
      <c r="D61" t="s">
        <v>2280</v>
      </c>
      <c r="E61" t="s">
        <v>559</v>
      </c>
      <c r="F61">
        <v>1</v>
      </c>
      <c r="G61" t="s">
        <v>2050</v>
      </c>
      <c r="H61" t="s">
        <v>2051</v>
      </c>
      <c r="I61" t="s">
        <v>53</v>
      </c>
      <c r="J61" t="s">
        <v>67</v>
      </c>
      <c r="K61" t="s">
        <v>68</v>
      </c>
      <c r="L61" t="s">
        <v>2052</v>
      </c>
      <c r="M61" t="s">
        <v>2053</v>
      </c>
      <c r="N61">
        <v>0</v>
      </c>
      <c r="O61">
        <v>0</v>
      </c>
      <c r="P61">
        <v>0</v>
      </c>
      <c r="Q61">
        <v>1440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156</v>
      </c>
      <c r="AH61" s="21" t="s">
        <v>3427</v>
      </c>
      <c r="AI61" s="21">
        <v>107.92500000000001</v>
      </c>
      <c r="AJ61" s="21">
        <v>100</v>
      </c>
      <c r="AK61" s="21" t="s">
        <v>2055</v>
      </c>
      <c r="AL61" t="s">
        <v>70</v>
      </c>
      <c r="AM61" t="s">
        <v>2030</v>
      </c>
    </row>
    <row r="62" spans="1:39" ht="15" hidden="1" thickTop="1" x14ac:dyDescent="0.35">
      <c r="A62" t="s">
        <v>2261</v>
      </c>
      <c r="B62" t="s">
        <v>2281</v>
      </c>
      <c r="C62" t="s">
        <v>76</v>
      </c>
      <c r="D62" t="s">
        <v>2282</v>
      </c>
      <c r="E62" t="s">
        <v>559</v>
      </c>
      <c r="F62">
        <v>1</v>
      </c>
      <c r="G62" t="s">
        <v>2050</v>
      </c>
      <c r="H62" t="s">
        <v>2051</v>
      </c>
      <c r="I62" t="s">
        <v>53</v>
      </c>
      <c r="J62" t="s">
        <v>67</v>
      </c>
      <c r="K62" t="s">
        <v>68</v>
      </c>
      <c r="L62" t="s">
        <v>2052</v>
      </c>
      <c r="M62" t="s">
        <v>2053</v>
      </c>
      <c r="N62">
        <v>0</v>
      </c>
      <c r="O62">
        <v>0</v>
      </c>
      <c r="P62">
        <v>0</v>
      </c>
      <c r="Q62">
        <v>1440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157</v>
      </c>
      <c r="AH62" s="21" t="s">
        <v>3427</v>
      </c>
      <c r="AI62" s="21">
        <v>107.92500000000001</v>
      </c>
      <c r="AJ62" s="21">
        <v>100</v>
      </c>
      <c r="AK62" s="21" t="s">
        <v>2054</v>
      </c>
      <c r="AL62" t="s">
        <v>70</v>
      </c>
      <c r="AM62" t="s">
        <v>2029</v>
      </c>
    </row>
    <row r="63" spans="1:39" ht="15" hidden="1" thickTop="1" x14ac:dyDescent="0.35">
      <c r="A63" t="s">
        <v>2267</v>
      </c>
      <c r="B63" t="s">
        <v>2283</v>
      </c>
      <c r="C63" t="s">
        <v>3376</v>
      </c>
      <c r="D63" t="s">
        <v>2284</v>
      </c>
      <c r="E63" t="s">
        <v>559</v>
      </c>
      <c r="F63">
        <v>1</v>
      </c>
      <c r="G63" t="s">
        <v>2050</v>
      </c>
      <c r="H63" t="s">
        <v>2051</v>
      </c>
      <c r="I63" t="s">
        <v>53</v>
      </c>
      <c r="J63" t="s">
        <v>67</v>
      </c>
      <c r="K63" t="s">
        <v>68</v>
      </c>
      <c r="L63" t="s">
        <v>2052</v>
      </c>
      <c r="M63" t="s">
        <v>2053</v>
      </c>
      <c r="N63">
        <v>0</v>
      </c>
      <c r="O63">
        <v>0</v>
      </c>
      <c r="P63">
        <v>0</v>
      </c>
      <c r="Q63">
        <v>1440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158</v>
      </c>
      <c r="AH63" s="21" t="s">
        <v>3424</v>
      </c>
      <c r="AI63" s="21">
        <v>107.92500000000001</v>
      </c>
      <c r="AJ63" s="21">
        <v>100</v>
      </c>
      <c r="AK63" s="21" t="s">
        <v>2054</v>
      </c>
      <c r="AL63" t="s">
        <v>70</v>
      </c>
      <c r="AM63" t="s">
        <v>2029</v>
      </c>
    </row>
    <row r="64" spans="1:39" ht="15" hidden="1" thickTop="1" x14ac:dyDescent="0.35">
      <c r="A64" t="s">
        <v>2271</v>
      </c>
      <c r="B64" t="s">
        <v>2285</v>
      </c>
      <c r="C64" t="s">
        <v>117</v>
      </c>
      <c r="D64" t="s">
        <v>2286</v>
      </c>
      <c r="E64" t="s">
        <v>559</v>
      </c>
      <c r="F64">
        <v>1</v>
      </c>
      <c r="G64" t="s">
        <v>2050</v>
      </c>
      <c r="H64" t="s">
        <v>2051</v>
      </c>
      <c r="I64" t="s">
        <v>53</v>
      </c>
      <c r="J64" t="s">
        <v>67</v>
      </c>
      <c r="K64" t="s">
        <v>68</v>
      </c>
      <c r="L64" t="s">
        <v>2052</v>
      </c>
      <c r="M64" t="s">
        <v>2053</v>
      </c>
      <c r="N64">
        <v>0</v>
      </c>
      <c r="O64">
        <v>0</v>
      </c>
      <c r="P64">
        <v>0</v>
      </c>
      <c r="Q64">
        <v>1440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159</v>
      </c>
      <c r="AH64" s="21" t="s">
        <v>3424</v>
      </c>
      <c r="AI64" s="21">
        <v>107.92500000000001</v>
      </c>
      <c r="AJ64" s="21">
        <v>100</v>
      </c>
      <c r="AK64" s="21" t="s">
        <v>2054</v>
      </c>
      <c r="AL64" t="s">
        <v>70</v>
      </c>
      <c r="AM64" t="s">
        <v>2030</v>
      </c>
    </row>
    <row r="65" spans="1:39" ht="15" hidden="1" thickTop="1" x14ac:dyDescent="0.35">
      <c r="A65" t="s">
        <v>2287</v>
      </c>
      <c r="B65" t="s">
        <v>2291</v>
      </c>
      <c r="C65" t="s">
        <v>66</v>
      </c>
      <c r="D65" t="s">
        <v>2292</v>
      </c>
      <c r="E65" t="s">
        <v>559</v>
      </c>
      <c r="F65">
        <v>2</v>
      </c>
      <c r="G65" t="s">
        <v>2050</v>
      </c>
      <c r="H65" t="s">
        <v>2051</v>
      </c>
      <c r="I65" t="s">
        <v>53</v>
      </c>
      <c r="J65" t="s">
        <v>67</v>
      </c>
      <c r="K65" t="s">
        <v>68</v>
      </c>
      <c r="L65" t="s">
        <v>2052</v>
      </c>
      <c r="M65" t="s">
        <v>2053</v>
      </c>
      <c r="N65">
        <v>0</v>
      </c>
      <c r="O65">
        <v>0</v>
      </c>
      <c r="P65">
        <v>0</v>
      </c>
      <c r="Q65">
        <v>1440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160</v>
      </c>
      <c r="AH65" s="21" t="s">
        <v>3424</v>
      </c>
      <c r="AI65" s="21">
        <v>107.92500000000001</v>
      </c>
      <c r="AJ65" s="21">
        <v>100</v>
      </c>
      <c r="AK65" s="21" t="s">
        <v>2054</v>
      </c>
      <c r="AL65" t="s">
        <v>70</v>
      </c>
      <c r="AM65" t="s">
        <v>2029</v>
      </c>
    </row>
    <row r="66" spans="1:39" ht="15" hidden="1" thickTop="1" x14ac:dyDescent="0.35">
      <c r="A66" t="s">
        <v>2289</v>
      </c>
      <c r="B66" t="s">
        <v>2294</v>
      </c>
      <c r="C66" t="s">
        <v>66</v>
      </c>
      <c r="D66" t="s">
        <v>2295</v>
      </c>
      <c r="E66" t="s">
        <v>559</v>
      </c>
      <c r="F66">
        <v>1</v>
      </c>
      <c r="G66" t="s">
        <v>2050</v>
      </c>
      <c r="H66" t="s">
        <v>2051</v>
      </c>
      <c r="I66" t="s">
        <v>53</v>
      </c>
      <c r="J66" t="s">
        <v>67</v>
      </c>
      <c r="K66" t="s">
        <v>68</v>
      </c>
      <c r="L66" t="s">
        <v>2052</v>
      </c>
      <c r="M66" t="s">
        <v>2053</v>
      </c>
      <c r="N66">
        <v>0</v>
      </c>
      <c r="O66">
        <v>0</v>
      </c>
      <c r="P66">
        <v>0</v>
      </c>
      <c r="Q66">
        <v>1440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161</v>
      </c>
      <c r="AH66" s="21" t="s">
        <v>3424</v>
      </c>
      <c r="AI66" s="21">
        <v>107.92500000000001</v>
      </c>
      <c r="AJ66" s="21">
        <v>100</v>
      </c>
      <c r="AK66" s="21" t="s">
        <v>2054</v>
      </c>
      <c r="AL66" t="s">
        <v>70</v>
      </c>
      <c r="AM66" t="s">
        <v>2028</v>
      </c>
    </row>
    <row r="67" spans="1:39" ht="15" hidden="1" thickTop="1" x14ac:dyDescent="0.35">
      <c r="A67" t="s">
        <v>2290</v>
      </c>
      <c r="B67" t="s">
        <v>2296</v>
      </c>
      <c r="C67" t="s">
        <v>78</v>
      </c>
      <c r="D67" t="s">
        <v>2297</v>
      </c>
      <c r="E67" t="s">
        <v>559</v>
      </c>
      <c r="F67">
        <v>1</v>
      </c>
      <c r="G67" t="s">
        <v>2050</v>
      </c>
      <c r="H67" t="s">
        <v>2051</v>
      </c>
      <c r="I67" t="s">
        <v>53</v>
      </c>
      <c r="J67" t="s">
        <v>67</v>
      </c>
      <c r="K67" t="s">
        <v>68</v>
      </c>
      <c r="L67" t="s">
        <v>2052</v>
      </c>
      <c r="M67" t="s">
        <v>2053</v>
      </c>
      <c r="N67">
        <v>0</v>
      </c>
      <c r="O67">
        <v>0</v>
      </c>
      <c r="P67">
        <v>0</v>
      </c>
      <c r="Q67">
        <v>1440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162</v>
      </c>
      <c r="AH67" s="21" t="s">
        <v>3424</v>
      </c>
      <c r="AI67" s="21">
        <v>107.92500000000001</v>
      </c>
      <c r="AJ67" s="21">
        <v>100</v>
      </c>
      <c r="AK67" s="21" t="s">
        <v>2054</v>
      </c>
      <c r="AL67" t="s">
        <v>70</v>
      </c>
      <c r="AM67" t="s">
        <v>2028</v>
      </c>
    </row>
    <row r="68" spans="1:39" ht="15" hidden="1" thickTop="1" x14ac:dyDescent="0.35">
      <c r="A68" t="s">
        <v>2298</v>
      </c>
      <c r="B68" t="s">
        <v>2300</v>
      </c>
      <c r="C68" t="s">
        <v>78</v>
      </c>
      <c r="D68" t="s">
        <v>2301</v>
      </c>
      <c r="E68" t="s">
        <v>559</v>
      </c>
      <c r="F68">
        <v>1</v>
      </c>
      <c r="G68" t="s">
        <v>2050</v>
      </c>
      <c r="H68" t="s">
        <v>2051</v>
      </c>
      <c r="I68" t="s">
        <v>53</v>
      </c>
      <c r="J68" t="s">
        <v>67</v>
      </c>
      <c r="K68" t="s">
        <v>68</v>
      </c>
      <c r="L68" t="s">
        <v>2052</v>
      </c>
      <c r="M68" t="s">
        <v>2064</v>
      </c>
      <c r="N68">
        <v>0</v>
      </c>
      <c r="O68">
        <v>0</v>
      </c>
      <c r="P68">
        <v>0</v>
      </c>
      <c r="Q68">
        <v>900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163</v>
      </c>
      <c r="AH68" s="21" t="s">
        <v>3425</v>
      </c>
      <c r="AI68" s="21">
        <v>67.5</v>
      </c>
      <c r="AJ68" s="21">
        <v>100</v>
      </c>
      <c r="AK68" s="21" t="s">
        <v>2054</v>
      </c>
      <c r="AL68" t="s">
        <v>70</v>
      </c>
      <c r="AM68" t="s">
        <v>2029</v>
      </c>
    </row>
    <row r="69" spans="1:39" ht="15" hidden="1" thickTop="1" x14ac:dyDescent="0.35">
      <c r="A69" t="s">
        <v>2302</v>
      </c>
      <c r="B69" t="s">
        <v>2309</v>
      </c>
      <c r="C69" t="s">
        <v>117</v>
      </c>
      <c r="D69" t="s">
        <v>2310</v>
      </c>
      <c r="E69" t="s">
        <v>559</v>
      </c>
      <c r="F69">
        <v>1</v>
      </c>
      <c r="G69" t="s">
        <v>2050</v>
      </c>
      <c r="H69" t="s">
        <v>2051</v>
      </c>
      <c r="I69" t="s">
        <v>53</v>
      </c>
      <c r="J69" t="s">
        <v>67</v>
      </c>
      <c r="K69" t="s">
        <v>68</v>
      </c>
      <c r="L69" t="s">
        <v>2052</v>
      </c>
      <c r="M69" t="s">
        <v>2063</v>
      </c>
      <c r="N69">
        <v>0</v>
      </c>
      <c r="O69">
        <v>0</v>
      </c>
      <c r="P69">
        <v>0</v>
      </c>
      <c r="Q69">
        <v>1020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164</v>
      </c>
      <c r="AH69" s="21" t="s">
        <v>3425</v>
      </c>
      <c r="AI69" s="21">
        <v>76.500000000000014</v>
      </c>
      <c r="AJ69" s="21">
        <v>100</v>
      </c>
      <c r="AK69" s="21" t="s">
        <v>2054</v>
      </c>
      <c r="AL69" t="s">
        <v>70</v>
      </c>
      <c r="AM69" t="s">
        <v>2027</v>
      </c>
    </row>
    <row r="70" spans="1:39" ht="15" hidden="1" thickTop="1" x14ac:dyDescent="0.35">
      <c r="A70" t="s">
        <v>2304</v>
      </c>
      <c r="B70" t="s">
        <v>2311</v>
      </c>
      <c r="C70" t="s">
        <v>76</v>
      </c>
      <c r="D70" t="s">
        <v>2312</v>
      </c>
      <c r="E70" t="s">
        <v>559</v>
      </c>
      <c r="F70">
        <v>1</v>
      </c>
      <c r="G70" t="s">
        <v>2050</v>
      </c>
      <c r="H70" t="s">
        <v>2051</v>
      </c>
      <c r="I70" t="s">
        <v>53</v>
      </c>
      <c r="J70" t="s">
        <v>67</v>
      </c>
      <c r="K70" t="s">
        <v>68</v>
      </c>
      <c r="L70" t="s">
        <v>2052</v>
      </c>
      <c r="M70" t="s">
        <v>2068</v>
      </c>
      <c r="N70">
        <v>0</v>
      </c>
      <c r="O70">
        <v>0</v>
      </c>
      <c r="P70">
        <v>0</v>
      </c>
      <c r="Q70">
        <v>720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561</v>
      </c>
      <c r="AH70" s="21" t="s">
        <v>3425</v>
      </c>
      <c r="AI70" s="21">
        <v>54</v>
      </c>
      <c r="AJ70" s="21">
        <v>100</v>
      </c>
      <c r="AK70" s="21" t="s">
        <v>2054</v>
      </c>
      <c r="AL70" t="s">
        <v>70</v>
      </c>
      <c r="AM70" t="s">
        <v>2027</v>
      </c>
    </row>
    <row r="71" spans="1:39" ht="15" hidden="1" thickTop="1" x14ac:dyDescent="0.35">
      <c r="A71" t="s">
        <v>2305</v>
      </c>
      <c r="B71" t="s">
        <v>2313</v>
      </c>
      <c r="C71" t="s">
        <v>100</v>
      </c>
      <c r="D71" t="s">
        <v>2314</v>
      </c>
      <c r="E71" t="s">
        <v>559</v>
      </c>
      <c r="F71">
        <v>1</v>
      </c>
      <c r="G71" t="s">
        <v>2050</v>
      </c>
      <c r="H71" t="s">
        <v>2051</v>
      </c>
      <c r="I71" t="s">
        <v>53</v>
      </c>
      <c r="J71" t="s">
        <v>67</v>
      </c>
      <c r="K71" t="s">
        <v>68</v>
      </c>
      <c r="L71" t="s">
        <v>2052</v>
      </c>
      <c r="M71" t="s">
        <v>2053</v>
      </c>
      <c r="N71">
        <v>0</v>
      </c>
      <c r="O71">
        <v>0</v>
      </c>
      <c r="P71">
        <v>0</v>
      </c>
      <c r="Q71">
        <v>1440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165</v>
      </c>
      <c r="AH71" s="21" t="s">
        <v>3425</v>
      </c>
      <c r="AI71" s="21">
        <v>107.92500000000001</v>
      </c>
      <c r="AJ71" s="21">
        <v>100</v>
      </c>
      <c r="AK71" s="21" t="s">
        <v>2054</v>
      </c>
      <c r="AL71" t="s">
        <v>70</v>
      </c>
      <c r="AM71" t="s">
        <v>2029</v>
      </c>
    </row>
    <row r="72" spans="1:39" ht="15" hidden="1" thickTop="1" x14ac:dyDescent="0.35">
      <c r="A72" t="s">
        <v>2307</v>
      </c>
      <c r="B72" t="s">
        <v>2315</v>
      </c>
      <c r="C72" t="s">
        <v>78</v>
      </c>
      <c r="D72" t="s">
        <v>2316</v>
      </c>
      <c r="E72" t="s">
        <v>559</v>
      </c>
      <c r="F72">
        <v>1</v>
      </c>
      <c r="G72" t="s">
        <v>2050</v>
      </c>
      <c r="H72" t="s">
        <v>2051</v>
      </c>
      <c r="I72" t="s">
        <v>53</v>
      </c>
      <c r="J72" t="s">
        <v>67</v>
      </c>
      <c r="K72" t="s">
        <v>68</v>
      </c>
      <c r="L72" t="s">
        <v>2052</v>
      </c>
      <c r="M72" t="s">
        <v>2053</v>
      </c>
      <c r="N72">
        <v>0</v>
      </c>
      <c r="O72">
        <v>0</v>
      </c>
      <c r="P72">
        <v>0</v>
      </c>
      <c r="Q72">
        <v>1440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1514</v>
      </c>
      <c r="AH72" s="21" t="s">
        <v>3425</v>
      </c>
      <c r="AI72" s="21">
        <v>107.92500000000001</v>
      </c>
      <c r="AJ72" s="21">
        <v>100</v>
      </c>
      <c r="AK72" s="21" t="s">
        <v>2055</v>
      </c>
      <c r="AL72" t="s">
        <v>70</v>
      </c>
      <c r="AM72" t="s">
        <v>2029</v>
      </c>
    </row>
    <row r="73" spans="1:39" ht="15" hidden="1" thickTop="1" x14ac:dyDescent="0.35">
      <c r="A73" t="s">
        <v>2318</v>
      </c>
      <c r="B73" t="s">
        <v>2330</v>
      </c>
      <c r="C73" t="s">
        <v>102</v>
      </c>
      <c r="D73" t="s">
        <v>2331</v>
      </c>
      <c r="E73" t="s">
        <v>559</v>
      </c>
      <c r="F73">
        <v>1</v>
      </c>
      <c r="G73" t="s">
        <v>2050</v>
      </c>
      <c r="H73" t="s">
        <v>2051</v>
      </c>
      <c r="I73" t="s">
        <v>53</v>
      </c>
      <c r="J73" t="s">
        <v>67</v>
      </c>
      <c r="K73" t="s">
        <v>68</v>
      </c>
      <c r="L73" t="s">
        <v>2052</v>
      </c>
      <c r="M73" t="s">
        <v>2053</v>
      </c>
      <c r="N73">
        <v>0</v>
      </c>
      <c r="O73">
        <v>0</v>
      </c>
      <c r="P73">
        <v>0</v>
      </c>
      <c r="Q73">
        <v>1440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166</v>
      </c>
      <c r="AH73" s="21" t="s">
        <v>3430</v>
      </c>
      <c r="AI73" s="21">
        <v>107.92500000000001</v>
      </c>
      <c r="AJ73" s="21">
        <v>100</v>
      </c>
      <c r="AK73" s="21" t="s">
        <v>2054</v>
      </c>
      <c r="AL73" t="s">
        <v>70</v>
      </c>
      <c r="AM73" t="s">
        <v>2027</v>
      </c>
    </row>
    <row r="74" spans="1:39" ht="15" hidden="1" thickTop="1" x14ac:dyDescent="0.35">
      <c r="A74" t="s">
        <v>2320</v>
      </c>
      <c r="B74" t="s">
        <v>2332</v>
      </c>
      <c r="C74" t="s">
        <v>117</v>
      </c>
      <c r="D74" t="s">
        <v>2333</v>
      </c>
      <c r="E74" t="s">
        <v>559</v>
      </c>
      <c r="F74">
        <v>1</v>
      </c>
      <c r="G74" t="s">
        <v>2050</v>
      </c>
      <c r="H74" t="s">
        <v>2051</v>
      </c>
      <c r="I74" t="s">
        <v>53</v>
      </c>
      <c r="J74" t="s">
        <v>67</v>
      </c>
      <c r="K74" t="s">
        <v>68</v>
      </c>
      <c r="L74" t="s">
        <v>2052</v>
      </c>
      <c r="M74" t="s">
        <v>2053</v>
      </c>
      <c r="N74">
        <v>0</v>
      </c>
      <c r="O74">
        <v>0</v>
      </c>
      <c r="P74">
        <v>0</v>
      </c>
      <c r="Q74">
        <v>1440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167</v>
      </c>
      <c r="AH74" s="21" t="s">
        <v>3425</v>
      </c>
      <c r="AI74" s="21">
        <v>107.92500000000001</v>
      </c>
      <c r="AJ74" s="21">
        <v>100</v>
      </c>
      <c r="AK74" s="21" t="s">
        <v>2054</v>
      </c>
      <c r="AL74" t="s">
        <v>70</v>
      </c>
      <c r="AM74" t="s">
        <v>2027</v>
      </c>
    </row>
    <row r="75" spans="1:39" ht="15" hidden="1" thickTop="1" x14ac:dyDescent="0.35">
      <c r="A75" t="s">
        <v>2322</v>
      </c>
      <c r="B75" t="s">
        <v>2335</v>
      </c>
      <c r="C75" t="s">
        <v>100</v>
      </c>
      <c r="D75" t="s">
        <v>2336</v>
      </c>
      <c r="E75" t="s">
        <v>119</v>
      </c>
      <c r="F75">
        <v>1</v>
      </c>
      <c r="G75" t="s">
        <v>2050</v>
      </c>
      <c r="H75" t="s">
        <v>2051</v>
      </c>
      <c r="I75" t="s">
        <v>53</v>
      </c>
      <c r="J75" t="s">
        <v>67</v>
      </c>
      <c r="K75" t="s">
        <v>68</v>
      </c>
      <c r="L75" t="s">
        <v>2052</v>
      </c>
      <c r="M75" t="s">
        <v>2064</v>
      </c>
      <c r="N75">
        <v>0</v>
      </c>
      <c r="O75">
        <v>0</v>
      </c>
      <c r="P75">
        <v>0</v>
      </c>
      <c r="Q75">
        <v>900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168</v>
      </c>
      <c r="AH75" s="21" t="s">
        <v>3424</v>
      </c>
      <c r="AI75" s="21">
        <v>67.5</v>
      </c>
      <c r="AJ75" s="21">
        <v>100</v>
      </c>
      <c r="AK75" s="21" t="s">
        <v>2054</v>
      </c>
      <c r="AL75" t="s">
        <v>70</v>
      </c>
      <c r="AM75" t="s">
        <v>2029</v>
      </c>
    </row>
    <row r="76" spans="1:39" ht="15" hidden="1" thickTop="1" x14ac:dyDescent="0.35">
      <c r="A76" t="s">
        <v>2323</v>
      </c>
      <c r="B76" t="s">
        <v>2338</v>
      </c>
      <c r="C76" t="s">
        <v>76</v>
      </c>
      <c r="D76" t="s">
        <v>2339</v>
      </c>
      <c r="E76" t="s">
        <v>559</v>
      </c>
      <c r="F76">
        <v>1</v>
      </c>
      <c r="G76" t="s">
        <v>2050</v>
      </c>
      <c r="H76" t="s">
        <v>2051</v>
      </c>
      <c r="I76" t="s">
        <v>53</v>
      </c>
      <c r="J76" t="s">
        <v>67</v>
      </c>
      <c r="K76" t="s">
        <v>68</v>
      </c>
      <c r="L76" t="s">
        <v>2052</v>
      </c>
      <c r="M76" t="s">
        <v>2053</v>
      </c>
      <c r="N76">
        <v>0</v>
      </c>
      <c r="O76">
        <v>0</v>
      </c>
      <c r="P76">
        <v>0</v>
      </c>
      <c r="Q76">
        <v>1440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169</v>
      </c>
      <c r="AH76" s="21" t="s">
        <v>3425</v>
      </c>
      <c r="AI76" s="21">
        <v>107.92500000000001</v>
      </c>
      <c r="AJ76" s="21">
        <v>100</v>
      </c>
      <c r="AK76" s="21" t="s">
        <v>2054</v>
      </c>
      <c r="AL76" t="s">
        <v>70</v>
      </c>
      <c r="AM76" t="s">
        <v>2028</v>
      </c>
    </row>
    <row r="77" spans="1:39" ht="15" hidden="1" thickTop="1" x14ac:dyDescent="0.35">
      <c r="A77" t="s">
        <v>2065</v>
      </c>
      <c r="B77" t="s">
        <v>2340</v>
      </c>
      <c r="C77" t="s">
        <v>565</v>
      </c>
      <c r="D77" t="s">
        <v>2341</v>
      </c>
      <c r="E77" t="s">
        <v>559</v>
      </c>
      <c r="F77">
        <v>1</v>
      </c>
      <c r="G77" t="s">
        <v>2050</v>
      </c>
      <c r="H77" t="s">
        <v>2051</v>
      </c>
      <c r="I77" t="s">
        <v>53</v>
      </c>
      <c r="J77" t="s">
        <v>427</v>
      </c>
      <c r="K77" t="s">
        <v>68</v>
      </c>
      <c r="L77" t="s">
        <v>2052</v>
      </c>
      <c r="M77" t="s">
        <v>2053</v>
      </c>
      <c r="N77">
        <v>0</v>
      </c>
      <c r="O77">
        <v>0</v>
      </c>
      <c r="P77">
        <v>0</v>
      </c>
      <c r="Q77">
        <v>1440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170</v>
      </c>
      <c r="AH77" s="21" t="s">
        <v>3424</v>
      </c>
      <c r="AI77" s="21">
        <v>107.92500000000001</v>
      </c>
      <c r="AJ77" s="21">
        <v>100</v>
      </c>
      <c r="AK77" s="21" t="s">
        <v>2054</v>
      </c>
      <c r="AL77" t="s">
        <v>70</v>
      </c>
      <c r="AM77" t="s">
        <v>2029</v>
      </c>
    </row>
    <row r="78" spans="1:39" ht="15" hidden="1" thickTop="1" x14ac:dyDescent="0.35">
      <c r="A78" t="s">
        <v>2326</v>
      </c>
      <c r="B78" t="s">
        <v>2344</v>
      </c>
      <c r="C78" t="s">
        <v>100</v>
      </c>
      <c r="D78" t="s">
        <v>2345</v>
      </c>
      <c r="E78" t="s">
        <v>559</v>
      </c>
      <c r="F78">
        <v>1</v>
      </c>
      <c r="G78" t="s">
        <v>2050</v>
      </c>
      <c r="H78" t="s">
        <v>2051</v>
      </c>
      <c r="I78" t="s">
        <v>53</v>
      </c>
      <c r="J78" t="s">
        <v>67</v>
      </c>
      <c r="K78" t="s">
        <v>68</v>
      </c>
      <c r="L78" t="s">
        <v>2052</v>
      </c>
      <c r="M78" t="s">
        <v>2053</v>
      </c>
      <c r="N78">
        <v>0</v>
      </c>
      <c r="O78">
        <v>0</v>
      </c>
      <c r="P78">
        <v>0</v>
      </c>
      <c r="Q78">
        <v>1440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173</v>
      </c>
      <c r="AH78" s="21" t="s">
        <v>3425</v>
      </c>
      <c r="AI78" s="21">
        <v>107.92500000000001</v>
      </c>
      <c r="AJ78" s="21">
        <v>100</v>
      </c>
      <c r="AK78" s="21" t="s">
        <v>2054</v>
      </c>
      <c r="AL78" t="s">
        <v>70</v>
      </c>
      <c r="AM78" t="s">
        <v>2028</v>
      </c>
    </row>
    <row r="79" spans="1:39" ht="15" hidden="1" thickTop="1" x14ac:dyDescent="0.35">
      <c r="A79" t="s">
        <v>2327</v>
      </c>
      <c r="B79" t="s">
        <v>2346</v>
      </c>
      <c r="C79" t="s">
        <v>78</v>
      </c>
      <c r="D79" t="s">
        <v>2347</v>
      </c>
      <c r="E79" t="s">
        <v>559</v>
      </c>
      <c r="F79">
        <v>1</v>
      </c>
      <c r="G79" t="s">
        <v>2050</v>
      </c>
      <c r="H79" t="s">
        <v>2051</v>
      </c>
      <c r="I79" t="s">
        <v>53</v>
      </c>
      <c r="J79" t="s">
        <v>67</v>
      </c>
      <c r="K79" t="s">
        <v>68</v>
      </c>
      <c r="L79" t="s">
        <v>2052</v>
      </c>
      <c r="M79" t="s">
        <v>2064</v>
      </c>
      <c r="N79">
        <v>0</v>
      </c>
      <c r="O79">
        <v>0</v>
      </c>
      <c r="P79">
        <v>0</v>
      </c>
      <c r="Q79">
        <v>900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174</v>
      </c>
      <c r="AH79" s="21" t="s">
        <v>3425</v>
      </c>
      <c r="AI79" s="21">
        <v>67.5</v>
      </c>
      <c r="AJ79" s="21">
        <v>100</v>
      </c>
      <c r="AK79" s="21" t="s">
        <v>2054</v>
      </c>
      <c r="AL79" t="s">
        <v>70</v>
      </c>
      <c r="AM79" t="s">
        <v>2028</v>
      </c>
    </row>
    <row r="80" spans="1:39" ht="15" hidden="1" thickTop="1" x14ac:dyDescent="0.35">
      <c r="A80" t="s">
        <v>2328</v>
      </c>
      <c r="B80" t="s">
        <v>2348</v>
      </c>
      <c r="C80" t="s">
        <v>100</v>
      </c>
      <c r="D80" t="s">
        <v>2349</v>
      </c>
      <c r="E80" t="s">
        <v>559</v>
      </c>
      <c r="F80">
        <v>1</v>
      </c>
      <c r="G80" t="s">
        <v>2050</v>
      </c>
      <c r="H80" t="s">
        <v>2051</v>
      </c>
      <c r="I80" t="s">
        <v>53</v>
      </c>
      <c r="J80" t="s">
        <v>67</v>
      </c>
      <c r="K80" t="s">
        <v>68</v>
      </c>
      <c r="L80" t="s">
        <v>2052</v>
      </c>
      <c r="M80" t="s">
        <v>2053</v>
      </c>
      <c r="N80">
        <v>0</v>
      </c>
      <c r="O80">
        <v>0</v>
      </c>
      <c r="P80">
        <v>0</v>
      </c>
      <c r="Q80">
        <v>1440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175</v>
      </c>
      <c r="AH80" s="21" t="s">
        <v>3425</v>
      </c>
      <c r="AI80" s="21">
        <v>107.92500000000001</v>
      </c>
      <c r="AJ80" s="21">
        <v>100</v>
      </c>
      <c r="AK80" s="21" t="s">
        <v>2054</v>
      </c>
      <c r="AL80" t="s">
        <v>70</v>
      </c>
      <c r="AM80" t="s">
        <v>2030</v>
      </c>
    </row>
    <row r="81" spans="1:39" ht="15" hidden="1" thickTop="1" x14ac:dyDescent="0.35">
      <c r="A81" t="s">
        <v>2334</v>
      </c>
      <c r="B81" t="s">
        <v>2350</v>
      </c>
      <c r="C81" t="s">
        <v>565</v>
      </c>
      <c r="D81" t="s">
        <v>2351</v>
      </c>
      <c r="E81" t="s">
        <v>559</v>
      </c>
      <c r="F81">
        <v>2</v>
      </c>
      <c r="G81" t="s">
        <v>2050</v>
      </c>
      <c r="H81" t="s">
        <v>2051</v>
      </c>
      <c r="I81" t="s">
        <v>53</v>
      </c>
      <c r="J81" t="s">
        <v>427</v>
      </c>
      <c r="K81" t="s">
        <v>68</v>
      </c>
      <c r="L81" t="s">
        <v>2052</v>
      </c>
      <c r="M81" t="s">
        <v>2053</v>
      </c>
      <c r="N81">
        <v>0</v>
      </c>
      <c r="O81">
        <v>0</v>
      </c>
      <c r="P81">
        <v>0</v>
      </c>
      <c r="Q81">
        <v>1440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176</v>
      </c>
      <c r="AH81" s="21" t="s">
        <v>3428</v>
      </c>
      <c r="AI81" s="21">
        <v>107.92500000000001</v>
      </c>
      <c r="AJ81" s="21">
        <v>100</v>
      </c>
      <c r="AK81" s="21" t="s">
        <v>2054</v>
      </c>
      <c r="AL81" t="s">
        <v>70</v>
      </c>
      <c r="AM81" t="s">
        <v>2029</v>
      </c>
    </row>
    <row r="82" spans="1:39" ht="15" hidden="1" thickTop="1" x14ac:dyDescent="0.35">
      <c r="A82" t="s">
        <v>2342</v>
      </c>
      <c r="B82" t="s">
        <v>2352</v>
      </c>
      <c r="C82" t="s">
        <v>76</v>
      </c>
      <c r="D82" t="s">
        <v>2353</v>
      </c>
      <c r="E82" t="s">
        <v>559</v>
      </c>
      <c r="F82">
        <v>1</v>
      </c>
      <c r="G82" t="s">
        <v>2050</v>
      </c>
      <c r="H82" t="s">
        <v>2051</v>
      </c>
      <c r="I82" t="s">
        <v>53</v>
      </c>
      <c r="J82" t="s">
        <v>67</v>
      </c>
      <c r="K82" t="s">
        <v>68</v>
      </c>
      <c r="L82" t="s">
        <v>2052</v>
      </c>
      <c r="M82" t="s">
        <v>2064</v>
      </c>
      <c r="N82">
        <v>0</v>
      </c>
      <c r="O82">
        <v>0</v>
      </c>
      <c r="P82">
        <v>0</v>
      </c>
      <c r="Q82">
        <v>900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177</v>
      </c>
      <c r="AH82" s="21" t="s">
        <v>3424</v>
      </c>
      <c r="AI82" s="21">
        <v>67.5</v>
      </c>
      <c r="AJ82" s="21">
        <v>100</v>
      </c>
      <c r="AK82" s="21" t="s">
        <v>2054</v>
      </c>
      <c r="AL82" t="s">
        <v>70</v>
      </c>
      <c r="AM82" t="s">
        <v>2029</v>
      </c>
    </row>
    <row r="83" spans="1:39" ht="15" hidden="1" thickTop="1" x14ac:dyDescent="0.35">
      <c r="A83" t="s">
        <v>2354</v>
      </c>
      <c r="B83" t="s">
        <v>2358</v>
      </c>
      <c r="C83" t="s">
        <v>81</v>
      </c>
      <c r="D83" t="s">
        <v>2359</v>
      </c>
      <c r="E83" t="s">
        <v>559</v>
      </c>
      <c r="F83">
        <v>2</v>
      </c>
      <c r="G83" t="s">
        <v>2050</v>
      </c>
      <c r="H83" t="s">
        <v>2051</v>
      </c>
      <c r="I83" t="s">
        <v>53</v>
      </c>
      <c r="J83" t="s">
        <v>82</v>
      </c>
      <c r="K83" t="s">
        <v>68</v>
      </c>
      <c r="L83" t="s">
        <v>2052</v>
      </c>
      <c r="M83" t="s">
        <v>2053</v>
      </c>
      <c r="N83">
        <v>0</v>
      </c>
      <c r="O83">
        <v>0</v>
      </c>
      <c r="P83">
        <v>0</v>
      </c>
      <c r="Q83">
        <v>1440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272</v>
      </c>
      <c r="AH83" s="21" t="s">
        <v>3424</v>
      </c>
      <c r="AI83" s="21">
        <v>107.92500000000001</v>
      </c>
      <c r="AJ83" s="21">
        <v>100</v>
      </c>
      <c r="AK83" s="21" t="s">
        <v>2054</v>
      </c>
      <c r="AL83" t="s">
        <v>70</v>
      </c>
      <c r="AM83" t="s">
        <v>2029</v>
      </c>
    </row>
    <row r="84" spans="1:39" ht="15" hidden="1" thickTop="1" x14ac:dyDescent="0.35">
      <c r="A84" t="s">
        <v>2356</v>
      </c>
      <c r="B84" t="s">
        <v>2360</v>
      </c>
      <c r="C84" t="s">
        <v>92</v>
      </c>
      <c r="D84" t="s">
        <v>2361</v>
      </c>
      <c r="E84" t="s">
        <v>119</v>
      </c>
      <c r="F84">
        <v>1</v>
      </c>
      <c r="G84" t="s">
        <v>2050</v>
      </c>
      <c r="H84" t="s">
        <v>2051</v>
      </c>
      <c r="I84" t="s">
        <v>53</v>
      </c>
      <c r="J84" t="s">
        <v>67</v>
      </c>
      <c r="K84" t="s">
        <v>68</v>
      </c>
      <c r="L84" t="s">
        <v>2052</v>
      </c>
      <c r="M84" t="s">
        <v>2053</v>
      </c>
      <c r="N84">
        <v>0</v>
      </c>
      <c r="O84">
        <v>0</v>
      </c>
      <c r="P84">
        <v>0</v>
      </c>
      <c r="Q84">
        <v>1440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221</v>
      </c>
      <c r="AH84" s="21" t="s">
        <v>3424</v>
      </c>
      <c r="AI84" s="21">
        <v>107.92500000000001</v>
      </c>
      <c r="AJ84" s="21">
        <v>100</v>
      </c>
      <c r="AK84" s="21" t="s">
        <v>2054</v>
      </c>
      <c r="AL84" t="s">
        <v>70</v>
      </c>
      <c r="AM84" t="s">
        <v>2029</v>
      </c>
    </row>
    <row r="85" spans="1:39" ht="15" hidden="1" thickTop="1" x14ac:dyDescent="0.35">
      <c r="A85" t="s">
        <v>2362</v>
      </c>
      <c r="B85" t="s">
        <v>2365</v>
      </c>
      <c r="C85" t="s">
        <v>66</v>
      </c>
      <c r="D85" t="s">
        <v>2366</v>
      </c>
      <c r="E85" t="s">
        <v>559</v>
      </c>
      <c r="F85">
        <v>1</v>
      </c>
      <c r="G85" t="s">
        <v>2050</v>
      </c>
      <c r="H85" t="s">
        <v>2051</v>
      </c>
      <c r="I85" t="s">
        <v>53</v>
      </c>
      <c r="J85" t="s">
        <v>67</v>
      </c>
      <c r="K85" t="s">
        <v>68</v>
      </c>
      <c r="L85" t="s">
        <v>2052</v>
      </c>
      <c r="M85" t="s">
        <v>2053</v>
      </c>
      <c r="N85">
        <v>0</v>
      </c>
      <c r="O85">
        <v>0</v>
      </c>
      <c r="P85">
        <v>0</v>
      </c>
      <c r="Q85">
        <v>1440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267</v>
      </c>
      <c r="AH85" s="21" t="s">
        <v>3424</v>
      </c>
      <c r="AI85" s="21">
        <v>107.92500000000001</v>
      </c>
      <c r="AJ85" s="21">
        <v>100</v>
      </c>
      <c r="AK85" s="21" t="s">
        <v>2054</v>
      </c>
      <c r="AL85" t="s">
        <v>70</v>
      </c>
      <c r="AM85" t="s">
        <v>2028</v>
      </c>
    </row>
    <row r="86" spans="1:39" ht="15" hidden="1" thickTop="1" x14ac:dyDescent="0.35">
      <c r="A86" t="s">
        <v>2363</v>
      </c>
      <c r="B86" t="s">
        <v>2367</v>
      </c>
      <c r="C86" t="s">
        <v>76</v>
      </c>
      <c r="D86" t="s">
        <v>2368</v>
      </c>
      <c r="E86" t="s">
        <v>559</v>
      </c>
      <c r="F86">
        <v>2</v>
      </c>
      <c r="G86" t="s">
        <v>2050</v>
      </c>
      <c r="H86" t="s">
        <v>2051</v>
      </c>
      <c r="I86" t="s">
        <v>53</v>
      </c>
      <c r="J86" t="s">
        <v>67</v>
      </c>
      <c r="K86" t="s">
        <v>68</v>
      </c>
      <c r="L86" t="s">
        <v>2052</v>
      </c>
      <c r="M86" t="s">
        <v>2053</v>
      </c>
      <c r="N86">
        <v>0</v>
      </c>
      <c r="O86">
        <v>0</v>
      </c>
      <c r="P86">
        <v>0</v>
      </c>
      <c r="Q86">
        <v>1440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352</v>
      </c>
      <c r="AH86" s="21" t="s">
        <v>3424</v>
      </c>
      <c r="AI86" s="21">
        <v>107.92500000000001</v>
      </c>
      <c r="AJ86" s="21">
        <v>100</v>
      </c>
      <c r="AK86" s="21" t="s">
        <v>2055</v>
      </c>
      <c r="AL86" t="s">
        <v>70</v>
      </c>
      <c r="AM86" t="s">
        <v>2030</v>
      </c>
    </row>
    <row r="87" spans="1:39" ht="15" hidden="1" thickTop="1" x14ac:dyDescent="0.35">
      <c r="A87" t="s">
        <v>2369</v>
      </c>
      <c r="B87" t="s">
        <v>2375</v>
      </c>
      <c r="C87" t="s">
        <v>92</v>
      </c>
      <c r="D87" t="s">
        <v>2376</v>
      </c>
      <c r="E87" t="s">
        <v>119</v>
      </c>
      <c r="F87">
        <v>1</v>
      </c>
      <c r="G87" t="s">
        <v>2050</v>
      </c>
      <c r="H87" t="s">
        <v>2051</v>
      </c>
      <c r="I87" t="s">
        <v>53</v>
      </c>
      <c r="J87" t="s">
        <v>67</v>
      </c>
      <c r="K87" t="s">
        <v>68</v>
      </c>
      <c r="L87" t="s">
        <v>2052</v>
      </c>
      <c r="M87" t="s">
        <v>2053</v>
      </c>
      <c r="N87">
        <v>0</v>
      </c>
      <c r="O87">
        <v>0</v>
      </c>
      <c r="P87">
        <v>0</v>
      </c>
      <c r="Q87">
        <v>1440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183</v>
      </c>
      <c r="AH87" s="21" t="s">
        <v>3425</v>
      </c>
      <c r="AI87" s="21">
        <v>107.92500000000001</v>
      </c>
      <c r="AJ87" s="21">
        <v>100</v>
      </c>
      <c r="AK87" s="21" t="s">
        <v>2054</v>
      </c>
      <c r="AL87" t="s">
        <v>70</v>
      </c>
      <c r="AM87" t="s">
        <v>2027</v>
      </c>
    </row>
    <row r="88" spans="1:39" ht="15" hidden="1" thickTop="1" x14ac:dyDescent="0.35">
      <c r="A88" t="s">
        <v>2371</v>
      </c>
      <c r="B88" t="s">
        <v>2377</v>
      </c>
      <c r="C88" t="s">
        <v>102</v>
      </c>
      <c r="D88" t="s">
        <v>2378</v>
      </c>
      <c r="E88" t="s">
        <v>559</v>
      </c>
      <c r="F88">
        <v>1</v>
      </c>
      <c r="G88" t="s">
        <v>2050</v>
      </c>
      <c r="H88" t="s">
        <v>2051</v>
      </c>
      <c r="I88" t="s">
        <v>53</v>
      </c>
      <c r="J88" t="s">
        <v>67</v>
      </c>
      <c r="K88" t="s">
        <v>68</v>
      </c>
      <c r="L88" t="s">
        <v>2052</v>
      </c>
      <c r="M88" t="s">
        <v>2053</v>
      </c>
      <c r="N88">
        <v>0</v>
      </c>
      <c r="O88">
        <v>0</v>
      </c>
      <c r="P88">
        <v>0</v>
      </c>
      <c r="Q88">
        <v>1440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195</v>
      </c>
      <c r="AH88" s="21" t="s">
        <v>3429</v>
      </c>
      <c r="AI88" s="21">
        <v>107.92500000000001</v>
      </c>
      <c r="AJ88" s="21">
        <v>100</v>
      </c>
      <c r="AK88" s="21" t="s">
        <v>2054</v>
      </c>
      <c r="AL88" t="s">
        <v>70</v>
      </c>
      <c r="AM88" t="s">
        <v>2027</v>
      </c>
    </row>
    <row r="89" spans="1:39" ht="15" hidden="1" thickTop="1" x14ac:dyDescent="0.35">
      <c r="A89" t="s">
        <v>2373</v>
      </c>
      <c r="B89" t="s">
        <v>2379</v>
      </c>
      <c r="C89" t="s">
        <v>100</v>
      </c>
      <c r="D89" t="s">
        <v>2380</v>
      </c>
      <c r="E89" t="s">
        <v>559</v>
      </c>
      <c r="F89">
        <v>1</v>
      </c>
      <c r="G89" t="s">
        <v>2050</v>
      </c>
      <c r="H89" t="s">
        <v>2051</v>
      </c>
      <c r="I89" t="s">
        <v>53</v>
      </c>
      <c r="J89" t="s">
        <v>67</v>
      </c>
      <c r="K89" t="s">
        <v>68</v>
      </c>
      <c r="L89" t="s">
        <v>2052</v>
      </c>
      <c r="M89" t="s">
        <v>2053</v>
      </c>
      <c r="N89">
        <v>0</v>
      </c>
      <c r="O89">
        <v>0</v>
      </c>
      <c r="P89">
        <v>0</v>
      </c>
      <c r="Q89">
        <v>1440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171</v>
      </c>
      <c r="AH89" s="21" t="s">
        <v>3424</v>
      </c>
      <c r="AI89" s="21">
        <v>107.92500000000001</v>
      </c>
      <c r="AJ89" s="21">
        <v>100</v>
      </c>
      <c r="AK89" s="21" t="s">
        <v>2055</v>
      </c>
      <c r="AL89" t="s">
        <v>70</v>
      </c>
      <c r="AM89" t="s">
        <v>2030</v>
      </c>
    </row>
    <row r="90" spans="1:39" ht="15" hidden="1" thickTop="1" x14ac:dyDescent="0.35">
      <c r="A90" t="s">
        <v>2381</v>
      </c>
      <c r="B90" t="s">
        <v>2386</v>
      </c>
      <c r="C90" t="s">
        <v>92</v>
      </c>
      <c r="D90" t="s">
        <v>2387</v>
      </c>
      <c r="E90" t="s">
        <v>559</v>
      </c>
      <c r="F90">
        <v>1</v>
      </c>
      <c r="G90" t="s">
        <v>2050</v>
      </c>
      <c r="H90" t="s">
        <v>2051</v>
      </c>
      <c r="I90" t="s">
        <v>53</v>
      </c>
      <c r="J90" t="s">
        <v>67</v>
      </c>
      <c r="K90" t="s">
        <v>68</v>
      </c>
      <c r="L90" t="s">
        <v>2052</v>
      </c>
      <c r="M90" t="s">
        <v>2064</v>
      </c>
      <c r="N90">
        <v>0</v>
      </c>
      <c r="O90">
        <v>0</v>
      </c>
      <c r="P90">
        <v>0</v>
      </c>
      <c r="Q90">
        <v>900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338</v>
      </c>
      <c r="AH90" s="21" t="s">
        <v>3424</v>
      </c>
      <c r="AI90" s="21">
        <v>67.5</v>
      </c>
      <c r="AJ90" s="21">
        <v>100</v>
      </c>
      <c r="AK90" s="21" t="s">
        <v>2054</v>
      </c>
      <c r="AL90" t="s">
        <v>70</v>
      </c>
      <c r="AM90" t="s">
        <v>2029</v>
      </c>
    </row>
    <row r="91" spans="1:39" ht="15" hidden="1" thickTop="1" x14ac:dyDescent="0.35">
      <c r="A91" t="s">
        <v>2067</v>
      </c>
      <c r="B91" t="s">
        <v>2388</v>
      </c>
      <c r="C91" t="s">
        <v>100</v>
      </c>
      <c r="D91" t="s">
        <v>2389</v>
      </c>
      <c r="E91" t="s">
        <v>119</v>
      </c>
      <c r="F91">
        <v>1</v>
      </c>
      <c r="G91" t="s">
        <v>2050</v>
      </c>
      <c r="H91" t="s">
        <v>2051</v>
      </c>
      <c r="I91" t="s">
        <v>53</v>
      </c>
      <c r="J91" t="s">
        <v>67</v>
      </c>
      <c r="K91" t="s">
        <v>68</v>
      </c>
      <c r="L91" t="s">
        <v>2052</v>
      </c>
      <c r="M91" t="s">
        <v>2064</v>
      </c>
      <c r="N91">
        <v>0</v>
      </c>
      <c r="O91">
        <v>0</v>
      </c>
      <c r="P91">
        <v>0</v>
      </c>
      <c r="Q91">
        <v>900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357</v>
      </c>
      <c r="AH91" s="21" t="s">
        <v>3425</v>
      </c>
      <c r="AI91" s="21">
        <v>67.5</v>
      </c>
      <c r="AJ91" s="21">
        <v>100</v>
      </c>
      <c r="AK91" s="21" t="s">
        <v>2054</v>
      </c>
      <c r="AL91" t="s">
        <v>70</v>
      </c>
      <c r="AM91" t="s">
        <v>2028</v>
      </c>
    </row>
    <row r="92" spans="1:39" ht="15" hidden="1" thickTop="1" x14ac:dyDescent="0.35">
      <c r="A92" t="s">
        <v>2384</v>
      </c>
      <c r="B92" t="s">
        <v>3409</v>
      </c>
      <c r="C92" t="s">
        <v>71</v>
      </c>
      <c r="D92" t="s">
        <v>3410</v>
      </c>
      <c r="E92" t="s">
        <v>72</v>
      </c>
      <c r="F92">
        <v>1</v>
      </c>
      <c r="G92" t="s">
        <v>2050</v>
      </c>
      <c r="H92" t="s">
        <v>2051</v>
      </c>
      <c r="I92" t="s">
        <v>53</v>
      </c>
      <c r="J92" t="s">
        <v>73</v>
      </c>
      <c r="K92" t="s">
        <v>68</v>
      </c>
      <c r="L92" t="s">
        <v>2052</v>
      </c>
      <c r="M92" t="s">
        <v>2053</v>
      </c>
      <c r="N92">
        <v>0</v>
      </c>
      <c r="O92">
        <v>0</v>
      </c>
      <c r="P92">
        <v>0</v>
      </c>
      <c r="Q92">
        <v>1440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295</v>
      </c>
      <c r="AH92" s="21" t="s">
        <v>3427</v>
      </c>
      <c r="AI92" s="21">
        <v>107.92500000000001</v>
      </c>
      <c r="AJ92" s="21">
        <v>100</v>
      </c>
      <c r="AK92" s="21" t="s">
        <v>2054</v>
      </c>
      <c r="AL92" t="s">
        <v>75</v>
      </c>
      <c r="AM92" t="s">
        <v>2032</v>
      </c>
    </row>
    <row r="93" spans="1:39" ht="15" hidden="1" thickTop="1" x14ac:dyDescent="0.35">
      <c r="A93" t="s">
        <v>2390</v>
      </c>
      <c r="B93" t="s">
        <v>3402</v>
      </c>
      <c r="C93" t="s">
        <v>66</v>
      </c>
      <c r="D93" t="s">
        <v>3403</v>
      </c>
      <c r="E93" t="s">
        <v>559</v>
      </c>
      <c r="F93">
        <v>1</v>
      </c>
      <c r="G93" t="s">
        <v>2050</v>
      </c>
      <c r="H93" t="s">
        <v>2051</v>
      </c>
      <c r="I93" t="s">
        <v>53</v>
      </c>
      <c r="J93" t="s">
        <v>67</v>
      </c>
      <c r="K93" t="s">
        <v>68</v>
      </c>
      <c r="L93" t="s">
        <v>2052</v>
      </c>
      <c r="M93" t="s">
        <v>2064</v>
      </c>
      <c r="N93">
        <v>0</v>
      </c>
      <c r="O93">
        <v>0</v>
      </c>
      <c r="P93">
        <v>0</v>
      </c>
      <c r="Q93">
        <v>900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172</v>
      </c>
      <c r="AH93" s="21" t="s">
        <v>3425</v>
      </c>
      <c r="AI93" s="21">
        <v>67.5</v>
      </c>
      <c r="AJ93" s="21">
        <v>100</v>
      </c>
      <c r="AK93" s="21" t="s">
        <v>2054</v>
      </c>
      <c r="AL93" t="s">
        <v>70</v>
      </c>
      <c r="AM93" t="s">
        <v>2032</v>
      </c>
    </row>
    <row r="94" spans="1:39" ht="15" hidden="1" thickTop="1" x14ac:dyDescent="0.35">
      <c r="A94" t="s">
        <v>2405</v>
      </c>
      <c r="B94" t="s">
        <v>2392</v>
      </c>
      <c r="C94" t="s">
        <v>78</v>
      </c>
      <c r="D94" t="s">
        <v>2393</v>
      </c>
      <c r="E94" t="s">
        <v>559</v>
      </c>
      <c r="F94">
        <v>1</v>
      </c>
      <c r="G94" t="s">
        <v>2050</v>
      </c>
      <c r="H94" t="s">
        <v>2051</v>
      </c>
      <c r="I94" t="s">
        <v>53</v>
      </c>
      <c r="J94" t="s">
        <v>67</v>
      </c>
      <c r="K94" t="s">
        <v>68</v>
      </c>
      <c r="L94" t="s">
        <v>2052</v>
      </c>
      <c r="M94" t="s">
        <v>2053</v>
      </c>
      <c r="N94">
        <v>0</v>
      </c>
      <c r="O94">
        <v>0</v>
      </c>
      <c r="P94">
        <v>0</v>
      </c>
      <c r="Q94">
        <v>1440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178</v>
      </c>
      <c r="AH94" s="21" t="s">
        <v>3425</v>
      </c>
      <c r="AI94" s="21">
        <v>107.92500000000001</v>
      </c>
      <c r="AJ94" s="21">
        <v>100</v>
      </c>
      <c r="AK94" s="21" t="s">
        <v>2055</v>
      </c>
      <c r="AL94" t="s">
        <v>70</v>
      </c>
      <c r="AM94" t="s">
        <v>2030</v>
      </c>
    </row>
    <row r="95" spans="1:39" ht="15" hidden="1" thickTop="1" x14ac:dyDescent="0.35">
      <c r="A95" t="s">
        <v>2406</v>
      </c>
      <c r="B95" t="s">
        <v>2394</v>
      </c>
      <c r="C95" t="s">
        <v>92</v>
      </c>
      <c r="D95" t="s">
        <v>2395</v>
      </c>
      <c r="E95" t="s">
        <v>559</v>
      </c>
      <c r="F95">
        <v>1</v>
      </c>
      <c r="G95" t="s">
        <v>2050</v>
      </c>
      <c r="H95" t="s">
        <v>2051</v>
      </c>
      <c r="I95" t="s">
        <v>53</v>
      </c>
      <c r="J95" t="s">
        <v>67</v>
      </c>
      <c r="K95" t="s">
        <v>68</v>
      </c>
      <c r="L95" t="s">
        <v>2052</v>
      </c>
      <c r="M95" t="s">
        <v>2053</v>
      </c>
      <c r="N95">
        <v>0</v>
      </c>
      <c r="O95">
        <v>0</v>
      </c>
      <c r="P95">
        <v>0</v>
      </c>
      <c r="Q95">
        <v>1440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179</v>
      </c>
      <c r="AH95" s="21" t="s">
        <v>3424</v>
      </c>
      <c r="AI95" s="21">
        <v>107.92500000000001</v>
      </c>
      <c r="AJ95" s="21">
        <v>100</v>
      </c>
      <c r="AK95" s="21" t="s">
        <v>2054</v>
      </c>
      <c r="AL95" t="s">
        <v>70</v>
      </c>
      <c r="AM95" t="s">
        <v>2027</v>
      </c>
    </row>
    <row r="96" spans="1:39" ht="15" hidden="1" thickTop="1" x14ac:dyDescent="0.35">
      <c r="A96" t="s">
        <v>2407</v>
      </c>
      <c r="B96" t="s">
        <v>2396</v>
      </c>
      <c r="C96" t="s">
        <v>117</v>
      </c>
      <c r="D96" t="s">
        <v>2397</v>
      </c>
      <c r="E96" t="s">
        <v>559</v>
      </c>
      <c r="F96">
        <v>1</v>
      </c>
      <c r="G96" t="s">
        <v>2050</v>
      </c>
      <c r="H96" t="s">
        <v>2051</v>
      </c>
      <c r="I96" t="s">
        <v>53</v>
      </c>
      <c r="J96" t="s">
        <v>67</v>
      </c>
      <c r="K96" t="s">
        <v>68</v>
      </c>
      <c r="L96" t="s">
        <v>2052</v>
      </c>
      <c r="M96" t="s">
        <v>2053</v>
      </c>
      <c r="N96">
        <v>0</v>
      </c>
      <c r="O96">
        <v>0</v>
      </c>
      <c r="P96">
        <v>0</v>
      </c>
      <c r="Q96">
        <v>1440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180</v>
      </c>
      <c r="AH96" s="21" t="s">
        <v>3424</v>
      </c>
      <c r="AI96" s="21">
        <v>107.92500000000001</v>
      </c>
      <c r="AJ96" s="21">
        <v>100</v>
      </c>
      <c r="AK96" s="21" t="s">
        <v>2054</v>
      </c>
      <c r="AL96" t="s">
        <v>70</v>
      </c>
      <c r="AM96" t="s">
        <v>2027</v>
      </c>
    </row>
    <row r="97" spans="1:39" ht="15" hidden="1" thickTop="1" x14ac:dyDescent="0.35">
      <c r="A97" t="s">
        <v>2408</v>
      </c>
      <c r="B97" t="s">
        <v>2398</v>
      </c>
      <c r="C97" t="s">
        <v>66</v>
      </c>
      <c r="D97" t="s">
        <v>2399</v>
      </c>
      <c r="E97" t="s">
        <v>559</v>
      </c>
      <c r="F97">
        <v>1</v>
      </c>
      <c r="G97" t="s">
        <v>2050</v>
      </c>
      <c r="H97" t="s">
        <v>2051</v>
      </c>
      <c r="I97" t="s">
        <v>53</v>
      </c>
      <c r="J97" t="s">
        <v>67</v>
      </c>
      <c r="K97" t="s">
        <v>68</v>
      </c>
      <c r="L97" t="s">
        <v>2052</v>
      </c>
      <c r="M97" t="s">
        <v>2053</v>
      </c>
      <c r="N97">
        <v>0</v>
      </c>
      <c r="O97">
        <v>0</v>
      </c>
      <c r="P97">
        <v>0</v>
      </c>
      <c r="Q97">
        <v>1440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181</v>
      </c>
      <c r="AH97" s="21" t="s">
        <v>3429</v>
      </c>
      <c r="AI97" s="21">
        <v>107.92500000000001</v>
      </c>
      <c r="AJ97" s="21">
        <v>100</v>
      </c>
      <c r="AK97" s="21" t="s">
        <v>2055</v>
      </c>
      <c r="AL97" t="s">
        <v>70</v>
      </c>
      <c r="AM97" t="s">
        <v>2027</v>
      </c>
    </row>
    <row r="98" spans="1:39" ht="15" hidden="1" thickTop="1" x14ac:dyDescent="0.35">
      <c r="A98" t="s">
        <v>2409</v>
      </c>
      <c r="B98" t="s">
        <v>2400</v>
      </c>
      <c r="C98" t="s">
        <v>3376</v>
      </c>
      <c r="D98" t="s">
        <v>2401</v>
      </c>
      <c r="E98" t="s">
        <v>559</v>
      </c>
      <c r="F98">
        <v>1</v>
      </c>
      <c r="G98" t="s">
        <v>2050</v>
      </c>
      <c r="H98" t="s">
        <v>2051</v>
      </c>
      <c r="I98" t="s">
        <v>53</v>
      </c>
      <c r="J98" t="s">
        <v>67</v>
      </c>
      <c r="K98" t="s">
        <v>68</v>
      </c>
      <c r="L98" t="s">
        <v>2052</v>
      </c>
      <c r="M98" t="s">
        <v>2053</v>
      </c>
      <c r="N98">
        <v>0</v>
      </c>
      <c r="O98">
        <v>0</v>
      </c>
      <c r="P98">
        <v>0</v>
      </c>
      <c r="Q98">
        <v>1440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182</v>
      </c>
      <c r="AH98" s="21" t="s">
        <v>3424</v>
      </c>
      <c r="AI98" s="21">
        <v>107.92500000000001</v>
      </c>
      <c r="AJ98" s="21">
        <v>100</v>
      </c>
      <c r="AK98" s="21" t="s">
        <v>2054</v>
      </c>
      <c r="AL98" t="s">
        <v>70</v>
      </c>
      <c r="AM98" t="s">
        <v>2029</v>
      </c>
    </row>
    <row r="99" spans="1:39" ht="15" hidden="1" thickTop="1" x14ac:dyDescent="0.35">
      <c r="A99" t="s">
        <v>2414</v>
      </c>
      <c r="B99" t="s">
        <v>2402</v>
      </c>
      <c r="C99" t="s">
        <v>111</v>
      </c>
      <c r="D99" t="s">
        <v>2403</v>
      </c>
      <c r="E99" t="s">
        <v>112</v>
      </c>
      <c r="F99">
        <v>1</v>
      </c>
      <c r="G99" t="s">
        <v>2050</v>
      </c>
      <c r="H99" t="s">
        <v>2051</v>
      </c>
      <c r="I99" t="s">
        <v>53</v>
      </c>
      <c r="J99" t="s">
        <v>113</v>
      </c>
      <c r="K99" t="s">
        <v>68</v>
      </c>
      <c r="L99" t="s">
        <v>2052</v>
      </c>
      <c r="M99" t="s">
        <v>2053</v>
      </c>
      <c r="N99">
        <v>0</v>
      </c>
      <c r="O99">
        <v>0</v>
      </c>
      <c r="P99">
        <v>0</v>
      </c>
      <c r="Q99">
        <v>1440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184</v>
      </c>
      <c r="AH99" s="21" t="s">
        <v>3430</v>
      </c>
      <c r="AI99" s="21">
        <v>107.92500000000001</v>
      </c>
      <c r="AJ99" s="21">
        <v>100</v>
      </c>
      <c r="AK99" s="21" t="s">
        <v>2054</v>
      </c>
      <c r="AL99" t="s">
        <v>115</v>
      </c>
      <c r="AM99" t="s">
        <v>2027</v>
      </c>
    </row>
    <row r="100" spans="1:39" ht="15" hidden="1" thickTop="1" x14ac:dyDescent="0.35">
      <c r="A100" t="s">
        <v>2426</v>
      </c>
      <c r="B100" t="s">
        <v>2418</v>
      </c>
      <c r="C100" t="s">
        <v>117</v>
      </c>
      <c r="D100" t="s">
        <v>2419</v>
      </c>
      <c r="E100" t="s">
        <v>559</v>
      </c>
      <c r="F100">
        <v>1</v>
      </c>
      <c r="G100" t="s">
        <v>2050</v>
      </c>
      <c r="H100" t="s">
        <v>2051</v>
      </c>
      <c r="I100" t="s">
        <v>53</v>
      </c>
      <c r="J100" t="s">
        <v>67</v>
      </c>
      <c r="K100" t="s">
        <v>68</v>
      </c>
      <c r="L100" t="s">
        <v>2052</v>
      </c>
      <c r="M100" t="s">
        <v>2053</v>
      </c>
      <c r="N100">
        <v>0</v>
      </c>
      <c r="O100">
        <v>0</v>
      </c>
      <c r="P100">
        <v>0</v>
      </c>
      <c r="Q100">
        <v>1440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185</v>
      </c>
      <c r="AH100" s="21" t="s">
        <v>3427</v>
      </c>
      <c r="AI100" s="21">
        <v>107.92500000000001</v>
      </c>
      <c r="AJ100" s="21">
        <v>100</v>
      </c>
      <c r="AK100" s="21" t="s">
        <v>2054</v>
      </c>
      <c r="AL100" t="s">
        <v>70</v>
      </c>
      <c r="AM100" t="s">
        <v>2027</v>
      </c>
    </row>
    <row r="101" spans="1:39" ht="15" hidden="1" thickTop="1" x14ac:dyDescent="0.35">
      <c r="A101" t="s">
        <v>2442</v>
      </c>
      <c r="B101" t="s">
        <v>2421</v>
      </c>
      <c r="C101" t="s">
        <v>3376</v>
      </c>
      <c r="D101" t="s">
        <v>2422</v>
      </c>
      <c r="E101" t="s">
        <v>559</v>
      </c>
      <c r="F101">
        <v>1</v>
      </c>
      <c r="G101" t="s">
        <v>2050</v>
      </c>
      <c r="H101" t="s">
        <v>2051</v>
      </c>
      <c r="I101" t="s">
        <v>53</v>
      </c>
      <c r="J101" t="s">
        <v>67</v>
      </c>
      <c r="K101" t="s">
        <v>68</v>
      </c>
      <c r="L101" t="s">
        <v>2052</v>
      </c>
      <c r="M101" t="s">
        <v>2053</v>
      </c>
      <c r="N101">
        <v>0</v>
      </c>
      <c r="O101">
        <v>0</v>
      </c>
      <c r="P101">
        <v>0</v>
      </c>
      <c r="Q101">
        <v>1440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186</v>
      </c>
      <c r="AH101" s="21" t="s">
        <v>3425</v>
      </c>
      <c r="AI101" s="21">
        <v>107.92500000000001</v>
      </c>
      <c r="AJ101" s="21">
        <v>100</v>
      </c>
      <c r="AK101" s="21" t="s">
        <v>2054</v>
      </c>
      <c r="AL101" t="s">
        <v>70</v>
      </c>
      <c r="AM101" t="s">
        <v>2028</v>
      </c>
    </row>
    <row r="102" spans="1:39" ht="15" hidden="1" thickTop="1" x14ac:dyDescent="0.35">
      <c r="A102" t="s">
        <v>2443</v>
      </c>
      <c r="B102" t="s">
        <v>2424</v>
      </c>
      <c r="C102" t="s">
        <v>3376</v>
      </c>
      <c r="D102" t="s">
        <v>2425</v>
      </c>
      <c r="E102" t="s">
        <v>559</v>
      </c>
      <c r="F102">
        <v>1</v>
      </c>
      <c r="G102" t="s">
        <v>2050</v>
      </c>
      <c r="H102" t="s">
        <v>2051</v>
      </c>
      <c r="I102" t="s">
        <v>53</v>
      </c>
      <c r="J102" t="s">
        <v>67</v>
      </c>
      <c r="K102" t="s">
        <v>68</v>
      </c>
      <c r="L102" t="s">
        <v>2052</v>
      </c>
      <c r="M102" t="s">
        <v>2053</v>
      </c>
      <c r="N102">
        <v>0</v>
      </c>
      <c r="O102">
        <v>0</v>
      </c>
      <c r="P102">
        <v>0</v>
      </c>
      <c r="Q102">
        <v>1440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187</v>
      </c>
      <c r="AH102" s="21" t="s">
        <v>3425</v>
      </c>
      <c r="AI102" s="21">
        <v>107.92500000000001</v>
      </c>
      <c r="AJ102" s="21">
        <v>100</v>
      </c>
      <c r="AK102" s="21" t="s">
        <v>2054</v>
      </c>
      <c r="AL102" t="s">
        <v>70</v>
      </c>
      <c r="AM102" t="s">
        <v>2028</v>
      </c>
    </row>
    <row r="103" spans="1:39" ht="15" hidden="1" thickTop="1" x14ac:dyDescent="0.35">
      <c r="A103" t="s">
        <v>2444</v>
      </c>
      <c r="B103" t="s">
        <v>2427</v>
      </c>
      <c r="C103" t="s">
        <v>76</v>
      </c>
      <c r="D103" t="s">
        <v>2428</v>
      </c>
      <c r="E103" t="s">
        <v>559</v>
      </c>
      <c r="F103">
        <v>1</v>
      </c>
      <c r="G103" t="s">
        <v>2050</v>
      </c>
      <c r="H103" t="s">
        <v>2051</v>
      </c>
      <c r="I103" t="s">
        <v>53</v>
      </c>
      <c r="J103" t="s">
        <v>67</v>
      </c>
      <c r="K103" t="s">
        <v>68</v>
      </c>
      <c r="L103" t="s">
        <v>2052</v>
      </c>
      <c r="M103" t="s">
        <v>2053</v>
      </c>
      <c r="N103">
        <v>0</v>
      </c>
      <c r="O103">
        <v>0</v>
      </c>
      <c r="P103">
        <v>0</v>
      </c>
      <c r="Q103">
        <v>1440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188</v>
      </c>
      <c r="AH103" s="21" t="s">
        <v>3425</v>
      </c>
      <c r="AI103" s="21">
        <v>107.92500000000001</v>
      </c>
      <c r="AJ103" s="21">
        <v>100</v>
      </c>
      <c r="AK103" s="21" t="s">
        <v>2055</v>
      </c>
      <c r="AL103" t="s">
        <v>70</v>
      </c>
      <c r="AM103" t="s">
        <v>2030</v>
      </c>
    </row>
    <row r="104" spans="1:39" ht="15" hidden="1" thickTop="1" x14ac:dyDescent="0.35">
      <c r="A104" t="s">
        <v>2446</v>
      </c>
      <c r="B104" t="s">
        <v>2430</v>
      </c>
      <c r="C104" t="s">
        <v>76</v>
      </c>
      <c r="D104" t="s">
        <v>2431</v>
      </c>
      <c r="E104" t="s">
        <v>119</v>
      </c>
      <c r="F104">
        <v>1</v>
      </c>
      <c r="G104" t="s">
        <v>2050</v>
      </c>
      <c r="H104" t="s">
        <v>2051</v>
      </c>
      <c r="I104" t="s">
        <v>53</v>
      </c>
      <c r="J104" t="s">
        <v>67</v>
      </c>
      <c r="K104" t="s">
        <v>68</v>
      </c>
      <c r="L104" t="s">
        <v>2052</v>
      </c>
      <c r="M104" t="s">
        <v>2053</v>
      </c>
      <c r="N104">
        <v>0</v>
      </c>
      <c r="O104">
        <v>0</v>
      </c>
      <c r="P104">
        <v>0</v>
      </c>
      <c r="Q104">
        <v>1440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189</v>
      </c>
      <c r="AH104" s="21" t="s">
        <v>3425</v>
      </c>
      <c r="AI104" s="21">
        <v>107.92500000000001</v>
      </c>
      <c r="AJ104" s="21">
        <v>100</v>
      </c>
      <c r="AK104" s="21" t="s">
        <v>2054</v>
      </c>
      <c r="AL104" t="s">
        <v>70</v>
      </c>
      <c r="AM104" t="s">
        <v>2029</v>
      </c>
    </row>
    <row r="105" spans="1:39" ht="15" hidden="1" thickTop="1" x14ac:dyDescent="0.35">
      <c r="A105" t="s">
        <v>2451</v>
      </c>
      <c r="B105" t="s">
        <v>2434</v>
      </c>
      <c r="C105" t="s">
        <v>78</v>
      </c>
      <c r="D105" t="s">
        <v>2435</v>
      </c>
      <c r="E105" t="s">
        <v>559</v>
      </c>
      <c r="F105">
        <v>1</v>
      </c>
      <c r="G105" t="s">
        <v>2050</v>
      </c>
      <c r="H105" t="s">
        <v>2051</v>
      </c>
      <c r="I105" t="s">
        <v>53</v>
      </c>
      <c r="J105" t="s">
        <v>67</v>
      </c>
      <c r="K105" t="s">
        <v>68</v>
      </c>
      <c r="L105" t="s">
        <v>2052</v>
      </c>
      <c r="M105" t="s">
        <v>2053</v>
      </c>
      <c r="N105">
        <v>0</v>
      </c>
      <c r="O105">
        <v>0</v>
      </c>
      <c r="P105">
        <v>0</v>
      </c>
      <c r="Q105">
        <v>1440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t="s">
        <v>190</v>
      </c>
      <c r="AH105" s="21" t="s">
        <v>3425</v>
      </c>
      <c r="AI105" s="21">
        <v>107.92500000000001</v>
      </c>
      <c r="AJ105" s="21">
        <v>100</v>
      </c>
      <c r="AK105" s="21" t="s">
        <v>2055</v>
      </c>
      <c r="AL105" t="s">
        <v>70</v>
      </c>
      <c r="AM105" t="s">
        <v>2028</v>
      </c>
    </row>
    <row r="106" spans="1:39" ht="15" hidden="1" thickTop="1" x14ac:dyDescent="0.35">
      <c r="A106" t="s">
        <v>2452</v>
      </c>
      <c r="B106" t="s">
        <v>2436</v>
      </c>
      <c r="C106" t="s">
        <v>76</v>
      </c>
      <c r="D106" t="s">
        <v>2437</v>
      </c>
      <c r="E106" t="s">
        <v>559</v>
      </c>
      <c r="F106">
        <v>1</v>
      </c>
      <c r="G106" t="s">
        <v>2050</v>
      </c>
      <c r="H106" t="s">
        <v>2051</v>
      </c>
      <c r="I106" t="s">
        <v>53</v>
      </c>
      <c r="J106" t="s">
        <v>67</v>
      </c>
      <c r="K106" t="s">
        <v>68</v>
      </c>
      <c r="L106" t="s">
        <v>2052</v>
      </c>
      <c r="M106" t="s">
        <v>2053</v>
      </c>
      <c r="N106">
        <v>1</v>
      </c>
      <c r="O106">
        <v>45</v>
      </c>
      <c r="P106">
        <v>3.13</v>
      </c>
      <c r="Q106">
        <v>1440</v>
      </c>
      <c r="R106">
        <v>1</v>
      </c>
      <c r="S106">
        <v>45</v>
      </c>
      <c r="T106">
        <v>3.13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191</v>
      </c>
      <c r="AH106" s="21" t="s">
        <v>3425</v>
      </c>
      <c r="AI106" s="21">
        <v>107.92500000000001</v>
      </c>
      <c r="AJ106" s="21">
        <v>96.875</v>
      </c>
      <c r="AK106" s="21" t="s">
        <v>2055</v>
      </c>
      <c r="AL106" t="s">
        <v>70</v>
      </c>
      <c r="AM106" t="s">
        <v>2028</v>
      </c>
    </row>
    <row r="107" spans="1:39" ht="15" hidden="1" thickTop="1" x14ac:dyDescent="0.35">
      <c r="A107" t="s">
        <v>2460</v>
      </c>
      <c r="B107" t="s">
        <v>2439</v>
      </c>
      <c r="C107" t="s">
        <v>78</v>
      </c>
      <c r="D107" t="s">
        <v>2440</v>
      </c>
      <c r="E107" t="s">
        <v>559</v>
      </c>
      <c r="F107">
        <v>1</v>
      </c>
      <c r="G107" t="s">
        <v>2050</v>
      </c>
      <c r="H107" t="s">
        <v>2051</v>
      </c>
      <c r="I107" t="s">
        <v>53</v>
      </c>
      <c r="J107" t="s">
        <v>67</v>
      </c>
      <c r="K107" t="s">
        <v>68</v>
      </c>
      <c r="L107" t="s">
        <v>2052</v>
      </c>
      <c r="M107" t="s">
        <v>2053</v>
      </c>
      <c r="N107">
        <v>0</v>
      </c>
      <c r="O107">
        <v>0</v>
      </c>
      <c r="P107">
        <v>0</v>
      </c>
      <c r="Q107">
        <v>1440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 t="s">
        <v>192</v>
      </c>
      <c r="AH107" s="21" t="s">
        <v>3425</v>
      </c>
      <c r="AI107" s="21">
        <v>107.92500000000001</v>
      </c>
      <c r="AJ107" s="21">
        <v>100</v>
      </c>
      <c r="AK107" s="21" t="s">
        <v>2054</v>
      </c>
      <c r="AL107" t="s">
        <v>70</v>
      </c>
      <c r="AM107" t="s">
        <v>2029</v>
      </c>
    </row>
    <row r="108" spans="1:39" ht="15" hidden="1" thickTop="1" x14ac:dyDescent="0.35">
      <c r="A108" t="s">
        <v>2466</v>
      </c>
      <c r="B108" t="s">
        <v>2454</v>
      </c>
      <c r="C108" t="s">
        <v>76</v>
      </c>
      <c r="D108" t="s">
        <v>2455</v>
      </c>
      <c r="E108" t="s">
        <v>559</v>
      </c>
      <c r="F108">
        <v>2</v>
      </c>
      <c r="G108" t="s">
        <v>2050</v>
      </c>
      <c r="H108" t="s">
        <v>2051</v>
      </c>
      <c r="I108" t="s">
        <v>53</v>
      </c>
      <c r="J108" t="s">
        <v>67</v>
      </c>
      <c r="K108" t="s">
        <v>68</v>
      </c>
      <c r="L108" t="s">
        <v>2052</v>
      </c>
      <c r="M108" t="s">
        <v>2053</v>
      </c>
      <c r="N108">
        <v>0</v>
      </c>
      <c r="O108">
        <v>0</v>
      </c>
      <c r="P108">
        <v>0</v>
      </c>
      <c r="Q108">
        <v>1440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193</v>
      </c>
      <c r="AH108" s="21" t="s">
        <v>3424</v>
      </c>
      <c r="AI108" s="21">
        <v>107.92500000000001</v>
      </c>
      <c r="AJ108" s="21">
        <v>100</v>
      </c>
      <c r="AK108" s="21" t="s">
        <v>2054</v>
      </c>
      <c r="AL108" t="s">
        <v>70</v>
      </c>
      <c r="AM108" t="s">
        <v>2029</v>
      </c>
    </row>
    <row r="109" spans="1:39" ht="15" hidden="1" thickTop="1" x14ac:dyDescent="0.35">
      <c r="A109" t="s">
        <v>2471</v>
      </c>
      <c r="B109" t="s">
        <v>2420</v>
      </c>
      <c r="C109" t="s">
        <v>117</v>
      </c>
      <c r="D109" t="s">
        <v>2461</v>
      </c>
      <c r="E109" t="s">
        <v>559</v>
      </c>
      <c r="F109">
        <v>1</v>
      </c>
      <c r="G109" t="s">
        <v>2050</v>
      </c>
      <c r="H109" t="s">
        <v>2051</v>
      </c>
      <c r="I109" t="s">
        <v>53</v>
      </c>
      <c r="J109" t="s">
        <v>67</v>
      </c>
      <c r="K109" t="s">
        <v>68</v>
      </c>
      <c r="L109" t="s">
        <v>2052</v>
      </c>
      <c r="M109" t="s">
        <v>2053</v>
      </c>
      <c r="N109">
        <v>0</v>
      </c>
      <c r="O109">
        <v>0</v>
      </c>
      <c r="P109">
        <v>0</v>
      </c>
      <c r="Q109">
        <v>1440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194</v>
      </c>
      <c r="AH109" s="21" t="s">
        <v>3425</v>
      </c>
      <c r="AI109" s="21">
        <v>107.92500000000001</v>
      </c>
      <c r="AJ109" s="21">
        <v>100</v>
      </c>
      <c r="AK109" s="21" t="s">
        <v>2055</v>
      </c>
      <c r="AL109" t="s">
        <v>70</v>
      </c>
      <c r="AM109" t="s">
        <v>2029</v>
      </c>
    </row>
    <row r="110" spans="1:39" ht="15" hidden="1" thickTop="1" x14ac:dyDescent="0.35">
      <c r="A110" t="s">
        <v>2493</v>
      </c>
      <c r="B110" t="s">
        <v>2477</v>
      </c>
      <c r="C110" t="s">
        <v>92</v>
      </c>
      <c r="D110" t="s">
        <v>2478</v>
      </c>
      <c r="E110" t="s">
        <v>119</v>
      </c>
      <c r="F110">
        <v>1</v>
      </c>
      <c r="G110" t="s">
        <v>2050</v>
      </c>
      <c r="H110" t="s">
        <v>2051</v>
      </c>
      <c r="I110" t="s">
        <v>53</v>
      </c>
      <c r="J110" t="s">
        <v>67</v>
      </c>
      <c r="K110" t="s">
        <v>68</v>
      </c>
      <c r="L110" t="s">
        <v>2052</v>
      </c>
      <c r="M110" t="s">
        <v>2053</v>
      </c>
      <c r="N110">
        <v>1</v>
      </c>
      <c r="O110">
        <v>68</v>
      </c>
      <c r="P110">
        <v>4.72</v>
      </c>
      <c r="Q110">
        <v>1440</v>
      </c>
      <c r="R110">
        <v>1</v>
      </c>
      <c r="S110">
        <v>68</v>
      </c>
      <c r="T110">
        <v>4.72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196</v>
      </c>
      <c r="AH110" s="21" t="s">
        <v>3425</v>
      </c>
      <c r="AI110" s="21">
        <v>107.92500000000001</v>
      </c>
      <c r="AJ110" s="21">
        <v>95.277777777777771</v>
      </c>
      <c r="AK110" s="21" t="s">
        <v>2055</v>
      </c>
      <c r="AL110" t="s">
        <v>70</v>
      </c>
      <c r="AM110" t="s">
        <v>2029</v>
      </c>
    </row>
    <row r="111" spans="1:39" ht="15" hidden="1" thickTop="1" x14ac:dyDescent="0.35">
      <c r="A111" t="s">
        <v>2498</v>
      </c>
      <c r="B111" t="s">
        <v>2480</v>
      </c>
      <c r="C111" t="s">
        <v>117</v>
      </c>
      <c r="D111" t="s">
        <v>2481</v>
      </c>
      <c r="E111" t="s">
        <v>559</v>
      </c>
      <c r="F111">
        <v>1</v>
      </c>
      <c r="G111" t="s">
        <v>2050</v>
      </c>
      <c r="H111" t="s">
        <v>2051</v>
      </c>
      <c r="I111" t="s">
        <v>53</v>
      </c>
      <c r="J111" t="s">
        <v>67</v>
      </c>
      <c r="K111" t="s">
        <v>68</v>
      </c>
      <c r="L111" t="s">
        <v>2052</v>
      </c>
      <c r="M111" t="s">
        <v>2053</v>
      </c>
      <c r="N111">
        <v>0</v>
      </c>
      <c r="O111">
        <v>0</v>
      </c>
      <c r="P111">
        <v>0</v>
      </c>
      <c r="Q111">
        <v>1440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197</v>
      </c>
      <c r="AH111" s="21" t="s">
        <v>3429</v>
      </c>
      <c r="AI111" s="21">
        <v>107.92500000000001</v>
      </c>
      <c r="AJ111" s="21">
        <v>100</v>
      </c>
      <c r="AK111" s="21" t="s">
        <v>2054</v>
      </c>
      <c r="AL111" t="s">
        <v>70</v>
      </c>
      <c r="AM111" t="s">
        <v>2027</v>
      </c>
    </row>
    <row r="112" spans="1:39" ht="15" hidden="1" thickTop="1" x14ac:dyDescent="0.35">
      <c r="A112" t="s">
        <v>2499</v>
      </c>
      <c r="B112" t="s">
        <v>2482</v>
      </c>
      <c r="C112" t="s">
        <v>66</v>
      </c>
      <c r="D112" t="s">
        <v>2483</v>
      </c>
      <c r="E112" t="s">
        <v>559</v>
      </c>
      <c r="F112">
        <v>1</v>
      </c>
      <c r="G112" t="s">
        <v>2050</v>
      </c>
      <c r="H112" t="s">
        <v>2051</v>
      </c>
      <c r="I112" t="s">
        <v>53</v>
      </c>
      <c r="J112" t="s">
        <v>67</v>
      </c>
      <c r="K112" t="s">
        <v>68</v>
      </c>
      <c r="L112" t="s">
        <v>2052</v>
      </c>
      <c r="M112" t="s">
        <v>2053</v>
      </c>
      <c r="N112">
        <v>0</v>
      </c>
      <c r="O112">
        <v>0</v>
      </c>
      <c r="P112">
        <v>0</v>
      </c>
      <c r="Q112">
        <v>1440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198</v>
      </c>
      <c r="AH112" s="21" t="s">
        <v>3429</v>
      </c>
      <c r="AI112" s="21">
        <v>107.92500000000001</v>
      </c>
      <c r="AJ112" s="21">
        <v>100</v>
      </c>
      <c r="AK112" s="21" t="s">
        <v>2055</v>
      </c>
      <c r="AL112" t="s">
        <v>70</v>
      </c>
      <c r="AM112" t="s">
        <v>2028</v>
      </c>
    </row>
    <row r="113" spans="1:39" ht="15" hidden="1" thickTop="1" x14ac:dyDescent="0.35">
      <c r="A113" t="s">
        <v>2500</v>
      </c>
      <c r="B113" t="s">
        <v>2484</v>
      </c>
      <c r="C113" t="s">
        <v>102</v>
      </c>
      <c r="D113" t="s">
        <v>2485</v>
      </c>
      <c r="E113" t="s">
        <v>559</v>
      </c>
      <c r="F113">
        <v>1</v>
      </c>
      <c r="G113" t="s">
        <v>2050</v>
      </c>
      <c r="H113" t="s">
        <v>2051</v>
      </c>
      <c r="I113" t="s">
        <v>53</v>
      </c>
      <c r="J113" t="s">
        <v>67</v>
      </c>
      <c r="K113" t="s">
        <v>68</v>
      </c>
      <c r="L113" t="s">
        <v>2052</v>
      </c>
      <c r="M113" t="s">
        <v>2053</v>
      </c>
      <c r="N113">
        <v>1</v>
      </c>
      <c r="O113">
        <v>36</v>
      </c>
      <c r="P113">
        <v>2.5</v>
      </c>
      <c r="Q113">
        <v>1440</v>
      </c>
      <c r="R113">
        <v>1</v>
      </c>
      <c r="S113">
        <v>36</v>
      </c>
      <c r="T113">
        <v>2.5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199</v>
      </c>
      <c r="AH113" s="21" t="s">
        <v>3429</v>
      </c>
      <c r="AI113" s="21">
        <v>107.92500000000001</v>
      </c>
      <c r="AJ113" s="21">
        <v>97.5</v>
      </c>
      <c r="AK113" s="21" t="s">
        <v>2054</v>
      </c>
      <c r="AL113" t="s">
        <v>70</v>
      </c>
      <c r="AM113" t="s">
        <v>2027</v>
      </c>
    </row>
    <row r="114" spans="1:39" ht="15" hidden="1" thickTop="1" x14ac:dyDescent="0.35">
      <c r="A114" t="s">
        <v>2475</v>
      </c>
      <c r="B114" t="s">
        <v>2486</v>
      </c>
      <c r="C114" t="s">
        <v>92</v>
      </c>
      <c r="D114" t="s">
        <v>2487</v>
      </c>
      <c r="E114" t="s">
        <v>559</v>
      </c>
      <c r="F114">
        <v>1</v>
      </c>
      <c r="G114" t="s">
        <v>2050</v>
      </c>
      <c r="H114" t="s">
        <v>2051</v>
      </c>
      <c r="I114" t="s">
        <v>53</v>
      </c>
      <c r="J114" t="s">
        <v>67</v>
      </c>
      <c r="K114" t="s">
        <v>68</v>
      </c>
      <c r="L114" t="s">
        <v>2052</v>
      </c>
      <c r="M114" t="s">
        <v>2053</v>
      </c>
      <c r="N114">
        <v>0</v>
      </c>
      <c r="O114">
        <v>0</v>
      </c>
      <c r="P114">
        <v>0</v>
      </c>
      <c r="Q114">
        <v>1440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200</v>
      </c>
      <c r="AH114" s="21" t="s">
        <v>3424</v>
      </c>
      <c r="AI114" s="21">
        <v>107.92500000000001</v>
      </c>
      <c r="AJ114" s="21">
        <v>100</v>
      </c>
      <c r="AK114" s="21" t="s">
        <v>2054</v>
      </c>
      <c r="AL114" t="s">
        <v>70</v>
      </c>
      <c r="AM114" t="s">
        <v>2028</v>
      </c>
    </row>
    <row r="115" spans="1:39" ht="15" hidden="1" thickTop="1" x14ac:dyDescent="0.35">
      <c r="A115" t="s">
        <v>2505</v>
      </c>
      <c r="B115" t="s">
        <v>2488</v>
      </c>
      <c r="C115" t="s">
        <v>76</v>
      </c>
      <c r="D115" t="s">
        <v>2489</v>
      </c>
      <c r="E115" t="s">
        <v>119</v>
      </c>
      <c r="F115">
        <v>1</v>
      </c>
      <c r="G115" t="s">
        <v>2050</v>
      </c>
      <c r="H115" t="s">
        <v>2051</v>
      </c>
      <c r="I115" t="s">
        <v>53</v>
      </c>
      <c r="J115" t="s">
        <v>67</v>
      </c>
      <c r="K115" t="s">
        <v>68</v>
      </c>
      <c r="L115" t="s">
        <v>2052</v>
      </c>
      <c r="M115" t="s">
        <v>2053</v>
      </c>
      <c r="N115">
        <v>0</v>
      </c>
      <c r="O115">
        <v>0</v>
      </c>
      <c r="P115">
        <v>0</v>
      </c>
      <c r="Q115">
        <v>1440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201</v>
      </c>
      <c r="AH115" s="21" t="s">
        <v>3429</v>
      </c>
      <c r="AI115" s="21">
        <v>107.92500000000001</v>
      </c>
      <c r="AJ115" s="21">
        <v>100</v>
      </c>
      <c r="AK115" s="21" t="s">
        <v>2054</v>
      </c>
      <c r="AL115" t="s">
        <v>70</v>
      </c>
      <c r="AM115" t="s">
        <v>2029</v>
      </c>
    </row>
    <row r="116" spans="1:39" ht="15" hidden="1" thickTop="1" x14ac:dyDescent="0.35">
      <c r="A116" t="s">
        <v>2506</v>
      </c>
      <c r="B116" t="s">
        <v>2490</v>
      </c>
      <c r="C116" t="s">
        <v>3376</v>
      </c>
      <c r="D116" t="s">
        <v>2491</v>
      </c>
      <c r="E116" t="s">
        <v>559</v>
      </c>
      <c r="F116">
        <v>1</v>
      </c>
      <c r="G116" t="s">
        <v>2050</v>
      </c>
      <c r="H116" t="s">
        <v>2051</v>
      </c>
      <c r="I116" t="s">
        <v>53</v>
      </c>
      <c r="J116" t="s">
        <v>67</v>
      </c>
      <c r="K116" t="s">
        <v>68</v>
      </c>
      <c r="L116" t="s">
        <v>2052</v>
      </c>
      <c r="M116" t="s">
        <v>2053</v>
      </c>
      <c r="N116">
        <v>0</v>
      </c>
      <c r="O116">
        <v>0</v>
      </c>
      <c r="P116">
        <v>0</v>
      </c>
      <c r="Q116">
        <v>1440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202</v>
      </c>
      <c r="AH116" s="21" t="s">
        <v>3424</v>
      </c>
      <c r="AI116" s="21">
        <v>107.92500000000001</v>
      </c>
      <c r="AJ116" s="21">
        <v>100</v>
      </c>
      <c r="AK116" s="21" t="s">
        <v>2055</v>
      </c>
      <c r="AL116" t="s">
        <v>70</v>
      </c>
      <c r="AM116" t="s">
        <v>2030</v>
      </c>
    </row>
    <row r="117" spans="1:39" ht="15" hidden="1" thickTop="1" x14ac:dyDescent="0.35">
      <c r="A117" t="s">
        <v>2519</v>
      </c>
      <c r="B117" t="s">
        <v>2512</v>
      </c>
      <c r="C117" t="s">
        <v>76</v>
      </c>
      <c r="D117" t="s">
        <v>2513</v>
      </c>
      <c r="E117" t="s">
        <v>559</v>
      </c>
      <c r="F117">
        <v>2</v>
      </c>
      <c r="G117" t="s">
        <v>2050</v>
      </c>
      <c r="H117" t="s">
        <v>2051</v>
      </c>
      <c r="I117" t="s">
        <v>53</v>
      </c>
      <c r="J117" t="s">
        <v>67</v>
      </c>
      <c r="K117" t="s">
        <v>68</v>
      </c>
      <c r="L117" t="s">
        <v>2052</v>
      </c>
      <c r="M117" t="s">
        <v>2064</v>
      </c>
      <c r="N117">
        <v>0</v>
      </c>
      <c r="O117">
        <v>0</v>
      </c>
      <c r="P117">
        <v>0</v>
      </c>
      <c r="Q117">
        <v>900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204</v>
      </c>
      <c r="AH117" s="21" t="s">
        <v>3424</v>
      </c>
      <c r="AI117" s="21">
        <v>67.5</v>
      </c>
      <c r="AJ117" s="21">
        <v>100</v>
      </c>
      <c r="AK117" s="21" t="s">
        <v>2055</v>
      </c>
      <c r="AL117" t="s">
        <v>70</v>
      </c>
      <c r="AM117" t="s">
        <v>2028</v>
      </c>
    </row>
    <row r="118" spans="1:39" ht="15" hidden="1" thickTop="1" x14ac:dyDescent="0.35">
      <c r="A118" t="s">
        <v>2520</v>
      </c>
      <c r="B118" t="s">
        <v>2514</v>
      </c>
      <c r="C118" t="s">
        <v>117</v>
      </c>
      <c r="D118" t="s">
        <v>2515</v>
      </c>
      <c r="E118" t="s">
        <v>559</v>
      </c>
      <c r="F118">
        <v>1</v>
      </c>
      <c r="G118" t="s">
        <v>2050</v>
      </c>
      <c r="H118" t="s">
        <v>2051</v>
      </c>
      <c r="I118" t="s">
        <v>53</v>
      </c>
      <c r="J118" t="s">
        <v>67</v>
      </c>
      <c r="K118" t="s">
        <v>68</v>
      </c>
      <c r="L118" t="s">
        <v>2052</v>
      </c>
      <c r="M118" t="s">
        <v>2053</v>
      </c>
      <c r="N118">
        <v>0</v>
      </c>
      <c r="O118">
        <v>0</v>
      </c>
      <c r="P118">
        <v>0</v>
      </c>
      <c r="Q118">
        <v>1440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205</v>
      </c>
      <c r="AH118" s="21" t="s">
        <v>3424</v>
      </c>
      <c r="AI118" s="21">
        <v>107.92500000000001</v>
      </c>
      <c r="AJ118" s="21">
        <v>100</v>
      </c>
      <c r="AK118" s="21" t="s">
        <v>2054</v>
      </c>
      <c r="AL118" t="s">
        <v>70</v>
      </c>
      <c r="AM118" t="s">
        <v>2029</v>
      </c>
    </row>
    <row r="119" spans="1:39" ht="15" hidden="1" thickTop="1" x14ac:dyDescent="0.35">
      <c r="A119" t="s">
        <v>2521</v>
      </c>
      <c r="B119" t="s">
        <v>2516</v>
      </c>
      <c r="C119" t="s">
        <v>111</v>
      </c>
      <c r="D119" t="s">
        <v>2517</v>
      </c>
      <c r="E119" t="s">
        <v>112</v>
      </c>
      <c r="F119">
        <v>1</v>
      </c>
      <c r="G119" t="s">
        <v>2050</v>
      </c>
      <c r="H119" t="s">
        <v>2051</v>
      </c>
      <c r="I119" t="s">
        <v>53</v>
      </c>
      <c r="J119" t="s">
        <v>113</v>
      </c>
      <c r="K119" t="s">
        <v>68</v>
      </c>
      <c r="L119" t="s">
        <v>2052</v>
      </c>
      <c r="M119" t="s">
        <v>2053</v>
      </c>
      <c r="N119">
        <v>0</v>
      </c>
      <c r="O119">
        <v>0</v>
      </c>
      <c r="P119">
        <v>0</v>
      </c>
      <c r="Q119">
        <v>1440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206</v>
      </c>
      <c r="AH119" s="21" t="s">
        <v>3430</v>
      </c>
      <c r="AI119" s="21">
        <v>107.92500000000001</v>
      </c>
      <c r="AJ119" s="21">
        <v>100</v>
      </c>
      <c r="AK119" s="21" t="s">
        <v>2054</v>
      </c>
      <c r="AL119" t="s">
        <v>115</v>
      </c>
      <c r="AM119" t="s">
        <v>2027</v>
      </c>
    </row>
    <row r="120" spans="1:39" ht="15" hidden="1" thickTop="1" x14ac:dyDescent="0.35">
      <c r="A120" t="s">
        <v>2532</v>
      </c>
      <c r="B120" t="s">
        <v>2523</v>
      </c>
      <c r="C120" t="s">
        <v>102</v>
      </c>
      <c r="D120" t="s">
        <v>2524</v>
      </c>
      <c r="E120" t="s">
        <v>559</v>
      </c>
      <c r="F120">
        <v>1</v>
      </c>
      <c r="G120" t="s">
        <v>2050</v>
      </c>
      <c r="H120" t="s">
        <v>2051</v>
      </c>
      <c r="I120" t="s">
        <v>53</v>
      </c>
      <c r="J120" t="s">
        <v>67</v>
      </c>
      <c r="K120" t="s">
        <v>68</v>
      </c>
      <c r="L120" t="s">
        <v>2052</v>
      </c>
      <c r="M120" t="s">
        <v>2053</v>
      </c>
      <c r="N120">
        <v>0</v>
      </c>
      <c r="O120">
        <v>0</v>
      </c>
      <c r="P120">
        <v>0</v>
      </c>
      <c r="Q120">
        <v>1440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t="s">
        <v>207</v>
      </c>
      <c r="AH120" s="21" t="s">
        <v>3424</v>
      </c>
      <c r="AI120" s="21">
        <v>107.92500000000001</v>
      </c>
      <c r="AJ120" s="21">
        <v>100</v>
      </c>
      <c r="AK120" s="21" t="s">
        <v>2054</v>
      </c>
      <c r="AL120" t="s">
        <v>70</v>
      </c>
      <c r="AM120" t="s">
        <v>2029</v>
      </c>
    </row>
    <row r="121" spans="1:39" ht="15" hidden="1" thickTop="1" x14ac:dyDescent="0.35">
      <c r="A121" t="s">
        <v>2540</v>
      </c>
      <c r="B121" t="s">
        <v>2527</v>
      </c>
      <c r="C121" t="s">
        <v>92</v>
      </c>
      <c r="D121" t="s">
        <v>2528</v>
      </c>
      <c r="E121" t="s">
        <v>119</v>
      </c>
      <c r="F121">
        <v>1</v>
      </c>
      <c r="G121" t="s">
        <v>2050</v>
      </c>
      <c r="H121" t="s">
        <v>2051</v>
      </c>
      <c r="I121" t="s">
        <v>53</v>
      </c>
      <c r="J121" t="s">
        <v>67</v>
      </c>
      <c r="K121" t="s">
        <v>68</v>
      </c>
      <c r="L121" t="s">
        <v>2052</v>
      </c>
      <c r="M121" t="s">
        <v>2053</v>
      </c>
      <c r="N121">
        <v>0</v>
      </c>
      <c r="O121">
        <v>0</v>
      </c>
      <c r="P121">
        <v>0</v>
      </c>
      <c r="Q121">
        <v>1440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208</v>
      </c>
      <c r="AH121" s="21" t="s">
        <v>3425</v>
      </c>
      <c r="AI121" s="21">
        <v>107.92500000000001</v>
      </c>
      <c r="AJ121" s="21">
        <v>100</v>
      </c>
      <c r="AK121" s="21" t="s">
        <v>2055</v>
      </c>
      <c r="AL121" t="s">
        <v>70</v>
      </c>
      <c r="AM121" t="s">
        <v>2030</v>
      </c>
    </row>
    <row r="122" spans="1:39" ht="15" hidden="1" thickTop="1" x14ac:dyDescent="0.35">
      <c r="A122" t="s">
        <v>2546</v>
      </c>
      <c r="B122" t="s">
        <v>2530</v>
      </c>
      <c r="C122" t="s">
        <v>76</v>
      </c>
      <c r="D122" t="s">
        <v>2531</v>
      </c>
      <c r="E122" t="s">
        <v>559</v>
      </c>
      <c r="F122">
        <v>2</v>
      </c>
      <c r="G122" t="s">
        <v>2050</v>
      </c>
      <c r="H122" t="s">
        <v>2051</v>
      </c>
      <c r="I122" t="s">
        <v>53</v>
      </c>
      <c r="J122" t="s">
        <v>67</v>
      </c>
      <c r="K122" t="s">
        <v>68</v>
      </c>
      <c r="L122" t="s">
        <v>2052</v>
      </c>
      <c r="M122" t="s">
        <v>2053</v>
      </c>
      <c r="N122">
        <v>0</v>
      </c>
      <c r="O122">
        <v>0</v>
      </c>
      <c r="P122">
        <v>0</v>
      </c>
      <c r="Q122">
        <v>1440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t="s">
        <v>209</v>
      </c>
      <c r="AH122" s="21" t="s">
        <v>3428</v>
      </c>
      <c r="AI122" s="21">
        <v>107.92500000000001</v>
      </c>
      <c r="AJ122" s="21">
        <v>100</v>
      </c>
      <c r="AK122" s="21" t="s">
        <v>2055</v>
      </c>
      <c r="AL122" t="s">
        <v>70</v>
      </c>
      <c r="AM122" t="s">
        <v>2029</v>
      </c>
    </row>
    <row r="123" spans="1:39" ht="15" hidden="1" thickTop="1" x14ac:dyDescent="0.35">
      <c r="A123" t="s">
        <v>2550</v>
      </c>
      <c r="B123" t="s">
        <v>2538</v>
      </c>
      <c r="C123" t="s">
        <v>3376</v>
      </c>
      <c r="D123" t="s">
        <v>2539</v>
      </c>
      <c r="E123" t="s">
        <v>559</v>
      </c>
      <c r="F123">
        <v>1</v>
      </c>
      <c r="G123" t="s">
        <v>2050</v>
      </c>
      <c r="H123" t="s">
        <v>2051</v>
      </c>
      <c r="I123" t="s">
        <v>53</v>
      </c>
      <c r="J123" t="s">
        <v>67</v>
      </c>
      <c r="K123" t="s">
        <v>68</v>
      </c>
      <c r="L123" t="s">
        <v>2052</v>
      </c>
      <c r="M123" t="s">
        <v>2053</v>
      </c>
      <c r="N123">
        <v>0</v>
      </c>
      <c r="O123">
        <v>0</v>
      </c>
      <c r="P123">
        <v>0</v>
      </c>
      <c r="Q123">
        <v>1440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211</v>
      </c>
      <c r="AH123" s="21" t="s">
        <v>3425</v>
      </c>
      <c r="AI123" s="21">
        <v>107.92500000000001</v>
      </c>
      <c r="AJ123" s="21">
        <v>100</v>
      </c>
      <c r="AK123" s="21" t="s">
        <v>2054</v>
      </c>
      <c r="AL123" t="s">
        <v>70</v>
      </c>
      <c r="AM123" t="s">
        <v>2029</v>
      </c>
    </row>
    <row r="124" spans="1:39" ht="15" hidden="1" thickTop="1" x14ac:dyDescent="0.35">
      <c r="A124" t="s">
        <v>2552</v>
      </c>
      <c r="B124" t="s">
        <v>2542</v>
      </c>
      <c r="C124" t="s">
        <v>3376</v>
      </c>
      <c r="D124" t="s">
        <v>2543</v>
      </c>
      <c r="E124" t="s">
        <v>559</v>
      </c>
      <c r="F124">
        <v>1</v>
      </c>
      <c r="G124" t="s">
        <v>2050</v>
      </c>
      <c r="H124" t="s">
        <v>2051</v>
      </c>
      <c r="I124" t="s">
        <v>53</v>
      </c>
      <c r="J124" t="s">
        <v>67</v>
      </c>
      <c r="K124" t="s">
        <v>68</v>
      </c>
      <c r="L124" t="s">
        <v>2052</v>
      </c>
      <c r="M124" t="s">
        <v>2053</v>
      </c>
      <c r="N124">
        <v>2</v>
      </c>
      <c r="O124">
        <v>32</v>
      </c>
      <c r="P124">
        <v>2.2200000000000002</v>
      </c>
      <c r="Q124">
        <v>1440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2</v>
      </c>
      <c r="Y124">
        <v>32</v>
      </c>
      <c r="Z124">
        <v>2.2200000000000002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212</v>
      </c>
      <c r="AH124" s="21" t="s">
        <v>3424</v>
      </c>
      <c r="AI124" s="21">
        <v>107.92500000000001</v>
      </c>
      <c r="AJ124" s="21">
        <v>97.777777777777771</v>
      </c>
      <c r="AK124" s="21" t="s">
        <v>2054</v>
      </c>
      <c r="AL124" t="s">
        <v>70</v>
      </c>
      <c r="AM124" t="s">
        <v>2029</v>
      </c>
    </row>
    <row r="125" spans="1:39" ht="15" hidden="1" thickTop="1" x14ac:dyDescent="0.35">
      <c r="A125" t="s">
        <v>2563</v>
      </c>
      <c r="B125" t="s">
        <v>2556</v>
      </c>
      <c r="C125" t="s">
        <v>76</v>
      </c>
      <c r="D125" t="s">
        <v>2557</v>
      </c>
      <c r="E125" t="s">
        <v>559</v>
      </c>
      <c r="F125">
        <v>1</v>
      </c>
      <c r="G125" t="s">
        <v>2050</v>
      </c>
      <c r="H125" t="s">
        <v>2051</v>
      </c>
      <c r="I125" t="s">
        <v>53</v>
      </c>
      <c r="J125" t="s">
        <v>67</v>
      </c>
      <c r="K125" t="s">
        <v>68</v>
      </c>
      <c r="L125" t="s">
        <v>2052</v>
      </c>
      <c r="M125" t="s">
        <v>2053</v>
      </c>
      <c r="N125">
        <v>0</v>
      </c>
      <c r="O125">
        <v>0</v>
      </c>
      <c r="P125">
        <v>0</v>
      </c>
      <c r="Q125">
        <v>1440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t="s">
        <v>213</v>
      </c>
      <c r="AH125" s="21" t="s">
        <v>3424</v>
      </c>
      <c r="AI125" s="21">
        <v>107.92500000000001</v>
      </c>
      <c r="AJ125" s="21">
        <v>100</v>
      </c>
      <c r="AK125" s="21" t="s">
        <v>2054</v>
      </c>
      <c r="AL125" t="s">
        <v>70</v>
      </c>
      <c r="AM125" t="s">
        <v>2028</v>
      </c>
    </row>
    <row r="126" spans="1:39" ht="15" hidden="1" thickTop="1" x14ac:dyDescent="0.35">
      <c r="A126" t="s">
        <v>2565</v>
      </c>
      <c r="B126" t="s">
        <v>2558</v>
      </c>
      <c r="C126" t="s">
        <v>117</v>
      </c>
      <c r="D126" t="s">
        <v>2559</v>
      </c>
      <c r="E126" t="s">
        <v>559</v>
      </c>
      <c r="F126">
        <v>1</v>
      </c>
      <c r="G126" t="s">
        <v>2050</v>
      </c>
      <c r="H126" t="s">
        <v>2051</v>
      </c>
      <c r="I126" t="s">
        <v>53</v>
      </c>
      <c r="J126" t="s">
        <v>67</v>
      </c>
      <c r="K126" t="s">
        <v>68</v>
      </c>
      <c r="L126" t="s">
        <v>2052</v>
      </c>
      <c r="M126" t="s">
        <v>2053</v>
      </c>
      <c r="N126">
        <v>0</v>
      </c>
      <c r="O126">
        <v>0</v>
      </c>
      <c r="P126">
        <v>0</v>
      </c>
      <c r="Q126">
        <v>1440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214</v>
      </c>
      <c r="AH126" s="21" t="s">
        <v>3424</v>
      </c>
      <c r="AI126" s="21">
        <v>107.92500000000001</v>
      </c>
      <c r="AJ126" s="21">
        <v>100</v>
      </c>
      <c r="AK126" s="21" t="s">
        <v>2054</v>
      </c>
      <c r="AL126" t="s">
        <v>70</v>
      </c>
      <c r="AM126" t="s">
        <v>2027</v>
      </c>
    </row>
    <row r="127" spans="1:39" ht="15" hidden="1" thickTop="1" x14ac:dyDescent="0.35">
      <c r="A127" t="s">
        <v>2575</v>
      </c>
      <c r="B127" t="s">
        <v>2569</v>
      </c>
      <c r="C127" t="s">
        <v>128</v>
      </c>
      <c r="D127" t="s">
        <v>2570</v>
      </c>
      <c r="E127" t="s">
        <v>112</v>
      </c>
      <c r="F127">
        <v>1</v>
      </c>
      <c r="G127" t="s">
        <v>2050</v>
      </c>
      <c r="H127" t="s">
        <v>2051</v>
      </c>
      <c r="I127" t="s">
        <v>53</v>
      </c>
      <c r="J127" t="s">
        <v>113</v>
      </c>
      <c r="K127" t="s">
        <v>68</v>
      </c>
      <c r="L127" t="s">
        <v>2052</v>
      </c>
      <c r="M127" t="s">
        <v>2053</v>
      </c>
      <c r="N127">
        <v>0</v>
      </c>
      <c r="O127">
        <v>0</v>
      </c>
      <c r="P127">
        <v>0</v>
      </c>
      <c r="Q127">
        <v>1440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215</v>
      </c>
      <c r="AH127" s="21" t="s">
        <v>3428</v>
      </c>
      <c r="AI127" s="21">
        <v>107.92500000000001</v>
      </c>
      <c r="AJ127" s="21">
        <v>100</v>
      </c>
      <c r="AK127" s="21" t="s">
        <v>2055</v>
      </c>
      <c r="AL127" t="s">
        <v>115</v>
      </c>
      <c r="AM127" t="s">
        <v>2029</v>
      </c>
    </row>
    <row r="128" spans="1:39" ht="15" hidden="1" thickTop="1" x14ac:dyDescent="0.35">
      <c r="A128" t="s">
        <v>2586</v>
      </c>
      <c r="B128" t="s">
        <v>2577</v>
      </c>
      <c r="C128" t="s">
        <v>565</v>
      </c>
      <c r="D128" t="s">
        <v>2578</v>
      </c>
      <c r="E128" t="s">
        <v>559</v>
      </c>
      <c r="F128">
        <v>2</v>
      </c>
      <c r="G128" t="s">
        <v>2050</v>
      </c>
      <c r="H128" t="s">
        <v>2051</v>
      </c>
      <c r="I128" t="s">
        <v>53</v>
      </c>
      <c r="J128" t="s">
        <v>427</v>
      </c>
      <c r="K128" t="s">
        <v>68</v>
      </c>
      <c r="L128" t="s">
        <v>2052</v>
      </c>
      <c r="M128" t="s">
        <v>2053</v>
      </c>
      <c r="N128">
        <v>0</v>
      </c>
      <c r="O128">
        <v>0</v>
      </c>
      <c r="P128">
        <v>0</v>
      </c>
      <c r="Q128">
        <v>1440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216</v>
      </c>
      <c r="AH128" s="21" t="s">
        <v>3428</v>
      </c>
      <c r="AI128" s="21">
        <v>107.92500000000001</v>
      </c>
      <c r="AJ128" s="21">
        <v>100</v>
      </c>
      <c r="AK128" s="21" t="s">
        <v>2054</v>
      </c>
      <c r="AL128" t="s">
        <v>70</v>
      </c>
      <c r="AM128" t="s">
        <v>2027</v>
      </c>
    </row>
    <row r="129" spans="1:39" ht="15" hidden="1" thickTop="1" x14ac:dyDescent="0.35">
      <c r="A129" t="s">
        <v>2479</v>
      </c>
      <c r="B129" t="s">
        <v>2580</v>
      </c>
      <c r="C129" t="s">
        <v>117</v>
      </c>
      <c r="D129" t="s">
        <v>2581</v>
      </c>
      <c r="E129" t="s">
        <v>559</v>
      </c>
      <c r="F129">
        <v>1</v>
      </c>
      <c r="G129" t="s">
        <v>2050</v>
      </c>
      <c r="H129" t="s">
        <v>2051</v>
      </c>
      <c r="I129" t="s">
        <v>53</v>
      </c>
      <c r="J129" t="s">
        <v>67</v>
      </c>
      <c r="K129" t="s">
        <v>68</v>
      </c>
      <c r="L129" t="s">
        <v>2052</v>
      </c>
      <c r="M129" t="s">
        <v>2053</v>
      </c>
      <c r="N129">
        <v>0</v>
      </c>
      <c r="O129">
        <v>0</v>
      </c>
      <c r="P129">
        <v>0</v>
      </c>
      <c r="Q129">
        <v>1440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217</v>
      </c>
      <c r="AH129" s="21" t="s">
        <v>3425</v>
      </c>
      <c r="AI129" s="21">
        <v>107.92500000000001</v>
      </c>
      <c r="AJ129" s="21">
        <v>100</v>
      </c>
      <c r="AK129" s="21" t="s">
        <v>2054</v>
      </c>
      <c r="AL129" t="s">
        <v>70</v>
      </c>
      <c r="AM129" t="s">
        <v>2031</v>
      </c>
    </row>
    <row r="130" spans="1:39" ht="15" hidden="1" thickTop="1" x14ac:dyDescent="0.35">
      <c r="A130" t="s">
        <v>2597</v>
      </c>
      <c r="B130" t="s">
        <v>2583</v>
      </c>
      <c r="C130" t="s">
        <v>76</v>
      </c>
      <c r="D130" t="s">
        <v>2584</v>
      </c>
      <c r="E130" t="s">
        <v>119</v>
      </c>
      <c r="F130">
        <v>1</v>
      </c>
      <c r="G130" t="s">
        <v>2050</v>
      </c>
      <c r="H130" t="s">
        <v>2051</v>
      </c>
      <c r="I130" t="s">
        <v>53</v>
      </c>
      <c r="J130" t="s">
        <v>67</v>
      </c>
      <c r="K130" t="s">
        <v>68</v>
      </c>
      <c r="L130" t="s">
        <v>2052</v>
      </c>
      <c r="M130" t="s">
        <v>2053</v>
      </c>
      <c r="N130">
        <v>0</v>
      </c>
      <c r="O130">
        <v>0</v>
      </c>
      <c r="P130">
        <v>0</v>
      </c>
      <c r="Q130">
        <v>1440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t="s">
        <v>218</v>
      </c>
      <c r="AH130" s="21" t="s">
        <v>3425</v>
      </c>
      <c r="AI130" s="21">
        <v>107.92500000000001</v>
      </c>
      <c r="AJ130" s="21">
        <v>100</v>
      </c>
      <c r="AK130" s="21" t="s">
        <v>2054</v>
      </c>
      <c r="AL130" t="s">
        <v>70</v>
      </c>
      <c r="AM130" t="s">
        <v>2031</v>
      </c>
    </row>
    <row r="131" spans="1:39" ht="15" hidden="1" thickTop="1" x14ac:dyDescent="0.35">
      <c r="A131" t="s">
        <v>2602</v>
      </c>
      <c r="B131" t="s">
        <v>2591</v>
      </c>
      <c r="C131" t="s">
        <v>71</v>
      </c>
      <c r="D131" t="s">
        <v>2592</v>
      </c>
      <c r="E131" t="s">
        <v>72</v>
      </c>
      <c r="F131">
        <v>1</v>
      </c>
      <c r="G131" t="s">
        <v>2050</v>
      </c>
      <c r="H131" t="s">
        <v>2051</v>
      </c>
      <c r="I131" t="s">
        <v>53</v>
      </c>
      <c r="J131" t="s">
        <v>73</v>
      </c>
      <c r="K131" t="s">
        <v>68</v>
      </c>
      <c r="L131" t="s">
        <v>2052</v>
      </c>
      <c r="M131" t="s">
        <v>2053</v>
      </c>
      <c r="N131">
        <v>0</v>
      </c>
      <c r="O131">
        <v>0</v>
      </c>
      <c r="P131">
        <v>0</v>
      </c>
      <c r="Q131">
        <v>1440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219</v>
      </c>
      <c r="AH131" s="21" t="s">
        <v>3428</v>
      </c>
      <c r="AI131" s="21">
        <v>107.92500000000001</v>
      </c>
      <c r="AJ131" s="21">
        <v>100</v>
      </c>
      <c r="AK131" s="21" t="s">
        <v>2054</v>
      </c>
      <c r="AL131" t="s">
        <v>75</v>
      </c>
      <c r="AM131" t="s">
        <v>2028</v>
      </c>
    </row>
    <row r="132" spans="1:39" ht="15" hidden="1" thickTop="1" x14ac:dyDescent="0.35">
      <c r="A132" t="s">
        <v>2607</v>
      </c>
      <c r="B132" t="s">
        <v>2593</v>
      </c>
      <c r="C132" t="s">
        <v>92</v>
      </c>
      <c r="D132" t="s">
        <v>2594</v>
      </c>
      <c r="E132" t="s">
        <v>119</v>
      </c>
      <c r="F132">
        <v>1</v>
      </c>
      <c r="G132" t="s">
        <v>2050</v>
      </c>
      <c r="H132" t="s">
        <v>2051</v>
      </c>
      <c r="I132" t="s">
        <v>53</v>
      </c>
      <c r="J132" t="s">
        <v>67</v>
      </c>
      <c r="K132" t="s">
        <v>68</v>
      </c>
      <c r="L132" t="s">
        <v>2052</v>
      </c>
      <c r="M132" t="s">
        <v>2053</v>
      </c>
      <c r="N132">
        <v>0</v>
      </c>
      <c r="O132">
        <v>0</v>
      </c>
      <c r="P132">
        <v>0</v>
      </c>
      <c r="Q132">
        <v>1440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220</v>
      </c>
      <c r="AH132" s="21" t="s">
        <v>3424</v>
      </c>
      <c r="AI132" s="21">
        <v>107.92500000000001</v>
      </c>
      <c r="AJ132" s="21">
        <v>100</v>
      </c>
      <c r="AK132" s="21" t="s">
        <v>2054</v>
      </c>
      <c r="AL132" t="s">
        <v>70</v>
      </c>
      <c r="AM132" t="s">
        <v>2029</v>
      </c>
    </row>
    <row r="133" spans="1:39" ht="15" hidden="1" thickTop="1" x14ac:dyDescent="0.35">
      <c r="A133" t="s">
        <v>2071</v>
      </c>
      <c r="B133" t="s">
        <v>2605</v>
      </c>
      <c r="C133" t="s">
        <v>102</v>
      </c>
      <c r="D133" t="s">
        <v>2606</v>
      </c>
      <c r="E133" t="s">
        <v>559</v>
      </c>
      <c r="F133">
        <v>1</v>
      </c>
      <c r="G133" t="s">
        <v>2050</v>
      </c>
      <c r="H133" t="s">
        <v>2051</v>
      </c>
      <c r="I133" t="s">
        <v>53</v>
      </c>
      <c r="J133" t="s">
        <v>67</v>
      </c>
      <c r="K133" t="s">
        <v>68</v>
      </c>
      <c r="L133" t="s">
        <v>2052</v>
      </c>
      <c r="M133" t="s">
        <v>2053</v>
      </c>
      <c r="N133">
        <v>0</v>
      </c>
      <c r="O133">
        <v>0</v>
      </c>
      <c r="P133">
        <v>0</v>
      </c>
      <c r="Q133">
        <v>1440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222</v>
      </c>
      <c r="AH133" s="21" t="s">
        <v>3424</v>
      </c>
      <c r="AI133" s="21">
        <v>107.92500000000001</v>
      </c>
      <c r="AJ133" s="21">
        <v>100</v>
      </c>
      <c r="AK133" s="21" t="s">
        <v>2054</v>
      </c>
      <c r="AL133" t="s">
        <v>70</v>
      </c>
      <c r="AM133" t="s">
        <v>2030</v>
      </c>
    </row>
    <row r="134" spans="1:39" ht="15" hidden="1" thickTop="1" x14ac:dyDescent="0.35">
      <c r="A134" t="s">
        <v>2072</v>
      </c>
      <c r="B134" t="s">
        <v>2608</v>
      </c>
      <c r="C134" t="s">
        <v>102</v>
      </c>
      <c r="D134" t="s">
        <v>2609</v>
      </c>
      <c r="E134" t="s">
        <v>559</v>
      </c>
      <c r="F134">
        <v>1</v>
      </c>
      <c r="G134" t="s">
        <v>2050</v>
      </c>
      <c r="H134" t="s">
        <v>2051</v>
      </c>
      <c r="I134" t="s">
        <v>53</v>
      </c>
      <c r="J134" t="s">
        <v>67</v>
      </c>
      <c r="K134" t="s">
        <v>68</v>
      </c>
      <c r="L134" t="s">
        <v>2052</v>
      </c>
      <c r="M134" t="s">
        <v>2053</v>
      </c>
      <c r="N134">
        <v>0</v>
      </c>
      <c r="O134">
        <v>0</v>
      </c>
      <c r="P134">
        <v>0</v>
      </c>
      <c r="Q134">
        <v>1440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223</v>
      </c>
      <c r="AH134" s="21" t="s">
        <v>3424</v>
      </c>
      <c r="AI134" s="21">
        <v>107.92500000000001</v>
      </c>
      <c r="AJ134" s="21">
        <v>100</v>
      </c>
      <c r="AK134" s="21" t="s">
        <v>2054</v>
      </c>
      <c r="AL134" t="s">
        <v>70</v>
      </c>
      <c r="AM134" t="s">
        <v>2028</v>
      </c>
    </row>
    <row r="135" spans="1:39" ht="15" hidden="1" thickTop="1" x14ac:dyDescent="0.35">
      <c r="A135" t="s">
        <v>2073</v>
      </c>
      <c r="B135" t="s">
        <v>2611</v>
      </c>
      <c r="C135" t="s">
        <v>117</v>
      </c>
      <c r="D135" t="s">
        <v>2612</v>
      </c>
      <c r="E135" t="s">
        <v>559</v>
      </c>
      <c r="F135">
        <v>1</v>
      </c>
      <c r="G135" t="s">
        <v>2050</v>
      </c>
      <c r="H135" t="s">
        <v>2051</v>
      </c>
      <c r="I135" t="s">
        <v>53</v>
      </c>
      <c r="J135" t="s">
        <v>67</v>
      </c>
      <c r="K135" t="s">
        <v>68</v>
      </c>
      <c r="L135" t="s">
        <v>2052</v>
      </c>
      <c r="M135" t="s">
        <v>2053</v>
      </c>
      <c r="N135">
        <v>0</v>
      </c>
      <c r="O135">
        <v>0</v>
      </c>
      <c r="P135">
        <v>0</v>
      </c>
      <c r="Q135">
        <v>1440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224</v>
      </c>
      <c r="AH135" s="21" t="s">
        <v>3424</v>
      </c>
      <c r="AI135" s="21">
        <v>107.92500000000001</v>
      </c>
      <c r="AJ135" s="21">
        <v>100</v>
      </c>
      <c r="AK135" s="21" t="s">
        <v>2054</v>
      </c>
      <c r="AL135" t="s">
        <v>70</v>
      </c>
      <c r="AM135" t="s">
        <v>2027</v>
      </c>
    </row>
    <row r="136" spans="1:39" ht="15" hidden="1" thickTop="1" x14ac:dyDescent="0.35">
      <c r="A136" t="s">
        <v>2624</v>
      </c>
      <c r="B136" t="s">
        <v>2617</v>
      </c>
      <c r="C136" t="s">
        <v>128</v>
      </c>
      <c r="D136" t="s">
        <v>2618</v>
      </c>
      <c r="E136" t="s">
        <v>112</v>
      </c>
      <c r="F136">
        <v>1</v>
      </c>
      <c r="G136" t="s">
        <v>2050</v>
      </c>
      <c r="H136" t="s">
        <v>2051</v>
      </c>
      <c r="I136" t="s">
        <v>53</v>
      </c>
      <c r="J136" t="s">
        <v>113</v>
      </c>
      <c r="K136" t="s">
        <v>68</v>
      </c>
      <c r="L136" t="s">
        <v>2052</v>
      </c>
      <c r="M136" t="s">
        <v>2619</v>
      </c>
      <c r="N136">
        <v>0</v>
      </c>
      <c r="O136">
        <v>0</v>
      </c>
      <c r="P136">
        <v>0</v>
      </c>
      <c r="Q136">
        <v>1140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225</v>
      </c>
      <c r="AH136" s="21" t="s">
        <v>3424</v>
      </c>
      <c r="AI136" s="21">
        <v>85.5</v>
      </c>
      <c r="AJ136" s="21">
        <v>100</v>
      </c>
      <c r="AK136" s="21" t="s">
        <v>2054</v>
      </c>
      <c r="AL136" t="s">
        <v>115</v>
      </c>
      <c r="AM136" t="s">
        <v>2027</v>
      </c>
    </row>
    <row r="137" spans="1:39" ht="15" hidden="1" thickTop="1" x14ac:dyDescent="0.35">
      <c r="A137" t="s">
        <v>2626</v>
      </c>
      <c r="B137" t="s">
        <v>2620</v>
      </c>
      <c r="C137" t="s">
        <v>66</v>
      </c>
      <c r="D137" t="s">
        <v>2621</v>
      </c>
      <c r="E137" t="s">
        <v>559</v>
      </c>
      <c r="F137">
        <v>1</v>
      </c>
      <c r="G137" t="s">
        <v>2050</v>
      </c>
      <c r="H137" t="s">
        <v>2051</v>
      </c>
      <c r="I137" t="s">
        <v>53</v>
      </c>
      <c r="J137" t="s">
        <v>67</v>
      </c>
      <c r="K137" t="s">
        <v>68</v>
      </c>
      <c r="L137" t="s">
        <v>2052</v>
      </c>
      <c r="M137" t="s">
        <v>2053</v>
      </c>
      <c r="N137">
        <v>0</v>
      </c>
      <c r="O137">
        <v>0</v>
      </c>
      <c r="P137">
        <v>0</v>
      </c>
      <c r="Q137">
        <v>1440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226</v>
      </c>
      <c r="AH137" s="21" t="s">
        <v>3424</v>
      </c>
      <c r="AI137" s="21">
        <v>107.92500000000001</v>
      </c>
      <c r="AJ137" s="21">
        <v>100</v>
      </c>
      <c r="AK137" s="21" t="s">
        <v>2054</v>
      </c>
      <c r="AL137" t="s">
        <v>70</v>
      </c>
      <c r="AM137" t="s">
        <v>2028</v>
      </c>
    </row>
    <row r="138" spans="1:39" ht="15" hidden="1" thickTop="1" x14ac:dyDescent="0.35">
      <c r="A138" t="s">
        <v>2630</v>
      </c>
      <c r="B138" t="s">
        <v>2628</v>
      </c>
      <c r="C138" t="s">
        <v>66</v>
      </c>
      <c r="D138" t="s">
        <v>2629</v>
      </c>
      <c r="E138" t="s">
        <v>559</v>
      </c>
      <c r="F138">
        <v>1</v>
      </c>
      <c r="G138" t="s">
        <v>2050</v>
      </c>
      <c r="H138" t="s">
        <v>2051</v>
      </c>
      <c r="I138" t="s">
        <v>53</v>
      </c>
      <c r="J138" t="s">
        <v>67</v>
      </c>
      <c r="K138" t="s">
        <v>68</v>
      </c>
      <c r="L138" t="s">
        <v>2052</v>
      </c>
      <c r="M138" t="s">
        <v>2064</v>
      </c>
      <c r="N138">
        <v>0</v>
      </c>
      <c r="O138">
        <v>0</v>
      </c>
      <c r="P138">
        <v>0</v>
      </c>
      <c r="Q138">
        <v>900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s">
        <v>227</v>
      </c>
      <c r="AH138" s="21" t="s">
        <v>3424</v>
      </c>
      <c r="AI138" s="21">
        <v>67.5</v>
      </c>
      <c r="AJ138" s="21">
        <v>100</v>
      </c>
      <c r="AK138" s="21" t="s">
        <v>2055</v>
      </c>
      <c r="AL138" t="s">
        <v>70</v>
      </c>
      <c r="AM138" t="s">
        <v>2027</v>
      </c>
    </row>
    <row r="139" spans="1:39" ht="15" hidden="1" thickTop="1" x14ac:dyDescent="0.35">
      <c r="A139" t="s">
        <v>2636</v>
      </c>
      <c r="B139" t="s">
        <v>2632</v>
      </c>
      <c r="C139" t="s">
        <v>100</v>
      </c>
      <c r="D139" t="s">
        <v>2633</v>
      </c>
      <c r="E139" t="s">
        <v>559</v>
      </c>
      <c r="F139">
        <v>1</v>
      </c>
      <c r="G139" t="s">
        <v>2050</v>
      </c>
      <c r="H139" t="s">
        <v>2051</v>
      </c>
      <c r="I139" t="s">
        <v>53</v>
      </c>
      <c r="J139" t="s">
        <v>67</v>
      </c>
      <c r="K139" t="s">
        <v>68</v>
      </c>
      <c r="L139" t="s">
        <v>2052</v>
      </c>
      <c r="M139" t="s">
        <v>2053</v>
      </c>
      <c r="N139">
        <v>0</v>
      </c>
      <c r="O139">
        <v>0</v>
      </c>
      <c r="P139">
        <v>0</v>
      </c>
      <c r="Q139">
        <v>1440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228</v>
      </c>
      <c r="AH139" s="21" t="s">
        <v>3424</v>
      </c>
      <c r="AI139" s="21">
        <v>107.92500000000001</v>
      </c>
      <c r="AJ139" s="21">
        <v>100</v>
      </c>
      <c r="AK139" s="21" t="s">
        <v>2054</v>
      </c>
      <c r="AL139" t="s">
        <v>70</v>
      </c>
      <c r="AM139" t="s">
        <v>2031</v>
      </c>
    </row>
    <row r="140" spans="1:39" ht="15" hidden="1" thickTop="1" x14ac:dyDescent="0.35">
      <c r="A140" t="s">
        <v>2637</v>
      </c>
      <c r="B140" t="s">
        <v>2634</v>
      </c>
      <c r="C140" t="s">
        <v>78</v>
      </c>
      <c r="D140" t="s">
        <v>2635</v>
      </c>
      <c r="E140" t="s">
        <v>559</v>
      </c>
      <c r="F140">
        <v>1</v>
      </c>
      <c r="G140" t="s">
        <v>2050</v>
      </c>
      <c r="H140" t="s">
        <v>2051</v>
      </c>
      <c r="I140" t="s">
        <v>53</v>
      </c>
      <c r="J140" t="s">
        <v>67</v>
      </c>
      <c r="K140" t="s">
        <v>68</v>
      </c>
      <c r="L140" t="s">
        <v>2052</v>
      </c>
      <c r="M140" t="s">
        <v>2053</v>
      </c>
      <c r="N140">
        <v>0</v>
      </c>
      <c r="O140">
        <v>0</v>
      </c>
      <c r="P140">
        <v>0</v>
      </c>
      <c r="Q140">
        <v>1440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229</v>
      </c>
      <c r="AH140" s="21" t="s">
        <v>3424</v>
      </c>
      <c r="AI140" s="21">
        <v>107.92500000000001</v>
      </c>
      <c r="AJ140" s="21">
        <v>100</v>
      </c>
      <c r="AK140" s="21" t="s">
        <v>2055</v>
      </c>
      <c r="AL140" t="s">
        <v>70</v>
      </c>
      <c r="AM140" t="s">
        <v>2031</v>
      </c>
    </row>
    <row r="141" spans="1:39" ht="15" hidden="1" thickTop="1" x14ac:dyDescent="0.35">
      <c r="A141" t="s">
        <v>2642</v>
      </c>
      <c r="B141" t="s">
        <v>2640</v>
      </c>
      <c r="C141" t="s">
        <v>3376</v>
      </c>
      <c r="D141" t="s">
        <v>2641</v>
      </c>
      <c r="E141" t="s">
        <v>559</v>
      </c>
      <c r="F141">
        <v>1</v>
      </c>
      <c r="G141" t="s">
        <v>2050</v>
      </c>
      <c r="H141" t="s">
        <v>2051</v>
      </c>
      <c r="I141" t="s">
        <v>53</v>
      </c>
      <c r="J141" t="s">
        <v>67</v>
      </c>
      <c r="K141" t="s">
        <v>68</v>
      </c>
      <c r="L141" t="s">
        <v>2052</v>
      </c>
      <c r="M141" t="s">
        <v>2053</v>
      </c>
      <c r="N141">
        <v>0</v>
      </c>
      <c r="O141">
        <v>0</v>
      </c>
      <c r="P141">
        <v>0</v>
      </c>
      <c r="Q141">
        <v>1440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t="s">
        <v>230</v>
      </c>
      <c r="AH141" s="21" t="s">
        <v>3424</v>
      </c>
      <c r="AI141" s="21">
        <v>107.92500000000001</v>
      </c>
      <c r="AJ141" s="21">
        <v>100</v>
      </c>
      <c r="AK141" s="21" t="s">
        <v>2055</v>
      </c>
      <c r="AL141" t="s">
        <v>70</v>
      </c>
      <c r="AM141" t="s">
        <v>2031</v>
      </c>
    </row>
    <row r="142" spans="1:39" ht="15" hidden="1" thickTop="1" x14ac:dyDescent="0.35">
      <c r="A142" t="s">
        <v>2646</v>
      </c>
      <c r="B142" t="s">
        <v>2644</v>
      </c>
      <c r="C142" t="s">
        <v>3376</v>
      </c>
      <c r="D142" t="s">
        <v>2645</v>
      </c>
      <c r="E142" t="s">
        <v>559</v>
      </c>
      <c r="F142">
        <v>1</v>
      </c>
      <c r="G142" t="s">
        <v>2050</v>
      </c>
      <c r="H142" t="s">
        <v>2051</v>
      </c>
      <c r="I142" t="s">
        <v>53</v>
      </c>
      <c r="J142" t="s">
        <v>67</v>
      </c>
      <c r="K142" t="s">
        <v>68</v>
      </c>
      <c r="L142" t="s">
        <v>2052</v>
      </c>
      <c r="M142" t="s">
        <v>2053</v>
      </c>
      <c r="N142">
        <v>0</v>
      </c>
      <c r="O142">
        <v>0</v>
      </c>
      <c r="P142">
        <v>0</v>
      </c>
      <c r="Q142">
        <v>1440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231</v>
      </c>
      <c r="AH142" s="21" t="s">
        <v>3424</v>
      </c>
      <c r="AI142" s="21">
        <v>107.92500000000001</v>
      </c>
      <c r="AJ142" s="21">
        <v>100</v>
      </c>
      <c r="AK142" s="21" t="s">
        <v>2054</v>
      </c>
      <c r="AL142" t="s">
        <v>70</v>
      </c>
      <c r="AM142" t="s">
        <v>2027</v>
      </c>
    </row>
    <row r="143" spans="1:39" ht="15" hidden="1" thickTop="1" x14ac:dyDescent="0.35">
      <c r="A143" t="s">
        <v>2658</v>
      </c>
      <c r="B143" t="s">
        <v>2648</v>
      </c>
      <c r="C143" t="s">
        <v>102</v>
      </c>
      <c r="D143" t="s">
        <v>2649</v>
      </c>
      <c r="E143" t="s">
        <v>559</v>
      </c>
      <c r="F143">
        <v>1</v>
      </c>
      <c r="G143" t="s">
        <v>2050</v>
      </c>
      <c r="H143" t="s">
        <v>2051</v>
      </c>
      <c r="I143" t="s">
        <v>53</v>
      </c>
      <c r="J143" t="s">
        <v>67</v>
      </c>
      <c r="K143" t="s">
        <v>68</v>
      </c>
      <c r="L143" t="s">
        <v>2052</v>
      </c>
      <c r="M143" t="s">
        <v>2053</v>
      </c>
      <c r="N143">
        <v>0</v>
      </c>
      <c r="O143">
        <v>0</v>
      </c>
      <c r="P143">
        <v>0</v>
      </c>
      <c r="Q143">
        <v>1440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232</v>
      </c>
      <c r="AH143" s="21" t="s">
        <v>3424</v>
      </c>
      <c r="AI143" s="21">
        <v>107.92500000000001</v>
      </c>
      <c r="AJ143" s="21">
        <v>100</v>
      </c>
      <c r="AK143" s="21" t="s">
        <v>2054</v>
      </c>
      <c r="AL143" t="s">
        <v>70</v>
      </c>
      <c r="AM143" t="s">
        <v>2030</v>
      </c>
    </row>
    <row r="144" spans="1:39" ht="15" hidden="1" thickTop="1" x14ac:dyDescent="0.35">
      <c r="A144" t="s">
        <v>2659</v>
      </c>
      <c r="B144" t="s">
        <v>2650</v>
      </c>
      <c r="C144" t="s">
        <v>92</v>
      </c>
      <c r="D144" t="s">
        <v>2651</v>
      </c>
      <c r="E144" t="s">
        <v>559</v>
      </c>
      <c r="F144">
        <v>1</v>
      </c>
      <c r="G144" t="s">
        <v>2050</v>
      </c>
      <c r="H144" t="s">
        <v>2051</v>
      </c>
      <c r="I144" t="s">
        <v>53</v>
      </c>
      <c r="J144" t="s">
        <v>67</v>
      </c>
      <c r="K144" t="s">
        <v>68</v>
      </c>
      <c r="L144" t="s">
        <v>2052</v>
      </c>
      <c r="M144" t="s">
        <v>2053</v>
      </c>
      <c r="N144">
        <v>0</v>
      </c>
      <c r="O144">
        <v>0</v>
      </c>
      <c r="P144">
        <v>0</v>
      </c>
      <c r="Q144">
        <v>1440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t="s">
        <v>233</v>
      </c>
      <c r="AH144" s="21" t="s">
        <v>3424</v>
      </c>
      <c r="AI144" s="21">
        <v>107.92500000000001</v>
      </c>
      <c r="AJ144" s="21">
        <v>100</v>
      </c>
      <c r="AK144" s="21" t="s">
        <v>2054</v>
      </c>
      <c r="AL144" t="s">
        <v>70</v>
      </c>
      <c r="AM144" t="s">
        <v>2028</v>
      </c>
    </row>
    <row r="145" spans="1:39" ht="15" hidden="1" thickTop="1" x14ac:dyDescent="0.35">
      <c r="A145" t="s">
        <v>2508</v>
      </c>
      <c r="B145" t="s">
        <v>2652</v>
      </c>
      <c r="C145" t="s">
        <v>76</v>
      </c>
      <c r="D145" t="s">
        <v>2653</v>
      </c>
      <c r="E145" t="s">
        <v>119</v>
      </c>
      <c r="F145">
        <v>1</v>
      </c>
      <c r="G145" t="s">
        <v>2050</v>
      </c>
      <c r="H145" t="s">
        <v>2051</v>
      </c>
      <c r="I145" t="s">
        <v>53</v>
      </c>
      <c r="J145" t="s">
        <v>67</v>
      </c>
      <c r="K145" t="s">
        <v>68</v>
      </c>
      <c r="L145" t="s">
        <v>2052</v>
      </c>
      <c r="M145" t="s">
        <v>2053</v>
      </c>
      <c r="N145">
        <v>0</v>
      </c>
      <c r="O145">
        <v>0</v>
      </c>
      <c r="P145">
        <v>0</v>
      </c>
      <c r="Q145">
        <v>1440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234</v>
      </c>
      <c r="AH145" s="21" t="s">
        <v>3424</v>
      </c>
      <c r="AI145" s="21">
        <v>107.92500000000001</v>
      </c>
      <c r="AJ145" s="21">
        <v>100</v>
      </c>
      <c r="AK145" s="21" t="s">
        <v>2054</v>
      </c>
      <c r="AL145" t="s">
        <v>70</v>
      </c>
      <c r="AM145" t="s">
        <v>2028</v>
      </c>
    </row>
    <row r="146" spans="1:39" ht="15" hidden="1" thickTop="1" x14ac:dyDescent="0.35">
      <c r="A146" t="s">
        <v>2660</v>
      </c>
      <c r="B146" t="s">
        <v>2654</v>
      </c>
      <c r="C146" t="s">
        <v>3376</v>
      </c>
      <c r="D146" t="s">
        <v>2655</v>
      </c>
      <c r="E146" t="s">
        <v>559</v>
      </c>
      <c r="F146">
        <v>1</v>
      </c>
      <c r="G146" t="s">
        <v>2050</v>
      </c>
      <c r="H146" t="s">
        <v>2051</v>
      </c>
      <c r="I146" t="s">
        <v>53</v>
      </c>
      <c r="J146" t="s">
        <v>67</v>
      </c>
      <c r="K146" t="s">
        <v>68</v>
      </c>
      <c r="L146" t="s">
        <v>2052</v>
      </c>
      <c r="M146" t="s">
        <v>2053</v>
      </c>
      <c r="N146">
        <v>1</v>
      </c>
      <c r="O146">
        <v>23</v>
      </c>
      <c r="P146">
        <v>1.6</v>
      </c>
      <c r="Q146">
        <v>1440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23</v>
      </c>
      <c r="Z146">
        <v>1.6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235</v>
      </c>
      <c r="AH146" s="21" t="s">
        <v>3424</v>
      </c>
      <c r="AI146" s="21">
        <v>107.92500000000001</v>
      </c>
      <c r="AJ146" s="21">
        <v>98.402777777777771</v>
      </c>
      <c r="AK146" s="21" t="s">
        <v>2054</v>
      </c>
      <c r="AL146" t="s">
        <v>70</v>
      </c>
      <c r="AM146" t="s">
        <v>2028</v>
      </c>
    </row>
    <row r="147" spans="1:39" ht="15" hidden="1" thickTop="1" x14ac:dyDescent="0.35">
      <c r="A147" t="s">
        <v>2661</v>
      </c>
      <c r="B147" t="s">
        <v>2656</v>
      </c>
      <c r="C147" t="s">
        <v>3376</v>
      </c>
      <c r="D147" t="s">
        <v>2657</v>
      </c>
      <c r="E147" t="s">
        <v>559</v>
      </c>
      <c r="F147">
        <v>1</v>
      </c>
      <c r="G147" t="s">
        <v>2050</v>
      </c>
      <c r="H147" t="s">
        <v>2051</v>
      </c>
      <c r="I147" t="s">
        <v>53</v>
      </c>
      <c r="J147" t="s">
        <v>67</v>
      </c>
      <c r="K147" t="s">
        <v>68</v>
      </c>
      <c r="L147" t="s">
        <v>2052</v>
      </c>
      <c r="M147" t="s">
        <v>2053</v>
      </c>
      <c r="N147">
        <v>0</v>
      </c>
      <c r="O147">
        <v>0</v>
      </c>
      <c r="P147">
        <v>0</v>
      </c>
      <c r="Q147">
        <v>1440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236</v>
      </c>
      <c r="AH147" s="21" t="s">
        <v>3425</v>
      </c>
      <c r="AI147" s="21">
        <v>107.92500000000001</v>
      </c>
      <c r="AJ147" s="21">
        <v>100</v>
      </c>
      <c r="AK147" s="21" t="s">
        <v>2055</v>
      </c>
      <c r="AL147" t="s">
        <v>70</v>
      </c>
      <c r="AM147" t="s">
        <v>2030</v>
      </c>
    </row>
    <row r="148" spans="1:39" ht="15" hidden="1" thickTop="1" x14ac:dyDescent="0.35">
      <c r="A148" t="s">
        <v>2666</v>
      </c>
      <c r="B148" t="s">
        <v>2664</v>
      </c>
      <c r="C148" t="s">
        <v>820</v>
      </c>
      <c r="D148" t="s">
        <v>2665</v>
      </c>
      <c r="E148" t="s">
        <v>72</v>
      </c>
      <c r="F148">
        <v>1</v>
      </c>
      <c r="G148" t="s">
        <v>2050</v>
      </c>
      <c r="H148" t="s">
        <v>2051</v>
      </c>
      <c r="I148" t="s">
        <v>53</v>
      </c>
      <c r="J148" t="s">
        <v>424</v>
      </c>
      <c r="K148" t="s">
        <v>68</v>
      </c>
      <c r="L148" t="s">
        <v>2052</v>
      </c>
      <c r="M148" t="s">
        <v>2064</v>
      </c>
      <c r="N148">
        <v>0</v>
      </c>
      <c r="O148">
        <v>0</v>
      </c>
      <c r="P148">
        <v>0</v>
      </c>
      <c r="Q148">
        <v>900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238</v>
      </c>
      <c r="AH148" s="21" t="s">
        <v>3425</v>
      </c>
      <c r="AI148" s="21">
        <v>67.5</v>
      </c>
      <c r="AJ148" s="21">
        <v>100</v>
      </c>
      <c r="AK148" s="21" t="s">
        <v>2054</v>
      </c>
      <c r="AL148" t="s">
        <v>75</v>
      </c>
      <c r="AM148" t="s">
        <v>2027</v>
      </c>
    </row>
    <row r="149" spans="1:39" ht="15" hidden="1" thickTop="1" x14ac:dyDescent="0.35">
      <c r="A149" t="s">
        <v>2671</v>
      </c>
      <c r="B149" t="s">
        <v>2669</v>
      </c>
      <c r="C149" t="s">
        <v>100</v>
      </c>
      <c r="D149" t="s">
        <v>2670</v>
      </c>
      <c r="E149" t="s">
        <v>119</v>
      </c>
      <c r="F149">
        <v>1</v>
      </c>
      <c r="G149" t="s">
        <v>2050</v>
      </c>
      <c r="H149" t="s">
        <v>2051</v>
      </c>
      <c r="I149" t="s">
        <v>53</v>
      </c>
      <c r="J149" t="s">
        <v>67</v>
      </c>
      <c r="K149" t="s">
        <v>68</v>
      </c>
      <c r="L149" t="s">
        <v>3397</v>
      </c>
      <c r="M149" t="s">
        <v>2317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239</v>
      </c>
      <c r="AH149" s="21" t="s">
        <v>3429</v>
      </c>
      <c r="AI149" s="21">
        <v>40.500000000000007</v>
      </c>
      <c r="AJ149" s="21" t="e">
        <v>#DIV/0!</v>
      </c>
      <c r="AK149" s="21" t="s">
        <v>2054</v>
      </c>
      <c r="AL149" t="s">
        <v>70</v>
      </c>
      <c r="AM149" t="s">
        <v>2027</v>
      </c>
    </row>
    <row r="150" spans="1:39" ht="15" hidden="1" thickTop="1" x14ac:dyDescent="0.35">
      <c r="A150" t="s">
        <v>2687</v>
      </c>
      <c r="B150" t="s">
        <v>2675</v>
      </c>
      <c r="C150" t="s">
        <v>78</v>
      </c>
      <c r="D150" t="s">
        <v>2676</v>
      </c>
      <c r="E150" t="s">
        <v>559</v>
      </c>
      <c r="F150">
        <v>1</v>
      </c>
      <c r="G150" t="s">
        <v>2050</v>
      </c>
      <c r="H150" t="s">
        <v>2051</v>
      </c>
      <c r="I150" t="s">
        <v>53</v>
      </c>
      <c r="J150" t="s">
        <v>67</v>
      </c>
      <c r="K150" t="s">
        <v>68</v>
      </c>
      <c r="L150" t="s">
        <v>2052</v>
      </c>
      <c r="M150" t="s">
        <v>2083</v>
      </c>
      <c r="N150">
        <v>0</v>
      </c>
      <c r="O150">
        <v>0</v>
      </c>
      <c r="P150">
        <v>0</v>
      </c>
      <c r="Q150">
        <v>960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t="s">
        <v>240</v>
      </c>
      <c r="AH150" s="21" t="s">
        <v>3424</v>
      </c>
      <c r="AI150" s="21">
        <v>72.000000000000014</v>
      </c>
      <c r="AJ150" s="21">
        <v>100</v>
      </c>
      <c r="AK150" s="21" t="s">
        <v>2054</v>
      </c>
      <c r="AL150" t="s">
        <v>70</v>
      </c>
      <c r="AM150" t="s">
        <v>2029</v>
      </c>
    </row>
    <row r="151" spans="1:39" ht="15" hidden="1" thickTop="1" x14ac:dyDescent="0.35">
      <c r="A151" t="s">
        <v>2688</v>
      </c>
      <c r="B151" t="s">
        <v>2677</v>
      </c>
      <c r="C151" t="s">
        <v>66</v>
      </c>
      <c r="D151" t="s">
        <v>2678</v>
      </c>
      <c r="E151" t="s">
        <v>559</v>
      </c>
      <c r="F151">
        <v>1</v>
      </c>
      <c r="G151" t="s">
        <v>2050</v>
      </c>
      <c r="H151" t="s">
        <v>2051</v>
      </c>
      <c r="I151" t="s">
        <v>53</v>
      </c>
      <c r="J151" t="s">
        <v>67</v>
      </c>
      <c r="K151" t="s">
        <v>68</v>
      </c>
      <c r="L151" t="s">
        <v>2052</v>
      </c>
      <c r="M151" t="s">
        <v>2064</v>
      </c>
      <c r="N151">
        <v>0</v>
      </c>
      <c r="O151">
        <v>0</v>
      </c>
      <c r="P151">
        <v>0</v>
      </c>
      <c r="Q151">
        <v>900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t="s">
        <v>241</v>
      </c>
      <c r="AH151" s="21" t="s">
        <v>3424</v>
      </c>
      <c r="AI151" s="21">
        <v>67.5</v>
      </c>
      <c r="AJ151" s="21">
        <v>100</v>
      </c>
      <c r="AK151" s="21" t="s">
        <v>2054</v>
      </c>
      <c r="AL151" t="s">
        <v>70</v>
      </c>
      <c r="AM151" t="s">
        <v>2028</v>
      </c>
    </row>
    <row r="152" spans="1:39" ht="15" hidden="1" thickTop="1" x14ac:dyDescent="0.35">
      <c r="A152" t="s">
        <v>2689</v>
      </c>
      <c r="B152" t="s">
        <v>2679</v>
      </c>
      <c r="C152" t="s">
        <v>100</v>
      </c>
      <c r="D152" t="s">
        <v>2680</v>
      </c>
      <c r="E152" t="s">
        <v>559</v>
      </c>
      <c r="F152">
        <v>1</v>
      </c>
      <c r="G152" t="s">
        <v>2050</v>
      </c>
      <c r="H152" t="s">
        <v>2051</v>
      </c>
      <c r="I152" t="s">
        <v>53</v>
      </c>
      <c r="J152" t="s">
        <v>67</v>
      </c>
      <c r="K152" t="s">
        <v>68</v>
      </c>
      <c r="L152" t="s">
        <v>2052</v>
      </c>
      <c r="M152" t="s">
        <v>2053</v>
      </c>
      <c r="N152">
        <v>0</v>
      </c>
      <c r="O152">
        <v>0</v>
      </c>
      <c r="P152">
        <v>0</v>
      </c>
      <c r="Q152">
        <v>1440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242</v>
      </c>
      <c r="AH152" s="21" t="s">
        <v>3424</v>
      </c>
      <c r="AI152" s="21">
        <v>107.92500000000001</v>
      </c>
      <c r="AJ152" s="21">
        <v>100</v>
      </c>
      <c r="AK152" s="21" t="s">
        <v>2054</v>
      </c>
      <c r="AL152" t="s">
        <v>70</v>
      </c>
      <c r="AM152" t="s">
        <v>2030</v>
      </c>
    </row>
    <row r="153" spans="1:39" ht="15" hidden="1" thickTop="1" x14ac:dyDescent="0.35">
      <c r="A153" t="s">
        <v>2690</v>
      </c>
      <c r="B153" t="s">
        <v>2681</v>
      </c>
      <c r="C153" t="s">
        <v>100</v>
      </c>
      <c r="D153" t="s">
        <v>2682</v>
      </c>
      <c r="E153" t="s">
        <v>559</v>
      </c>
      <c r="F153">
        <v>1</v>
      </c>
      <c r="G153" t="s">
        <v>2050</v>
      </c>
      <c r="H153" t="s">
        <v>2051</v>
      </c>
      <c r="I153" t="s">
        <v>53</v>
      </c>
      <c r="J153" t="s">
        <v>67</v>
      </c>
      <c r="K153" t="s">
        <v>68</v>
      </c>
      <c r="L153" t="s">
        <v>2052</v>
      </c>
      <c r="M153" t="s">
        <v>2053</v>
      </c>
      <c r="N153">
        <v>0</v>
      </c>
      <c r="O153">
        <v>0</v>
      </c>
      <c r="P153">
        <v>0</v>
      </c>
      <c r="Q153">
        <v>1440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t="s">
        <v>243</v>
      </c>
      <c r="AH153" s="21" t="s">
        <v>3424</v>
      </c>
      <c r="AI153" s="21">
        <v>107.92500000000001</v>
      </c>
      <c r="AJ153" s="21">
        <v>100</v>
      </c>
      <c r="AK153" s="21" t="s">
        <v>2055</v>
      </c>
      <c r="AL153" t="s">
        <v>70</v>
      </c>
      <c r="AM153" t="s">
        <v>2030</v>
      </c>
    </row>
    <row r="154" spans="1:39" ht="15" hidden="1" thickTop="1" x14ac:dyDescent="0.35">
      <c r="A154" t="s">
        <v>2691</v>
      </c>
      <c r="B154" t="s">
        <v>2683</v>
      </c>
      <c r="C154" t="s">
        <v>76</v>
      </c>
      <c r="D154" t="s">
        <v>2684</v>
      </c>
      <c r="E154" t="s">
        <v>559</v>
      </c>
      <c r="F154">
        <v>2</v>
      </c>
      <c r="G154" t="s">
        <v>2050</v>
      </c>
      <c r="H154" t="s">
        <v>2051</v>
      </c>
      <c r="I154" t="s">
        <v>53</v>
      </c>
      <c r="J154" t="s">
        <v>67</v>
      </c>
      <c r="K154" t="s">
        <v>68</v>
      </c>
      <c r="L154" t="s">
        <v>2052</v>
      </c>
      <c r="M154" t="s">
        <v>2064</v>
      </c>
      <c r="N154">
        <v>0</v>
      </c>
      <c r="O154">
        <v>0</v>
      </c>
      <c r="P154">
        <v>0</v>
      </c>
      <c r="Q154">
        <v>900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t="s">
        <v>244</v>
      </c>
      <c r="AH154" s="21" t="s">
        <v>3424</v>
      </c>
      <c r="AI154" s="21">
        <v>67.5</v>
      </c>
      <c r="AJ154" s="21">
        <v>100</v>
      </c>
      <c r="AK154" s="21" t="s">
        <v>2054</v>
      </c>
      <c r="AL154" t="s">
        <v>70</v>
      </c>
      <c r="AM154" t="s">
        <v>2029</v>
      </c>
    </row>
    <row r="155" spans="1:39" ht="15" hidden="1" thickTop="1" x14ac:dyDescent="0.35">
      <c r="A155" t="s">
        <v>2692</v>
      </c>
      <c r="B155" t="s">
        <v>2685</v>
      </c>
      <c r="C155" t="s">
        <v>78</v>
      </c>
      <c r="D155" t="s">
        <v>2686</v>
      </c>
      <c r="E155" t="s">
        <v>559</v>
      </c>
      <c r="F155">
        <v>1</v>
      </c>
      <c r="G155" t="s">
        <v>2050</v>
      </c>
      <c r="H155" t="s">
        <v>2051</v>
      </c>
      <c r="I155" t="s">
        <v>53</v>
      </c>
      <c r="J155" t="s">
        <v>67</v>
      </c>
      <c r="K155" t="s">
        <v>68</v>
      </c>
      <c r="L155" t="s">
        <v>2052</v>
      </c>
      <c r="M155" t="s">
        <v>2083</v>
      </c>
      <c r="N155">
        <v>0</v>
      </c>
      <c r="O155">
        <v>0</v>
      </c>
      <c r="P155">
        <v>0</v>
      </c>
      <c r="Q155">
        <v>960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245</v>
      </c>
      <c r="AH155" s="21" t="s">
        <v>3424</v>
      </c>
      <c r="AI155" s="21">
        <v>72.000000000000014</v>
      </c>
      <c r="AJ155" s="21">
        <v>100</v>
      </c>
      <c r="AK155" s="21" t="s">
        <v>2054</v>
      </c>
      <c r="AL155" t="s">
        <v>70</v>
      </c>
      <c r="AM155" t="s">
        <v>2030</v>
      </c>
    </row>
    <row r="156" spans="1:39" ht="15" hidden="1" thickTop="1" x14ac:dyDescent="0.35">
      <c r="A156" t="s">
        <v>2702</v>
      </c>
      <c r="B156" t="s">
        <v>2696</v>
      </c>
      <c r="C156" t="s">
        <v>3376</v>
      </c>
      <c r="D156" t="s">
        <v>2697</v>
      </c>
      <c r="E156" t="s">
        <v>559</v>
      </c>
      <c r="F156">
        <v>1</v>
      </c>
      <c r="G156" t="s">
        <v>2050</v>
      </c>
      <c r="H156" t="s">
        <v>2051</v>
      </c>
      <c r="I156" t="s">
        <v>53</v>
      </c>
      <c r="J156" t="s">
        <v>67</v>
      </c>
      <c r="K156" t="s">
        <v>68</v>
      </c>
      <c r="L156" t="s">
        <v>2052</v>
      </c>
      <c r="M156" t="s">
        <v>2053</v>
      </c>
      <c r="N156">
        <v>0</v>
      </c>
      <c r="O156">
        <v>0</v>
      </c>
      <c r="P156">
        <v>0</v>
      </c>
      <c r="Q156">
        <v>1440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246</v>
      </c>
      <c r="AH156" s="21" t="s">
        <v>3424</v>
      </c>
      <c r="AI156" s="21">
        <v>107.92500000000001</v>
      </c>
      <c r="AJ156" s="21">
        <v>100</v>
      </c>
      <c r="AK156" s="21" t="s">
        <v>2054</v>
      </c>
      <c r="AL156" t="s">
        <v>70</v>
      </c>
      <c r="AM156" t="s">
        <v>2029</v>
      </c>
    </row>
    <row r="157" spans="1:39" ht="15" hidden="1" thickTop="1" x14ac:dyDescent="0.35">
      <c r="A157" t="s">
        <v>2703</v>
      </c>
      <c r="B157" t="s">
        <v>2698</v>
      </c>
      <c r="C157" t="s">
        <v>66</v>
      </c>
      <c r="D157" t="s">
        <v>2699</v>
      </c>
      <c r="E157" t="s">
        <v>559</v>
      </c>
      <c r="F157">
        <v>1</v>
      </c>
      <c r="G157" t="s">
        <v>2050</v>
      </c>
      <c r="H157" t="s">
        <v>2051</v>
      </c>
      <c r="I157" t="s">
        <v>53</v>
      </c>
      <c r="J157" t="s">
        <v>67</v>
      </c>
      <c r="K157" t="s">
        <v>68</v>
      </c>
      <c r="L157" t="s">
        <v>2052</v>
      </c>
      <c r="M157" t="s">
        <v>2053</v>
      </c>
      <c r="N157">
        <v>0</v>
      </c>
      <c r="O157">
        <v>0</v>
      </c>
      <c r="P157">
        <v>0</v>
      </c>
      <c r="Q157">
        <v>1440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247</v>
      </c>
      <c r="AH157" s="21" t="s">
        <v>3424</v>
      </c>
      <c r="AI157" s="21">
        <v>107.92500000000001</v>
      </c>
      <c r="AJ157" s="21">
        <v>100</v>
      </c>
      <c r="AK157" s="21" t="s">
        <v>2054</v>
      </c>
      <c r="AL157" t="s">
        <v>70</v>
      </c>
      <c r="AM157" t="s">
        <v>2027</v>
      </c>
    </row>
    <row r="158" spans="1:39" ht="15" hidden="1" thickTop="1" x14ac:dyDescent="0.35">
      <c r="A158" t="s">
        <v>2704</v>
      </c>
      <c r="B158" t="s">
        <v>2700</v>
      </c>
      <c r="C158" t="s">
        <v>92</v>
      </c>
      <c r="D158" t="s">
        <v>2701</v>
      </c>
      <c r="E158" t="s">
        <v>119</v>
      </c>
      <c r="F158">
        <v>1</v>
      </c>
      <c r="G158" t="s">
        <v>2050</v>
      </c>
      <c r="H158" t="s">
        <v>2051</v>
      </c>
      <c r="I158" t="s">
        <v>53</v>
      </c>
      <c r="J158" t="s">
        <v>67</v>
      </c>
      <c r="K158" t="s">
        <v>68</v>
      </c>
      <c r="L158" t="s">
        <v>2052</v>
      </c>
      <c r="M158" t="s">
        <v>2053</v>
      </c>
      <c r="N158">
        <v>0</v>
      </c>
      <c r="O158">
        <v>0</v>
      </c>
      <c r="P158">
        <v>0</v>
      </c>
      <c r="Q158">
        <v>1440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248</v>
      </c>
      <c r="AH158" s="21" t="s">
        <v>3424</v>
      </c>
      <c r="AI158" s="21">
        <v>107.92500000000001</v>
      </c>
      <c r="AJ158" s="21">
        <v>100</v>
      </c>
      <c r="AK158" s="21" t="s">
        <v>2054</v>
      </c>
      <c r="AL158" t="s">
        <v>70</v>
      </c>
      <c r="AM158" t="s">
        <v>2029</v>
      </c>
    </row>
    <row r="159" spans="1:39" ht="15" hidden="1" thickTop="1" x14ac:dyDescent="0.35">
      <c r="A159" t="s">
        <v>2710</v>
      </c>
      <c r="B159" t="s">
        <v>2708</v>
      </c>
      <c r="C159" t="s">
        <v>100</v>
      </c>
      <c r="D159" t="s">
        <v>2709</v>
      </c>
      <c r="E159" t="s">
        <v>559</v>
      </c>
      <c r="F159">
        <v>1</v>
      </c>
      <c r="G159" t="s">
        <v>2050</v>
      </c>
      <c r="H159" t="s">
        <v>2051</v>
      </c>
      <c r="I159" t="s">
        <v>53</v>
      </c>
      <c r="J159" t="s">
        <v>67</v>
      </c>
      <c r="K159" t="s">
        <v>68</v>
      </c>
      <c r="L159" t="s">
        <v>2052</v>
      </c>
      <c r="M159" t="s">
        <v>2078</v>
      </c>
      <c r="N159">
        <v>0</v>
      </c>
      <c r="O159">
        <v>0</v>
      </c>
      <c r="P159">
        <v>0</v>
      </c>
      <c r="Q159">
        <v>960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249</v>
      </c>
      <c r="AH159" s="21" t="s">
        <v>3424</v>
      </c>
      <c r="AI159" s="21">
        <v>72</v>
      </c>
      <c r="AJ159" s="21">
        <v>100</v>
      </c>
      <c r="AK159" s="21" t="s">
        <v>2054</v>
      </c>
      <c r="AL159" t="s">
        <v>70</v>
      </c>
      <c r="AM159" t="s">
        <v>2029</v>
      </c>
    </row>
    <row r="160" spans="1:39" ht="15" hidden="1" thickTop="1" x14ac:dyDescent="0.35">
      <c r="A160" t="s">
        <v>2715</v>
      </c>
      <c r="B160" t="s">
        <v>2713</v>
      </c>
      <c r="C160" t="s">
        <v>78</v>
      </c>
      <c r="D160" t="s">
        <v>2714</v>
      </c>
      <c r="E160" t="s">
        <v>559</v>
      </c>
      <c r="F160">
        <v>1</v>
      </c>
      <c r="G160" t="s">
        <v>2050</v>
      </c>
      <c r="H160" t="s">
        <v>2051</v>
      </c>
      <c r="I160" t="s">
        <v>53</v>
      </c>
      <c r="J160" t="s">
        <v>67</v>
      </c>
      <c r="K160" t="s">
        <v>68</v>
      </c>
      <c r="L160" t="s">
        <v>2052</v>
      </c>
      <c r="M160" t="s">
        <v>2053</v>
      </c>
      <c r="N160">
        <v>0</v>
      </c>
      <c r="O160">
        <v>0</v>
      </c>
      <c r="P160">
        <v>0</v>
      </c>
      <c r="Q160">
        <v>1440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250</v>
      </c>
      <c r="AH160" s="21" t="s">
        <v>3424</v>
      </c>
      <c r="AI160" s="21">
        <v>107.92500000000001</v>
      </c>
      <c r="AJ160" s="21">
        <v>100</v>
      </c>
      <c r="AK160" s="21" t="s">
        <v>2054</v>
      </c>
      <c r="AL160" t="s">
        <v>70</v>
      </c>
      <c r="AM160" t="s">
        <v>2028</v>
      </c>
    </row>
    <row r="161" spans="1:39" ht="15" hidden="1" thickTop="1" x14ac:dyDescent="0.35">
      <c r="A161" t="s">
        <v>2724</v>
      </c>
      <c r="B161" t="s">
        <v>2718</v>
      </c>
      <c r="C161" t="s">
        <v>102</v>
      </c>
      <c r="D161" t="s">
        <v>2719</v>
      </c>
      <c r="E161" t="s">
        <v>559</v>
      </c>
      <c r="F161">
        <v>1</v>
      </c>
      <c r="G161" t="s">
        <v>2050</v>
      </c>
      <c r="H161" t="s">
        <v>2051</v>
      </c>
      <c r="I161" t="s">
        <v>53</v>
      </c>
      <c r="J161" t="s">
        <v>67</v>
      </c>
      <c r="K161" t="s">
        <v>68</v>
      </c>
      <c r="L161" t="s">
        <v>2052</v>
      </c>
      <c r="M161" t="s">
        <v>2053</v>
      </c>
      <c r="N161">
        <v>0</v>
      </c>
      <c r="O161">
        <v>0</v>
      </c>
      <c r="P161">
        <v>0</v>
      </c>
      <c r="Q161">
        <v>1440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251</v>
      </c>
      <c r="AH161" s="21" t="s">
        <v>3424</v>
      </c>
      <c r="AI161" s="21">
        <v>107.92500000000001</v>
      </c>
      <c r="AJ161" s="21">
        <v>100</v>
      </c>
      <c r="AK161" s="21" t="s">
        <v>2054</v>
      </c>
      <c r="AL161" t="s">
        <v>70</v>
      </c>
      <c r="AM161" t="s">
        <v>2031</v>
      </c>
    </row>
    <row r="162" spans="1:39" ht="15" hidden="1" thickTop="1" x14ac:dyDescent="0.35">
      <c r="A162" t="s">
        <v>2725</v>
      </c>
      <c r="B162" t="s">
        <v>2720</v>
      </c>
      <c r="C162" t="s">
        <v>102</v>
      </c>
      <c r="D162" t="s">
        <v>2721</v>
      </c>
      <c r="E162" t="s">
        <v>559</v>
      </c>
      <c r="F162">
        <v>1</v>
      </c>
      <c r="G162" t="s">
        <v>2050</v>
      </c>
      <c r="H162" t="s">
        <v>2051</v>
      </c>
      <c r="I162" t="s">
        <v>53</v>
      </c>
      <c r="J162" t="s">
        <v>67</v>
      </c>
      <c r="K162" t="s">
        <v>68</v>
      </c>
      <c r="L162" t="s">
        <v>2052</v>
      </c>
      <c r="M162" t="s">
        <v>2053</v>
      </c>
      <c r="N162">
        <v>0</v>
      </c>
      <c r="O162">
        <v>0</v>
      </c>
      <c r="P162">
        <v>0</v>
      </c>
      <c r="Q162">
        <v>1440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252</v>
      </c>
      <c r="AH162" s="21" t="s">
        <v>3424</v>
      </c>
      <c r="AI162" s="21">
        <v>107.92500000000001</v>
      </c>
      <c r="AJ162" s="21">
        <v>100</v>
      </c>
      <c r="AK162" s="21" t="s">
        <v>2054</v>
      </c>
      <c r="AL162" t="s">
        <v>70</v>
      </c>
      <c r="AM162" t="s">
        <v>2030</v>
      </c>
    </row>
    <row r="163" spans="1:39" ht="15" hidden="1" thickTop="1" x14ac:dyDescent="0.35">
      <c r="A163" t="s">
        <v>2726</v>
      </c>
      <c r="B163" t="s">
        <v>2722</v>
      </c>
      <c r="C163" t="s">
        <v>102</v>
      </c>
      <c r="D163" t="s">
        <v>2723</v>
      </c>
      <c r="E163" t="s">
        <v>559</v>
      </c>
      <c r="F163">
        <v>1</v>
      </c>
      <c r="G163" t="s">
        <v>2050</v>
      </c>
      <c r="H163" t="s">
        <v>2051</v>
      </c>
      <c r="I163" t="s">
        <v>53</v>
      </c>
      <c r="J163" t="s">
        <v>67</v>
      </c>
      <c r="K163" t="s">
        <v>68</v>
      </c>
      <c r="L163" t="s">
        <v>2052</v>
      </c>
      <c r="M163" t="s">
        <v>2053</v>
      </c>
      <c r="N163">
        <v>0</v>
      </c>
      <c r="O163">
        <v>0</v>
      </c>
      <c r="P163">
        <v>0</v>
      </c>
      <c r="Q163">
        <v>1440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253</v>
      </c>
      <c r="AH163" s="21" t="s">
        <v>3424</v>
      </c>
      <c r="AI163" s="21">
        <v>107.92500000000001</v>
      </c>
      <c r="AJ163" s="21">
        <v>100</v>
      </c>
      <c r="AK163" s="21" t="s">
        <v>2055</v>
      </c>
      <c r="AL163" t="s">
        <v>70</v>
      </c>
      <c r="AM163" t="s">
        <v>2031</v>
      </c>
    </row>
    <row r="164" spans="1:39" ht="15" hidden="1" thickTop="1" x14ac:dyDescent="0.35">
      <c r="A164" t="s">
        <v>2732</v>
      </c>
      <c r="B164" t="s">
        <v>2730</v>
      </c>
      <c r="C164" t="s">
        <v>92</v>
      </c>
      <c r="D164" t="s">
        <v>2731</v>
      </c>
      <c r="E164" t="s">
        <v>119</v>
      </c>
      <c r="F164">
        <v>1</v>
      </c>
      <c r="G164" t="s">
        <v>2050</v>
      </c>
      <c r="H164" t="s">
        <v>2051</v>
      </c>
      <c r="I164" t="s">
        <v>53</v>
      </c>
      <c r="J164" t="s">
        <v>67</v>
      </c>
      <c r="K164" t="s">
        <v>68</v>
      </c>
      <c r="L164" t="s">
        <v>2052</v>
      </c>
      <c r="M164" t="s">
        <v>2053</v>
      </c>
      <c r="N164">
        <v>0</v>
      </c>
      <c r="O164">
        <v>0</v>
      </c>
      <c r="P164">
        <v>0</v>
      </c>
      <c r="Q164">
        <v>1440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t="s">
        <v>254</v>
      </c>
      <c r="AH164" s="21" t="s">
        <v>3424</v>
      </c>
      <c r="AI164" s="21">
        <v>107.92500000000001</v>
      </c>
      <c r="AJ164" s="21">
        <v>100</v>
      </c>
      <c r="AK164" s="21" t="s">
        <v>2054</v>
      </c>
      <c r="AL164" t="s">
        <v>70</v>
      </c>
      <c r="AM164" t="s">
        <v>2029</v>
      </c>
    </row>
    <row r="165" spans="1:39" ht="15" hidden="1" thickTop="1" x14ac:dyDescent="0.35">
      <c r="A165" t="s">
        <v>2737</v>
      </c>
      <c r="B165" t="s">
        <v>2735</v>
      </c>
      <c r="C165" t="s">
        <v>81</v>
      </c>
      <c r="D165" t="s">
        <v>2736</v>
      </c>
      <c r="E165" t="s">
        <v>559</v>
      </c>
      <c r="F165">
        <v>1</v>
      </c>
      <c r="G165" t="s">
        <v>2050</v>
      </c>
      <c r="H165" t="s">
        <v>2051</v>
      </c>
      <c r="I165" t="s">
        <v>53</v>
      </c>
      <c r="J165" t="s">
        <v>82</v>
      </c>
      <c r="K165" t="s">
        <v>68</v>
      </c>
      <c r="L165" t="s">
        <v>2052</v>
      </c>
      <c r="M165" t="s">
        <v>2053</v>
      </c>
      <c r="N165">
        <v>0</v>
      </c>
      <c r="O165">
        <v>0</v>
      </c>
      <c r="P165">
        <v>0</v>
      </c>
      <c r="Q165">
        <v>1440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255</v>
      </c>
      <c r="AH165" s="21" t="s">
        <v>3428</v>
      </c>
      <c r="AI165" s="21">
        <v>107.92500000000001</v>
      </c>
      <c r="AJ165" s="21">
        <v>100</v>
      </c>
      <c r="AK165" s="21" t="s">
        <v>2054</v>
      </c>
      <c r="AL165" t="s">
        <v>70</v>
      </c>
      <c r="AM165" t="s">
        <v>2029</v>
      </c>
    </row>
    <row r="166" spans="1:39" ht="15" hidden="1" thickTop="1" x14ac:dyDescent="0.35">
      <c r="A166" t="s">
        <v>2077</v>
      </c>
      <c r="B166" t="s">
        <v>2738</v>
      </c>
      <c r="C166" t="s">
        <v>92</v>
      </c>
      <c r="D166" t="s">
        <v>2739</v>
      </c>
      <c r="E166" t="s">
        <v>119</v>
      </c>
      <c r="F166">
        <v>1</v>
      </c>
      <c r="G166" t="s">
        <v>2050</v>
      </c>
      <c r="H166" t="s">
        <v>2051</v>
      </c>
      <c r="I166" t="s">
        <v>53</v>
      </c>
      <c r="J166" t="s">
        <v>67</v>
      </c>
      <c r="K166" t="s">
        <v>68</v>
      </c>
      <c r="L166" t="s">
        <v>2052</v>
      </c>
      <c r="M166" t="s">
        <v>2053</v>
      </c>
      <c r="N166">
        <v>0</v>
      </c>
      <c r="O166">
        <v>0</v>
      </c>
      <c r="P166">
        <v>0</v>
      </c>
      <c r="Q166">
        <v>1440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t="s">
        <v>256</v>
      </c>
      <c r="AH166" s="21" t="s">
        <v>3424</v>
      </c>
      <c r="AI166" s="21">
        <v>107.92500000000001</v>
      </c>
      <c r="AJ166" s="21">
        <v>100</v>
      </c>
      <c r="AK166" s="21" t="s">
        <v>2055</v>
      </c>
      <c r="AL166" t="s">
        <v>70</v>
      </c>
      <c r="AM166" t="s">
        <v>2030</v>
      </c>
    </row>
    <row r="167" spans="1:39" ht="15" hidden="1" thickTop="1" x14ac:dyDescent="0.35">
      <c r="A167" t="s">
        <v>2752</v>
      </c>
      <c r="B167" t="s">
        <v>2744</v>
      </c>
      <c r="C167" t="s">
        <v>66</v>
      </c>
      <c r="D167" t="s">
        <v>2745</v>
      </c>
      <c r="E167" t="s">
        <v>559</v>
      </c>
      <c r="F167">
        <v>1</v>
      </c>
      <c r="G167" t="s">
        <v>2050</v>
      </c>
      <c r="H167" t="s">
        <v>2051</v>
      </c>
      <c r="I167" t="s">
        <v>53</v>
      </c>
      <c r="J167" t="s">
        <v>67</v>
      </c>
      <c r="K167" t="s">
        <v>68</v>
      </c>
      <c r="L167" t="s">
        <v>2052</v>
      </c>
      <c r="M167" t="s">
        <v>2053</v>
      </c>
      <c r="N167">
        <v>0</v>
      </c>
      <c r="O167">
        <v>0</v>
      </c>
      <c r="P167">
        <v>0</v>
      </c>
      <c r="Q167">
        <v>1440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 t="s">
        <v>257</v>
      </c>
      <c r="AH167" s="21" t="s">
        <v>3424</v>
      </c>
      <c r="AI167" s="21">
        <v>107.92500000000001</v>
      </c>
      <c r="AJ167" s="21">
        <v>100</v>
      </c>
      <c r="AK167" s="21" t="s">
        <v>2055</v>
      </c>
      <c r="AL167" t="s">
        <v>70</v>
      </c>
      <c r="AM167" t="s">
        <v>2029</v>
      </c>
    </row>
    <row r="168" spans="1:39" ht="15" hidden="1" thickTop="1" x14ac:dyDescent="0.35">
      <c r="A168" t="s">
        <v>2753</v>
      </c>
      <c r="B168" t="s">
        <v>2746</v>
      </c>
      <c r="C168" t="s">
        <v>117</v>
      </c>
      <c r="D168" t="s">
        <v>2747</v>
      </c>
      <c r="E168" t="s">
        <v>559</v>
      </c>
      <c r="F168">
        <v>1</v>
      </c>
      <c r="G168" t="s">
        <v>2050</v>
      </c>
      <c r="H168" t="s">
        <v>2051</v>
      </c>
      <c r="I168" t="s">
        <v>53</v>
      </c>
      <c r="J168" t="s">
        <v>67</v>
      </c>
      <c r="K168" t="s">
        <v>68</v>
      </c>
      <c r="L168" t="s">
        <v>2052</v>
      </c>
      <c r="M168" t="s">
        <v>2053</v>
      </c>
      <c r="N168">
        <v>0</v>
      </c>
      <c r="O168">
        <v>0</v>
      </c>
      <c r="P168">
        <v>0</v>
      </c>
      <c r="Q168">
        <v>1440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t="s">
        <v>258</v>
      </c>
      <c r="AH168" s="21" t="s">
        <v>3424</v>
      </c>
      <c r="AI168" s="21">
        <v>107.92500000000001</v>
      </c>
      <c r="AJ168" s="21">
        <v>100</v>
      </c>
      <c r="AK168" s="21" t="s">
        <v>2054</v>
      </c>
      <c r="AL168" t="s">
        <v>70</v>
      </c>
      <c r="AM168" t="s">
        <v>2029</v>
      </c>
    </row>
    <row r="169" spans="1:39" ht="15" hidden="1" thickTop="1" x14ac:dyDescent="0.35">
      <c r="A169" t="s">
        <v>2754</v>
      </c>
      <c r="B169" t="s">
        <v>2748</v>
      </c>
      <c r="C169" t="s">
        <v>66</v>
      </c>
      <c r="D169" t="s">
        <v>2749</v>
      </c>
      <c r="E169" t="s">
        <v>559</v>
      </c>
      <c r="F169">
        <v>1</v>
      </c>
      <c r="G169" t="s">
        <v>2050</v>
      </c>
      <c r="H169" t="s">
        <v>2051</v>
      </c>
      <c r="I169" t="s">
        <v>53</v>
      </c>
      <c r="J169" t="s">
        <v>67</v>
      </c>
      <c r="K169" t="s">
        <v>68</v>
      </c>
      <c r="L169" t="s">
        <v>2052</v>
      </c>
      <c r="M169" t="s">
        <v>2053</v>
      </c>
      <c r="N169">
        <v>0</v>
      </c>
      <c r="O169">
        <v>0</v>
      </c>
      <c r="P169">
        <v>0</v>
      </c>
      <c r="Q169">
        <v>1440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t="s">
        <v>259</v>
      </c>
      <c r="AH169" s="21" t="s">
        <v>3427</v>
      </c>
      <c r="AI169" s="21">
        <v>107.92500000000001</v>
      </c>
      <c r="AJ169" s="21">
        <v>100</v>
      </c>
      <c r="AK169" s="21" t="s">
        <v>2054</v>
      </c>
      <c r="AL169" t="s">
        <v>70</v>
      </c>
      <c r="AM169" t="s">
        <v>2027</v>
      </c>
    </row>
    <row r="170" spans="1:39" ht="15" hidden="1" thickTop="1" x14ac:dyDescent="0.35">
      <c r="A170" t="s">
        <v>2756</v>
      </c>
      <c r="B170" t="s">
        <v>2750</v>
      </c>
      <c r="C170" t="s">
        <v>3376</v>
      </c>
      <c r="D170" t="s">
        <v>2751</v>
      </c>
      <c r="E170" t="s">
        <v>559</v>
      </c>
      <c r="F170">
        <v>1</v>
      </c>
      <c r="G170" t="s">
        <v>2050</v>
      </c>
      <c r="H170" t="s">
        <v>2051</v>
      </c>
      <c r="I170" t="s">
        <v>53</v>
      </c>
      <c r="J170" t="s">
        <v>67</v>
      </c>
      <c r="K170" t="s">
        <v>68</v>
      </c>
      <c r="L170" t="s">
        <v>2052</v>
      </c>
      <c r="M170" t="s">
        <v>2053</v>
      </c>
      <c r="N170">
        <v>0</v>
      </c>
      <c r="O170">
        <v>0</v>
      </c>
      <c r="P170">
        <v>0</v>
      </c>
      <c r="Q170">
        <v>1440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260</v>
      </c>
      <c r="AH170" s="21" t="s">
        <v>3424</v>
      </c>
      <c r="AI170" s="21">
        <v>107.92500000000001</v>
      </c>
      <c r="AJ170" s="21">
        <v>100</v>
      </c>
      <c r="AK170" s="21" t="s">
        <v>2054</v>
      </c>
      <c r="AL170" t="s">
        <v>70</v>
      </c>
      <c r="AM170" t="s">
        <v>2031</v>
      </c>
    </row>
    <row r="171" spans="1:39" ht="15" hidden="1" thickTop="1" x14ac:dyDescent="0.35">
      <c r="A171" t="s">
        <v>2764</v>
      </c>
      <c r="B171" t="s">
        <v>2758</v>
      </c>
      <c r="C171" t="s">
        <v>102</v>
      </c>
      <c r="D171" t="s">
        <v>2759</v>
      </c>
      <c r="E171" t="s">
        <v>559</v>
      </c>
      <c r="F171">
        <v>1</v>
      </c>
      <c r="G171" t="s">
        <v>2050</v>
      </c>
      <c r="H171" t="s">
        <v>2051</v>
      </c>
      <c r="I171" t="s">
        <v>53</v>
      </c>
      <c r="J171" t="s">
        <v>67</v>
      </c>
      <c r="K171" t="s">
        <v>68</v>
      </c>
      <c r="L171" t="s">
        <v>2052</v>
      </c>
      <c r="M171" t="s">
        <v>2053</v>
      </c>
      <c r="N171">
        <v>0</v>
      </c>
      <c r="O171">
        <v>0</v>
      </c>
      <c r="P171">
        <v>0</v>
      </c>
      <c r="Q171">
        <v>1440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261</v>
      </c>
      <c r="AH171" s="21" t="s">
        <v>3425</v>
      </c>
      <c r="AI171" s="21">
        <v>107.92500000000001</v>
      </c>
      <c r="AJ171" s="21">
        <v>100</v>
      </c>
      <c r="AK171" s="21" t="s">
        <v>2055</v>
      </c>
      <c r="AL171" t="s">
        <v>70</v>
      </c>
      <c r="AM171" t="s">
        <v>2030</v>
      </c>
    </row>
    <row r="172" spans="1:39" ht="15" hidden="1" thickTop="1" x14ac:dyDescent="0.35">
      <c r="A172" t="s">
        <v>2765</v>
      </c>
      <c r="B172" t="s">
        <v>2761</v>
      </c>
      <c r="C172" t="s">
        <v>111</v>
      </c>
      <c r="D172" t="s">
        <v>2762</v>
      </c>
      <c r="E172" t="s">
        <v>112</v>
      </c>
      <c r="F172">
        <v>1</v>
      </c>
      <c r="G172" t="s">
        <v>2050</v>
      </c>
      <c r="H172" t="s">
        <v>2051</v>
      </c>
      <c r="I172" t="s">
        <v>53</v>
      </c>
      <c r="J172" t="s">
        <v>113</v>
      </c>
      <c r="K172" t="s">
        <v>68</v>
      </c>
      <c r="L172" t="s">
        <v>2052</v>
      </c>
      <c r="M172" t="s">
        <v>2053</v>
      </c>
      <c r="N172">
        <v>0</v>
      </c>
      <c r="O172">
        <v>0</v>
      </c>
      <c r="P172">
        <v>0</v>
      </c>
      <c r="Q172">
        <v>1440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262</v>
      </c>
      <c r="AH172" s="21" t="s">
        <v>3425</v>
      </c>
      <c r="AI172" s="21">
        <v>107.92500000000001</v>
      </c>
      <c r="AJ172" s="21">
        <v>100</v>
      </c>
      <c r="AK172" s="21" t="s">
        <v>2054</v>
      </c>
      <c r="AL172" t="s">
        <v>115</v>
      </c>
      <c r="AM172" t="s">
        <v>2027</v>
      </c>
    </row>
    <row r="173" spans="1:39" ht="15" hidden="1" thickTop="1" x14ac:dyDescent="0.35">
      <c r="A173" t="s">
        <v>2773</v>
      </c>
      <c r="B173" t="s">
        <v>2769</v>
      </c>
      <c r="C173" t="s">
        <v>102</v>
      </c>
      <c r="D173" t="s">
        <v>2770</v>
      </c>
      <c r="E173" t="s">
        <v>559</v>
      </c>
      <c r="F173">
        <v>1</v>
      </c>
      <c r="G173" t="s">
        <v>2050</v>
      </c>
      <c r="H173" t="s">
        <v>2051</v>
      </c>
      <c r="I173" t="s">
        <v>53</v>
      </c>
      <c r="J173" t="s">
        <v>67</v>
      </c>
      <c r="K173" t="s">
        <v>68</v>
      </c>
      <c r="L173" t="s">
        <v>2052</v>
      </c>
      <c r="M173" t="s">
        <v>2053</v>
      </c>
      <c r="N173">
        <v>0</v>
      </c>
      <c r="O173">
        <v>0</v>
      </c>
      <c r="P173">
        <v>0</v>
      </c>
      <c r="Q173">
        <v>1440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263</v>
      </c>
      <c r="AH173" s="21" t="s">
        <v>3425</v>
      </c>
      <c r="AI173" s="21">
        <v>107.92500000000001</v>
      </c>
      <c r="AJ173" s="21">
        <v>100</v>
      </c>
      <c r="AK173" s="21" t="s">
        <v>2054</v>
      </c>
      <c r="AL173" t="s">
        <v>70</v>
      </c>
      <c r="AM173" t="s">
        <v>2029</v>
      </c>
    </row>
    <row r="174" spans="1:39" ht="15" hidden="1" thickTop="1" x14ac:dyDescent="0.35">
      <c r="A174" t="s">
        <v>2774</v>
      </c>
      <c r="B174" t="s">
        <v>2771</v>
      </c>
      <c r="C174" t="s">
        <v>565</v>
      </c>
      <c r="D174" t="s">
        <v>2772</v>
      </c>
      <c r="E174" t="s">
        <v>559</v>
      </c>
      <c r="F174">
        <v>2</v>
      </c>
      <c r="G174" t="s">
        <v>2050</v>
      </c>
      <c r="H174" t="s">
        <v>2051</v>
      </c>
      <c r="I174" t="s">
        <v>53</v>
      </c>
      <c r="J174" t="s">
        <v>427</v>
      </c>
      <c r="K174" t="s">
        <v>68</v>
      </c>
      <c r="L174" t="s">
        <v>2052</v>
      </c>
      <c r="M174" t="s">
        <v>2053</v>
      </c>
      <c r="N174">
        <v>0</v>
      </c>
      <c r="O174">
        <v>0</v>
      </c>
      <c r="P174">
        <v>0</v>
      </c>
      <c r="Q174">
        <v>1440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 t="s">
        <v>264</v>
      </c>
      <c r="AH174" s="21" t="s">
        <v>3427</v>
      </c>
      <c r="AI174" s="21">
        <v>107.92500000000001</v>
      </c>
      <c r="AJ174" s="21">
        <v>100</v>
      </c>
      <c r="AK174" s="21" t="s">
        <v>2054</v>
      </c>
      <c r="AL174" t="s">
        <v>70</v>
      </c>
      <c r="AM174" t="s">
        <v>2029</v>
      </c>
    </row>
    <row r="175" spans="1:39" ht="15" hidden="1" thickTop="1" x14ac:dyDescent="0.35">
      <c r="A175" t="s">
        <v>2527</v>
      </c>
      <c r="B175" t="s">
        <v>2778</v>
      </c>
      <c r="C175" t="s">
        <v>66</v>
      </c>
      <c r="D175" t="s">
        <v>2779</v>
      </c>
      <c r="E175" t="s">
        <v>119</v>
      </c>
      <c r="F175">
        <v>1</v>
      </c>
      <c r="G175" t="s">
        <v>2050</v>
      </c>
      <c r="H175" t="s">
        <v>2051</v>
      </c>
      <c r="I175" t="s">
        <v>53</v>
      </c>
      <c r="J175" t="s">
        <v>67</v>
      </c>
      <c r="K175" t="s">
        <v>68</v>
      </c>
      <c r="L175" t="s">
        <v>2052</v>
      </c>
      <c r="M175" t="s">
        <v>2063</v>
      </c>
      <c r="N175">
        <v>0</v>
      </c>
      <c r="O175">
        <v>0</v>
      </c>
      <c r="P175">
        <v>0</v>
      </c>
      <c r="Q175">
        <v>1020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265</v>
      </c>
      <c r="AH175" s="21" t="s">
        <v>3425</v>
      </c>
      <c r="AI175" s="21">
        <v>76.500000000000014</v>
      </c>
      <c r="AJ175" s="21">
        <v>100</v>
      </c>
      <c r="AK175" s="21" t="s">
        <v>2054</v>
      </c>
      <c r="AL175" t="s">
        <v>70</v>
      </c>
      <c r="AM175" t="s">
        <v>2028</v>
      </c>
    </row>
    <row r="176" spans="1:39" ht="15" hidden="1" thickTop="1" x14ac:dyDescent="0.35">
      <c r="A176" t="s">
        <v>2785</v>
      </c>
      <c r="B176" t="s">
        <v>2783</v>
      </c>
      <c r="C176" t="s">
        <v>78</v>
      </c>
      <c r="D176" t="s">
        <v>2784</v>
      </c>
      <c r="E176" t="s">
        <v>559</v>
      </c>
      <c r="F176">
        <v>1</v>
      </c>
      <c r="G176" t="s">
        <v>2050</v>
      </c>
      <c r="H176" t="s">
        <v>2051</v>
      </c>
      <c r="I176" t="s">
        <v>53</v>
      </c>
      <c r="J176" t="s">
        <v>67</v>
      </c>
      <c r="K176" t="s">
        <v>68</v>
      </c>
      <c r="L176" t="s">
        <v>2052</v>
      </c>
      <c r="M176" t="s">
        <v>2063</v>
      </c>
      <c r="N176">
        <v>0</v>
      </c>
      <c r="O176">
        <v>0</v>
      </c>
      <c r="P176">
        <v>0</v>
      </c>
      <c r="Q176">
        <v>1020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266</v>
      </c>
      <c r="AH176" s="21" t="s">
        <v>3425</v>
      </c>
      <c r="AI176" s="21">
        <v>76.500000000000014</v>
      </c>
      <c r="AJ176" s="21">
        <v>100</v>
      </c>
      <c r="AK176" s="21" t="s">
        <v>2055</v>
      </c>
      <c r="AL176" t="s">
        <v>70</v>
      </c>
      <c r="AM176" t="s">
        <v>2031</v>
      </c>
    </row>
    <row r="177" spans="1:39" ht="15" hidden="1" thickTop="1" x14ac:dyDescent="0.35">
      <c r="A177" t="s">
        <v>2791</v>
      </c>
      <c r="B177" t="s">
        <v>2787</v>
      </c>
      <c r="C177" t="s">
        <v>100</v>
      </c>
      <c r="D177" t="s">
        <v>2788</v>
      </c>
      <c r="E177" t="s">
        <v>559</v>
      </c>
      <c r="F177">
        <v>1</v>
      </c>
      <c r="G177" t="s">
        <v>2050</v>
      </c>
      <c r="H177" t="s">
        <v>2051</v>
      </c>
      <c r="I177" t="s">
        <v>53</v>
      </c>
      <c r="J177" t="s">
        <v>67</v>
      </c>
      <c r="K177" t="s">
        <v>68</v>
      </c>
      <c r="L177" t="s">
        <v>2052</v>
      </c>
      <c r="M177" t="s">
        <v>2083</v>
      </c>
      <c r="N177">
        <v>0</v>
      </c>
      <c r="O177">
        <v>0</v>
      </c>
      <c r="P177">
        <v>0</v>
      </c>
      <c r="Q177">
        <v>960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268</v>
      </c>
      <c r="AH177" s="21" t="s">
        <v>3427</v>
      </c>
      <c r="AI177" s="21">
        <v>72.000000000000014</v>
      </c>
      <c r="AJ177" s="21">
        <v>100</v>
      </c>
      <c r="AK177" s="21" t="s">
        <v>2055</v>
      </c>
      <c r="AL177" t="s">
        <v>70</v>
      </c>
      <c r="AM177" t="s">
        <v>2029</v>
      </c>
    </row>
    <row r="178" spans="1:39" ht="15" hidden="1" thickTop="1" x14ac:dyDescent="0.35">
      <c r="A178" t="s">
        <v>2796</v>
      </c>
      <c r="B178" t="s">
        <v>2794</v>
      </c>
      <c r="C178" t="s">
        <v>820</v>
      </c>
      <c r="D178" t="s">
        <v>2795</v>
      </c>
      <c r="E178" t="s">
        <v>72</v>
      </c>
      <c r="F178">
        <v>1</v>
      </c>
      <c r="G178" t="s">
        <v>2050</v>
      </c>
      <c r="H178" t="s">
        <v>2051</v>
      </c>
      <c r="I178" t="s">
        <v>53</v>
      </c>
      <c r="J178" t="s">
        <v>424</v>
      </c>
      <c r="K178" t="s">
        <v>68</v>
      </c>
      <c r="L178" t="s">
        <v>2052</v>
      </c>
      <c r="M178" t="s">
        <v>2053</v>
      </c>
      <c r="N178">
        <v>0</v>
      </c>
      <c r="O178">
        <v>0</v>
      </c>
      <c r="P178">
        <v>0</v>
      </c>
      <c r="Q178">
        <v>1440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 t="s">
        <v>269</v>
      </c>
      <c r="AH178" s="21" t="s">
        <v>3428</v>
      </c>
      <c r="AI178" s="21">
        <v>107.92500000000001</v>
      </c>
      <c r="AJ178" s="21">
        <v>100</v>
      </c>
      <c r="AK178" s="21" t="s">
        <v>2054</v>
      </c>
      <c r="AL178" t="s">
        <v>75</v>
      </c>
      <c r="AM178" t="s">
        <v>2027</v>
      </c>
    </row>
    <row r="179" spans="1:39" ht="15" hidden="1" thickTop="1" x14ac:dyDescent="0.35">
      <c r="A179" t="s">
        <v>2802</v>
      </c>
      <c r="B179" t="s">
        <v>2800</v>
      </c>
      <c r="C179" t="s">
        <v>102</v>
      </c>
      <c r="D179" t="s">
        <v>2801</v>
      </c>
      <c r="E179" t="s">
        <v>559</v>
      </c>
      <c r="F179">
        <v>1</v>
      </c>
      <c r="G179" t="s">
        <v>2050</v>
      </c>
      <c r="H179" t="s">
        <v>2051</v>
      </c>
      <c r="I179" t="s">
        <v>53</v>
      </c>
      <c r="J179" t="s">
        <v>67</v>
      </c>
      <c r="K179" t="s">
        <v>68</v>
      </c>
      <c r="L179" t="s">
        <v>2052</v>
      </c>
      <c r="M179" t="s">
        <v>2053</v>
      </c>
      <c r="N179">
        <v>0</v>
      </c>
      <c r="O179">
        <v>0</v>
      </c>
      <c r="P179">
        <v>0</v>
      </c>
      <c r="Q179">
        <v>1440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270</v>
      </c>
      <c r="AH179" s="21" t="s">
        <v>3425</v>
      </c>
      <c r="AI179" s="21">
        <v>107.92500000000001</v>
      </c>
      <c r="AJ179" s="21">
        <v>100</v>
      </c>
      <c r="AK179" s="21" t="s">
        <v>2054</v>
      </c>
      <c r="AL179" t="s">
        <v>70</v>
      </c>
      <c r="AM179" t="s">
        <v>2030</v>
      </c>
    </row>
    <row r="180" spans="1:39" ht="15" hidden="1" thickTop="1" x14ac:dyDescent="0.35">
      <c r="A180" t="s">
        <v>2808</v>
      </c>
      <c r="B180" t="s">
        <v>2805</v>
      </c>
      <c r="C180" t="s">
        <v>92</v>
      </c>
      <c r="D180" t="s">
        <v>2806</v>
      </c>
      <c r="E180" t="s">
        <v>559</v>
      </c>
      <c r="F180">
        <v>1</v>
      </c>
      <c r="G180" t="s">
        <v>2050</v>
      </c>
      <c r="H180" t="s">
        <v>2051</v>
      </c>
      <c r="I180" t="s">
        <v>53</v>
      </c>
      <c r="J180" t="s">
        <v>67</v>
      </c>
      <c r="K180" t="s">
        <v>68</v>
      </c>
      <c r="L180" t="s">
        <v>2052</v>
      </c>
      <c r="M180" t="s">
        <v>2053</v>
      </c>
      <c r="N180">
        <v>0</v>
      </c>
      <c r="O180">
        <v>0</v>
      </c>
      <c r="P180">
        <v>0</v>
      </c>
      <c r="Q180">
        <v>1440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271</v>
      </c>
      <c r="AH180" s="21" t="s">
        <v>3425</v>
      </c>
      <c r="AI180" s="21">
        <v>107.92500000000001</v>
      </c>
      <c r="AJ180" s="21">
        <v>100</v>
      </c>
      <c r="AK180" s="21" t="s">
        <v>2054</v>
      </c>
      <c r="AL180" t="s">
        <v>70</v>
      </c>
      <c r="AM180" t="s">
        <v>2029</v>
      </c>
    </row>
    <row r="181" spans="1:39" ht="15" hidden="1" thickTop="1" x14ac:dyDescent="0.35">
      <c r="A181" t="s">
        <v>2816</v>
      </c>
      <c r="B181" t="s">
        <v>2812</v>
      </c>
      <c r="C181" t="s">
        <v>111</v>
      </c>
      <c r="D181" t="s">
        <v>2813</v>
      </c>
      <c r="E181" t="s">
        <v>112</v>
      </c>
      <c r="F181">
        <v>1</v>
      </c>
      <c r="G181" t="s">
        <v>2050</v>
      </c>
      <c r="H181" t="s">
        <v>2051</v>
      </c>
      <c r="I181" t="s">
        <v>53</v>
      </c>
      <c r="J181" t="s">
        <v>113</v>
      </c>
      <c r="K181" t="s">
        <v>68</v>
      </c>
      <c r="L181" t="s">
        <v>2052</v>
      </c>
      <c r="M181" t="s">
        <v>2053</v>
      </c>
      <c r="N181">
        <v>0</v>
      </c>
      <c r="O181">
        <v>0</v>
      </c>
      <c r="P181">
        <v>0</v>
      </c>
      <c r="Q181">
        <v>1440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 t="s">
        <v>273</v>
      </c>
      <c r="AH181" s="21" t="s">
        <v>3424</v>
      </c>
      <c r="AI181" s="21">
        <v>107.92500000000001</v>
      </c>
      <c r="AJ181" s="21">
        <v>100</v>
      </c>
      <c r="AK181" s="21" t="s">
        <v>2054</v>
      </c>
      <c r="AL181" t="s">
        <v>115</v>
      </c>
      <c r="AM181" t="s">
        <v>2029</v>
      </c>
    </row>
    <row r="182" spans="1:39" ht="15" hidden="1" thickTop="1" x14ac:dyDescent="0.35">
      <c r="A182" t="s">
        <v>2821</v>
      </c>
      <c r="B182" t="s">
        <v>2814</v>
      </c>
      <c r="C182" t="s">
        <v>102</v>
      </c>
      <c r="D182" t="s">
        <v>2815</v>
      </c>
      <c r="E182" t="s">
        <v>559</v>
      </c>
      <c r="F182">
        <v>1</v>
      </c>
      <c r="G182" t="s">
        <v>2050</v>
      </c>
      <c r="H182" t="s">
        <v>2051</v>
      </c>
      <c r="I182" t="s">
        <v>53</v>
      </c>
      <c r="J182" t="s">
        <v>67</v>
      </c>
      <c r="K182" t="s">
        <v>68</v>
      </c>
      <c r="L182" t="s">
        <v>2052</v>
      </c>
      <c r="M182" t="s">
        <v>2064</v>
      </c>
      <c r="N182">
        <v>0</v>
      </c>
      <c r="O182">
        <v>0</v>
      </c>
      <c r="P182">
        <v>0</v>
      </c>
      <c r="Q182">
        <v>900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274</v>
      </c>
      <c r="AH182" s="21" t="s">
        <v>3429</v>
      </c>
      <c r="AI182" s="21">
        <v>67.5</v>
      </c>
      <c r="AJ182" s="21">
        <v>100</v>
      </c>
      <c r="AK182" s="21" t="s">
        <v>2054</v>
      </c>
      <c r="AL182" t="s">
        <v>70</v>
      </c>
      <c r="AM182" t="s">
        <v>2027</v>
      </c>
    </row>
    <row r="183" spans="1:39" ht="15" hidden="1" thickTop="1" x14ac:dyDescent="0.35">
      <c r="A183" t="s">
        <v>2822</v>
      </c>
      <c r="B183" t="s">
        <v>2817</v>
      </c>
      <c r="C183" t="s">
        <v>820</v>
      </c>
      <c r="D183" t="s">
        <v>2818</v>
      </c>
      <c r="E183" t="s">
        <v>72</v>
      </c>
      <c r="F183">
        <v>1</v>
      </c>
      <c r="G183" t="s">
        <v>2050</v>
      </c>
      <c r="H183" t="s">
        <v>2051</v>
      </c>
      <c r="I183" t="s">
        <v>53</v>
      </c>
      <c r="J183" t="s">
        <v>424</v>
      </c>
      <c r="K183" t="s">
        <v>68</v>
      </c>
      <c r="L183" t="s">
        <v>2052</v>
      </c>
      <c r="M183" t="s">
        <v>2064</v>
      </c>
      <c r="N183">
        <v>0</v>
      </c>
      <c r="O183">
        <v>0</v>
      </c>
      <c r="P183">
        <v>0</v>
      </c>
      <c r="Q183">
        <v>900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275</v>
      </c>
      <c r="AH183" s="21" t="s">
        <v>3425</v>
      </c>
      <c r="AI183" s="21">
        <v>67.5</v>
      </c>
      <c r="AJ183" s="21">
        <v>100</v>
      </c>
      <c r="AK183" s="21" t="s">
        <v>2054</v>
      </c>
      <c r="AL183" t="s">
        <v>75</v>
      </c>
      <c r="AM183" t="s">
        <v>2029</v>
      </c>
    </row>
    <row r="184" spans="1:39" ht="15" hidden="1" thickTop="1" x14ac:dyDescent="0.35">
      <c r="A184" t="s">
        <v>2827</v>
      </c>
      <c r="B184" t="s">
        <v>2825</v>
      </c>
      <c r="C184" t="s">
        <v>92</v>
      </c>
      <c r="D184" t="s">
        <v>2826</v>
      </c>
      <c r="E184" t="s">
        <v>119</v>
      </c>
      <c r="F184">
        <v>1</v>
      </c>
      <c r="G184" t="s">
        <v>2050</v>
      </c>
      <c r="H184" t="s">
        <v>2051</v>
      </c>
      <c r="I184" t="s">
        <v>53</v>
      </c>
      <c r="J184" t="s">
        <v>67</v>
      </c>
      <c r="K184" t="s">
        <v>68</v>
      </c>
      <c r="L184" t="s">
        <v>2052</v>
      </c>
      <c r="M184" t="s">
        <v>2053</v>
      </c>
      <c r="N184">
        <v>0</v>
      </c>
      <c r="O184">
        <v>0</v>
      </c>
      <c r="P184">
        <v>0</v>
      </c>
      <c r="Q184">
        <v>1440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 t="s">
        <v>276</v>
      </c>
      <c r="AH184" s="21" t="s">
        <v>3425</v>
      </c>
      <c r="AI184" s="21">
        <v>107.92500000000001</v>
      </c>
      <c r="AJ184" s="21">
        <v>100</v>
      </c>
      <c r="AK184" s="21" t="s">
        <v>2054</v>
      </c>
      <c r="AL184" t="s">
        <v>70</v>
      </c>
      <c r="AM184" t="s">
        <v>2028</v>
      </c>
    </row>
    <row r="185" spans="1:39" ht="15" hidden="1" thickTop="1" x14ac:dyDescent="0.35">
      <c r="A185" t="s">
        <v>2832</v>
      </c>
      <c r="B185" t="s">
        <v>2828</v>
      </c>
      <c r="C185" t="s">
        <v>78</v>
      </c>
      <c r="D185" t="s">
        <v>2829</v>
      </c>
      <c r="E185" t="s">
        <v>559</v>
      </c>
      <c r="F185">
        <v>2</v>
      </c>
      <c r="G185" t="s">
        <v>2050</v>
      </c>
      <c r="H185" t="s">
        <v>2051</v>
      </c>
      <c r="I185" t="s">
        <v>53</v>
      </c>
      <c r="J185" t="s">
        <v>67</v>
      </c>
      <c r="K185" t="s">
        <v>68</v>
      </c>
      <c r="L185" t="s">
        <v>2052</v>
      </c>
      <c r="M185" t="s">
        <v>2053</v>
      </c>
      <c r="N185">
        <v>0</v>
      </c>
      <c r="O185">
        <v>0</v>
      </c>
      <c r="P185">
        <v>0</v>
      </c>
      <c r="Q185">
        <v>1440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t="s">
        <v>277</v>
      </c>
      <c r="AH185" s="21" t="s">
        <v>3424</v>
      </c>
      <c r="AI185" s="21">
        <v>107.92500000000001</v>
      </c>
      <c r="AJ185" s="21">
        <v>100</v>
      </c>
      <c r="AK185" s="21" t="s">
        <v>2054</v>
      </c>
      <c r="AL185" t="s">
        <v>70</v>
      </c>
      <c r="AM185" t="s">
        <v>2027</v>
      </c>
    </row>
    <row r="186" spans="1:39" ht="15" hidden="1" thickTop="1" x14ac:dyDescent="0.35">
      <c r="A186" t="s">
        <v>2842</v>
      </c>
      <c r="B186" t="s">
        <v>2836</v>
      </c>
      <c r="C186" t="s">
        <v>117</v>
      </c>
      <c r="D186" t="s">
        <v>2837</v>
      </c>
      <c r="E186" t="s">
        <v>559</v>
      </c>
      <c r="F186">
        <v>1</v>
      </c>
      <c r="G186" t="s">
        <v>2050</v>
      </c>
      <c r="H186" t="s">
        <v>2051</v>
      </c>
      <c r="I186" t="s">
        <v>53</v>
      </c>
      <c r="J186" t="s">
        <v>67</v>
      </c>
      <c r="K186" t="s">
        <v>68</v>
      </c>
      <c r="L186" t="s">
        <v>2052</v>
      </c>
      <c r="M186" t="s">
        <v>2053</v>
      </c>
      <c r="N186">
        <v>0</v>
      </c>
      <c r="O186">
        <v>0</v>
      </c>
      <c r="P186">
        <v>0</v>
      </c>
      <c r="Q186">
        <v>1440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278</v>
      </c>
      <c r="AH186" s="21" t="s">
        <v>3425</v>
      </c>
      <c r="AI186" s="21">
        <v>107.92500000000001</v>
      </c>
      <c r="AJ186" s="21">
        <v>100</v>
      </c>
      <c r="AK186" s="21" t="s">
        <v>2054</v>
      </c>
      <c r="AL186" t="s">
        <v>70</v>
      </c>
      <c r="AM186" t="s">
        <v>2027</v>
      </c>
    </row>
    <row r="187" spans="1:39" ht="15" hidden="1" thickTop="1" x14ac:dyDescent="0.35">
      <c r="A187" t="s">
        <v>2843</v>
      </c>
      <c r="B187" t="s">
        <v>2838</v>
      </c>
      <c r="C187" t="s">
        <v>92</v>
      </c>
      <c r="D187" t="s">
        <v>2839</v>
      </c>
      <c r="E187" t="s">
        <v>119</v>
      </c>
      <c r="F187">
        <v>1</v>
      </c>
      <c r="G187" t="s">
        <v>2050</v>
      </c>
      <c r="H187" t="s">
        <v>2051</v>
      </c>
      <c r="I187" t="s">
        <v>53</v>
      </c>
      <c r="J187" t="s">
        <v>67</v>
      </c>
      <c r="K187" t="s">
        <v>68</v>
      </c>
      <c r="L187" t="s">
        <v>2052</v>
      </c>
      <c r="M187" t="s">
        <v>2053</v>
      </c>
      <c r="N187">
        <v>0</v>
      </c>
      <c r="O187">
        <v>0</v>
      </c>
      <c r="P187">
        <v>0</v>
      </c>
      <c r="Q187">
        <v>1440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279</v>
      </c>
      <c r="AH187" s="21" t="s">
        <v>3425</v>
      </c>
      <c r="AI187" s="21">
        <v>107.92500000000001</v>
      </c>
      <c r="AJ187" s="21">
        <v>100</v>
      </c>
      <c r="AK187" s="21" t="s">
        <v>2054</v>
      </c>
      <c r="AL187" t="s">
        <v>70</v>
      </c>
      <c r="AM187" t="s">
        <v>2029</v>
      </c>
    </row>
    <row r="188" spans="1:39" ht="15" hidden="1" thickTop="1" x14ac:dyDescent="0.35">
      <c r="A188" t="s">
        <v>2845</v>
      </c>
      <c r="B188" t="s">
        <v>2840</v>
      </c>
      <c r="C188" t="s">
        <v>92</v>
      </c>
      <c r="D188" t="s">
        <v>2841</v>
      </c>
      <c r="E188" t="s">
        <v>119</v>
      </c>
      <c r="F188">
        <v>1</v>
      </c>
      <c r="G188" t="s">
        <v>2050</v>
      </c>
      <c r="H188" t="s">
        <v>2051</v>
      </c>
      <c r="I188" t="s">
        <v>53</v>
      </c>
      <c r="J188" t="s">
        <v>67</v>
      </c>
      <c r="K188" t="s">
        <v>68</v>
      </c>
      <c r="L188" t="s">
        <v>2052</v>
      </c>
      <c r="M188" t="s">
        <v>2053</v>
      </c>
      <c r="N188">
        <v>0</v>
      </c>
      <c r="O188">
        <v>0</v>
      </c>
      <c r="P188">
        <v>0</v>
      </c>
      <c r="Q188">
        <v>1440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t="s">
        <v>280</v>
      </c>
      <c r="AH188" s="21" t="s">
        <v>3425</v>
      </c>
      <c r="AI188" s="21">
        <v>107.92500000000001</v>
      </c>
      <c r="AJ188" s="21">
        <v>100</v>
      </c>
      <c r="AK188" s="21" t="s">
        <v>2054</v>
      </c>
      <c r="AL188" t="s">
        <v>70</v>
      </c>
      <c r="AM188" t="s">
        <v>2029</v>
      </c>
    </row>
    <row r="189" spans="1:39" ht="15" hidden="1" thickTop="1" x14ac:dyDescent="0.35">
      <c r="A189" t="s">
        <v>283</v>
      </c>
      <c r="B189" t="s">
        <v>2849</v>
      </c>
      <c r="C189" t="s">
        <v>100</v>
      </c>
      <c r="D189" t="s">
        <v>2850</v>
      </c>
      <c r="E189" t="s">
        <v>559</v>
      </c>
      <c r="F189">
        <v>1</v>
      </c>
      <c r="G189" t="s">
        <v>2050</v>
      </c>
      <c r="H189" t="s">
        <v>2051</v>
      </c>
      <c r="I189" t="s">
        <v>53</v>
      </c>
      <c r="J189" t="s">
        <v>67</v>
      </c>
      <c r="K189" t="s">
        <v>68</v>
      </c>
      <c r="L189" t="s">
        <v>2052</v>
      </c>
      <c r="M189" t="s">
        <v>2053</v>
      </c>
      <c r="N189">
        <v>0</v>
      </c>
      <c r="O189">
        <v>0</v>
      </c>
      <c r="P189">
        <v>0</v>
      </c>
      <c r="Q189">
        <v>1440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281</v>
      </c>
      <c r="AH189" s="21" t="s">
        <v>3425</v>
      </c>
      <c r="AI189" s="21">
        <v>107.92500000000001</v>
      </c>
      <c r="AJ189" s="21">
        <v>100</v>
      </c>
      <c r="AK189" s="21" t="s">
        <v>2054</v>
      </c>
      <c r="AL189" t="s">
        <v>70</v>
      </c>
      <c r="AM189" t="s">
        <v>2029</v>
      </c>
    </row>
    <row r="190" spans="1:39" ht="15" hidden="1" thickTop="1" x14ac:dyDescent="0.35">
      <c r="A190" t="s">
        <v>2853</v>
      </c>
      <c r="B190" t="s">
        <v>2851</v>
      </c>
      <c r="C190" t="s">
        <v>71</v>
      </c>
      <c r="D190" t="s">
        <v>2852</v>
      </c>
      <c r="E190" t="s">
        <v>72</v>
      </c>
      <c r="F190">
        <v>1</v>
      </c>
      <c r="G190" t="s">
        <v>2050</v>
      </c>
      <c r="H190" t="s">
        <v>2051</v>
      </c>
      <c r="I190" t="s">
        <v>53</v>
      </c>
      <c r="J190" t="s">
        <v>73</v>
      </c>
      <c r="K190" t="s">
        <v>68</v>
      </c>
      <c r="L190" t="s">
        <v>2052</v>
      </c>
      <c r="M190" t="s">
        <v>2053</v>
      </c>
      <c r="N190">
        <v>0</v>
      </c>
      <c r="O190">
        <v>0</v>
      </c>
      <c r="P190">
        <v>0</v>
      </c>
      <c r="Q190">
        <v>1440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284</v>
      </c>
      <c r="AH190" s="21" t="s">
        <v>3428</v>
      </c>
      <c r="AI190" s="21">
        <v>107.92500000000001</v>
      </c>
      <c r="AJ190" s="21">
        <v>100</v>
      </c>
      <c r="AK190" s="21" t="s">
        <v>2054</v>
      </c>
      <c r="AL190" t="s">
        <v>75</v>
      </c>
      <c r="AM190" t="s">
        <v>2029</v>
      </c>
    </row>
    <row r="191" spans="1:39" ht="15" hidden="1" thickTop="1" x14ac:dyDescent="0.35">
      <c r="A191" t="s">
        <v>2859</v>
      </c>
      <c r="B191" t="s">
        <v>2857</v>
      </c>
      <c r="C191" t="s">
        <v>100</v>
      </c>
      <c r="D191" t="s">
        <v>2858</v>
      </c>
      <c r="E191" t="s">
        <v>559</v>
      </c>
      <c r="F191">
        <v>1</v>
      </c>
      <c r="G191" t="s">
        <v>2050</v>
      </c>
      <c r="H191" t="s">
        <v>2051</v>
      </c>
      <c r="I191" t="s">
        <v>53</v>
      </c>
      <c r="J191" t="s">
        <v>67</v>
      </c>
      <c r="K191" t="s">
        <v>68</v>
      </c>
      <c r="L191" t="s">
        <v>2052</v>
      </c>
      <c r="M191" t="s">
        <v>2053</v>
      </c>
      <c r="N191">
        <v>0</v>
      </c>
      <c r="O191">
        <v>0</v>
      </c>
      <c r="P191">
        <v>0</v>
      </c>
      <c r="Q191">
        <v>1440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289</v>
      </c>
      <c r="AH191" s="21" t="s">
        <v>3424</v>
      </c>
      <c r="AI191" s="21">
        <v>107.92500000000001</v>
      </c>
      <c r="AJ191" s="21">
        <v>100</v>
      </c>
      <c r="AK191" s="21" t="s">
        <v>2054</v>
      </c>
      <c r="AL191" t="s">
        <v>70</v>
      </c>
      <c r="AM191" t="s">
        <v>2028</v>
      </c>
    </row>
    <row r="192" spans="1:39" ht="15" hidden="1" thickTop="1" x14ac:dyDescent="0.35">
      <c r="A192" t="s">
        <v>2864</v>
      </c>
      <c r="B192" t="s">
        <v>2862</v>
      </c>
      <c r="C192" t="s">
        <v>81</v>
      </c>
      <c r="D192" t="s">
        <v>2863</v>
      </c>
      <c r="E192" t="s">
        <v>559</v>
      </c>
      <c r="F192">
        <v>1</v>
      </c>
      <c r="G192" t="s">
        <v>2050</v>
      </c>
      <c r="H192" t="s">
        <v>2051</v>
      </c>
      <c r="I192" t="s">
        <v>53</v>
      </c>
      <c r="J192" t="s">
        <v>82</v>
      </c>
      <c r="K192" t="s">
        <v>68</v>
      </c>
      <c r="L192" t="s">
        <v>2052</v>
      </c>
      <c r="M192" t="s">
        <v>2053</v>
      </c>
      <c r="N192">
        <v>0</v>
      </c>
      <c r="O192">
        <v>0</v>
      </c>
      <c r="P192">
        <v>0</v>
      </c>
      <c r="Q192">
        <v>1440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290</v>
      </c>
      <c r="AH192" s="21" t="s">
        <v>3424</v>
      </c>
      <c r="AI192" s="21">
        <v>107.92500000000001</v>
      </c>
      <c r="AJ192" s="21">
        <v>100</v>
      </c>
      <c r="AK192" s="21" t="s">
        <v>2054</v>
      </c>
      <c r="AL192" t="s">
        <v>70</v>
      </c>
      <c r="AM192" t="s">
        <v>2030</v>
      </c>
    </row>
    <row r="193" spans="1:39" ht="15" hidden="1" thickTop="1" x14ac:dyDescent="0.35">
      <c r="A193" t="s">
        <v>2870</v>
      </c>
      <c r="B193" t="s">
        <v>2868</v>
      </c>
      <c r="C193" t="s">
        <v>78</v>
      </c>
      <c r="D193" t="s">
        <v>2869</v>
      </c>
      <c r="E193" t="s">
        <v>559</v>
      </c>
      <c r="F193">
        <v>1</v>
      </c>
      <c r="G193" t="s">
        <v>2050</v>
      </c>
      <c r="H193" t="s">
        <v>2051</v>
      </c>
      <c r="I193" t="s">
        <v>53</v>
      </c>
      <c r="J193" t="s">
        <v>67</v>
      </c>
      <c r="K193" t="s">
        <v>68</v>
      </c>
      <c r="L193" t="s">
        <v>2052</v>
      </c>
      <c r="M193" t="s">
        <v>2064</v>
      </c>
      <c r="N193">
        <v>0</v>
      </c>
      <c r="O193">
        <v>0</v>
      </c>
      <c r="P193">
        <v>0</v>
      </c>
      <c r="Q193">
        <v>900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291</v>
      </c>
      <c r="AH193" s="21" t="s">
        <v>3424</v>
      </c>
      <c r="AI193" s="21">
        <v>67.5</v>
      </c>
      <c r="AJ193" s="21">
        <v>100</v>
      </c>
      <c r="AK193" s="21" t="s">
        <v>2054</v>
      </c>
      <c r="AL193" t="s">
        <v>70</v>
      </c>
      <c r="AM193" t="s">
        <v>2028</v>
      </c>
    </row>
    <row r="194" spans="1:39" ht="15" hidden="1" thickTop="1" x14ac:dyDescent="0.35">
      <c r="A194" t="s">
        <v>2875</v>
      </c>
      <c r="B194" t="s">
        <v>2876</v>
      </c>
      <c r="C194" t="s">
        <v>100</v>
      </c>
      <c r="D194" t="s">
        <v>2877</v>
      </c>
      <c r="E194" t="s">
        <v>559</v>
      </c>
      <c r="F194">
        <v>1</v>
      </c>
      <c r="G194" t="s">
        <v>2050</v>
      </c>
      <c r="H194" t="s">
        <v>2051</v>
      </c>
      <c r="I194" t="s">
        <v>53</v>
      </c>
      <c r="J194" t="s">
        <v>67</v>
      </c>
      <c r="K194" t="s">
        <v>68</v>
      </c>
      <c r="L194" t="s">
        <v>2052</v>
      </c>
      <c r="M194" t="s">
        <v>2053</v>
      </c>
      <c r="N194">
        <v>0</v>
      </c>
      <c r="O194">
        <v>0</v>
      </c>
      <c r="P194">
        <v>0</v>
      </c>
      <c r="Q194">
        <v>1440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 t="s">
        <v>292</v>
      </c>
      <c r="AH194" s="21" t="s">
        <v>3424</v>
      </c>
      <c r="AI194" s="21">
        <v>107.92500000000001</v>
      </c>
      <c r="AJ194" s="21">
        <v>100</v>
      </c>
      <c r="AK194" s="21" t="s">
        <v>2054</v>
      </c>
      <c r="AL194" t="s">
        <v>70</v>
      </c>
      <c r="AM194" t="s">
        <v>2028</v>
      </c>
    </row>
    <row r="195" spans="1:39" ht="15" hidden="1" thickTop="1" x14ac:dyDescent="0.35">
      <c r="A195" t="s">
        <v>2882</v>
      </c>
      <c r="B195" t="s">
        <v>2883</v>
      </c>
      <c r="C195" t="s">
        <v>92</v>
      </c>
      <c r="D195" t="s">
        <v>2884</v>
      </c>
      <c r="E195" t="s">
        <v>559</v>
      </c>
      <c r="F195">
        <v>1</v>
      </c>
      <c r="G195" t="s">
        <v>2050</v>
      </c>
      <c r="H195" t="s">
        <v>2051</v>
      </c>
      <c r="I195" t="s">
        <v>53</v>
      </c>
      <c r="J195" t="s">
        <v>67</v>
      </c>
      <c r="K195" t="s">
        <v>68</v>
      </c>
      <c r="L195" t="s">
        <v>2052</v>
      </c>
      <c r="M195" t="s">
        <v>2053</v>
      </c>
      <c r="N195">
        <v>0</v>
      </c>
      <c r="O195">
        <v>0</v>
      </c>
      <c r="P195">
        <v>0</v>
      </c>
      <c r="Q195">
        <v>1440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 t="s">
        <v>293</v>
      </c>
      <c r="AH195" s="21" t="s">
        <v>3424</v>
      </c>
      <c r="AI195" s="21">
        <v>107.92500000000001</v>
      </c>
      <c r="AJ195" s="21">
        <v>100</v>
      </c>
      <c r="AK195" s="21" t="s">
        <v>2055</v>
      </c>
      <c r="AL195" t="s">
        <v>70</v>
      </c>
      <c r="AM195" t="s">
        <v>2029</v>
      </c>
    </row>
    <row r="196" spans="1:39" ht="15" hidden="1" thickTop="1" x14ac:dyDescent="0.35">
      <c r="A196" t="s">
        <v>2889</v>
      </c>
      <c r="B196" t="s">
        <v>2890</v>
      </c>
      <c r="C196" t="s">
        <v>92</v>
      </c>
      <c r="D196" t="s">
        <v>2891</v>
      </c>
      <c r="E196" t="s">
        <v>119</v>
      </c>
      <c r="F196">
        <v>1</v>
      </c>
      <c r="G196" t="s">
        <v>2050</v>
      </c>
      <c r="H196" t="s">
        <v>2051</v>
      </c>
      <c r="I196" t="s">
        <v>53</v>
      </c>
      <c r="J196" t="s">
        <v>67</v>
      </c>
      <c r="K196" t="s">
        <v>68</v>
      </c>
      <c r="L196" t="s">
        <v>2052</v>
      </c>
      <c r="M196" t="s">
        <v>2064</v>
      </c>
      <c r="N196">
        <v>0</v>
      </c>
      <c r="O196">
        <v>0</v>
      </c>
      <c r="P196">
        <v>0</v>
      </c>
      <c r="Q196">
        <v>900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294</v>
      </c>
      <c r="AH196" s="21" t="s">
        <v>3425</v>
      </c>
      <c r="AI196" s="21">
        <v>67.5</v>
      </c>
      <c r="AJ196" s="21">
        <v>100</v>
      </c>
      <c r="AK196" s="21" t="s">
        <v>2054</v>
      </c>
      <c r="AL196" t="s">
        <v>70</v>
      </c>
      <c r="AM196" t="s">
        <v>2027</v>
      </c>
    </row>
    <row r="197" spans="1:39" ht="15" hidden="1" thickTop="1" x14ac:dyDescent="0.35">
      <c r="A197" t="s">
        <v>2896</v>
      </c>
      <c r="B197" t="s">
        <v>2900</v>
      </c>
      <c r="C197" t="s">
        <v>76</v>
      </c>
      <c r="D197" t="s">
        <v>2901</v>
      </c>
      <c r="E197" t="s">
        <v>559</v>
      </c>
      <c r="F197">
        <v>1</v>
      </c>
      <c r="G197" t="s">
        <v>2050</v>
      </c>
      <c r="H197" t="s">
        <v>2051</v>
      </c>
      <c r="I197" t="s">
        <v>53</v>
      </c>
      <c r="J197" t="s">
        <v>67</v>
      </c>
      <c r="K197" t="s">
        <v>68</v>
      </c>
      <c r="L197" t="s">
        <v>2052</v>
      </c>
      <c r="M197" t="s">
        <v>2053</v>
      </c>
      <c r="N197">
        <v>0</v>
      </c>
      <c r="O197">
        <v>0</v>
      </c>
      <c r="P197">
        <v>0</v>
      </c>
      <c r="Q197">
        <v>1440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 t="s">
        <v>296</v>
      </c>
      <c r="AH197" s="21" t="s">
        <v>3427</v>
      </c>
      <c r="AI197" s="21">
        <v>107.92500000000001</v>
      </c>
      <c r="AJ197" s="21">
        <v>100</v>
      </c>
      <c r="AK197" s="21" t="s">
        <v>2055</v>
      </c>
      <c r="AL197" t="s">
        <v>70</v>
      </c>
      <c r="AM197" t="s">
        <v>2030</v>
      </c>
    </row>
    <row r="198" spans="1:39" ht="15" hidden="1" thickTop="1" x14ac:dyDescent="0.35">
      <c r="A198" t="s">
        <v>2902</v>
      </c>
      <c r="B198" t="s">
        <v>2906</v>
      </c>
      <c r="C198" t="s">
        <v>78</v>
      </c>
      <c r="D198" t="s">
        <v>2907</v>
      </c>
      <c r="E198" t="s">
        <v>559</v>
      </c>
      <c r="F198">
        <v>1</v>
      </c>
      <c r="G198" t="s">
        <v>2050</v>
      </c>
      <c r="H198" t="s">
        <v>2051</v>
      </c>
      <c r="I198" t="s">
        <v>53</v>
      </c>
      <c r="J198" t="s">
        <v>67</v>
      </c>
      <c r="K198" t="s">
        <v>68</v>
      </c>
      <c r="L198" t="s">
        <v>2052</v>
      </c>
      <c r="M198" t="s">
        <v>2053</v>
      </c>
      <c r="N198">
        <v>0</v>
      </c>
      <c r="O198">
        <v>0</v>
      </c>
      <c r="P198">
        <v>0</v>
      </c>
      <c r="Q198">
        <v>1440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t="s">
        <v>297</v>
      </c>
      <c r="AH198" s="21" t="s">
        <v>3427</v>
      </c>
      <c r="AI198" s="21">
        <v>107.92500000000001</v>
      </c>
      <c r="AJ198" s="21">
        <v>100</v>
      </c>
      <c r="AK198" s="21" t="s">
        <v>2054</v>
      </c>
      <c r="AL198" t="s">
        <v>70</v>
      </c>
      <c r="AM198" t="s">
        <v>2028</v>
      </c>
    </row>
    <row r="199" spans="1:39" ht="15" hidden="1" thickTop="1" x14ac:dyDescent="0.35">
      <c r="A199" t="s">
        <v>2909</v>
      </c>
      <c r="B199" t="s">
        <v>2913</v>
      </c>
      <c r="C199" t="s">
        <v>3376</v>
      </c>
      <c r="D199" t="s">
        <v>2914</v>
      </c>
      <c r="E199" t="s">
        <v>559</v>
      </c>
      <c r="F199">
        <v>1</v>
      </c>
      <c r="G199" t="s">
        <v>2050</v>
      </c>
      <c r="H199" t="s">
        <v>2051</v>
      </c>
      <c r="I199" t="s">
        <v>53</v>
      </c>
      <c r="J199" t="s">
        <v>67</v>
      </c>
      <c r="K199" t="s">
        <v>68</v>
      </c>
      <c r="L199" t="s">
        <v>2052</v>
      </c>
      <c r="M199" t="s">
        <v>2053</v>
      </c>
      <c r="N199">
        <v>0</v>
      </c>
      <c r="O199">
        <v>0</v>
      </c>
      <c r="P199">
        <v>0</v>
      </c>
      <c r="Q199">
        <v>1440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298</v>
      </c>
      <c r="AH199" s="21" t="s">
        <v>3427</v>
      </c>
      <c r="AI199" s="21">
        <v>107.92500000000001</v>
      </c>
      <c r="AJ199" s="21">
        <v>100</v>
      </c>
      <c r="AK199" s="21" t="s">
        <v>2054</v>
      </c>
      <c r="AL199" t="s">
        <v>70</v>
      </c>
      <c r="AM199" t="s">
        <v>2027</v>
      </c>
    </row>
    <row r="200" spans="1:39" ht="15" hidden="1" thickTop="1" x14ac:dyDescent="0.35">
      <c r="A200" t="s">
        <v>2916</v>
      </c>
      <c r="B200" t="s">
        <v>2922</v>
      </c>
      <c r="C200" t="s">
        <v>66</v>
      </c>
      <c r="D200" t="s">
        <v>2923</v>
      </c>
      <c r="E200" t="s">
        <v>559</v>
      </c>
      <c r="F200">
        <v>1</v>
      </c>
      <c r="G200" t="s">
        <v>2050</v>
      </c>
      <c r="H200" t="s">
        <v>2051</v>
      </c>
      <c r="I200" t="s">
        <v>53</v>
      </c>
      <c r="J200" t="s">
        <v>67</v>
      </c>
      <c r="K200" t="s">
        <v>68</v>
      </c>
      <c r="L200" t="s">
        <v>2052</v>
      </c>
      <c r="M200" t="s">
        <v>2053</v>
      </c>
      <c r="N200">
        <v>0</v>
      </c>
      <c r="O200">
        <v>0</v>
      </c>
      <c r="P200">
        <v>0</v>
      </c>
      <c r="Q200">
        <v>1440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299</v>
      </c>
      <c r="AH200" s="21" t="s">
        <v>3424</v>
      </c>
      <c r="AI200" s="21">
        <v>107.92500000000001</v>
      </c>
      <c r="AJ200" s="21">
        <v>100</v>
      </c>
      <c r="AK200" s="21" t="s">
        <v>2054</v>
      </c>
      <c r="AL200" t="s">
        <v>70</v>
      </c>
      <c r="AM200" t="s">
        <v>2028</v>
      </c>
    </row>
    <row r="201" spans="1:39" ht="15" hidden="1" thickTop="1" x14ac:dyDescent="0.35">
      <c r="A201" t="s">
        <v>2919</v>
      </c>
      <c r="B201" t="s">
        <v>2925</v>
      </c>
      <c r="C201" t="s">
        <v>102</v>
      </c>
      <c r="D201" t="s">
        <v>2926</v>
      </c>
      <c r="E201" t="s">
        <v>559</v>
      </c>
      <c r="F201">
        <v>1</v>
      </c>
      <c r="G201" t="s">
        <v>2050</v>
      </c>
      <c r="H201" t="s">
        <v>2051</v>
      </c>
      <c r="I201" t="s">
        <v>53</v>
      </c>
      <c r="J201" t="s">
        <v>67</v>
      </c>
      <c r="K201" t="s">
        <v>68</v>
      </c>
      <c r="L201" t="s">
        <v>2052</v>
      </c>
      <c r="M201" t="s">
        <v>2053</v>
      </c>
      <c r="N201">
        <v>0</v>
      </c>
      <c r="O201">
        <v>0</v>
      </c>
      <c r="P201">
        <v>0</v>
      </c>
      <c r="Q201">
        <v>1440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300</v>
      </c>
      <c r="AH201" s="21" t="s">
        <v>3424</v>
      </c>
      <c r="AI201" s="21">
        <v>107.92500000000001</v>
      </c>
      <c r="AJ201" s="21">
        <v>100</v>
      </c>
      <c r="AK201" s="21" t="s">
        <v>2054</v>
      </c>
      <c r="AL201" t="s">
        <v>70</v>
      </c>
      <c r="AM201" t="s">
        <v>2028</v>
      </c>
    </row>
    <row r="202" spans="1:39" ht="15" hidden="1" thickTop="1" x14ac:dyDescent="0.35">
      <c r="A202" t="s">
        <v>2928</v>
      </c>
      <c r="B202" t="s">
        <v>2935</v>
      </c>
      <c r="C202" t="s">
        <v>76</v>
      </c>
      <c r="D202" t="s">
        <v>2936</v>
      </c>
      <c r="E202" t="s">
        <v>559</v>
      </c>
      <c r="F202">
        <v>1</v>
      </c>
      <c r="G202" t="s">
        <v>2050</v>
      </c>
      <c r="H202" t="s">
        <v>2051</v>
      </c>
      <c r="I202" t="s">
        <v>53</v>
      </c>
      <c r="J202" t="s">
        <v>67</v>
      </c>
      <c r="K202" t="s">
        <v>68</v>
      </c>
      <c r="L202" t="s">
        <v>2052</v>
      </c>
      <c r="M202" t="s">
        <v>2053</v>
      </c>
      <c r="N202">
        <v>0</v>
      </c>
      <c r="O202">
        <v>0</v>
      </c>
      <c r="P202">
        <v>0</v>
      </c>
      <c r="Q202">
        <v>1440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301</v>
      </c>
      <c r="AH202" s="21" t="s">
        <v>3424</v>
      </c>
      <c r="AI202" s="21">
        <v>107.92500000000001</v>
      </c>
      <c r="AJ202" s="21">
        <v>100</v>
      </c>
      <c r="AK202" s="21" t="s">
        <v>2055</v>
      </c>
      <c r="AL202" t="s">
        <v>70</v>
      </c>
      <c r="AM202" t="s">
        <v>2028</v>
      </c>
    </row>
    <row r="203" spans="1:39" ht="15" hidden="1" thickTop="1" x14ac:dyDescent="0.35">
      <c r="A203" t="s">
        <v>2929</v>
      </c>
      <c r="B203" t="s">
        <v>2938</v>
      </c>
      <c r="C203" t="s">
        <v>76</v>
      </c>
      <c r="D203" t="s">
        <v>2939</v>
      </c>
      <c r="E203" t="s">
        <v>119</v>
      </c>
      <c r="F203">
        <v>1</v>
      </c>
      <c r="G203" t="s">
        <v>2050</v>
      </c>
      <c r="H203" t="s">
        <v>2051</v>
      </c>
      <c r="I203" t="s">
        <v>53</v>
      </c>
      <c r="J203" t="s">
        <v>67</v>
      </c>
      <c r="K203" t="s">
        <v>68</v>
      </c>
      <c r="L203" t="s">
        <v>2052</v>
      </c>
      <c r="M203" t="s">
        <v>2053</v>
      </c>
      <c r="N203">
        <v>0</v>
      </c>
      <c r="O203">
        <v>0</v>
      </c>
      <c r="P203">
        <v>0</v>
      </c>
      <c r="Q203">
        <v>1440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302</v>
      </c>
      <c r="AH203" s="21" t="s">
        <v>3424</v>
      </c>
      <c r="AI203" s="21">
        <v>107.92500000000001</v>
      </c>
      <c r="AJ203" s="21">
        <v>100</v>
      </c>
      <c r="AK203" s="21" t="s">
        <v>2054</v>
      </c>
      <c r="AL203" t="s">
        <v>70</v>
      </c>
      <c r="AM203" t="s">
        <v>2029</v>
      </c>
    </row>
    <row r="204" spans="1:39" ht="15" hidden="1" thickTop="1" x14ac:dyDescent="0.35">
      <c r="A204" t="s">
        <v>2930</v>
      </c>
      <c r="B204" t="s">
        <v>2942</v>
      </c>
      <c r="C204" t="s">
        <v>128</v>
      </c>
      <c r="D204" t="s">
        <v>2943</v>
      </c>
      <c r="E204" t="s">
        <v>112</v>
      </c>
      <c r="F204">
        <v>1</v>
      </c>
      <c r="G204" t="s">
        <v>2050</v>
      </c>
      <c r="H204" t="s">
        <v>2051</v>
      </c>
      <c r="I204" t="s">
        <v>53</v>
      </c>
      <c r="J204" t="s">
        <v>113</v>
      </c>
      <c r="K204" t="s">
        <v>68</v>
      </c>
      <c r="L204" t="s">
        <v>2052</v>
      </c>
      <c r="M204" t="s">
        <v>2053</v>
      </c>
      <c r="N204">
        <v>0</v>
      </c>
      <c r="O204">
        <v>0</v>
      </c>
      <c r="P204">
        <v>0</v>
      </c>
      <c r="Q204">
        <v>1440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t="s">
        <v>303</v>
      </c>
      <c r="AH204" s="21" t="s">
        <v>3427</v>
      </c>
      <c r="AI204" s="21">
        <v>107.92500000000001</v>
      </c>
      <c r="AJ204" s="21">
        <v>100</v>
      </c>
      <c r="AK204" s="21" t="s">
        <v>2054</v>
      </c>
      <c r="AL204" t="s">
        <v>115</v>
      </c>
      <c r="AM204" t="s">
        <v>2027</v>
      </c>
    </row>
    <row r="205" spans="1:39" ht="15" hidden="1" thickTop="1" x14ac:dyDescent="0.35">
      <c r="A205" t="s">
        <v>2934</v>
      </c>
      <c r="B205" t="s">
        <v>2944</v>
      </c>
      <c r="C205" t="s">
        <v>237</v>
      </c>
      <c r="D205" t="s">
        <v>2945</v>
      </c>
      <c r="E205" t="s">
        <v>72</v>
      </c>
      <c r="F205">
        <v>1</v>
      </c>
      <c r="G205" t="s">
        <v>2050</v>
      </c>
      <c r="H205" t="s">
        <v>2051</v>
      </c>
      <c r="I205" t="s">
        <v>53</v>
      </c>
      <c r="J205" t="s">
        <v>73</v>
      </c>
      <c r="K205" t="s">
        <v>68</v>
      </c>
      <c r="L205" t="s">
        <v>2052</v>
      </c>
      <c r="M205" t="s">
        <v>2053</v>
      </c>
      <c r="N205">
        <v>0</v>
      </c>
      <c r="O205">
        <v>0</v>
      </c>
      <c r="P205">
        <v>0</v>
      </c>
      <c r="Q205">
        <v>1440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304</v>
      </c>
      <c r="AH205" s="21" t="s">
        <v>3427</v>
      </c>
      <c r="AI205" s="21">
        <v>107.92500000000001</v>
      </c>
      <c r="AJ205" s="21">
        <v>100</v>
      </c>
      <c r="AK205" s="21" t="s">
        <v>2054</v>
      </c>
      <c r="AL205" t="s">
        <v>75</v>
      </c>
      <c r="AM205" t="s">
        <v>2027</v>
      </c>
    </row>
    <row r="206" spans="1:39" ht="15" hidden="1" thickTop="1" x14ac:dyDescent="0.35">
      <c r="A206" t="s">
        <v>2947</v>
      </c>
      <c r="B206" t="s">
        <v>2953</v>
      </c>
      <c r="C206" t="s">
        <v>81</v>
      </c>
      <c r="D206" t="s">
        <v>2954</v>
      </c>
      <c r="E206" t="s">
        <v>559</v>
      </c>
      <c r="F206">
        <v>2</v>
      </c>
      <c r="G206" t="s">
        <v>2050</v>
      </c>
      <c r="H206" t="s">
        <v>2051</v>
      </c>
      <c r="I206" t="s">
        <v>53</v>
      </c>
      <c r="J206" t="s">
        <v>82</v>
      </c>
      <c r="K206" t="s">
        <v>68</v>
      </c>
      <c r="L206" t="s">
        <v>2052</v>
      </c>
      <c r="M206" t="s">
        <v>2083</v>
      </c>
      <c r="N206">
        <v>0</v>
      </c>
      <c r="O206">
        <v>0</v>
      </c>
      <c r="P206">
        <v>0</v>
      </c>
      <c r="Q206">
        <v>960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305</v>
      </c>
      <c r="AH206" s="21" t="s">
        <v>3427</v>
      </c>
      <c r="AI206" s="21">
        <v>72.000000000000014</v>
      </c>
      <c r="AJ206" s="21">
        <v>100</v>
      </c>
      <c r="AK206" s="21" t="s">
        <v>2054</v>
      </c>
      <c r="AL206" t="s">
        <v>70</v>
      </c>
      <c r="AM206" t="s">
        <v>2029</v>
      </c>
    </row>
    <row r="207" spans="1:39" ht="15" hidden="1" thickTop="1" x14ac:dyDescent="0.35">
      <c r="A207" t="s">
        <v>2948</v>
      </c>
      <c r="B207" t="s">
        <v>2955</v>
      </c>
      <c r="C207" t="s">
        <v>92</v>
      </c>
      <c r="D207" t="s">
        <v>2956</v>
      </c>
      <c r="E207" t="s">
        <v>559</v>
      </c>
      <c r="F207">
        <v>1</v>
      </c>
      <c r="G207" t="s">
        <v>2050</v>
      </c>
      <c r="H207" t="s">
        <v>2051</v>
      </c>
      <c r="I207" t="s">
        <v>53</v>
      </c>
      <c r="J207" t="s">
        <v>67</v>
      </c>
      <c r="K207" t="s">
        <v>68</v>
      </c>
      <c r="L207" t="s">
        <v>2052</v>
      </c>
      <c r="M207" t="s">
        <v>2053</v>
      </c>
      <c r="N207">
        <v>0</v>
      </c>
      <c r="O207">
        <v>0</v>
      </c>
      <c r="P207">
        <v>0</v>
      </c>
      <c r="Q207">
        <v>1440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306</v>
      </c>
      <c r="AH207" s="21" t="s">
        <v>3424</v>
      </c>
      <c r="AI207" s="21">
        <v>107.92500000000001</v>
      </c>
      <c r="AJ207" s="21">
        <v>100</v>
      </c>
      <c r="AK207" s="21" t="s">
        <v>2054</v>
      </c>
      <c r="AL207" t="s">
        <v>70</v>
      </c>
      <c r="AM207" t="s">
        <v>2027</v>
      </c>
    </row>
    <row r="208" spans="1:39" ht="15" hidden="1" thickTop="1" x14ac:dyDescent="0.35">
      <c r="A208" t="s">
        <v>2949</v>
      </c>
      <c r="B208" t="s">
        <v>2957</v>
      </c>
      <c r="C208" t="s">
        <v>66</v>
      </c>
      <c r="D208" t="s">
        <v>2958</v>
      </c>
      <c r="E208" t="s">
        <v>559</v>
      </c>
      <c r="F208">
        <v>1</v>
      </c>
      <c r="G208" t="s">
        <v>2050</v>
      </c>
      <c r="H208" t="s">
        <v>2051</v>
      </c>
      <c r="I208" t="s">
        <v>53</v>
      </c>
      <c r="J208" t="s">
        <v>67</v>
      </c>
      <c r="K208" t="s">
        <v>68</v>
      </c>
      <c r="L208" t="s">
        <v>2052</v>
      </c>
      <c r="M208" t="s">
        <v>2053</v>
      </c>
      <c r="N208">
        <v>0</v>
      </c>
      <c r="O208">
        <v>0</v>
      </c>
      <c r="P208">
        <v>0</v>
      </c>
      <c r="Q208">
        <v>1440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307</v>
      </c>
      <c r="AH208" s="21" t="s">
        <v>3424</v>
      </c>
      <c r="AI208" s="21">
        <v>107.92500000000001</v>
      </c>
      <c r="AJ208" s="21">
        <v>100</v>
      </c>
      <c r="AK208" s="21" t="s">
        <v>2054</v>
      </c>
      <c r="AL208" t="s">
        <v>70</v>
      </c>
      <c r="AM208" t="s">
        <v>2028</v>
      </c>
    </row>
    <row r="209" spans="1:39" ht="15" hidden="1" thickTop="1" x14ac:dyDescent="0.35">
      <c r="A209" t="s">
        <v>2560</v>
      </c>
      <c r="B209" t="s">
        <v>2968</v>
      </c>
      <c r="C209" t="s">
        <v>92</v>
      </c>
      <c r="D209" t="s">
        <v>2969</v>
      </c>
      <c r="E209" t="s">
        <v>119</v>
      </c>
      <c r="F209">
        <v>1</v>
      </c>
      <c r="G209" t="s">
        <v>2050</v>
      </c>
      <c r="H209" t="s">
        <v>2051</v>
      </c>
      <c r="I209" t="s">
        <v>53</v>
      </c>
      <c r="J209" t="s">
        <v>67</v>
      </c>
      <c r="K209" t="s">
        <v>68</v>
      </c>
      <c r="L209" t="s">
        <v>2052</v>
      </c>
      <c r="M209" t="s">
        <v>2053</v>
      </c>
      <c r="N209">
        <v>0</v>
      </c>
      <c r="O209">
        <v>0</v>
      </c>
      <c r="P209">
        <v>0</v>
      </c>
      <c r="Q209">
        <v>1440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 t="s">
        <v>308</v>
      </c>
      <c r="AH209" s="21" t="s">
        <v>3424</v>
      </c>
      <c r="AI209" s="21">
        <v>107.92500000000001</v>
      </c>
      <c r="AJ209" s="21">
        <v>100</v>
      </c>
      <c r="AK209" s="21" t="s">
        <v>2054</v>
      </c>
      <c r="AL209" t="s">
        <v>70</v>
      </c>
      <c r="AM209" t="s">
        <v>2028</v>
      </c>
    </row>
    <row r="210" spans="1:39" ht="15" hidden="1" thickTop="1" x14ac:dyDescent="0.35">
      <c r="A210" t="s">
        <v>2964</v>
      </c>
      <c r="B210" t="s">
        <v>2970</v>
      </c>
      <c r="C210" t="s">
        <v>86</v>
      </c>
      <c r="D210" t="s">
        <v>2971</v>
      </c>
      <c r="E210" t="s">
        <v>72</v>
      </c>
      <c r="F210">
        <v>1</v>
      </c>
      <c r="G210" t="s">
        <v>2050</v>
      </c>
      <c r="H210" t="s">
        <v>2051</v>
      </c>
      <c r="I210" t="s">
        <v>53</v>
      </c>
      <c r="J210" t="s">
        <v>73</v>
      </c>
      <c r="K210" t="s">
        <v>68</v>
      </c>
      <c r="L210" t="s">
        <v>2052</v>
      </c>
      <c r="M210" t="s">
        <v>2053</v>
      </c>
      <c r="N210">
        <v>0</v>
      </c>
      <c r="O210">
        <v>0</v>
      </c>
      <c r="P210">
        <v>0</v>
      </c>
      <c r="Q210">
        <v>1440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309</v>
      </c>
      <c r="AH210" s="21" t="s">
        <v>3424</v>
      </c>
      <c r="AI210" s="21">
        <v>107.92500000000001</v>
      </c>
      <c r="AJ210" s="21">
        <v>100</v>
      </c>
      <c r="AK210" s="21" t="s">
        <v>2054</v>
      </c>
      <c r="AL210" t="s">
        <v>75</v>
      </c>
      <c r="AM210" t="s">
        <v>2027</v>
      </c>
    </row>
    <row r="211" spans="1:39" ht="15" hidden="1" thickTop="1" x14ac:dyDescent="0.35">
      <c r="A211" t="s">
        <v>2973</v>
      </c>
      <c r="B211" t="s">
        <v>2977</v>
      </c>
      <c r="C211" t="s">
        <v>66</v>
      </c>
      <c r="D211" t="s">
        <v>2978</v>
      </c>
      <c r="E211" t="s">
        <v>559</v>
      </c>
      <c r="F211">
        <v>1</v>
      </c>
      <c r="G211" t="s">
        <v>2050</v>
      </c>
      <c r="H211" t="s">
        <v>2051</v>
      </c>
      <c r="I211" t="s">
        <v>53</v>
      </c>
      <c r="J211" t="s">
        <v>67</v>
      </c>
      <c r="K211" t="s">
        <v>68</v>
      </c>
      <c r="L211" t="s">
        <v>2052</v>
      </c>
      <c r="M211" t="s">
        <v>2064</v>
      </c>
      <c r="N211">
        <v>0</v>
      </c>
      <c r="O211">
        <v>0</v>
      </c>
      <c r="P211">
        <v>0</v>
      </c>
      <c r="Q211">
        <v>900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t="s">
        <v>310</v>
      </c>
      <c r="AH211" s="21" t="s">
        <v>3424</v>
      </c>
      <c r="AI211" s="21">
        <v>67.5</v>
      </c>
      <c r="AJ211" s="21">
        <v>100</v>
      </c>
      <c r="AK211" s="21" t="s">
        <v>2054</v>
      </c>
      <c r="AL211" t="s">
        <v>70</v>
      </c>
      <c r="AM211" t="s">
        <v>2029</v>
      </c>
    </row>
    <row r="212" spans="1:39" ht="15" hidden="1" thickTop="1" x14ac:dyDescent="0.35">
      <c r="A212" t="s">
        <v>2980</v>
      </c>
      <c r="B212" t="s">
        <v>2984</v>
      </c>
      <c r="C212" t="s">
        <v>76</v>
      </c>
      <c r="D212" t="s">
        <v>2985</v>
      </c>
      <c r="E212" t="s">
        <v>119</v>
      </c>
      <c r="F212">
        <v>1</v>
      </c>
      <c r="G212" t="s">
        <v>2050</v>
      </c>
      <c r="H212" t="s">
        <v>2051</v>
      </c>
      <c r="I212" t="s">
        <v>53</v>
      </c>
      <c r="J212" t="s">
        <v>67</v>
      </c>
      <c r="K212" t="s">
        <v>68</v>
      </c>
      <c r="L212" t="s">
        <v>2052</v>
      </c>
      <c r="M212" t="s">
        <v>2053</v>
      </c>
      <c r="N212">
        <v>0</v>
      </c>
      <c r="O212">
        <v>0</v>
      </c>
      <c r="P212">
        <v>0</v>
      </c>
      <c r="Q212">
        <v>1440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t="s">
        <v>311</v>
      </c>
      <c r="AH212" s="21" t="s">
        <v>3429</v>
      </c>
      <c r="AI212" s="21">
        <v>107.92500000000001</v>
      </c>
      <c r="AJ212" s="21">
        <v>100</v>
      </c>
      <c r="AK212" s="21" t="s">
        <v>2054</v>
      </c>
      <c r="AL212" t="s">
        <v>70</v>
      </c>
      <c r="AM212" t="s">
        <v>2029</v>
      </c>
    </row>
    <row r="213" spans="1:39" ht="15" hidden="1" thickTop="1" x14ac:dyDescent="0.35">
      <c r="A213" t="s">
        <v>2987</v>
      </c>
      <c r="B213" t="s">
        <v>2996</v>
      </c>
      <c r="C213" t="s">
        <v>71</v>
      </c>
      <c r="D213" t="s">
        <v>2997</v>
      </c>
      <c r="E213" t="s">
        <v>72</v>
      </c>
      <c r="F213">
        <v>2</v>
      </c>
      <c r="G213" t="s">
        <v>2050</v>
      </c>
      <c r="H213" t="s">
        <v>2051</v>
      </c>
      <c r="I213" t="s">
        <v>53</v>
      </c>
      <c r="J213" t="s">
        <v>73</v>
      </c>
      <c r="K213" t="s">
        <v>68</v>
      </c>
      <c r="L213" t="s">
        <v>2052</v>
      </c>
      <c r="M213" t="s">
        <v>2053</v>
      </c>
      <c r="N213">
        <v>0</v>
      </c>
      <c r="O213">
        <v>0</v>
      </c>
      <c r="P213">
        <v>0</v>
      </c>
      <c r="Q213">
        <v>1440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t="s">
        <v>312</v>
      </c>
      <c r="AH213" s="21" t="s">
        <v>3424</v>
      </c>
      <c r="AI213" s="21">
        <v>107.92500000000001</v>
      </c>
      <c r="AJ213" s="21">
        <v>100</v>
      </c>
      <c r="AK213" s="21" t="s">
        <v>2054</v>
      </c>
      <c r="AL213" t="s">
        <v>75</v>
      </c>
      <c r="AM213" t="s">
        <v>2028</v>
      </c>
    </row>
    <row r="214" spans="1:39" ht="15" hidden="1" thickTop="1" x14ac:dyDescent="0.35">
      <c r="A214" t="s">
        <v>2988</v>
      </c>
      <c r="B214" t="s">
        <v>2999</v>
      </c>
      <c r="C214" t="s">
        <v>86</v>
      </c>
      <c r="D214" t="s">
        <v>3000</v>
      </c>
      <c r="E214" t="s">
        <v>72</v>
      </c>
      <c r="F214">
        <v>2</v>
      </c>
      <c r="G214" t="s">
        <v>2050</v>
      </c>
      <c r="H214" t="s">
        <v>2051</v>
      </c>
      <c r="I214" t="s">
        <v>53</v>
      </c>
      <c r="J214" t="s">
        <v>73</v>
      </c>
      <c r="K214" t="s">
        <v>68</v>
      </c>
      <c r="L214" t="s">
        <v>2052</v>
      </c>
      <c r="M214" t="s">
        <v>2053</v>
      </c>
      <c r="N214">
        <v>0</v>
      </c>
      <c r="O214">
        <v>0</v>
      </c>
      <c r="P214">
        <v>0</v>
      </c>
      <c r="Q214">
        <v>1440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t="s">
        <v>313</v>
      </c>
      <c r="AH214" s="21" t="s">
        <v>3427</v>
      </c>
      <c r="AI214" s="21">
        <v>107.92500000000001</v>
      </c>
      <c r="AJ214" s="21">
        <v>100</v>
      </c>
      <c r="AK214" s="21" t="s">
        <v>2055</v>
      </c>
      <c r="AL214" t="s">
        <v>75</v>
      </c>
      <c r="AM214" t="s">
        <v>2029</v>
      </c>
    </row>
    <row r="215" spans="1:39" ht="15" hidden="1" thickTop="1" x14ac:dyDescent="0.35">
      <c r="A215" t="s">
        <v>2993</v>
      </c>
      <c r="B215" t="s">
        <v>3007</v>
      </c>
      <c r="C215" t="s">
        <v>102</v>
      </c>
      <c r="D215" t="s">
        <v>3008</v>
      </c>
      <c r="E215" t="s">
        <v>559</v>
      </c>
      <c r="F215">
        <v>1</v>
      </c>
      <c r="G215" t="s">
        <v>2050</v>
      </c>
      <c r="H215" t="s">
        <v>2051</v>
      </c>
      <c r="I215" t="s">
        <v>53</v>
      </c>
      <c r="J215" t="s">
        <v>67</v>
      </c>
      <c r="K215" t="s">
        <v>68</v>
      </c>
      <c r="L215" t="s">
        <v>2052</v>
      </c>
      <c r="M215" t="s">
        <v>2064</v>
      </c>
      <c r="N215">
        <v>0</v>
      </c>
      <c r="O215">
        <v>0</v>
      </c>
      <c r="P215">
        <v>0</v>
      </c>
      <c r="Q215">
        <v>900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314</v>
      </c>
      <c r="AH215" s="21" t="s">
        <v>3424</v>
      </c>
      <c r="AI215" s="21">
        <v>67.5</v>
      </c>
      <c r="AJ215" s="21">
        <v>100</v>
      </c>
      <c r="AK215" s="21" t="s">
        <v>2055</v>
      </c>
      <c r="AL215" t="s">
        <v>70</v>
      </c>
      <c r="AM215" t="s">
        <v>2029</v>
      </c>
    </row>
    <row r="216" spans="1:39" ht="15" hidden="1" thickTop="1" x14ac:dyDescent="0.35">
      <c r="A216" t="s">
        <v>2994</v>
      </c>
      <c r="B216" t="s">
        <v>3009</v>
      </c>
      <c r="C216" t="s">
        <v>66</v>
      </c>
      <c r="D216" t="s">
        <v>3010</v>
      </c>
      <c r="E216" t="s">
        <v>559</v>
      </c>
      <c r="F216">
        <v>1</v>
      </c>
      <c r="G216" t="s">
        <v>2050</v>
      </c>
      <c r="H216" t="s">
        <v>2051</v>
      </c>
      <c r="I216" t="s">
        <v>53</v>
      </c>
      <c r="J216" t="s">
        <v>67</v>
      </c>
      <c r="K216" t="s">
        <v>68</v>
      </c>
      <c r="L216" t="s">
        <v>2052</v>
      </c>
      <c r="M216" t="s">
        <v>2053</v>
      </c>
      <c r="N216">
        <v>0</v>
      </c>
      <c r="O216">
        <v>0</v>
      </c>
      <c r="P216">
        <v>0</v>
      </c>
      <c r="Q216">
        <v>1440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315</v>
      </c>
      <c r="AH216" s="21" t="s">
        <v>3428</v>
      </c>
      <c r="AI216" s="21">
        <v>107.92500000000001</v>
      </c>
      <c r="AJ216" s="21">
        <v>100</v>
      </c>
      <c r="AK216" s="21" t="s">
        <v>2055</v>
      </c>
      <c r="AL216" t="s">
        <v>70</v>
      </c>
      <c r="AM216" t="s">
        <v>2028</v>
      </c>
    </row>
    <row r="217" spans="1:39" ht="15" hidden="1" thickTop="1" x14ac:dyDescent="0.35">
      <c r="A217" t="s">
        <v>3003</v>
      </c>
      <c r="B217" t="s">
        <v>3015</v>
      </c>
      <c r="C217" t="s">
        <v>66</v>
      </c>
      <c r="D217" t="s">
        <v>3016</v>
      </c>
      <c r="E217" t="s">
        <v>119</v>
      </c>
      <c r="F217">
        <v>1</v>
      </c>
      <c r="G217" t="s">
        <v>2050</v>
      </c>
      <c r="H217" t="s">
        <v>2051</v>
      </c>
      <c r="I217" t="s">
        <v>53</v>
      </c>
      <c r="J217" t="s">
        <v>67</v>
      </c>
      <c r="K217" t="s">
        <v>68</v>
      </c>
      <c r="L217" t="s">
        <v>2052</v>
      </c>
      <c r="M217" t="s">
        <v>2053</v>
      </c>
      <c r="N217">
        <v>0</v>
      </c>
      <c r="O217">
        <v>0</v>
      </c>
      <c r="P217">
        <v>0</v>
      </c>
      <c r="Q217">
        <v>1440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316</v>
      </c>
      <c r="AH217" s="21" t="s">
        <v>3425</v>
      </c>
      <c r="AI217" s="21">
        <v>107.92500000000001</v>
      </c>
      <c r="AJ217" s="21">
        <v>100</v>
      </c>
      <c r="AK217" s="21" t="s">
        <v>2054</v>
      </c>
      <c r="AL217" t="s">
        <v>70</v>
      </c>
      <c r="AM217" t="s">
        <v>2027</v>
      </c>
    </row>
    <row r="218" spans="1:39" ht="15" hidden="1" thickTop="1" x14ac:dyDescent="0.35">
      <c r="A218" t="s">
        <v>3011</v>
      </c>
      <c r="B218" t="s">
        <v>3020</v>
      </c>
      <c r="C218" t="s">
        <v>66</v>
      </c>
      <c r="D218" t="s">
        <v>3021</v>
      </c>
      <c r="E218" t="s">
        <v>559</v>
      </c>
      <c r="F218">
        <v>1</v>
      </c>
      <c r="G218" t="s">
        <v>2050</v>
      </c>
      <c r="H218" t="s">
        <v>2051</v>
      </c>
      <c r="I218" t="s">
        <v>53</v>
      </c>
      <c r="J218" t="s">
        <v>67</v>
      </c>
      <c r="K218" t="s">
        <v>68</v>
      </c>
      <c r="L218" t="s">
        <v>2052</v>
      </c>
      <c r="M218" t="s">
        <v>2064</v>
      </c>
      <c r="N218">
        <v>0</v>
      </c>
      <c r="O218">
        <v>0</v>
      </c>
      <c r="P218">
        <v>0</v>
      </c>
      <c r="Q218">
        <v>900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317</v>
      </c>
      <c r="AH218" s="21" t="s">
        <v>3425</v>
      </c>
      <c r="AI218" s="21">
        <v>67.5</v>
      </c>
      <c r="AJ218" s="21">
        <v>100</v>
      </c>
      <c r="AK218" s="21" t="s">
        <v>2054</v>
      </c>
      <c r="AL218" t="s">
        <v>70</v>
      </c>
      <c r="AM218" t="s">
        <v>2029</v>
      </c>
    </row>
    <row r="219" spans="1:39" ht="15" hidden="1" thickTop="1" x14ac:dyDescent="0.35">
      <c r="A219" t="s">
        <v>3018</v>
      </c>
      <c r="B219" t="s">
        <v>3030</v>
      </c>
      <c r="C219" t="s">
        <v>3376</v>
      </c>
      <c r="D219" t="s">
        <v>3031</v>
      </c>
      <c r="E219" t="s">
        <v>559</v>
      </c>
      <c r="F219">
        <v>1</v>
      </c>
      <c r="G219" t="s">
        <v>2050</v>
      </c>
      <c r="H219" t="s">
        <v>2051</v>
      </c>
      <c r="I219" t="s">
        <v>53</v>
      </c>
      <c r="J219" t="s">
        <v>67</v>
      </c>
      <c r="K219" t="s">
        <v>68</v>
      </c>
      <c r="L219" t="s">
        <v>2052</v>
      </c>
      <c r="M219" t="s">
        <v>2053</v>
      </c>
      <c r="N219">
        <v>0</v>
      </c>
      <c r="O219">
        <v>0</v>
      </c>
      <c r="P219">
        <v>0</v>
      </c>
      <c r="Q219">
        <v>1440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t="s">
        <v>318</v>
      </c>
      <c r="AH219" s="21" t="s">
        <v>3424</v>
      </c>
      <c r="AI219" s="21">
        <v>107.92500000000001</v>
      </c>
      <c r="AJ219" s="21">
        <v>100</v>
      </c>
      <c r="AK219" s="21" t="s">
        <v>2054</v>
      </c>
      <c r="AL219" t="s">
        <v>70</v>
      </c>
      <c r="AM219" t="s">
        <v>2027</v>
      </c>
    </row>
    <row r="220" spans="1:39" ht="15" hidden="1" thickTop="1" x14ac:dyDescent="0.35">
      <c r="A220" t="s">
        <v>3023</v>
      </c>
      <c r="B220" t="s">
        <v>3032</v>
      </c>
      <c r="C220" t="s">
        <v>111</v>
      </c>
      <c r="D220" t="s">
        <v>3033</v>
      </c>
      <c r="E220" t="s">
        <v>112</v>
      </c>
      <c r="F220">
        <v>1</v>
      </c>
      <c r="G220" t="s">
        <v>2050</v>
      </c>
      <c r="H220" t="s">
        <v>2051</v>
      </c>
      <c r="I220" t="s">
        <v>53</v>
      </c>
      <c r="J220" t="s">
        <v>113</v>
      </c>
      <c r="K220" t="s">
        <v>68</v>
      </c>
      <c r="L220" t="s">
        <v>2052</v>
      </c>
      <c r="M220" t="s">
        <v>2053</v>
      </c>
      <c r="N220">
        <v>0</v>
      </c>
      <c r="O220">
        <v>0</v>
      </c>
      <c r="P220">
        <v>0</v>
      </c>
      <c r="Q220">
        <v>1440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319</v>
      </c>
      <c r="AH220" s="21" t="s">
        <v>3424</v>
      </c>
      <c r="AI220" s="21">
        <v>107.92500000000001</v>
      </c>
      <c r="AJ220" s="21">
        <v>100</v>
      </c>
      <c r="AK220" s="21" t="s">
        <v>2054</v>
      </c>
      <c r="AL220" t="s">
        <v>115</v>
      </c>
      <c r="AM220" t="s">
        <v>2029</v>
      </c>
    </row>
    <row r="221" spans="1:39" ht="15" hidden="1" thickTop="1" x14ac:dyDescent="0.35">
      <c r="A221" t="s">
        <v>3026</v>
      </c>
      <c r="B221" t="s">
        <v>3034</v>
      </c>
      <c r="C221" t="s">
        <v>78</v>
      </c>
      <c r="D221" t="s">
        <v>3035</v>
      </c>
      <c r="E221" t="s">
        <v>559</v>
      </c>
      <c r="F221">
        <v>1</v>
      </c>
      <c r="G221" t="s">
        <v>2050</v>
      </c>
      <c r="H221" t="s">
        <v>2051</v>
      </c>
      <c r="I221" t="s">
        <v>53</v>
      </c>
      <c r="J221" t="s">
        <v>67</v>
      </c>
      <c r="K221" t="s">
        <v>68</v>
      </c>
      <c r="L221" t="s">
        <v>2052</v>
      </c>
      <c r="M221" t="s">
        <v>2064</v>
      </c>
      <c r="N221">
        <v>0</v>
      </c>
      <c r="O221">
        <v>0</v>
      </c>
      <c r="P221">
        <v>0</v>
      </c>
      <c r="Q221">
        <v>900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320</v>
      </c>
      <c r="AH221" s="21" t="s">
        <v>3425</v>
      </c>
      <c r="AI221" s="21">
        <v>67.5</v>
      </c>
      <c r="AJ221" s="21">
        <v>100</v>
      </c>
      <c r="AK221" s="21" t="s">
        <v>2054</v>
      </c>
      <c r="AL221" t="s">
        <v>70</v>
      </c>
      <c r="AM221" t="s">
        <v>2029</v>
      </c>
    </row>
    <row r="222" spans="1:39" ht="15" hidden="1" thickTop="1" x14ac:dyDescent="0.35">
      <c r="A222" t="s">
        <v>3037</v>
      </c>
      <c r="B222" t="s">
        <v>3046</v>
      </c>
      <c r="C222" t="s">
        <v>237</v>
      </c>
      <c r="D222" t="s">
        <v>3047</v>
      </c>
      <c r="E222" t="s">
        <v>72</v>
      </c>
      <c r="F222">
        <v>1</v>
      </c>
      <c r="G222" t="s">
        <v>2050</v>
      </c>
      <c r="H222" t="s">
        <v>2051</v>
      </c>
      <c r="I222" t="s">
        <v>53</v>
      </c>
      <c r="J222" t="s">
        <v>73</v>
      </c>
      <c r="K222" t="s">
        <v>68</v>
      </c>
      <c r="L222" t="s">
        <v>2052</v>
      </c>
      <c r="M222" t="s">
        <v>2053</v>
      </c>
      <c r="N222">
        <v>0</v>
      </c>
      <c r="O222">
        <v>0</v>
      </c>
      <c r="P222">
        <v>0</v>
      </c>
      <c r="Q222">
        <v>1440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321</v>
      </c>
      <c r="AH222" s="21" t="s">
        <v>3428</v>
      </c>
      <c r="AI222" s="21">
        <v>107.92500000000001</v>
      </c>
      <c r="AJ222" s="21">
        <v>100</v>
      </c>
      <c r="AK222" s="21" t="s">
        <v>2054</v>
      </c>
      <c r="AL222" t="s">
        <v>75</v>
      </c>
      <c r="AM222" t="s">
        <v>2029</v>
      </c>
    </row>
    <row r="223" spans="1:39" ht="15" hidden="1" thickTop="1" x14ac:dyDescent="0.35">
      <c r="A223" t="s">
        <v>3040</v>
      </c>
      <c r="B223" t="s">
        <v>3050</v>
      </c>
      <c r="C223" t="s">
        <v>71</v>
      </c>
      <c r="D223" t="s">
        <v>3051</v>
      </c>
      <c r="E223" t="s">
        <v>72</v>
      </c>
      <c r="F223">
        <v>1</v>
      </c>
      <c r="G223" t="s">
        <v>2050</v>
      </c>
      <c r="H223" t="s">
        <v>2051</v>
      </c>
      <c r="I223" t="s">
        <v>53</v>
      </c>
      <c r="J223" t="s">
        <v>73</v>
      </c>
      <c r="K223" t="s">
        <v>68</v>
      </c>
      <c r="L223" t="s">
        <v>2052</v>
      </c>
      <c r="M223" t="s">
        <v>2053</v>
      </c>
      <c r="N223">
        <v>0</v>
      </c>
      <c r="O223">
        <v>0</v>
      </c>
      <c r="P223">
        <v>0</v>
      </c>
      <c r="Q223">
        <v>1440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 t="s">
        <v>322</v>
      </c>
      <c r="AH223" s="21" t="s">
        <v>3427</v>
      </c>
      <c r="AI223" s="21">
        <v>107.92500000000001</v>
      </c>
      <c r="AJ223" s="21">
        <v>100</v>
      </c>
      <c r="AK223" s="21" t="s">
        <v>2054</v>
      </c>
      <c r="AL223" t="s">
        <v>75</v>
      </c>
      <c r="AM223" t="s">
        <v>2029</v>
      </c>
    </row>
    <row r="224" spans="1:39" ht="15" hidden="1" thickTop="1" x14ac:dyDescent="0.35">
      <c r="A224" t="s">
        <v>3043</v>
      </c>
      <c r="B224" t="s">
        <v>3052</v>
      </c>
      <c r="C224" t="s">
        <v>237</v>
      </c>
      <c r="D224" t="s">
        <v>3053</v>
      </c>
      <c r="E224" t="s">
        <v>72</v>
      </c>
      <c r="F224">
        <v>1</v>
      </c>
      <c r="G224" t="s">
        <v>2050</v>
      </c>
      <c r="H224" t="s">
        <v>2051</v>
      </c>
      <c r="I224" t="s">
        <v>53</v>
      </c>
      <c r="J224" t="s">
        <v>73</v>
      </c>
      <c r="K224" t="s">
        <v>68</v>
      </c>
      <c r="L224" t="s">
        <v>2052</v>
      </c>
      <c r="M224" t="s">
        <v>2053</v>
      </c>
      <c r="N224">
        <v>0</v>
      </c>
      <c r="O224">
        <v>0</v>
      </c>
      <c r="P224">
        <v>0</v>
      </c>
      <c r="Q224">
        <v>1440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323</v>
      </c>
      <c r="AH224" s="21" t="s">
        <v>3424</v>
      </c>
      <c r="AI224" s="21">
        <v>107.92500000000001</v>
      </c>
      <c r="AJ224" s="21">
        <v>100</v>
      </c>
      <c r="AK224" s="21" t="s">
        <v>2054</v>
      </c>
      <c r="AL224" t="s">
        <v>75</v>
      </c>
      <c r="AM224" t="s">
        <v>2029</v>
      </c>
    </row>
    <row r="225" spans="1:39" ht="15" hidden="1" thickTop="1" x14ac:dyDescent="0.35">
      <c r="A225" t="s">
        <v>3044</v>
      </c>
      <c r="B225" t="s">
        <v>3054</v>
      </c>
      <c r="C225" t="s">
        <v>71</v>
      </c>
      <c r="D225" t="s">
        <v>3055</v>
      </c>
      <c r="E225" t="s">
        <v>72</v>
      </c>
      <c r="F225">
        <v>2</v>
      </c>
      <c r="G225" t="s">
        <v>2050</v>
      </c>
      <c r="H225" t="s">
        <v>2051</v>
      </c>
      <c r="I225" t="s">
        <v>53</v>
      </c>
      <c r="J225" t="s">
        <v>73</v>
      </c>
      <c r="K225" t="s">
        <v>68</v>
      </c>
      <c r="L225" t="s">
        <v>2052</v>
      </c>
      <c r="M225" t="s">
        <v>2053</v>
      </c>
      <c r="N225">
        <v>0</v>
      </c>
      <c r="O225">
        <v>0</v>
      </c>
      <c r="P225">
        <v>0</v>
      </c>
      <c r="Q225">
        <v>1440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 t="s">
        <v>324</v>
      </c>
      <c r="AH225" s="21" t="s">
        <v>3428</v>
      </c>
      <c r="AI225" s="21">
        <v>107.92500000000001</v>
      </c>
      <c r="AJ225" s="21">
        <v>100</v>
      </c>
      <c r="AK225" s="21" t="s">
        <v>2054</v>
      </c>
      <c r="AL225" t="s">
        <v>75</v>
      </c>
      <c r="AM225" t="s">
        <v>2029</v>
      </c>
    </row>
    <row r="226" spans="1:39" ht="15" hidden="1" thickTop="1" x14ac:dyDescent="0.35">
      <c r="A226" t="s">
        <v>3057</v>
      </c>
      <c r="B226" t="s">
        <v>3061</v>
      </c>
      <c r="C226" t="s">
        <v>76</v>
      </c>
      <c r="D226" t="s">
        <v>3062</v>
      </c>
      <c r="E226" t="s">
        <v>559</v>
      </c>
      <c r="F226">
        <v>1</v>
      </c>
      <c r="G226" t="s">
        <v>2050</v>
      </c>
      <c r="H226" t="s">
        <v>2051</v>
      </c>
      <c r="I226" t="s">
        <v>53</v>
      </c>
      <c r="J226" t="s">
        <v>67</v>
      </c>
      <c r="K226" t="s">
        <v>68</v>
      </c>
      <c r="L226" t="s">
        <v>2052</v>
      </c>
      <c r="M226" t="s">
        <v>2053</v>
      </c>
      <c r="N226">
        <v>0</v>
      </c>
      <c r="O226">
        <v>0</v>
      </c>
      <c r="P226">
        <v>0</v>
      </c>
      <c r="Q226">
        <v>1440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 t="s">
        <v>325</v>
      </c>
      <c r="AH226" s="21" t="s">
        <v>3424</v>
      </c>
      <c r="AI226" s="21">
        <v>107.92500000000001</v>
      </c>
      <c r="AJ226" s="21">
        <v>100</v>
      </c>
      <c r="AK226" s="21" t="s">
        <v>2055</v>
      </c>
      <c r="AL226" t="s">
        <v>70</v>
      </c>
      <c r="AM226" t="s">
        <v>2028</v>
      </c>
    </row>
    <row r="227" spans="1:39" ht="15" hidden="1" thickTop="1" x14ac:dyDescent="0.35">
      <c r="A227" t="s">
        <v>3064</v>
      </c>
      <c r="B227" t="s">
        <v>3068</v>
      </c>
      <c r="C227" t="s">
        <v>78</v>
      </c>
      <c r="D227" t="s">
        <v>3069</v>
      </c>
      <c r="E227" t="s">
        <v>559</v>
      </c>
      <c r="F227">
        <v>1</v>
      </c>
      <c r="G227" t="s">
        <v>2050</v>
      </c>
      <c r="H227" t="s">
        <v>2051</v>
      </c>
      <c r="I227" t="s">
        <v>53</v>
      </c>
      <c r="J227" t="s">
        <v>67</v>
      </c>
      <c r="K227" t="s">
        <v>68</v>
      </c>
      <c r="L227" t="s">
        <v>2052</v>
      </c>
      <c r="M227" t="s">
        <v>2053</v>
      </c>
      <c r="N227">
        <v>0</v>
      </c>
      <c r="O227">
        <v>0</v>
      </c>
      <c r="P227">
        <v>0</v>
      </c>
      <c r="Q227">
        <v>1440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326</v>
      </c>
      <c r="AH227" s="21" t="s">
        <v>3425</v>
      </c>
      <c r="AI227" s="21">
        <v>107.92500000000001</v>
      </c>
      <c r="AJ227" s="21">
        <v>100</v>
      </c>
      <c r="AK227" s="21" t="s">
        <v>2054</v>
      </c>
      <c r="AL227" t="s">
        <v>70</v>
      </c>
      <c r="AM227" t="s">
        <v>2029</v>
      </c>
    </row>
    <row r="228" spans="1:39" ht="15" hidden="1" thickTop="1" x14ac:dyDescent="0.35">
      <c r="A228" t="s">
        <v>3071</v>
      </c>
      <c r="B228" t="s">
        <v>3086</v>
      </c>
      <c r="C228" t="s">
        <v>92</v>
      </c>
      <c r="D228" t="s">
        <v>3087</v>
      </c>
      <c r="E228" t="s">
        <v>119</v>
      </c>
      <c r="F228">
        <v>1</v>
      </c>
      <c r="G228" t="s">
        <v>2050</v>
      </c>
      <c r="H228" t="s">
        <v>2051</v>
      </c>
      <c r="I228" t="s">
        <v>53</v>
      </c>
      <c r="J228" t="s">
        <v>67</v>
      </c>
      <c r="K228" t="s">
        <v>68</v>
      </c>
      <c r="L228" t="s">
        <v>2052</v>
      </c>
      <c r="M228" t="s">
        <v>2064</v>
      </c>
      <c r="N228">
        <v>0</v>
      </c>
      <c r="O228">
        <v>0</v>
      </c>
      <c r="P228">
        <v>0</v>
      </c>
      <c r="Q228">
        <v>900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t="s">
        <v>327</v>
      </c>
      <c r="AH228" s="21" t="s">
        <v>3425</v>
      </c>
      <c r="AI228" s="21">
        <v>67.5</v>
      </c>
      <c r="AJ228" s="21">
        <v>100</v>
      </c>
      <c r="AK228" s="21" t="s">
        <v>2054</v>
      </c>
      <c r="AL228" t="s">
        <v>70</v>
      </c>
      <c r="AM228" t="s">
        <v>2029</v>
      </c>
    </row>
    <row r="229" spans="1:39" ht="15" hidden="1" thickTop="1" x14ac:dyDescent="0.35">
      <c r="A229" t="s">
        <v>3076</v>
      </c>
      <c r="B229" t="s">
        <v>3094</v>
      </c>
      <c r="C229" t="s">
        <v>76</v>
      </c>
      <c r="D229" t="s">
        <v>3095</v>
      </c>
      <c r="E229" t="s">
        <v>119</v>
      </c>
      <c r="F229">
        <v>1</v>
      </c>
      <c r="G229" t="s">
        <v>2050</v>
      </c>
      <c r="H229" t="s">
        <v>2051</v>
      </c>
      <c r="I229" t="s">
        <v>53</v>
      </c>
      <c r="J229" t="s">
        <v>67</v>
      </c>
      <c r="K229" t="s">
        <v>68</v>
      </c>
      <c r="L229" t="s">
        <v>2052</v>
      </c>
      <c r="M229" t="s">
        <v>2053</v>
      </c>
      <c r="N229">
        <v>0</v>
      </c>
      <c r="O229">
        <v>0</v>
      </c>
      <c r="P229">
        <v>0</v>
      </c>
      <c r="Q229">
        <v>1440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328</v>
      </c>
      <c r="AH229" s="21" t="s">
        <v>3425</v>
      </c>
      <c r="AI229" s="21">
        <v>107.92500000000001</v>
      </c>
      <c r="AJ229" s="21">
        <v>100</v>
      </c>
      <c r="AK229" s="21" t="s">
        <v>2054</v>
      </c>
      <c r="AL229" t="s">
        <v>70</v>
      </c>
      <c r="AM229" t="s">
        <v>2028</v>
      </c>
    </row>
    <row r="230" spans="1:39" ht="15" hidden="1" thickTop="1" x14ac:dyDescent="0.35">
      <c r="A230" t="s">
        <v>3080</v>
      </c>
      <c r="B230" t="s">
        <v>3100</v>
      </c>
      <c r="C230" t="s">
        <v>100</v>
      </c>
      <c r="D230" t="s">
        <v>3101</v>
      </c>
      <c r="E230" t="s">
        <v>559</v>
      </c>
      <c r="F230">
        <v>1</v>
      </c>
      <c r="G230" t="s">
        <v>2050</v>
      </c>
      <c r="H230" t="s">
        <v>2051</v>
      </c>
      <c r="I230" t="s">
        <v>53</v>
      </c>
      <c r="J230" t="s">
        <v>67</v>
      </c>
      <c r="K230" t="s">
        <v>68</v>
      </c>
      <c r="L230" t="s">
        <v>2052</v>
      </c>
      <c r="M230" t="s">
        <v>2053</v>
      </c>
      <c r="N230">
        <v>0</v>
      </c>
      <c r="O230">
        <v>0</v>
      </c>
      <c r="P230">
        <v>0</v>
      </c>
      <c r="Q230">
        <v>1440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t="s">
        <v>329</v>
      </c>
      <c r="AH230" s="21" t="s">
        <v>3427</v>
      </c>
      <c r="AI230" s="21">
        <v>107.92500000000001</v>
      </c>
      <c r="AJ230" s="21">
        <v>100</v>
      </c>
      <c r="AK230" s="21" t="s">
        <v>2054</v>
      </c>
      <c r="AL230" t="s">
        <v>70</v>
      </c>
      <c r="AM230" t="s">
        <v>2030</v>
      </c>
    </row>
    <row r="231" spans="1:39" ht="15" hidden="1" thickTop="1" x14ac:dyDescent="0.35">
      <c r="A231" t="s">
        <v>3084</v>
      </c>
      <c r="B231" t="s">
        <v>3106</v>
      </c>
      <c r="C231" t="s">
        <v>66</v>
      </c>
      <c r="D231" t="s">
        <v>3107</v>
      </c>
      <c r="E231" t="s">
        <v>559</v>
      </c>
      <c r="F231">
        <v>1</v>
      </c>
      <c r="G231" t="s">
        <v>2050</v>
      </c>
      <c r="H231" t="s">
        <v>2051</v>
      </c>
      <c r="I231" t="s">
        <v>53</v>
      </c>
      <c r="J231" t="s">
        <v>67</v>
      </c>
      <c r="K231" t="s">
        <v>68</v>
      </c>
      <c r="L231" t="s">
        <v>2052</v>
      </c>
      <c r="M231" t="s">
        <v>2053</v>
      </c>
      <c r="N231">
        <v>0</v>
      </c>
      <c r="O231">
        <v>0</v>
      </c>
      <c r="P231">
        <v>0</v>
      </c>
      <c r="Q231">
        <v>1440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330</v>
      </c>
      <c r="AH231" s="21" t="s">
        <v>3424</v>
      </c>
      <c r="AI231" s="21">
        <v>107.92500000000001</v>
      </c>
      <c r="AJ231" s="21">
        <v>100</v>
      </c>
      <c r="AK231" s="21" t="s">
        <v>2054</v>
      </c>
      <c r="AL231" t="s">
        <v>70</v>
      </c>
      <c r="AM231" t="s">
        <v>2028</v>
      </c>
    </row>
    <row r="232" spans="1:39" ht="15" hidden="1" thickTop="1" x14ac:dyDescent="0.35">
      <c r="A232" t="s">
        <v>3085</v>
      </c>
      <c r="B232" t="s">
        <v>3109</v>
      </c>
      <c r="C232" t="s">
        <v>100</v>
      </c>
      <c r="D232" t="s">
        <v>3110</v>
      </c>
      <c r="E232" t="s">
        <v>559</v>
      </c>
      <c r="F232">
        <v>1</v>
      </c>
      <c r="G232" t="s">
        <v>2050</v>
      </c>
      <c r="H232" t="s">
        <v>2051</v>
      </c>
      <c r="I232" t="s">
        <v>53</v>
      </c>
      <c r="J232" t="s">
        <v>67</v>
      </c>
      <c r="K232" t="s">
        <v>68</v>
      </c>
      <c r="L232" t="s">
        <v>2052</v>
      </c>
      <c r="M232" t="s">
        <v>2053</v>
      </c>
      <c r="N232">
        <v>0</v>
      </c>
      <c r="O232">
        <v>0</v>
      </c>
      <c r="P232">
        <v>0</v>
      </c>
      <c r="Q232">
        <v>1440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331</v>
      </c>
      <c r="AH232" s="21" t="s">
        <v>3424</v>
      </c>
      <c r="AI232" s="21">
        <v>107.92500000000001</v>
      </c>
      <c r="AJ232" s="21">
        <v>100</v>
      </c>
      <c r="AK232" s="21" t="s">
        <v>2054</v>
      </c>
      <c r="AL232" t="s">
        <v>70</v>
      </c>
      <c r="AM232" t="s">
        <v>2029</v>
      </c>
    </row>
    <row r="233" spans="1:39" ht="15" hidden="1" thickTop="1" x14ac:dyDescent="0.35">
      <c r="A233" t="s">
        <v>3088</v>
      </c>
      <c r="B233" t="s">
        <v>3112</v>
      </c>
      <c r="C233" t="s">
        <v>66</v>
      </c>
      <c r="D233" t="s">
        <v>3113</v>
      </c>
      <c r="E233" t="s">
        <v>559</v>
      </c>
      <c r="F233">
        <v>1</v>
      </c>
      <c r="G233" t="s">
        <v>2050</v>
      </c>
      <c r="H233" t="s">
        <v>2051</v>
      </c>
      <c r="I233" t="s">
        <v>53</v>
      </c>
      <c r="J233" t="s">
        <v>67</v>
      </c>
      <c r="K233" t="s">
        <v>68</v>
      </c>
      <c r="L233" t="s">
        <v>2052</v>
      </c>
      <c r="M233" t="s">
        <v>2053</v>
      </c>
      <c r="N233">
        <v>0</v>
      </c>
      <c r="O233">
        <v>0</v>
      </c>
      <c r="P233">
        <v>0</v>
      </c>
      <c r="Q233">
        <v>1440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t="s">
        <v>332</v>
      </c>
      <c r="AH233" s="21" t="s">
        <v>3424</v>
      </c>
      <c r="AI233" s="21">
        <v>107.92500000000001</v>
      </c>
      <c r="AJ233" s="21">
        <v>100</v>
      </c>
      <c r="AK233" s="21" t="s">
        <v>2054</v>
      </c>
      <c r="AL233" t="s">
        <v>70</v>
      </c>
      <c r="AM233" t="s">
        <v>2029</v>
      </c>
    </row>
    <row r="234" spans="1:39" ht="15" hidden="1" thickTop="1" x14ac:dyDescent="0.35">
      <c r="A234" t="s">
        <v>3089</v>
      </c>
      <c r="B234" t="s">
        <v>3114</v>
      </c>
      <c r="C234" t="s">
        <v>76</v>
      </c>
      <c r="D234" t="s">
        <v>3115</v>
      </c>
      <c r="E234" t="s">
        <v>559</v>
      </c>
      <c r="F234">
        <v>1</v>
      </c>
      <c r="G234" t="s">
        <v>2050</v>
      </c>
      <c r="H234" t="s">
        <v>2051</v>
      </c>
      <c r="I234" t="s">
        <v>53</v>
      </c>
      <c r="J234" t="s">
        <v>67</v>
      </c>
      <c r="K234" t="s">
        <v>68</v>
      </c>
      <c r="L234" t="s">
        <v>2052</v>
      </c>
      <c r="M234" t="s">
        <v>2053</v>
      </c>
      <c r="N234">
        <v>0</v>
      </c>
      <c r="O234">
        <v>0</v>
      </c>
      <c r="P234">
        <v>0</v>
      </c>
      <c r="Q234">
        <v>1440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333</v>
      </c>
      <c r="AH234" s="21" t="s">
        <v>3429</v>
      </c>
      <c r="AI234" s="21">
        <v>107.92500000000001</v>
      </c>
      <c r="AJ234" s="21">
        <v>100</v>
      </c>
      <c r="AK234" s="21" t="s">
        <v>2054</v>
      </c>
      <c r="AL234" t="s">
        <v>70</v>
      </c>
      <c r="AM234" t="s">
        <v>2027</v>
      </c>
    </row>
    <row r="235" spans="1:39" ht="15" hidden="1" thickTop="1" x14ac:dyDescent="0.35">
      <c r="A235" t="s">
        <v>3091</v>
      </c>
      <c r="B235" t="s">
        <v>3116</v>
      </c>
      <c r="C235" t="s">
        <v>66</v>
      </c>
      <c r="D235" t="s">
        <v>3117</v>
      </c>
      <c r="E235" t="s">
        <v>559</v>
      </c>
      <c r="F235">
        <v>1</v>
      </c>
      <c r="G235" t="s">
        <v>2050</v>
      </c>
      <c r="H235" t="s">
        <v>2051</v>
      </c>
      <c r="I235" t="s">
        <v>53</v>
      </c>
      <c r="J235" t="s">
        <v>67</v>
      </c>
      <c r="K235" t="s">
        <v>68</v>
      </c>
      <c r="L235" t="s">
        <v>2052</v>
      </c>
      <c r="M235" t="s">
        <v>2053</v>
      </c>
      <c r="N235">
        <v>0</v>
      </c>
      <c r="O235">
        <v>0</v>
      </c>
      <c r="P235">
        <v>0</v>
      </c>
      <c r="Q235">
        <v>1440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334</v>
      </c>
      <c r="AH235" s="21" t="s">
        <v>3424</v>
      </c>
      <c r="AI235" s="21">
        <v>107.92500000000001</v>
      </c>
      <c r="AJ235" s="21">
        <v>100</v>
      </c>
      <c r="AK235" s="21" t="s">
        <v>2054</v>
      </c>
      <c r="AL235" t="s">
        <v>70</v>
      </c>
      <c r="AM235" t="s">
        <v>2029</v>
      </c>
    </row>
    <row r="236" spans="1:39" ht="15" hidden="1" thickTop="1" x14ac:dyDescent="0.35">
      <c r="A236" t="s">
        <v>3097</v>
      </c>
      <c r="B236" t="s">
        <v>3119</v>
      </c>
      <c r="C236" t="s">
        <v>102</v>
      </c>
      <c r="D236" t="s">
        <v>3120</v>
      </c>
      <c r="E236" t="s">
        <v>559</v>
      </c>
      <c r="F236">
        <v>1</v>
      </c>
      <c r="G236" t="s">
        <v>2050</v>
      </c>
      <c r="H236" t="s">
        <v>2051</v>
      </c>
      <c r="I236" t="s">
        <v>53</v>
      </c>
      <c r="J236" t="s">
        <v>67</v>
      </c>
      <c r="K236" t="s">
        <v>68</v>
      </c>
      <c r="L236" t="s">
        <v>2052</v>
      </c>
      <c r="M236" t="s">
        <v>2053</v>
      </c>
      <c r="N236">
        <v>0</v>
      </c>
      <c r="O236">
        <v>0</v>
      </c>
      <c r="P236">
        <v>0</v>
      </c>
      <c r="Q236">
        <v>1440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335</v>
      </c>
      <c r="AH236" s="21" t="s">
        <v>3424</v>
      </c>
      <c r="AI236" s="21">
        <v>107.92500000000001</v>
      </c>
      <c r="AJ236" s="21">
        <v>100</v>
      </c>
      <c r="AK236" s="21" t="s">
        <v>2054</v>
      </c>
      <c r="AL236" t="s">
        <v>70</v>
      </c>
      <c r="AM236" t="s">
        <v>2028</v>
      </c>
    </row>
    <row r="237" spans="1:39" ht="15" hidden="1" thickTop="1" x14ac:dyDescent="0.35">
      <c r="A237" t="s">
        <v>3098</v>
      </c>
      <c r="B237" t="s">
        <v>3122</v>
      </c>
      <c r="C237" t="s">
        <v>100</v>
      </c>
      <c r="D237" t="s">
        <v>3123</v>
      </c>
      <c r="E237" t="s">
        <v>559</v>
      </c>
      <c r="F237">
        <v>1</v>
      </c>
      <c r="G237" t="s">
        <v>2050</v>
      </c>
      <c r="H237" t="s">
        <v>2051</v>
      </c>
      <c r="I237" t="s">
        <v>53</v>
      </c>
      <c r="J237" t="s">
        <v>67</v>
      </c>
      <c r="K237" t="s">
        <v>68</v>
      </c>
      <c r="L237" t="s">
        <v>2052</v>
      </c>
      <c r="M237" t="s">
        <v>2064</v>
      </c>
      <c r="N237">
        <v>0</v>
      </c>
      <c r="O237">
        <v>0</v>
      </c>
      <c r="P237">
        <v>0</v>
      </c>
      <c r="Q237">
        <v>900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336</v>
      </c>
      <c r="AH237" s="21" t="s">
        <v>3424</v>
      </c>
      <c r="AI237" s="21">
        <v>67.5</v>
      </c>
      <c r="AJ237" s="21">
        <v>100</v>
      </c>
      <c r="AK237" s="21" t="s">
        <v>2054</v>
      </c>
      <c r="AL237" t="s">
        <v>70</v>
      </c>
      <c r="AM237" t="s">
        <v>2027</v>
      </c>
    </row>
    <row r="238" spans="1:39" ht="15" hidden="1" thickTop="1" x14ac:dyDescent="0.35">
      <c r="A238" t="s">
        <v>3104</v>
      </c>
      <c r="B238" t="s">
        <v>3128</v>
      </c>
      <c r="C238" t="s">
        <v>92</v>
      </c>
      <c r="D238" t="s">
        <v>3129</v>
      </c>
      <c r="E238" t="s">
        <v>119</v>
      </c>
      <c r="F238">
        <v>1</v>
      </c>
      <c r="G238" t="s">
        <v>2050</v>
      </c>
      <c r="H238" t="s">
        <v>2051</v>
      </c>
      <c r="I238" t="s">
        <v>53</v>
      </c>
      <c r="J238" t="s">
        <v>67</v>
      </c>
      <c r="K238" t="s">
        <v>68</v>
      </c>
      <c r="L238" t="s">
        <v>2052</v>
      </c>
      <c r="M238" t="s">
        <v>2064</v>
      </c>
      <c r="N238">
        <v>0</v>
      </c>
      <c r="O238">
        <v>0</v>
      </c>
      <c r="P238">
        <v>0</v>
      </c>
      <c r="Q238">
        <v>900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337</v>
      </c>
      <c r="AH238" s="21" t="s">
        <v>3425</v>
      </c>
      <c r="AI238" s="21">
        <v>67.5</v>
      </c>
      <c r="AJ238" s="21">
        <v>100</v>
      </c>
      <c r="AK238" s="21" t="s">
        <v>2054</v>
      </c>
      <c r="AL238" t="s">
        <v>70</v>
      </c>
      <c r="AM238" t="s">
        <v>2029</v>
      </c>
    </row>
    <row r="239" spans="1:39" ht="15" hidden="1" thickTop="1" x14ac:dyDescent="0.35">
      <c r="A239" t="s">
        <v>3121</v>
      </c>
      <c r="B239" t="s">
        <v>3131</v>
      </c>
      <c r="C239" t="s">
        <v>71</v>
      </c>
      <c r="D239" t="s">
        <v>3132</v>
      </c>
      <c r="E239" t="s">
        <v>72</v>
      </c>
      <c r="F239">
        <v>1</v>
      </c>
      <c r="G239" t="s">
        <v>2050</v>
      </c>
      <c r="H239" t="s">
        <v>2051</v>
      </c>
      <c r="I239" t="s">
        <v>53</v>
      </c>
      <c r="J239" t="s">
        <v>73</v>
      </c>
      <c r="K239" t="s">
        <v>68</v>
      </c>
      <c r="L239" t="s">
        <v>2052</v>
      </c>
      <c r="M239" t="s">
        <v>2082</v>
      </c>
      <c r="N239">
        <v>0</v>
      </c>
      <c r="O239">
        <v>0</v>
      </c>
      <c r="P239">
        <v>0</v>
      </c>
      <c r="Q239">
        <v>780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t="s">
        <v>339</v>
      </c>
      <c r="AH239" s="21" t="s">
        <v>3424</v>
      </c>
      <c r="AI239" s="21">
        <v>58.500000000000014</v>
      </c>
      <c r="AJ239" s="21">
        <v>100</v>
      </c>
      <c r="AK239" s="21" t="s">
        <v>2054</v>
      </c>
      <c r="AL239" t="s">
        <v>75</v>
      </c>
      <c r="AM239" t="s">
        <v>2027</v>
      </c>
    </row>
    <row r="240" spans="1:39" ht="15" hidden="1" thickTop="1" x14ac:dyDescent="0.35">
      <c r="A240" t="s">
        <v>3124</v>
      </c>
      <c r="B240" t="s">
        <v>3133</v>
      </c>
      <c r="C240" t="s">
        <v>135</v>
      </c>
      <c r="D240" t="s">
        <v>3134</v>
      </c>
      <c r="E240" t="s">
        <v>136</v>
      </c>
      <c r="F240">
        <v>4</v>
      </c>
      <c r="G240" t="s">
        <v>2050</v>
      </c>
      <c r="H240" t="s">
        <v>2051</v>
      </c>
      <c r="I240" t="s">
        <v>53</v>
      </c>
      <c r="J240" t="s">
        <v>137</v>
      </c>
      <c r="K240" t="s">
        <v>68</v>
      </c>
      <c r="L240" t="s">
        <v>2052</v>
      </c>
      <c r="M240" t="s">
        <v>2053</v>
      </c>
      <c r="N240">
        <v>0</v>
      </c>
      <c r="O240">
        <v>0</v>
      </c>
      <c r="P240">
        <v>0</v>
      </c>
      <c r="Q240">
        <v>1440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t="s">
        <v>340</v>
      </c>
      <c r="AH240" s="21" t="s">
        <v>3430</v>
      </c>
      <c r="AI240" s="21">
        <v>107.92500000000001</v>
      </c>
      <c r="AJ240" s="21">
        <v>100</v>
      </c>
      <c r="AK240" s="21" t="s">
        <v>2055</v>
      </c>
      <c r="AL240" t="s">
        <v>115</v>
      </c>
      <c r="AM240" t="s">
        <v>2029</v>
      </c>
    </row>
    <row r="241" spans="1:39" ht="15" hidden="1" thickTop="1" x14ac:dyDescent="0.35">
      <c r="A241" t="s">
        <v>3125</v>
      </c>
      <c r="B241" t="s">
        <v>3135</v>
      </c>
      <c r="C241" t="s">
        <v>820</v>
      </c>
      <c r="D241" t="s">
        <v>3136</v>
      </c>
      <c r="E241" t="s">
        <v>72</v>
      </c>
      <c r="F241">
        <v>1</v>
      </c>
      <c r="G241" t="s">
        <v>2050</v>
      </c>
      <c r="H241" t="s">
        <v>2051</v>
      </c>
      <c r="I241" t="s">
        <v>53</v>
      </c>
      <c r="J241" t="s">
        <v>424</v>
      </c>
      <c r="K241" t="s">
        <v>68</v>
      </c>
      <c r="L241" t="s">
        <v>2052</v>
      </c>
      <c r="M241" t="s">
        <v>2053</v>
      </c>
      <c r="N241">
        <v>0</v>
      </c>
      <c r="O241">
        <v>0</v>
      </c>
      <c r="P241">
        <v>0</v>
      </c>
      <c r="Q241">
        <v>1440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341</v>
      </c>
      <c r="AH241" s="21" t="s">
        <v>3427</v>
      </c>
      <c r="AI241" s="21">
        <v>107.92500000000001</v>
      </c>
      <c r="AJ241" s="21">
        <v>100</v>
      </c>
      <c r="AK241" s="21" t="s">
        <v>2054</v>
      </c>
      <c r="AL241" t="s">
        <v>75</v>
      </c>
      <c r="AM241" t="s">
        <v>2027</v>
      </c>
    </row>
    <row r="242" spans="1:39" ht="15" hidden="1" thickTop="1" x14ac:dyDescent="0.35">
      <c r="A242" t="s">
        <v>3138</v>
      </c>
      <c r="B242" t="s">
        <v>3145</v>
      </c>
      <c r="C242" t="s">
        <v>117</v>
      </c>
      <c r="D242" t="s">
        <v>3146</v>
      </c>
      <c r="E242" t="s">
        <v>559</v>
      </c>
      <c r="F242">
        <v>1</v>
      </c>
      <c r="G242" t="s">
        <v>2050</v>
      </c>
      <c r="H242" t="s">
        <v>2051</v>
      </c>
      <c r="I242" t="s">
        <v>53</v>
      </c>
      <c r="J242" t="s">
        <v>67</v>
      </c>
      <c r="K242" t="s">
        <v>68</v>
      </c>
      <c r="L242" t="s">
        <v>2052</v>
      </c>
      <c r="M242" t="s">
        <v>2053</v>
      </c>
      <c r="N242">
        <v>0</v>
      </c>
      <c r="O242">
        <v>0</v>
      </c>
      <c r="P242">
        <v>0</v>
      </c>
      <c r="Q242">
        <v>1440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t="s">
        <v>342</v>
      </c>
      <c r="AH242" s="21" t="s">
        <v>3424</v>
      </c>
      <c r="AI242" s="21">
        <v>107.92500000000001</v>
      </c>
      <c r="AJ242" s="21">
        <v>100</v>
      </c>
      <c r="AK242" s="21" t="s">
        <v>2054</v>
      </c>
      <c r="AL242" t="s">
        <v>70</v>
      </c>
      <c r="AM242" t="s">
        <v>2029</v>
      </c>
    </row>
    <row r="243" spans="1:39" ht="15" hidden="1" thickTop="1" x14ac:dyDescent="0.35">
      <c r="A243" t="s">
        <v>3141</v>
      </c>
      <c r="B243" t="s">
        <v>3147</v>
      </c>
      <c r="C243" t="s">
        <v>102</v>
      </c>
      <c r="D243" t="s">
        <v>3148</v>
      </c>
      <c r="E243" t="s">
        <v>559</v>
      </c>
      <c r="F243">
        <v>1</v>
      </c>
      <c r="G243" t="s">
        <v>2050</v>
      </c>
      <c r="H243" t="s">
        <v>2051</v>
      </c>
      <c r="I243" t="s">
        <v>53</v>
      </c>
      <c r="J243" t="s">
        <v>67</v>
      </c>
      <c r="K243" t="s">
        <v>68</v>
      </c>
      <c r="L243" t="s">
        <v>2052</v>
      </c>
      <c r="M243" t="s">
        <v>2053</v>
      </c>
      <c r="N243">
        <v>0</v>
      </c>
      <c r="O243">
        <v>0</v>
      </c>
      <c r="P243">
        <v>0</v>
      </c>
      <c r="Q243">
        <v>1440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t="s">
        <v>343</v>
      </c>
      <c r="AH243" s="21" t="s">
        <v>3424</v>
      </c>
      <c r="AI243" s="21">
        <v>107.92500000000001</v>
      </c>
      <c r="AJ243" s="21">
        <v>100</v>
      </c>
      <c r="AK243" s="21" t="s">
        <v>2055</v>
      </c>
      <c r="AL243" t="s">
        <v>70</v>
      </c>
      <c r="AM243" t="s">
        <v>2027</v>
      </c>
    </row>
    <row r="244" spans="1:39" ht="15" hidden="1" thickTop="1" x14ac:dyDescent="0.35">
      <c r="A244" t="s">
        <v>3149</v>
      </c>
      <c r="B244" t="s">
        <v>3151</v>
      </c>
      <c r="C244" t="s">
        <v>76</v>
      </c>
      <c r="D244" t="s">
        <v>3152</v>
      </c>
      <c r="E244" t="s">
        <v>559</v>
      </c>
      <c r="F244">
        <v>1</v>
      </c>
      <c r="G244" t="s">
        <v>2050</v>
      </c>
      <c r="H244" t="s">
        <v>2051</v>
      </c>
      <c r="I244" t="s">
        <v>53</v>
      </c>
      <c r="J244" t="s">
        <v>67</v>
      </c>
      <c r="K244" t="s">
        <v>68</v>
      </c>
      <c r="L244" t="s">
        <v>2052</v>
      </c>
      <c r="M244" t="s">
        <v>2053</v>
      </c>
      <c r="N244">
        <v>0</v>
      </c>
      <c r="O244">
        <v>0</v>
      </c>
      <c r="P244">
        <v>0</v>
      </c>
      <c r="Q244">
        <v>1440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344</v>
      </c>
      <c r="AH244" s="21" t="s">
        <v>3427</v>
      </c>
      <c r="AI244" s="21">
        <v>107.92500000000001</v>
      </c>
      <c r="AJ244" s="21">
        <v>100</v>
      </c>
      <c r="AK244" s="21" t="s">
        <v>2054</v>
      </c>
      <c r="AL244" t="s">
        <v>70</v>
      </c>
      <c r="AM244" t="s">
        <v>2028</v>
      </c>
    </row>
    <row r="245" spans="1:39" ht="15" hidden="1" thickTop="1" x14ac:dyDescent="0.35">
      <c r="A245" t="s">
        <v>3154</v>
      </c>
      <c r="B245" t="s">
        <v>3165</v>
      </c>
      <c r="C245" t="s">
        <v>117</v>
      </c>
      <c r="D245" t="s">
        <v>3166</v>
      </c>
      <c r="E245" t="s">
        <v>559</v>
      </c>
      <c r="F245">
        <v>1</v>
      </c>
      <c r="G245" t="s">
        <v>2050</v>
      </c>
      <c r="H245" t="s">
        <v>2051</v>
      </c>
      <c r="I245" t="s">
        <v>53</v>
      </c>
      <c r="J245" t="s">
        <v>67</v>
      </c>
      <c r="K245" t="s">
        <v>68</v>
      </c>
      <c r="L245" t="s">
        <v>2052</v>
      </c>
      <c r="M245" t="s">
        <v>2053</v>
      </c>
      <c r="N245">
        <v>0</v>
      </c>
      <c r="O245">
        <v>0</v>
      </c>
      <c r="P245">
        <v>0</v>
      </c>
      <c r="Q245">
        <v>1440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345</v>
      </c>
      <c r="AH245" s="21" t="s">
        <v>3427</v>
      </c>
      <c r="AI245" s="21">
        <v>107.92500000000001</v>
      </c>
      <c r="AJ245" s="21">
        <v>100</v>
      </c>
      <c r="AK245" s="21" t="s">
        <v>2054</v>
      </c>
      <c r="AL245" t="s">
        <v>70</v>
      </c>
      <c r="AM245" t="s">
        <v>2029</v>
      </c>
    </row>
    <row r="246" spans="1:39" ht="15" hidden="1" thickTop="1" x14ac:dyDescent="0.35">
      <c r="A246" t="s">
        <v>2079</v>
      </c>
      <c r="B246" t="s">
        <v>3171</v>
      </c>
      <c r="C246" t="s">
        <v>66</v>
      </c>
      <c r="D246" t="s">
        <v>3010</v>
      </c>
      <c r="E246" t="s">
        <v>559</v>
      </c>
      <c r="F246">
        <v>1</v>
      </c>
      <c r="G246" t="s">
        <v>2050</v>
      </c>
      <c r="H246" t="s">
        <v>2051</v>
      </c>
      <c r="I246" t="s">
        <v>53</v>
      </c>
      <c r="J246" t="s">
        <v>67</v>
      </c>
      <c r="K246" t="s">
        <v>68</v>
      </c>
      <c r="L246" t="s">
        <v>2052</v>
      </c>
      <c r="M246" t="s">
        <v>2053</v>
      </c>
      <c r="N246">
        <v>0</v>
      </c>
      <c r="O246">
        <v>0</v>
      </c>
      <c r="P246">
        <v>0</v>
      </c>
      <c r="Q246">
        <v>1440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346</v>
      </c>
      <c r="AH246" s="21" t="s">
        <v>3428</v>
      </c>
      <c r="AI246" s="21">
        <v>107.92500000000001</v>
      </c>
      <c r="AJ246" s="21">
        <v>100</v>
      </c>
      <c r="AK246" s="21" t="s">
        <v>2055</v>
      </c>
      <c r="AL246" t="s">
        <v>70</v>
      </c>
      <c r="AM246" t="s">
        <v>2030</v>
      </c>
    </row>
    <row r="247" spans="1:39" ht="15" hidden="1" thickTop="1" x14ac:dyDescent="0.35">
      <c r="A247" t="s">
        <v>2589</v>
      </c>
      <c r="B247" t="s">
        <v>3172</v>
      </c>
      <c r="C247" t="s">
        <v>66</v>
      </c>
      <c r="D247" t="s">
        <v>3173</v>
      </c>
      <c r="E247" t="s">
        <v>559</v>
      </c>
      <c r="F247">
        <v>1</v>
      </c>
      <c r="G247" t="s">
        <v>2050</v>
      </c>
      <c r="H247" t="s">
        <v>2051</v>
      </c>
      <c r="I247" t="s">
        <v>53</v>
      </c>
      <c r="J247" t="s">
        <v>67</v>
      </c>
      <c r="K247" t="s">
        <v>68</v>
      </c>
      <c r="L247" t="s">
        <v>2052</v>
      </c>
      <c r="M247" t="s">
        <v>2053</v>
      </c>
      <c r="N247">
        <v>0</v>
      </c>
      <c r="O247">
        <v>0</v>
      </c>
      <c r="P247">
        <v>0</v>
      </c>
      <c r="Q247">
        <v>1440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347</v>
      </c>
      <c r="AH247" s="21" t="s">
        <v>3427</v>
      </c>
      <c r="AI247" s="21">
        <v>107.92500000000001</v>
      </c>
      <c r="AJ247" s="21">
        <v>100</v>
      </c>
      <c r="AK247" s="21" t="s">
        <v>2055</v>
      </c>
      <c r="AL247" t="s">
        <v>70</v>
      </c>
      <c r="AM247" t="s">
        <v>2030</v>
      </c>
    </row>
    <row r="248" spans="1:39" ht="15" hidden="1" thickTop="1" x14ac:dyDescent="0.35">
      <c r="A248" t="s">
        <v>3168</v>
      </c>
      <c r="B248" t="s">
        <v>3174</v>
      </c>
      <c r="C248" t="s">
        <v>117</v>
      </c>
      <c r="D248" t="s">
        <v>3175</v>
      </c>
      <c r="E248" t="s">
        <v>559</v>
      </c>
      <c r="F248">
        <v>1</v>
      </c>
      <c r="G248" t="s">
        <v>2050</v>
      </c>
      <c r="H248" t="s">
        <v>2051</v>
      </c>
      <c r="I248" t="s">
        <v>53</v>
      </c>
      <c r="J248" t="s">
        <v>67</v>
      </c>
      <c r="K248" t="s">
        <v>68</v>
      </c>
      <c r="L248" t="s">
        <v>2052</v>
      </c>
      <c r="M248" t="s">
        <v>2053</v>
      </c>
      <c r="N248">
        <v>0</v>
      </c>
      <c r="O248">
        <v>0</v>
      </c>
      <c r="P248">
        <v>0</v>
      </c>
      <c r="Q248">
        <v>1440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348</v>
      </c>
      <c r="AH248" s="21" t="s">
        <v>3430</v>
      </c>
      <c r="AI248" s="21">
        <v>107.92500000000001</v>
      </c>
      <c r="AJ248" s="21">
        <v>100</v>
      </c>
      <c r="AK248" s="21" t="s">
        <v>2054</v>
      </c>
      <c r="AL248" t="s">
        <v>70</v>
      </c>
      <c r="AM248" t="s">
        <v>2030</v>
      </c>
    </row>
    <row r="249" spans="1:39" ht="15" hidden="1" thickTop="1" x14ac:dyDescent="0.35">
      <c r="A249" t="s">
        <v>3177</v>
      </c>
      <c r="B249" t="s">
        <v>3186</v>
      </c>
      <c r="C249" t="s">
        <v>117</v>
      </c>
      <c r="D249" t="s">
        <v>3187</v>
      </c>
      <c r="E249" t="s">
        <v>559</v>
      </c>
      <c r="F249">
        <v>1</v>
      </c>
      <c r="G249" t="s">
        <v>2050</v>
      </c>
      <c r="H249" t="s">
        <v>2051</v>
      </c>
      <c r="I249" t="s">
        <v>53</v>
      </c>
      <c r="J249" t="s">
        <v>67</v>
      </c>
      <c r="K249" t="s">
        <v>68</v>
      </c>
      <c r="L249" t="s">
        <v>2052</v>
      </c>
      <c r="M249" t="s">
        <v>2053</v>
      </c>
      <c r="N249">
        <v>0</v>
      </c>
      <c r="O249">
        <v>0</v>
      </c>
      <c r="P249">
        <v>0</v>
      </c>
      <c r="Q249">
        <v>1440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349</v>
      </c>
      <c r="AH249" s="21" t="s">
        <v>3427</v>
      </c>
      <c r="AI249" s="21">
        <v>107.92500000000001</v>
      </c>
      <c r="AJ249" s="21">
        <v>100</v>
      </c>
      <c r="AK249" s="21" t="s">
        <v>2054</v>
      </c>
      <c r="AL249" t="s">
        <v>70</v>
      </c>
      <c r="AM249" t="s">
        <v>2029</v>
      </c>
    </row>
    <row r="250" spans="1:39" ht="15" hidden="1" thickTop="1" x14ac:dyDescent="0.35">
      <c r="A250" t="s">
        <v>3178</v>
      </c>
      <c r="B250" t="s">
        <v>3188</v>
      </c>
      <c r="C250" t="s">
        <v>92</v>
      </c>
      <c r="D250" t="s">
        <v>3189</v>
      </c>
      <c r="E250" t="s">
        <v>119</v>
      </c>
      <c r="F250">
        <v>1</v>
      </c>
      <c r="G250" t="s">
        <v>2050</v>
      </c>
      <c r="H250" t="s">
        <v>2051</v>
      </c>
      <c r="I250" t="s">
        <v>53</v>
      </c>
      <c r="J250" t="s">
        <v>67</v>
      </c>
      <c r="K250" t="s">
        <v>68</v>
      </c>
      <c r="L250" t="s">
        <v>2052</v>
      </c>
      <c r="M250" t="s">
        <v>2053</v>
      </c>
      <c r="N250">
        <v>0</v>
      </c>
      <c r="O250">
        <v>0</v>
      </c>
      <c r="P250">
        <v>0</v>
      </c>
      <c r="Q250">
        <v>1440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350</v>
      </c>
      <c r="AH250" s="21" t="s">
        <v>3427</v>
      </c>
      <c r="AI250" s="21">
        <v>107.92500000000001</v>
      </c>
      <c r="AJ250" s="21">
        <v>100</v>
      </c>
      <c r="AK250" s="21" t="s">
        <v>2054</v>
      </c>
      <c r="AL250" t="s">
        <v>70</v>
      </c>
      <c r="AM250" t="s">
        <v>2027</v>
      </c>
    </row>
    <row r="251" spans="1:39" ht="15" hidden="1" thickTop="1" x14ac:dyDescent="0.35">
      <c r="A251" t="s">
        <v>3183</v>
      </c>
      <c r="B251" t="s">
        <v>3190</v>
      </c>
      <c r="C251" t="s">
        <v>71</v>
      </c>
      <c r="D251" t="s">
        <v>3191</v>
      </c>
      <c r="E251" t="s">
        <v>72</v>
      </c>
      <c r="F251">
        <v>1</v>
      </c>
      <c r="G251" t="s">
        <v>2050</v>
      </c>
      <c r="H251" t="s">
        <v>2051</v>
      </c>
      <c r="I251" t="s">
        <v>53</v>
      </c>
      <c r="J251" t="s">
        <v>73</v>
      </c>
      <c r="K251" t="s">
        <v>68</v>
      </c>
      <c r="L251" t="s">
        <v>2052</v>
      </c>
      <c r="M251" t="s">
        <v>2053</v>
      </c>
      <c r="N251">
        <v>0</v>
      </c>
      <c r="O251">
        <v>0</v>
      </c>
      <c r="P251">
        <v>0</v>
      </c>
      <c r="Q251">
        <v>1440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351</v>
      </c>
      <c r="AH251" s="21" t="s">
        <v>3427</v>
      </c>
      <c r="AI251" s="21">
        <v>107.92500000000001</v>
      </c>
      <c r="AJ251" s="21">
        <v>100</v>
      </c>
      <c r="AK251" s="21" t="s">
        <v>2054</v>
      </c>
      <c r="AL251" t="s">
        <v>75</v>
      </c>
      <c r="AM251" t="s">
        <v>2030</v>
      </c>
    </row>
    <row r="252" spans="1:39" ht="15" hidden="1" thickTop="1" x14ac:dyDescent="0.35">
      <c r="A252" t="s">
        <v>3192</v>
      </c>
      <c r="B252" t="s">
        <v>3201</v>
      </c>
      <c r="C252" t="s">
        <v>76</v>
      </c>
      <c r="D252" t="s">
        <v>3202</v>
      </c>
      <c r="E252" t="s">
        <v>559</v>
      </c>
      <c r="F252">
        <v>1</v>
      </c>
      <c r="G252" t="s">
        <v>2050</v>
      </c>
      <c r="H252" t="s">
        <v>2051</v>
      </c>
      <c r="I252" t="s">
        <v>53</v>
      </c>
      <c r="J252" t="s">
        <v>67</v>
      </c>
      <c r="K252" t="s">
        <v>68</v>
      </c>
      <c r="L252" t="s">
        <v>2052</v>
      </c>
      <c r="M252" t="s">
        <v>2064</v>
      </c>
      <c r="N252">
        <v>1</v>
      </c>
      <c r="O252">
        <v>10</v>
      </c>
      <c r="P252">
        <v>1.1100000000000001</v>
      </c>
      <c r="Q252">
        <v>900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1</v>
      </c>
      <c r="Y252">
        <v>10</v>
      </c>
      <c r="Z252">
        <v>1.1100000000000001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353</v>
      </c>
      <c r="AH252" s="21" t="s">
        <v>3425</v>
      </c>
      <c r="AI252" s="21">
        <v>67.5</v>
      </c>
      <c r="AJ252" s="21">
        <v>98.888888888888886</v>
      </c>
      <c r="AK252" s="21" t="s">
        <v>2055</v>
      </c>
      <c r="AL252" t="s">
        <v>70</v>
      </c>
      <c r="AM252" t="s">
        <v>2028</v>
      </c>
    </row>
    <row r="253" spans="1:39" ht="15" hidden="1" thickTop="1" x14ac:dyDescent="0.35">
      <c r="A253" t="s">
        <v>3193</v>
      </c>
      <c r="B253" t="s">
        <v>3204</v>
      </c>
      <c r="C253" t="s">
        <v>102</v>
      </c>
      <c r="D253" t="s">
        <v>3205</v>
      </c>
      <c r="E253" t="s">
        <v>559</v>
      </c>
      <c r="F253">
        <v>1</v>
      </c>
      <c r="G253" t="s">
        <v>2050</v>
      </c>
      <c r="H253" t="s">
        <v>2051</v>
      </c>
      <c r="I253" t="s">
        <v>53</v>
      </c>
      <c r="J253" t="s">
        <v>67</v>
      </c>
      <c r="K253" t="s">
        <v>68</v>
      </c>
      <c r="L253" t="s">
        <v>2052</v>
      </c>
      <c r="M253" t="s">
        <v>2053</v>
      </c>
      <c r="N253">
        <v>0</v>
      </c>
      <c r="O253">
        <v>0</v>
      </c>
      <c r="P253">
        <v>0</v>
      </c>
      <c r="Q253">
        <v>1440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t="s">
        <v>354</v>
      </c>
      <c r="AH253" s="21" t="s">
        <v>3425</v>
      </c>
      <c r="AI253" s="21">
        <v>107.92500000000001</v>
      </c>
      <c r="AJ253" s="21">
        <v>100</v>
      </c>
      <c r="AK253" s="21" t="s">
        <v>2054</v>
      </c>
      <c r="AL253" t="s">
        <v>70</v>
      </c>
      <c r="AM253" t="s">
        <v>2027</v>
      </c>
    </row>
    <row r="254" spans="1:39" ht="15" hidden="1" thickTop="1" x14ac:dyDescent="0.35">
      <c r="A254" t="s">
        <v>3197</v>
      </c>
      <c r="B254" t="s">
        <v>3216</v>
      </c>
      <c r="C254" t="s">
        <v>111</v>
      </c>
      <c r="D254" t="s">
        <v>3217</v>
      </c>
      <c r="E254" t="s">
        <v>112</v>
      </c>
      <c r="F254">
        <v>1</v>
      </c>
      <c r="G254" t="s">
        <v>2050</v>
      </c>
      <c r="H254" t="s">
        <v>2051</v>
      </c>
      <c r="I254" t="s">
        <v>53</v>
      </c>
      <c r="J254" t="s">
        <v>113</v>
      </c>
      <c r="K254" t="s">
        <v>68</v>
      </c>
      <c r="L254" t="s">
        <v>2052</v>
      </c>
      <c r="M254" t="s">
        <v>2053</v>
      </c>
      <c r="N254">
        <v>0</v>
      </c>
      <c r="O254">
        <v>0</v>
      </c>
      <c r="P254">
        <v>0</v>
      </c>
      <c r="Q254">
        <v>1440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355</v>
      </c>
      <c r="AH254" s="21" t="s">
        <v>3424</v>
      </c>
      <c r="AI254" s="21">
        <v>107.92500000000001</v>
      </c>
      <c r="AJ254" s="21">
        <v>100</v>
      </c>
      <c r="AK254" s="21" t="s">
        <v>2054</v>
      </c>
      <c r="AL254" t="s">
        <v>115</v>
      </c>
      <c r="AM254" t="s">
        <v>2029</v>
      </c>
    </row>
    <row r="255" spans="1:39" ht="15" hidden="1" thickTop="1" x14ac:dyDescent="0.35">
      <c r="A255" t="s">
        <v>3206</v>
      </c>
      <c r="B255" t="s">
        <v>3219</v>
      </c>
      <c r="C255" t="s">
        <v>92</v>
      </c>
      <c r="D255" t="s">
        <v>3220</v>
      </c>
      <c r="E255" t="s">
        <v>119</v>
      </c>
      <c r="F255">
        <v>1</v>
      </c>
      <c r="G255" t="s">
        <v>2050</v>
      </c>
      <c r="H255" t="s">
        <v>2051</v>
      </c>
      <c r="I255" t="s">
        <v>53</v>
      </c>
      <c r="J255" t="s">
        <v>67</v>
      </c>
      <c r="K255" t="s">
        <v>68</v>
      </c>
      <c r="L255" t="s">
        <v>2052</v>
      </c>
      <c r="M255" t="s">
        <v>2082</v>
      </c>
      <c r="N255">
        <v>0</v>
      </c>
      <c r="O255">
        <v>0</v>
      </c>
      <c r="P255">
        <v>0</v>
      </c>
      <c r="Q255">
        <v>780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t="s">
        <v>356</v>
      </c>
      <c r="AH255" s="21" t="s">
        <v>3424</v>
      </c>
      <c r="AI255" s="21">
        <v>58.500000000000014</v>
      </c>
      <c r="AJ255" s="21">
        <v>100</v>
      </c>
      <c r="AK255" s="21" t="s">
        <v>2054</v>
      </c>
      <c r="AL255" t="s">
        <v>70</v>
      </c>
      <c r="AM255" t="s">
        <v>2027</v>
      </c>
    </row>
    <row r="256" spans="1:39" ht="15" hidden="1" thickTop="1" x14ac:dyDescent="0.35">
      <c r="A256" t="s">
        <v>3210</v>
      </c>
      <c r="B256" t="s">
        <v>3230</v>
      </c>
      <c r="C256" t="s">
        <v>100</v>
      </c>
      <c r="D256" t="s">
        <v>3231</v>
      </c>
      <c r="E256" t="s">
        <v>559</v>
      </c>
      <c r="F256">
        <v>1</v>
      </c>
      <c r="G256" t="s">
        <v>2050</v>
      </c>
      <c r="H256" t="s">
        <v>2051</v>
      </c>
      <c r="I256" t="s">
        <v>53</v>
      </c>
      <c r="J256" t="s">
        <v>67</v>
      </c>
      <c r="K256" t="s">
        <v>68</v>
      </c>
      <c r="L256" t="s">
        <v>2052</v>
      </c>
      <c r="M256" t="s">
        <v>2064</v>
      </c>
      <c r="N256">
        <v>0</v>
      </c>
      <c r="O256">
        <v>0</v>
      </c>
      <c r="P256">
        <v>0</v>
      </c>
      <c r="Q256">
        <v>900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t="s">
        <v>358</v>
      </c>
      <c r="AH256" s="21" t="s">
        <v>3424</v>
      </c>
      <c r="AI256" s="21">
        <v>67.5</v>
      </c>
      <c r="AJ256" s="21">
        <v>100</v>
      </c>
      <c r="AK256" s="21" t="s">
        <v>2054</v>
      </c>
      <c r="AL256" t="s">
        <v>70</v>
      </c>
      <c r="AM256" t="s">
        <v>2028</v>
      </c>
    </row>
    <row r="257" spans="1:39" ht="15" hidden="1" thickTop="1" x14ac:dyDescent="0.35">
      <c r="A257" t="s">
        <v>3212</v>
      </c>
      <c r="B257" t="s">
        <v>3234</v>
      </c>
      <c r="C257" t="s">
        <v>102</v>
      </c>
      <c r="D257" t="s">
        <v>3235</v>
      </c>
      <c r="E257" t="s">
        <v>559</v>
      </c>
      <c r="F257">
        <v>1</v>
      </c>
      <c r="G257" t="s">
        <v>2050</v>
      </c>
      <c r="H257" t="s">
        <v>2051</v>
      </c>
      <c r="I257" t="s">
        <v>53</v>
      </c>
      <c r="J257" t="s">
        <v>67</v>
      </c>
      <c r="K257" t="s">
        <v>68</v>
      </c>
      <c r="L257" t="s">
        <v>2052</v>
      </c>
      <c r="M257" t="s">
        <v>2053</v>
      </c>
      <c r="N257">
        <v>0</v>
      </c>
      <c r="O257">
        <v>0</v>
      </c>
      <c r="P257">
        <v>0</v>
      </c>
      <c r="Q257">
        <v>1440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 t="s">
        <v>359</v>
      </c>
      <c r="AH257" s="21" t="s">
        <v>3424</v>
      </c>
      <c r="AI257" s="21">
        <v>107.92500000000001</v>
      </c>
      <c r="AJ257" s="21">
        <v>100</v>
      </c>
      <c r="AK257" s="21" t="s">
        <v>2054</v>
      </c>
      <c r="AL257" t="s">
        <v>70</v>
      </c>
      <c r="AM257" t="s">
        <v>2029</v>
      </c>
    </row>
    <row r="258" spans="1:39" ht="15" hidden="1" thickTop="1" x14ac:dyDescent="0.35">
      <c r="A258" t="s">
        <v>3221</v>
      </c>
      <c r="B258" t="s">
        <v>3243</v>
      </c>
      <c r="C258" t="s">
        <v>81</v>
      </c>
      <c r="D258" t="s">
        <v>3244</v>
      </c>
      <c r="E258" t="s">
        <v>559</v>
      </c>
      <c r="F258">
        <v>2</v>
      </c>
      <c r="G258" t="s">
        <v>2050</v>
      </c>
      <c r="H258" t="s">
        <v>2051</v>
      </c>
      <c r="I258" t="s">
        <v>53</v>
      </c>
      <c r="J258" t="s">
        <v>82</v>
      </c>
      <c r="K258" t="s">
        <v>68</v>
      </c>
      <c r="L258" t="s">
        <v>2052</v>
      </c>
      <c r="M258" t="s">
        <v>2078</v>
      </c>
      <c r="N258">
        <v>0</v>
      </c>
      <c r="O258">
        <v>0</v>
      </c>
      <c r="P258">
        <v>0</v>
      </c>
      <c r="Q258">
        <v>960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 t="s">
        <v>360</v>
      </c>
      <c r="AH258" s="21" t="s">
        <v>3424</v>
      </c>
      <c r="AI258" s="21">
        <v>72</v>
      </c>
      <c r="AJ258" s="21">
        <v>100</v>
      </c>
      <c r="AK258" s="21" t="s">
        <v>2054</v>
      </c>
      <c r="AL258" t="s">
        <v>70</v>
      </c>
      <c r="AM258" t="s">
        <v>2030</v>
      </c>
    </row>
    <row r="259" spans="1:39" ht="15" hidden="1" thickTop="1" x14ac:dyDescent="0.35">
      <c r="A259" t="s">
        <v>3223</v>
      </c>
      <c r="B259" t="s">
        <v>3247</v>
      </c>
      <c r="C259" t="s">
        <v>78</v>
      </c>
      <c r="D259" t="s">
        <v>3248</v>
      </c>
      <c r="E259" t="s">
        <v>559</v>
      </c>
      <c r="F259">
        <v>1</v>
      </c>
      <c r="G259" t="s">
        <v>2050</v>
      </c>
      <c r="H259" t="s">
        <v>2051</v>
      </c>
      <c r="I259" t="s">
        <v>53</v>
      </c>
      <c r="J259" t="s">
        <v>67</v>
      </c>
      <c r="K259" t="s">
        <v>68</v>
      </c>
      <c r="L259" t="s">
        <v>2052</v>
      </c>
      <c r="M259" t="s">
        <v>2053</v>
      </c>
      <c r="N259">
        <v>0</v>
      </c>
      <c r="O259">
        <v>0</v>
      </c>
      <c r="P259">
        <v>0</v>
      </c>
      <c r="Q259">
        <v>1440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361</v>
      </c>
      <c r="AH259" s="21" t="s">
        <v>3429</v>
      </c>
      <c r="AI259" s="21">
        <v>107.92500000000001</v>
      </c>
      <c r="AJ259" s="21">
        <v>100</v>
      </c>
      <c r="AK259" s="21" t="s">
        <v>2054</v>
      </c>
      <c r="AL259" t="s">
        <v>70</v>
      </c>
      <c r="AM259" t="s">
        <v>2029</v>
      </c>
    </row>
    <row r="260" spans="1:39" ht="15" hidden="1" thickTop="1" x14ac:dyDescent="0.35">
      <c r="A260" t="s">
        <v>3225</v>
      </c>
      <c r="B260" t="s">
        <v>3251</v>
      </c>
      <c r="C260" t="s">
        <v>66</v>
      </c>
      <c r="D260" t="s">
        <v>3252</v>
      </c>
      <c r="E260" t="s">
        <v>559</v>
      </c>
      <c r="F260">
        <v>1</v>
      </c>
      <c r="G260" t="s">
        <v>2050</v>
      </c>
      <c r="H260" t="s">
        <v>2051</v>
      </c>
      <c r="I260" t="s">
        <v>53</v>
      </c>
      <c r="J260" t="s">
        <v>67</v>
      </c>
      <c r="K260" t="s">
        <v>68</v>
      </c>
      <c r="L260" t="s">
        <v>2052</v>
      </c>
      <c r="M260" t="s">
        <v>2064</v>
      </c>
      <c r="N260">
        <v>0</v>
      </c>
      <c r="O260">
        <v>0</v>
      </c>
      <c r="P260">
        <v>0</v>
      </c>
      <c r="Q260">
        <v>900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362</v>
      </c>
      <c r="AH260" s="21" t="s">
        <v>3425</v>
      </c>
      <c r="AI260" s="21">
        <v>67.5</v>
      </c>
      <c r="AJ260" s="21">
        <v>100</v>
      </c>
      <c r="AK260" s="21" t="s">
        <v>2054</v>
      </c>
      <c r="AL260" t="s">
        <v>70</v>
      </c>
      <c r="AM260" t="s">
        <v>2031</v>
      </c>
    </row>
    <row r="261" spans="1:39" ht="15" hidden="1" thickTop="1" x14ac:dyDescent="0.35">
      <c r="A261" t="s">
        <v>3227</v>
      </c>
      <c r="B261" t="s">
        <v>3256</v>
      </c>
      <c r="C261" t="s">
        <v>3376</v>
      </c>
      <c r="D261" t="s">
        <v>3257</v>
      </c>
      <c r="E261" t="s">
        <v>559</v>
      </c>
      <c r="F261">
        <v>1</v>
      </c>
      <c r="G261" t="s">
        <v>2050</v>
      </c>
      <c r="H261" t="s">
        <v>2051</v>
      </c>
      <c r="I261" t="s">
        <v>53</v>
      </c>
      <c r="J261" t="s">
        <v>67</v>
      </c>
      <c r="K261" t="s">
        <v>68</v>
      </c>
      <c r="L261" t="s">
        <v>2052</v>
      </c>
      <c r="M261" t="s">
        <v>2053</v>
      </c>
      <c r="N261">
        <v>0</v>
      </c>
      <c r="O261">
        <v>0</v>
      </c>
      <c r="P261">
        <v>0</v>
      </c>
      <c r="Q261">
        <v>1440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363</v>
      </c>
      <c r="AH261" s="21" t="s">
        <v>3424</v>
      </c>
      <c r="AI261" s="21">
        <v>107.92500000000001</v>
      </c>
      <c r="AJ261" s="21">
        <v>100</v>
      </c>
      <c r="AK261" s="21" t="s">
        <v>2054</v>
      </c>
      <c r="AL261" t="s">
        <v>70</v>
      </c>
      <c r="AM261" t="s">
        <v>2027</v>
      </c>
    </row>
    <row r="262" spans="1:39" ht="15" hidden="1" thickTop="1" x14ac:dyDescent="0.35">
      <c r="A262" t="s">
        <v>3229</v>
      </c>
      <c r="B262" t="s">
        <v>3260</v>
      </c>
      <c r="C262" t="s">
        <v>92</v>
      </c>
      <c r="D262" t="s">
        <v>3261</v>
      </c>
      <c r="E262" t="s">
        <v>119</v>
      </c>
      <c r="F262">
        <v>1</v>
      </c>
      <c r="G262" t="s">
        <v>2050</v>
      </c>
      <c r="H262" t="s">
        <v>2051</v>
      </c>
      <c r="I262" t="s">
        <v>53</v>
      </c>
      <c r="J262" t="s">
        <v>67</v>
      </c>
      <c r="K262" t="s">
        <v>68</v>
      </c>
      <c r="L262" t="s">
        <v>2052</v>
      </c>
      <c r="M262" t="s">
        <v>2053</v>
      </c>
      <c r="N262">
        <v>0</v>
      </c>
      <c r="O262">
        <v>0</v>
      </c>
      <c r="P262">
        <v>0</v>
      </c>
      <c r="Q262">
        <v>1440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364</v>
      </c>
      <c r="AH262" s="21" t="s">
        <v>3425</v>
      </c>
      <c r="AI262" s="21">
        <v>107.92500000000001</v>
      </c>
      <c r="AJ262" s="21">
        <v>100</v>
      </c>
      <c r="AK262" s="21" t="s">
        <v>2054</v>
      </c>
      <c r="AL262" t="s">
        <v>70</v>
      </c>
      <c r="AM262" t="s">
        <v>2028</v>
      </c>
    </row>
    <row r="263" spans="1:39" ht="15" hidden="1" thickTop="1" x14ac:dyDescent="0.35">
      <c r="A263" t="s">
        <v>3232</v>
      </c>
      <c r="B263" t="s">
        <v>3263</v>
      </c>
      <c r="C263" t="s">
        <v>128</v>
      </c>
      <c r="D263" t="s">
        <v>3264</v>
      </c>
      <c r="E263" t="s">
        <v>112</v>
      </c>
      <c r="F263">
        <v>1</v>
      </c>
      <c r="G263" t="s">
        <v>2050</v>
      </c>
      <c r="H263" t="s">
        <v>2051</v>
      </c>
      <c r="I263" t="s">
        <v>53</v>
      </c>
      <c r="J263" t="s">
        <v>113</v>
      </c>
      <c r="K263" t="s">
        <v>68</v>
      </c>
      <c r="L263" t="s">
        <v>2052</v>
      </c>
      <c r="M263" t="s">
        <v>2053</v>
      </c>
      <c r="N263">
        <v>0</v>
      </c>
      <c r="O263">
        <v>0</v>
      </c>
      <c r="P263">
        <v>0</v>
      </c>
      <c r="Q263">
        <v>1440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365</v>
      </c>
      <c r="AH263" s="21" t="s">
        <v>3427</v>
      </c>
      <c r="AI263" s="21">
        <v>107.92500000000001</v>
      </c>
      <c r="AJ263" s="21">
        <v>100</v>
      </c>
      <c r="AK263" s="21" t="s">
        <v>2054</v>
      </c>
      <c r="AL263" t="s">
        <v>115</v>
      </c>
      <c r="AM263" t="s">
        <v>2029</v>
      </c>
    </row>
    <row r="264" spans="1:39" ht="15" hidden="1" thickTop="1" x14ac:dyDescent="0.35">
      <c r="A264" t="s">
        <v>3239</v>
      </c>
      <c r="B264" t="s">
        <v>3270</v>
      </c>
      <c r="C264" t="s">
        <v>76</v>
      </c>
      <c r="D264" t="s">
        <v>3271</v>
      </c>
      <c r="E264" t="s">
        <v>559</v>
      </c>
      <c r="F264">
        <v>1</v>
      </c>
      <c r="G264" t="s">
        <v>2050</v>
      </c>
      <c r="H264" t="s">
        <v>2051</v>
      </c>
      <c r="I264" t="s">
        <v>53</v>
      </c>
      <c r="J264" t="s">
        <v>67</v>
      </c>
      <c r="K264" t="s">
        <v>68</v>
      </c>
      <c r="L264" t="s">
        <v>2052</v>
      </c>
      <c r="M264" t="s">
        <v>2053</v>
      </c>
      <c r="N264">
        <v>0</v>
      </c>
      <c r="O264">
        <v>0</v>
      </c>
      <c r="P264">
        <v>0</v>
      </c>
      <c r="Q264">
        <v>1440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366</v>
      </c>
      <c r="AH264" s="21" t="s">
        <v>3424</v>
      </c>
      <c r="AI264" s="21">
        <v>107.92500000000001</v>
      </c>
      <c r="AJ264" s="21">
        <v>100</v>
      </c>
      <c r="AK264" s="21" t="s">
        <v>2054</v>
      </c>
      <c r="AL264" t="s">
        <v>70</v>
      </c>
      <c r="AM264" t="s">
        <v>2029</v>
      </c>
    </row>
    <row r="265" spans="1:39" ht="15" hidden="1" thickTop="1" x14ac:dyDescent="0.35">
      <c r="A265" t="s">
        <v>3246</v>
      </c>
      <c r="B265" t="s">
        <v>3277</v>
      </c>
      <c r="C265" t="s">
        <v>76</v>
      </c>
      <c r="D265" t="s">
        <v>3278</v>
      </c>
      <c r="E265" t="s">
        <v>559</v>
      </c>
      <c r="F265">
        <v>1</v>
      </c>
      <c r="G265" t="s">
        <v>2050</v>
      </c>
      <c r="H265" t="s">
        <v>2051</v>
      </c>
      <c r="I265" t="s">
        <v>53</v>
      </c>
      <c r="J265" t="s">
        <v>67</v>
      </c>
      <c r="K265" t="s">
        <v>68</v>
      </c>
      <c r="L265" t="s">
        <v>2052</v>
      </c>
      <c r="M265" t="s">
        <v>2064</v>
      </c>
      <c r="N265">
        <v>0</v>
      </c>
      <c r="O265">
        <v>0</v>
      </c>
      <c r="P265">
        <v>0</v>
      </c>
      <c r="Q265">
        <v>900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367</v>
      </c>
      <c r="AH265" s="21" t="s">
        <v>3427</v>
      </c>
      <c r="AI265" s="21">
        <v>67.5</v>
      </c>
      <c r="AJ265" s="21">
        <v>100</v>
      </c>
      <c r="AK265" s="21" t="s">
        <v>2055</v>
      </c>
      <c r="AL265" t="s">
        <v>70</v>
      </c>
      <c r="AM265" t="s">
        <v>2030</v>
      </c>
    </row>
    <row r="266" spans="1:39" ht="15" hidden="1" thickTop="1" x14ac:dyDescent="0.35">
      <c r="A266" t="s">
        <v>3254</v>
      </c>
      <c r="B266" t="s">
        <v>3283</v>
      </c>
      <c r="C266" t="s">
        <v>78</v>
      </c>
      <c r="D266" t="s">
        <v>3284</v>
      </c>
      <c r="E266" t="s">
        <v>559</v>
      </c>
      <c r="F266">
        <v>1</v>
      </c>
      <c r="G266" t="s">
        <v>2050</v>
      </c>
      <c r="H266" t="s">
        <v>2051</v>
      </c>
      <c r="I266" t="s">
        <v>53</v>
      </c>
      <c r="J266" t="s">
        <v>67</v>
      </c>
      <c r="K266" t="s">
        <v>68</v>
      </c>
      <c r="L266" t="s">
        <v>2052</v>
      </c>
      <c r="M266" t="s">
        <v>2053</v>
      </c>
      <c r="N266">
        <v>0</v>
      </c>
      <c r="O266">
        <v>0</v>
      </c>
      <c r="P266">
        <v>0</v>
      </c>
      <c r="Q266">
        <v>1440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368</v>
      </c>
      <c r="AH266" s="21" t="s">
        <v>3427</v>
      </c>
      <c r="AI266" s="21">
        <v>107.92500000000001</v>
      </c>
      <c r="AJ266" s="21">
        <v>100</v>
      </c>
      <c r="AK266" s="21" t="s">
        <v>2055</v>
      </c>
      <c r="AL266" t="s">
        <v>70</v>
      </c>
      <c r="AM266" t="s">
        <v>2031</v>
      </c>
    </row>
    <row r="267" spans="1:39" ht="15" hidden="1" thickTop="1" x14ac:dyDescent="0.35">
      <c r="A267" t="s">
        <v>3255</v>
      </c>
      <c r="B267" t="s">
        <v>3286</v>
      </c>
      <c r="C267" t="s">
        <v>66</v>
      </c>
      <c r="D267" t="s">
        <v>3287</v>
      </c>
      <c r="E267" t="s">
        <v>559</v>
      </c>
      <c r="F267">
        <v>1</v>
      </c>
      <c r="G267" t="s">
        <v>2050</v>
      </c>
      <c r="H267" t="s">
        <v>2051</v>
      </c>
      <c r="I267" t="s">
        <v>53</v>
      </c>
      <c r="J267" t="s">
        <v>67</v>
      </c>
      <c r="K267" t="s">
        <v>68</v>
      </c>
      <c r="L267" t="s">
        <v>2052</v>
      </c>
      <c r="M267" t="s">
        <v>2064</v>
      </c>
      <c r="N267">
        <v>0</v>
      </c>
      <c r="O267">
        <v>0</v>
      </c>
      <c r="P267">
        <v>0</v>
      </c>
      <c r="Q267">
        <v>900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 t="s">
        <v>369</v>
      </c>
      <c r="AH267" s="21" t="s">
        <v>3424</v>
      </c>
      <c r="AI267" s="21">
        <v>67.5</v>
      </c>
      <c r="AJ267" s="21">
        <v>100</v>
      </c>
      <c r="AK267" s="21" t="s">
        <v>2055</v>
      </c>
      <c r="AL267" t="s">
        <v>70</v>
      </c>
      <c r="AM267" t="s">
        <v>2029</v>
      </c>
    </row>
    <row r="268" spans="1:39" ht="15" hidden="1" thickTop="1" x14ac:dyDescent="0.35">
      <c r="A268" t="s">
        <v>3259</v>
      </c>
      <c r="B268" t="s">
        <v>3290</v>
      </c>
      <c r="C268" t="s">
        <v>92</v>
      </c>
      <c r="D268" t="s">
        <v>3291</v>
      </c>
      <c r="E268" t="s">
        <v>119</v>
      </c>
      <c r="F268">
        <v>1</v>
      </c>
      <c r="G268" t="s">
        <v>2050</v>
      </c>
      <c r="H268" t="s">
        <v>2051</v>
      </c>
      <c r="I268" t="s">
        <v>53</v>
      </c>
      <c r="J268" t="s">
        <v>67</v>
      </c>
      <c r="K268" t="s">
        <v>68</v>
      </c>
      <c r="L268" t="s">
        <v>2052</v>
      </c>
      <c r="M268" t="s">
        <v>2063</v>
      </c>
      <c r="N268">
        <v>0</v>
      </c>
      <c r="O268">
        <v>0</v>
      </c>
      <c r="P268">
        <v>0</v>
      </c>
      <c r="Q268">
        <v>1020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370</v>
      </c>
      <c r="AH268" s="21" t="s">
        <v>3424</v>
      </c>
      <c r="AI268" s="21">
        <v>76.500000000000014</v>
      </c>
      <c r="AJ268" s="21">
        <v>100</v>
      </c>
      <c r="AK268" s="21" t="s">
        <v>2054</v>
      </c>
      <c r="AL268" t="s">
        <v>70</v>
      </c>
      <c r="AM268" t="s">
        <v>2027</v>
      </c>
    </row>
    <row r="269" spans="1:39" ht="15" hidden="1" thickTop="1" x14ac:dyDescent="0.35">
      <c r="A269" t="s">
        <v>3265</v>
      </c>
      <c r="B269" t="s">
        <v>3292</v>
      </c>
      <c r="C269" t="s">
        <v>86</v>
      </c>
      <c r="D269" t="s">
        <v>3293</v>
      </c>
      <c r="E269" t="s">
        <v>72</v>
      </c>
      <c r="F269">
        <v>1</v>
      </c>
      <c r="G269" t="s">
        <v>2050</v>
      </c>
      <c r="H269" t="s">
        <v>2051</v>
      </c>
      <c r="I269" t="s">
        <v>53</v>
      </c>
      <c r="J269" t="s">
        <v>73</v>
      </c>
      <c r="K269" t="s">
        <v>68</v>
      </c>
      <c r="L269" t="s">
        <v>2052</v>
      </c>
      <c r="M269" t="s">
        <v>2083</v>
      </c>
      <c r="N269">
        <v>0</v>
      </c>
      <c r="O269">
        <v>0</v>
      </c>
      <c r="P269">
        <v>0</v>
      </c>
      <c r="Q269">
        <v>960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t="s">
        <v>371</v>
      </c>
      <c r="AH269" s="21" t="s">
        <v>3424</v>
      </c>
      <c r="AI269" s="21">
        <v>72.000000000000014</v>
      </c>
      <c r="AJ269" s="21">
        <v>100</v>
      </c>
      <c r="AK269" s="21" t="s">
        <v>2054</v>
      </c>
      <c r="AL269" t="s">
        <v>75</v>
      </c>
      <c r="AM269" t="s">
        <v>2029</v>
      </c>
    </row>
    <row r="270" spans="1:39" ht="15" hidden="1" thickTop="1" x14ac:dyDescent="0.35">
      <c r="A270" t="s">
        <v>3266</v>
      </c>
      <c r="B270" t="s">
        <v>3294</v>
      </c>
      <c r="C270" t="s">
        <v>66</v>
      </c>
      <c r="D270" t="s">
        <v>3295</v>
      </c>
      <c r="E270" t="s">
        <v>559</v>
      </c>
      <c r="F270">
        <v>1</v>
      </c>
      <c r="G270" t="s">
        <v>2050</v>
      </c>
      <c r="H270" t="s">
        <v>2051</v>
      </c>
      <c r="I270" t="s">
        <v>53</v>
      </c>
      <c r="J270" t="s">
        <v>67</v>
      </c>
      <c r="K270" t="s">
        <v>68</v>
      </c>
      <c r="L270" t="s">
        <v>2052</v>
      </c>
      <c r="M270" t="s">
        <v>2064</v>
      </c>
      <c r="N270">
        <v>0</v>
      </c>
      <c r="O270">
        <v>0</v>
      </c>
      <c r="P270">
        <v>0</v>
      </c>
      <c r="Q270">
        <v>900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t="s">
        <v>372</v>
      </c>
      <c r="AH270" s="21" t="s">
        <v>3424</v>
      </c>
      <c r="AI270" s="21">
        <v>67.5</v>
      </c>
      <c r="AJ270" s="21">
        <v>100</v>
      </c>
      <c r="AK270" s="21" t="s">
        <v>2054</v>
      </c>
      <c r="AL270" t="s">
        <v>70</v>
      </c>
      <c r="AM270" t="s">
        <v>2030</v>
      </c>
    </row>
    <row r="271" spans="1:39" ht="15" hidden="1" thickTop="1" x14ac:dyDescent="0.35">
      <c r="A271" t="s">
        <v>3273</v>
      </c>
      <c r="B271" t="s">
        <v>3303</v>
      </c>
      <c r="C271" t="s">
        <v>92</v>
      </c>
      <c r="D271" t="s">
        <v>3304</v>
      </c>
      <c r="E271" t="s">
        <v>559</v>
      </c>
      <c r="F271">
        <v>1</v>
      </c>
      <c r="G271" t="s">
        <v>2050</v>
      </c>
      <c r="H271" t="s">
        <v>2051</v>
      </c>
      <c r="I271" t="s">
        <v>53</v>
      </c>
      <c r="J271" t="s">
        <v>67</v>
      </c>
      <c r="K271" t="s">
        <v>68</v>
      </c>
      <c r="L271" t="s">
        <v>2052</v>
      </c>
      <c r="M271" t="s">
        <v>2053</v>
      </c>
      <c r="N271">
        <v>0</v>
      </c>
      <c r="O271">
        <v>0</v>
      </c>
      <c r="P271">
        <v>0</v>
      </c>
      <c r="Q271">
        <v>1440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373</v>
      </c>
      <c r="AH271" s="21" t="s">
        <v>3424</v>
      </c>
      <c r="AI271" s="21">
        <v>107.92500000000001</v>
      </c>
      <c r="AJ271" s="21">
        <v>100</v>
      </c>
      <c r="AK271" s="21" t="s">
        <v>2054</v>
      </c>
      <c r="AL271" t="s">
        <v>70</v>
      </c>
      <c r="AM271" t="s">
        <v>2031</v>
      </c>
    </row>
    <row r="272" spans="1:39" ht="15" hidden="1" thickTop="1" x14ac:dyDescent="0.35">
      <c r="A272" t="s">
        <v>3276</v>
      </c>
      <c r="B272" t="s">
        <v>3308</v>
      </c>
      <c r="C272" t="s">
        <v>78</v>
      </c>
      <c r="D272" t="s">
        <v>3309</v>
      </c>
      <c r="E272" t="s">
        <v>559</v>
      </c>
      <c r="F272">
        <v>1</v>
      </c>
      <c r="G272" t="s">
        <v>2050</v>
      </c>
      <c r="H272" t="s">
        <v>2051</v>
      </c>
      <c r="I272" t="s">
        <v>53</v>
      </c>
      <c r="J272" t="s">
        <v>67</v>
      </c>
      <c r="K272" t="s">
        <v>68</v>
      </c>
      <c r="L272" t="s">
        <v>2052</v>
      </c>
      <c r="M272" t="s">
        <v>2053</v>
      </c>
      <c r="N272">
        <v>0</v>
      </c>
      <c r="O272">
        <v>0</v>
      </c>
      <c r="P272">
        <v>0</v>
      </c>
      <c r="Q272">
        <v>1440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374</v>
      </c>
      <c r="AH272" s="21" t="s">
        <v>3427</v>
      </c>
      <c r="AI272" s="21">
        <v>107.92500000000001</v>
      </c>
      <c r="AJ272" s="21">
        <v>100</v>
      </c>
      <c r="AK272" s="21" t="s">
        <v>2055</v>
      </c>
      <c r="AL272" t="s">
        <v>70</v>
      </c>
      <c r="AM272" t="s">
        <v>2028</v>
      </c>
    </row>
    <row r="273" spans="1:39" ht="15" hidden="1" thickTop="1" x14ac:dyDescent="0.35">
      <c r="A273" t="s">
        <v>3282</v>
      </c>
      <c r="B273" t="s">
        <v>3314</v>
      </c>
      <c r="C273" t="s">
        <v>76</v>
      </c>
      <c r="D273" t="s">
        <v>3315</v>
      </c>
      <c r="E273" t="s">
        <v>119</v>
      </c>
      <c r="F273">
        <v>1</v>
      </c>
      <c r="G273" t="s">
        <v>2050</v>
      </c>
      <c r="H273" t="s">
        <v>2051</v>
      </c>
      <c r="I273" t="s">
        <v>53</v>
      </c>
      <c r="J273" t="s">
        <v>67</v>
      </c>
      <c r="K273" t="s">
        <v>68</v>
      </c>
      <c r="L273" t="s">
        <v>2052</v>
      </c>
      <c r="M273" t="s">
        <v>2064</v>
      </c>
      <c r="N273">
        <v>0</v>
      </c>
      <c r="O273">
        <v>0</v>
      </c>
      <c r="P273">
        <v>0</v>
      </c>
      <c r="Q273">
        <v>900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375</v>
      </c>
      <c r="AH273" s="21" t="s">
        <v>3427</v>
      </c>
      <c r="AI273" s="21">
        <v>67.5</v>
      </c>
      <c r="AJ273" s="21">
        <v>100</v>
      </c>
      <c r="AK273" s="21" t="s">
        <v>2054</v>
      </c>
      <c r="AL273" t="s">
        <v>70</v>
      </c>
      <c r="AM273" t="s">
        <v>2028</v>
      </c>
    </row>
    <row r="274" spans="1:39" ht="15" hidden="1" thickTop="1" x14ac:dyDescent="0.35">
      <c r="A274" t="s">
        <v>3297</v>
      </c>
      <c r="B274" t="s">
        <v>3324</v>
      </c>
      <c r="C274" t="s">
        <v>76</v>
      </c>
      <c r="D274" t="s">
        <v>3325</v>
      </c>
      <c r="E274" t="s">
        <v>559</v>
      </c>
      <c r="F274">
        <v>1</v>
      </c>
      <c r="G274" t="s">
        <v>2050</v>
      </c>
      <c r="H274" t="s">
        <v>2051</v>
      </c>
      <c r="I274" t="s">
        <v>53</v>
      </c>
      <c r="J274" t="s">
        <v>67</v>
      </c>
      <c r="K274" t="s">
        <v>68</v>
      </c>
      <c r="L274" t="s">
        <v>2052</v>
      </c>
      <c r="M274" t="s">
        <v>2053</v>
      </c>
      <c r="N274">
        <v>0</v>
      </c>
      <c r="O274">
        <v>0</v>
      </c>
      <c r="P274">
        <v>0</v>
      </c>
      <c r="Q274">
        <v>1440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376</v>
      </c>
      <c r="AH274" s="21" t="s">
        <v>3425</v>
      </c>
      <c r="AI274" s="21">
        <v>107.92500000000001</v>
      </c>
      <c r="AJ274" s="21">
        <v>100</v>
      </c>
      <c r="AK274" s="21" t="s">
        <v>2054</v>
      </c>
      <c r="AL274" t="s">
        <v>70</v>
      </c>
      <c r="AM274" t="s">
        <v>2028</v>
      </c>
    </row>
    <row r="275" spans="1:39" ht="15" hidden="1" thickTop="1" x14ac:dyDescent="0.35">
      <c r="A275" t="s">
        <v>3298</v>
      </c>
      <c r="B275" t="s">
        <v>3326</v>
      </c>
      <c r="C275" t="s">
        <v>86</v>
      </c>
      <c r="D275" t="s">
        <v>3327</v>
      </c>
      <c r="E275" t="s">
        <v>72</v>
      </c>
      <c r="F275">
        <v>2</v>
      </c>
      <c r="G275" t="s">
        <v>2050</v>
      </c>
      <c r="H275" t="s">
        <v>2051</v>
      </c>
      <c r="I275" t="s">
        <v>53</v>
      </c>
      <c r="J275" t="s">
        <v>73</v>
      </c>
      <c r="K275" t="s">
        <v>68</v>
      </c>
      <c r="L275" t="s">
        <v>2052</v>
      </c>
      <c r="M275" t="s">
        <v>2053</v>
      </c>
      <c r="N275">
        <v>0</v>
      </c>
      <c r="O275">
        <v>0</v>
      </c>
      <c r="P275">
        <v>0</v>
      </c>
      <c r="Q275">
        <v>1440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377</v>
      </c>
      <c r="AH275" s="21" t="s">
        <v>3424</v>
      </c>
      <c r="AI275" s="21">
        <v>107.92500000000001</v>
      </c>
      <c r="AJ275" s="21">
        <v>100</v>
      </c>
      <c r="AK275" s="21" t="s">
        <v>2054</v>
      </c>
      <c r="AL275" t="s">
        <v>75</v>
      </c>
      <c r="AM275" t="s">
        <v>2029</v>
      </c>
    </row>
    <row r="276" spans="1:39" ht="15" hidden="1" thickTop="1" x14ac:dyDescent="0.35">
      <c r="A276" t="s">
        <v>3305</v>
      </c>
      <c r="B276" t="s">
        <v>3336</v>
      </c>
      <c r="C276" t="s">
        <v>76</v>
      </c>
      <c r="D276" t="s">
        <v>3337</v>
      </c>
      <c r="E276" t="s">
        <v>559</v>
      </c>
      <c r="F276">
        <v>1</v>
      </c>
      <c r="G276" t="s">
        <v>2050</v>
      </c>
      <c r="H276" t="s">
        <v>2051</v>
      </c>
      <c r="I276" t="s">
        <v>53</v>
      </c>
      <c r="J276" t="s">
        <v>67</v>
      </c>
      <c r="K276" t="s">
        <v>68</v>
      </c>
      <c r="L276" t="s">
        <v>2052</v>
      </c>
      <c r="M276" t="s">
        <v>2053</v>
      </c>
      <c r="N276">
        <v>0</v>
      </c>
      <c r="O276">
        <v>0</v>
      </c>
      <c r="P276">
        <v>0</v>
      </c>
      <c r="Q276">
        <v>1440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378</v>
      </c>
      <c r="AH276" s="21" t="s">
        <v>3424</v>
      </c>
      <c r="AI276" s="21">
        <v>107.92500000000001</v>
      </c>
      <c r="AJ276" s="21">
        <v>100</v>
      </c>
      <c r="AK276" s="21" t="s">
        <v>2054</v>
      </c>
      <c r="AL276" t="s">
        <v>70</v>
      </c>
      <c r="AM276" t="s">
        <v>2029</v>
      </c>
    </row>
    <row r="277" spans="1:39" ht="15" hidden="1" thickTop="1" x14ac:dyDescent="0.35">
      <c r="A277" t="s">
        <v>3312</v>
      </c>
      <c r="B277" t="s">
        <v>3338</v>
      </c>
      <c r="C277" t="s">
        <v>102</v>
      </c>
      <c r="D277" t="s">
        <v>3339</v>
      </c>
      <c r="E277" t="s">
        <v>559</v>
      </c>
      <c r="F277">
        <v>1</v>
      </c>
      <c r="G277" t="s">
        <v>2050</v>
      </c>
      <c r="H277" t="s">
        <v>2051</v>
      </c>
      <c r="I277" t="s">
        <v>53</v>
      </c>
      <c r="J277" t="s">
        <v>67</v>
      </c>
      <c r="K277" t="s">
        <v>68</v>
      </c>
      <c r="L277" t="s">
        <v>2052</v>
      </c>
      <c r="M277" t="s">
        <v>2053</v>
      </c>
      <c r="N277">
        <v>0</v>
      </c>
      <c r="O277">
        <v>0</v>
      </c>
      <c r="P277">
        <v>0</v>
      </c>
      <c r="Q277">
        <v>1440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379</v>
      </c>
      <c r="AH277" s="21" t="s">
        <v>3424</v>
      </c>
      <c r="AI277" s="21">
        <v>107.92500000000001</v>
      </c>
      <c r="AJ277" s="21">
        <v>100</v>
      </c>
      <c r="AK277" s="21" t="s">
        <v>2054</v>
      </c>
      <c r="AL277" t="s">
        <v>70</v>
      </c>
      <c r="AM277" t="s">
        <v>2027</v>
      </c>
    </row>
    <row r="278" spans="1:39" ht="15" hidden="1" thickTop="1" x14ac:dyDescent="0.35">
      <c r="A278" t="s">
        <v>3313</v>
      </c>
      <c r="B278" t="s">
        <v>3340</v>
      </c>
      <c r="C278" t="s">
        <v>102</v>
      </c>
      <c r="D278" t="s">
        <v>3341</v>
      </c>
      <c r="E278" t="s">
        <v>559</v>
      </c>
      <c r="F278">
        <v>1</v>
      </c>
      <c r="G278" t="s">
        <v>2050</v>
      </c>
      <c r="H278" t="s">
        <v>2051</v>
      </c>
      <c r="I278" t="s">
        <v>53</v>
      </c>
      <c r="J278" t="s">
        <v>67</v>
      </c>
      <c r="K278" t="s">
        <v>68</v>
      </c>
      <c r="L278" t="s">
        <v>2052</v>
      </c>
      <c r="M278" t="s">
        <v>2053</v>
      </c>
      <c r="N278">
        <v>0</v>
      </c>
      <c r="O278">
        <v>0</v>
      </c>
      <c r="P278">
        <v>0</v>
      </c>
      <c r="Q278">
        <v>1440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380</v>
      </c>
      <c r="AH278" s="21" t="s">
        <v>3425</v>
      </c>
      <c r="AI278" s="21">
        <v>107.92500000000001</v>
      </c>
      <c r="AJ278" s="21">
        <v>100</v>
      </c>
      <c r="AK278" s="21" t="s">
        <v>2054</v>
      </c>
      <c r="AL278" t="s">
        <v>70</v>
      </c>
      <c r="AM278" t="s">
        <v>2028</v>
      </c>
    </row>
    <row r="279" spans="1:39" ht="15" hidden="1" thickTop="1" x14ac:dyDescent="0.35">
      <c r="A279" t="s">
        <v>3316</v>
      </c>
      <c r="B279" t="s">
        <v>3342</v>
      </c>
      <c r="C279" t="s">
        <v>66</v>
      </c>
      <c r="D279" t="s">
        <v>3343</v>
      </c>
      <c r="E279" t="s">
        <v>559</v>
      </c>
      <c r="F279">
        <v>2</v>
      </c>
      <c r="G279" t="s">
        <v>2050</v>
      </c>
      <c r="H279" t="s">
        <v>2051</v>
      </c>
      <c r="I279" t="s">
        <v>53</v>
      </c>
      <c r="J279" t="s">
        <v>67</v>
      </c>
      <c r="K279" t="s">
        <v>68</v>
      </c>
      <c r="L279" t="s">
        <v>2052</v>
      </c>
      <c r="M279" t="s">
        <v>2053</v>
      </c>
      <c r="N279">
        <v>0</v>
      </c>
      <c r="O279">
        <v>0</v>
      </c>
      <c r="P279">
        <v>0</v>
      </c>
      <c r="Q279">
        <v>1440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381</v>
      </c>
      <c r="AH279" s="21" t="s">
        <v>3425</v>
      </c>
      <c r="AI279" s="21">
        <v>107.92500000000001</v>
      </c>
      <c r="AJ279" s="21">
        <v>100</v>
      </c>
      <c r="AK279" s="21" t="s">
        <v>2054</v>
      </c>
      <c r="AL279" t="s">
        <v>70</v>
      </c>
      <c r="AM279" t="s">
        <v>2028</v>
      </c>
    </row>
    <row r="280" spans="1:39" ht="15" hidden="1" thickTop="1" x14ac:dyDescent="0.35">
      <c r="A280" t="s">
        <v>3317</v>
      </c>
      <c r="B280" t="s">
        <v>3344</v>
      </c>
      <c r="C280" t="s">
        <v>78</v>
      </c>
      <c r="D280" t="s">
        <v>3345</v>
      </c>
      <c r="E280" t="s">
        <v>559</v>
      </c>
      <c r="F280">
        <v>1</v>
      </c>
      <c r="G280" t="s">
        <v>2050</v>
      </c>
      <c r="H280" t="s">
        <v>2051</v>
      </c>
      <c r="I280" t="s">
        <v>53</v>
      </c>
      <c r="J280" t="s">
        <v>67</v>
      </c>
      <c r="K280" t="s">
        <v>68</v>
      </c>
      <c r="L280" t="s">
        <v>2052</v>
      </c>
      <c r="M280" t="s">
        <v>2064</v>
      </c>
      <c r="N280">
        <v>0</v>
      </c>
      <c r="O280">
        <v>0</v>
      </c>
      <c r="P280">
        <v>0</v>
      </c>
      <c r="Q280">
        <v>900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382</v>
      </c>
      <c r="AH280" s="21" t="s">
        <v>3424</v>
      </c>
      <c r="AI280" s="21">
        <v>67.5</v>
      </c>
      <c r="AJ280" s="21">
        <v>100</v>
      </c>
      <c r="AK280" s="21" t="s">
        <v>2055</v>
      </c>
      <c r="AL280" t="s">
        <v>70</v>
      </c>
      <c r="AM280" t="s">
        <v>2028</v>
      </c>
    </row>
    <row r="281" spans="1:39" ht="15" hidden="1" thickTop="1" x14ac:dyDescent="0.35">
      <c r="A281" t="s">
        <v>3318</v>
      </c>
      <c r="B281" t="s">
        <v>3347</v>
      </c>
      <c r="C281" t="s">
        <v>78</v>
      </c>
      <c r="D281" t="s">
        <v>3348</v>
      </c>
      <c r="E281" t="s">
        <v>559</v>
      </c>
      <c r="F281">
        <v>2</v>
      </c>
      <c r="G281" t="s">
        <v>2050</v>
      </c>
      <c r="H281" t="s">
        <v>2051</v>
      </c>
      <c r="I281" t="s">
        <v>53</v>
      </c>
      <c r="J281" t="s">
        <v>67</v>
      </c>
      <c r="K281" t="s">
        <v>68</v>
      </c>
      <c r="L281" t="s">
        <v>2052</v>
      </c>
      <c r="M281" t="s">
        <v>2053</v>
      </c>
      <c r="N281">
        <v>0</v>
      </c>
      <c r="O281">
        <v>0</v>
      </c>
      <c r="P281">
        <v>0</v>
      </c>
      <c r="Q281">
        <v>1440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383</v>
      </c>
      <c r="AH281" s="21" t="s">
        <v>3425</v>
      </c>
      <c r="AI281" s="21">
        <v>107.92500000000001</v>
      </c>
      <c r="AJ281" s="21">
        <v>100</v>
      </c>
      <c r="AK281" s="21" t="s">
        <v>2054</v>
      </c>
      <c r="AL281" t="s">
        <v>70</v>
      </c>
      <c r="AM281" t="s">
        <v>2028</v>
      </c>
    </row>
    <row r="282" spans="1:39" ht="15" hidden="1" thickTop="1" x14ac:dyDescent="0.35">
      <c r="A282" t="s">
        <v>3321</v>
      </c>
      <c r="B282" t="s">
        <v>3352</v>
      </c>
      <c r="C282" t="s">
        <v>100</v>
      </c>
      <c r="D282" t="s">
        <v>3353</v>
      </c>
      <c r="E282" t="s">
        <v>559</v>
      </c>
      <c r="F282">
        <v>1</v>
      </c>
      <c r="G282" t="s">
        <v>2050</v>
      </c>
      <c r="H282" t="s">
        <v>2051</v>
      </c>
      <c r="I282" t="s">
        <v>53</v>
      </c>
      <c r="J282" t="s">
        <v>67</v>
      </c>
      <c r="K282" t="s">
        <v>68</v>
      </c>
      <c r="L282" t="s">
        <v>2052</v>
      </c>
      <c r="M282" t="s">
        <v>2053</v>
      </c>
      <c r="N282">
        <v>0</v>
      </c>
      <c r="O282">
        <v>0</v>
      </c>
      <c r="P282">
        <v>0</v>
      </c>
      <c r="Q282">
        <v>1440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384</v>
      </c>
      <c r="AH282" s="21" t="s">
        <v>3425</v>
      </c>
      <c r="AI282" s="21">
        <v>107.92500000000001</v>
      </c>
      <c r="AJ282" s="21">
        <v>100</v>
      </c>
      <c r="AK282" s="21" t="s">
        <v>2054</v>
      </c>
      <c r="AL282" t="s">
        <v>70</v>
      </c>
      <c r="AM282" t="s">
        <v>2031</v>
      </c>
    </row>
    <row r="283" spans="1:39" ht="15" hidden="1" thickTop="1" x14ac:dyDescent="0.35">
      <c r="A283" t="s">
        <v>3322</v>
      </c>
      <c r="B283" t="s">
        <v>3354</v>
      </c>
      <c r="C283" t="s">
        <v>86</v>
      </c>
      <c r="D283" t="s">
        <v>3355</v>
      </c>
      <c r="E283" t="s">
        <v>72</v>
      </c>
      <c r="F283">
        <v>1</v>
      </c>
      <c r="G283" t="s">
        <v>2050</v>
      </c>
      <c r="H283" t="s">
        <v>2051</v>
      </c>
      <c r="I283" t="s">
        <v>53</v>
      </c>
      <c r="J283" t="s">
        <v>73</v>
      </c>
      <c r="K283" t="s">
        <v>68</v>
      </c>
      <c r="L283" t="s">
        <v>2052</v>
      </c>
      <c r="M283" t="s">
        <v>2053</v>
      </c>
      <c r="N283">
        <v>0</v>
      </c>
      <c r="O283">
        <v>0</v>
      </c>
      <c r="P283">
        <v>0</v>
      </c>
      <c r="Q283">
        <v>1440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t="s">
        <v>385</v>
      </c>
      <c r="AH283" s="21" t="s">
        <v>3427</v>
      </c>
      <c r="AI283" s="21">
        <v>107.92500000000001</v>
      </c>
      <c r="AJ283" s="21">
        <v>100</v>
      </c>
      <c r="AK283" s="21" t="s">
        <v>2054</v>
      </c>
      <c r="AL283" t="s">
        <v>75</v>
      </c>
      <c r="AM283" t="s">
        <v>2027</v>
      </c>
    </row>
    <row r="284" spans="1:39" ht="15" hidden="1" thickTop="1" x14ac:dyDescent="0.35">
      <c r="A284" t="s">
        <v>3323</v>
      </c>
      <c r="B284" t="s">
        <v>3356</v>
      </c>
      <c r="C284" t="s">
        <v>71</v>
      </c>
      <c r="D284" t="s">
        <v>3357</v>
      </c>
      <c r="E284" t="s">
        <v>72</v>
      </c>
      <c r="F284">
        <v>1</v>
      </c>
      <c r="G284" t="s">
        <v>2050</v>
      </c>
      <c r="H284" t="s">
        <v>2051</v>
      </c>
      <c r="I284" t="s">
        <v>53</v>
      </c>
      <c r="J284" t="s">
        <v>73</v>
      </c>
      <c r="K284" t="s">
        <v>68</v>
      </c>
      <c r="L284" t="s">
        <v>2052</v>
      </c>
      <c r="M284" t="s">
        <v>2053</v>
      </c>
      <c r="N284">
        <v>0</v>
      </c>
      <c r="O284">
        <v>0</v>
      </c>
      <c r="P284">
        <v>0</v>
      </c>
      <c r="Q284">
        <v>1440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t="s">
        <v>386</v>
      </c>
      <c r="AH284" s="21" t="s">
        <v>3424</v>
      </c>
      <c r="AI284" s="21">
        <v>107.92500000000001</v>
      </c>
      <c r="AJ284" s="21">
        <v>100</v>
      </c>
      <c r="AK284" s="21" t="s">
        <v>2054</v>
      </c>
      <c r="AL284" t="s">
        <v>75</v>
      </c>
      <c r="AM284" t="s">
        <v>2028</v>
      </c>
    </row>
    <row r="285" spans="1:39" ht="15" hidden="1" thickTop="1" x14ac:dyDescent="0.35">
      <c r="A285" t="s">
        <v>2623</v>
      </c>
      <c r="B285" t="s">
        <v>3358</v>
      </c>
      <c r="C285" t="s">
        <v>66</v>
      </c>
      <c r="D285" t="s">
        <v>3359</v>
      </c>
      <c r="E285" t="s">
        <v>559</v>
      </c>
      <c r="F285">
        <v>1</v>
      </c>
      <c r="G285" t="s">
        <v>2050</v>
      </c>
      <c r="H285" t="s">
        <v>2051</v>
      </c>
      <c r="I285" t="s">
        <v>53</v>
      </c>
      <c r="J285" t="s">
        <v>67</v>
      </c>
      <c r="K285" t="s">
        <v>68</v>
      </c>
      <c r="L285" t="s">
        <v>2052</v>
      </c>
      <c r="M285" t="s">
        <v>2053</v>
      </c>
      <c r="N285">
        <v>0</v>
      </c>
      <c r="O285">
        <v>0</v>
      </c>
      <c r="P285">
        <v>0</v>
      </c>
      <c r="Q285">
        <v>1440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387</v>
      </c>
      <c r="AH285" s="21" t="s">
        <v>3425</v>
      </c>
      <c r="AI285" s="21">
        <v>107.92500000000001</v>
      </c>
      <c r="AJ285" s="21">
        <v>100</v>
      </c>
      <c r="AK285" s="21" t="s">
        <v>2054</v>
      </c>
      <c r="AL285" t="s">
        <v>70</v>
      </c>
      <c r="AM285" t="s">
        <v>2028</v>
      </c>
    </row>
    <row r="286" spans="1:39" ht="15" hidden="1" thickTop="1" x14ac:dyDescent="0.35">
      <c r="A286" t="s">
        <v>3332</v>
      </c>
      <c r="B286" t="s">
        <v>3361</v>
      </c>
      <c r="C286" t="s">
        <v>76</v>
      </c>
      <c r="D286" t="s">
        <v>3362</v>
      </c>
      <c r="E286" t="s">
        <v>559</v>
      </c>
      <c r="F286">
        <v>2</v>
      </c>
      <c r="G286" t="s">
        <v>2050</v>
      </c>
      <c r="H286" t="s">
        <v>2051</v>
      </c>
      <c r="I286" t="s">
        <v>53</v>
      </c>
      <c r="J286" t="s">
        <v>67</v>
      </c>
      <c r="K286" t="s">
        <v>68</v>
      </c>
      <c r="L286" t="s">
        <v>2052</v>
      </c>
      <c r="M286" t="s">
        <v>2064</v>
      </c>
      <c r="N286">
        <v>0</v>
      </c>
      <c r="O286">
        <v>0</v>
      </c>
      <c r="P286">
        <v>0</v>
      </c>
      <c r="Q286">
        <v>900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t="s">
        <v>388</v>
      </c>
      <c r="AH286" s="21" t="s">
        <v>3424</v>
      </c>
      <c r="AI286" s="21">
        <v>67.5</v>
      </c>
      <c r="AJ286" s="21">
        <v>100</v>
      </c>
      <c r="AK286" s="21" t="s">
        <v>2055</v>
      </c>
      <c r="AL286" t="s">
        <v>70</v>
      </c>
      <c r="AM286" t="s">
        <v>2029</v>
      </c>
    </row>
    <row r="287" spans="1:39" ht="15" hidden="1" thickTop="1" x14ac:dyDescent="0.35">
      <c r="A287" t="s">
        <v>2625</v>
      </c>
      <c r="B287" t="s">
        <v>3369</v>
      </c>
      <c r="C287" t="s">
        <v>100</v>
      </c>
      <c r="D287" t="s">
        <v>3370</v>
      </c>
      <c r="E287" t="s">
        <v>559</v>
      </c>
      <c r="F287">
        <v>1</v>
      </c>
      <c r="G287" t="s">
        <v>2050</v>
      </c>
      <c r="H287" t="s">
        <v>2051</v>
      </c>
      <c r="I287" t="s">
        <v>53</v>
      </c>
      <c r="J287" t="s">
        <v>67</v>
      </c>
      <c r="K287" t="s">
        <v>68</v>
      </c>
      <c r="L287" t="s">
        <v>2052</v>
      </c>
      <c r="M287" t="s">
        <v>2053</v>
      </c>
      <c r="N287">
        <v>0</v>
      </c>
      <c r="O287">
        <v>0</v>
      </c>
      <c r="P287">
        <v>0</v>
      </c>
      <c r="Q287">
        <v>1440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389</v>
      </c>
      <c r="AH287" s="21" t="s">
        <v>3427</v>
      </c>
      <c r="AI287" s="21">
        <v>107.92500000000001</v>
      </c>
      <c r="AJ287" s="21">
        <v>100</v>
      </c>
      <c r="AK287" s="21" t="s">
        <v>2054</v>
      </c>
      <c r="AL287" t="s">
        <v>70</v>
      </c>
      <c r="AM287" t="s">
        <v>2031</v>
      </c>
    </row>
    <row r="288" spans="1:39" ht="15" hidden="1" thickTop="1" x14ac:dyDescent="0.35">
      <c r="A288" t="s">
        <v>3364</v>
      </c>
      <c r="B288" t="s">
        <v>3371</v>
      </c>
      <c r="C288" t="s">
        <v>100</v>
      </c>
      <c r="D288" t="s">
        <v>3372</v>
      </c>
      <c r="E288" t="s">
        <v>559</v>
      </c>
      <c r="F288">
        <v>1</v>
      </c>
      <c r="G288" t="s">
        <v>2050</v>
      </c>
      <c r="H288" t="s">
        <v>2051</v>
      </c>
      <c r="I288" t="s">
        <v>53</v>
      </c>
      <c r="J288" t="s">
        <v>67</v>
      </c>
      <c r="K288" t="s">
        <v>68</v>
      </c>
      <c r="L288" t="s">
        <v>2052</v>
      </c>
      <c r="M288" t="s">
        <v>2064</v>
      </c>
      <c r="N288">
        <v>0</v>
      </c>
      <c r="O288">
        <v>0</v>
      </c>
      <c r="P288">
        <v>0</v>
      </c>
      <c r="Q288">
        <v>900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390</v>
      </c>
      <c r="AH288" s="21" t="s">
        <v>3424</v>
      </c>
      <c r="AI288" s="21">
        <v>67.5</v>
      </c>
      <c r="AJ288" s="21">
        <v>100</v>
      </c>
      <c r="AK288" s="21" t="s">
        <v>2054</v>
      </c>
      <c r="AL288" t="s">
        <v>70</v>
      </c>
      <c r="AM288" t="s">
        <v>2028</v>
      </c>
    </row>
    <row r="289" spans="1:39" ht="15" hidden="1" thickTop="1" x14ac:dyDescent="0.35">
      <c r="A289" t="s">
        <v>3365</v>
      </c>
      <c r="B289" t="s">
        <v>3373</v>
      </c>
      <c r="C289" t="s">
        <v>92</v>
      </c>
      <c r="D289" t="s">
        <v>3374</v>
      </c>
      <c r="E289" t="s">
        <v>119</v>
      </c>
      <c r="F289">
        <v>1</v>
      </c>
      <c r="G289" t="s">
        <v>2050</v>
      </c>
      <c r="H289" t="s">
        <v>2051</v>
      </c>
      <c r="I289" t="s">
        <v>53</v>
      </c>
      <c r="J289" t="s">
        <v>67</v>
      </c>
      <c r="K289" t="s">
        <v>68</v>
      </c>
      <c r="L289" t="s">
        <v>2052</v>
      </c>
      <c r="M289" t="s">
        <v>2064</v>
      </c>
      <c r="N289">
        <v>0</v>
      </c>
      <c r="O289">
        <v>0</v>
      </c>
      <c r="P289">
        <v>0</v>
      </c>
      <c r="Q289">
        <v>900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391</v>
      </c>
      <c r="AH289" s="21" t="s">
        <v>3425</v>
      </c>
      <c r="AI289" s="21">
        <v>67.5</v>
      </c>
      <c r="AJ289" s="21">
        <v>100</v>
      </c>
      <c r="AK289" s="21" t="s">
        <v>2054</v>
      </c>
      <c r="AL289" t="s">
        <v>70</v>
      </c>
      <c r="AM289" t="s">
        <v>2030</v>
      </c>
    </row>
    <row r="290" spans="1:39" ht="15" thickTop="1" x14ac:dyDescent="0.35">
      <c r="AH290" s="21"/>
      <c r="AI290" s="21"/>
      <c r="AJ290" s="21"/>
      <c r="AK290" s="21"/>
    </row>
    <row r="291" spans="1:39" x14ac:dyDescent="0.35">
      <c r="AH291" s="21"/>
      <c r="AI291" s="21"/>
      <c r="AJ291" s="21"/>
      <c r="AK291" s="21"/>
    </row>
    <row r="292" spans="1:39" x14ac:dyDescent="0.35">
      <c r="AH292" s="21"/>
      <c r="AI292" s="21"/>
      <c r="AJ292" s="21"/>
      <c r="AK292" s="21"/>
    </row>
    <row r="293" spans="1:39" x14ac:dyDescent="0.35">
      <c r="AH293" s="21"/>
      <c r="AI293" s="21"/>
      <c r="AJ293" s="21"/>
      <c r="AK293" s="21"/>
    </row>
    <row r="294" spans="1:39" x14ac:dyDescent="0.35">
      <c r="AH294" s="21"/>
      <c r="AI294" s="21"/>
      <c r="AJ294" s="21"/>
      <c r="AK294" s="21"/>
    </row>
    <row r="295" spans="1:39" x14ac:dyDescent="0.35">
      <c r="AH295" s="21"/>
      <c r="AI295" s="21"/>
      <c r="AJ295" s="21"/>
      <c r="AK295" s="21"/>
    </row>
    <row r="296" spans="1:39" x14ac:dyDescent="0.35">
      <c r="AH296" s="21"/>
      <c r="AI296" s="21"/>
      <c r="AJ296" s="21"/>
      <c r="AK296" s="21"/>
    </row>
    <row r="297" spans="1:39" x14ac:dyDescent="0.35">
      <c r="AH297" s="21"/>
      <c r="AI297" s="21"/>
      <c r="AJ297" s="21"/>
      <c r="AK297" s="21"/>
    </row>
    <row r="298" spans="1:39" x14ac:dyDescent="0.35">
      <c r="AH298" s="21"/>
      <c r="AI298" s="21"/>
      <c r="AJ298" s="21"/>
      <c r="AK298" s="21"/>
    </row>
    <row r="299" spans="1:39" x14ac:dyDescent="0.35">
      <c r="AH299" s="21"/>
      <c r="AI299" s="21"/>
      <c r="AJ299" s="21"/>
      <c r="AK299" s="21"/>
    </row>
    <row r="300" spans="1:39" x14ac:dyDescent="0.35">
      <c r="AH300" s="21"/>
      <c r="AI300" s="21"/>
      <c r="AJ300" s="21"/>
      <c r="AK300" s="21"/>
    </row>
    <row r="301" spans="1:39" x14ac:dyDescent="0.35">
      <c r="AH301" s="21"/>
      <c r="AI301" s="21"/>
      <c r="AJ301" s="21"/>
      <c r="AK301" s="21"/>
    </row>
    <row r="302" spans="1:39" x14ac:dyDescent="0.35">
      <c r="AH302" s="21"/>
      <c r="AI302" s="21"/>
      <c r="AJ302" s="21"/>
      <c r="AK302" s="21"/>
    </row>
    <row r="303" spans="1:39" x14ac:dyDescent="0.35">
      <c r="AH303" s="21"/>
      <c r="AI303" s="21"/>
      <c r="AJ303" s="21"/>
      <c r="AK303" s="21"/>
    </row>
    <row r="304" spans="1:39" x14ac:dyDescent="0.35">
      <c r="AH304" s="21"/>
      <c r="AI304" s="21"/>
      <c r="AJ304" s="21"/>
      <c r="AK304" s="21"/>
    </row>
    <row r="305" spans="34:37" x14ac:dyDescent="0.35">
      <c r="AH305" s="21"/>
      <c r="AI305" s="21"/>
      <c r="AJ305" s="21"/>
      <c r="AK305" s="21"/>
    </row>
    <row r="306" spans="34:37" x14ac:dyDescent="0.35">
      <c r="AH306" s="21"/>
      <c r="AI306" s="21"/>
      <c r="AJ306" s="21"/>
      <c r="AK306" s="21"/>
    </row>
    <row r="307" spans="34:37" x14ac:dyDescent="0.35">
      <c r="AH307" s="21"/>
      <c r="AI307" s="21"/>
      <c r="AJ307" s="21"/>
      <c r="AK307" s="21"/>
    </row>
    <row r="308" spans="34:37" x14ac:dyDescent="0.35">
      <c r="AH308" s="21"/>
      <c r="AI308" s="21"/>
      <c r="AJ308" s="21"/>
      <c r="AK308" s="21"/>
    </row>
    <row r="309" spans="34:37" x14ac:dyDescent="0.35">
      <c r="AH309" s="21"/>
      <c r="AI309" s="21"/>
      <c r="AJ309" s="21"/>
      <c r="AK309" s="21"/>
    </row>
    <row r="310" spans="34:37" x14ac:dyDescent="0.35">
      <c r="AH310" s="21"/>
      <c r="AI310" s="21"/>
      <c r="AJ310" s="21"/>
      <c r="AK310" s="21"/>
    </row>
    <row r="311" spans="34:37" x14ac:dyDescent="0.35">
      <c r="AH311" s="21"/>
      <c r="AI311" s="21"/>
      <c r="AJ311" s="21"/>
      <c r="AK311" s="21"/>
    </row>
    <row r="312" spans="34:37" x14ac:dyDescent="0.35">
      <c r="AH312" s="21"/>
      <c r="AI312" s="21"/>
      <c r="AJ312" s="21"/>
      <c r="AK312" s="21"/>
    </row>
    <row r="313" spans="34:37" x14ac:dyDescent="0.35">
      <c r="AH313" s="21"/>
      <c r="AI313" s="21"/>
      <c r="AJ313" s="21"/>
      <c r="AK313" s="21"/>
    </row>
    <row r="314" spans="34:37" x14ac:dyDescent="0.35">
      <c r="AH314" s="21"/>
      <c r="AI314" s="21"/>
      <c r="AJ314" s="21"/>
      <c r="AK314" s="21"/>
    </row>
    <row r="315" spans="34:37" x14ac:dyDescent="0.35">
      <c r="AH315" s="21"/>
      <c r="AI315" s="21"/>
      <c r="AJ315" s="21"/>
      <c r="AK315" s="21"/>
    </row>
    <row r="316" spans="34:37" x14ac:dyDescent="0.35">
      <c r="AH316" s="21"/>
      <c r="AI316" s="21"/>
      <c r="AJ316" s="21"/>
      <c r="AK316" s="21"/>
    </row>
    <row r="317" spans="34:37" x14ac:dyDescent="0.35">
      <c r="AH317" s="21"/>
      <c r="AI317" s="21"/>
      <c r="AJ317" s="21"/>
      <c r="AK317" s="21"/>
    </row>
    <row r="318" spans="34:37" x14ac:dyDescent="0.35">
      <c r="AH318" s="21"/>
      <c r="AI318" s="21"/>
      <c r="AJ318" s="21"/>
      <c r="AK318" s="21"/>
    </row>
    <row r="319" spans="34:37" x14ac:dyDescent="0.35">
      <c r="AH319" s="21"/>
      <c r="AI319" s="21"/>
      <c r="AJ319" s="21"/>
      <c r="AK319" s="21"/>
    </row>
    <row r="320" spans="34:37" x14ac:dyDescent="0.35">
      <c r="AH320" s="21"/>
      <c r="AI320" s="21"/>
      <c r="AJ320" s="21"/>
      <c r="AK320" s="21"/>
    </row>
    <row r="321" spans="34:37" x14ac:dyDescent="0.35">
      <c r="AH321" s="21"/>
      <c r="AI321" s="21"/>
      <c r="AJ321" s="21"/>
      <c r="AK321" s="21"/>
    </row>
    <row r="322" spans="34:37" x14ac:dyDescent="0.35">
      <c r="AH322" s="21"/>
      <c r="AI322" s="21"/>
      <c r="AJ322" s="21"/>
      <c r="AK322" s="21"/>
    </row>
    <row r="323" spans="34:37" x14ac:dyDescent="0.35">
      <c r="AH323" s="21"/>
      <c r="AI323" s="21"/>
      <c r="AJ323" s="21"/>
      <c r="AK323" s="21"/>
    </row>
    <row r="324" spans="34:37" x14ac:dyDescent="0.35">
      <c r="AH324" s="21"/>
      <c r="AI324" s="21"/>
      <c r="AJ324" s="21"/>
      <c r="AK324" s="21"/>
    </row>
    <row r="325" spans="34:37" x14ac:dyDescent="0.35">
      <c r="AH325" s="21"/>
      <c r="AI325" s="21"/>
      <c r="AJ325" s="21"/>
      <c r="AK325" s="21"/>
    </row>
    <row r="326" spans="34:37" x14ac:dyDescent="0.35">
      <c r="AH326" s="21"/>
      <c r="AI326" s="21"/>
      <c r="AJ326" s="21"/>
      <c r="AK326" s="21"/>
    </row>
    <row r="327" spans="34:37" x14ac:dyDescent="0.35">
      <c r="AH327" s="21"/>
      <c r="AI327" s="21"/>
      <c r="AJ327" s="21"/>
      <c r="AK327" s="21"/>
    </row>
    <row r="328" spans="34:37" x14ac:dyDescent="0.35">
      <c r="AH328" s="21"/>
      <c r="AI328" s="21"/>
      <c r="AJ328" s="21"/>
      <c r="AK328" s="21"/>
    </row>
    <row r="329" spans="34:37" x14ac:dyDescent="0.35">
      <c r="AH329" s="21"/>
      <c r="AI329" s="21"/>
      <c r="AJ329" s="21"/>
      <c r="AK329" s="21"/>
    </row>
    <row r="330" spans="34:37" x14ac:dyDescent="0.35">
      <c r="AH330" s="21"/>
      <c r="AI330" s="21"/>
      <c r="AJ330" s="21"/>
      <c r="AK330" s="21"/>
    </row>
    <row r="331" spans="34:37" x14ac:dyDescent="0.35">
      <c r="AH331" s="21"/>
      <c r="AI331" s="21"/>
      <c r="AJ331" s="21"/>
      <c r="AK331" s="21"/>
    </row>
    <row r="332" spans="34:37" x14ac:dyDescent="0.35">
      <c r="AH332" s="21"/>
      <c r="AI332" s="21"/>
      <c r="AJ332" s="21"/>
      <c r="AK332" s="21"/>
    </row>
    <row r="333" spans="34:37" x14ac:dyDescent="0.35">
      <c r="AH333" s="21"/>
      <c r="AI333" s="21"/>
      <c r="AJ333" s="21"/>
      <c r="AK333" s="21"/>
    </row>
    <row r="334" spans="34:37" x14ac:dyDescent="0.35">
      <c r="AH334" s="21"/>
      <c r="AI334" s="21"/>
      <c r="AJ334" s="21"/>
      <c r="AK334" s="21"/>
    </row>
    <row r="335" spans="34:37" x14ac:dyDescent="0.35">
      <c r="AH335" s="21"/>
      <c r="AI335" s="21"/>
      <c r="AJ335" s="21"/>
      <c r="AK335" s="21"/>
    </row>
    <row r="336" spans="34:37" x14ac:dyDescent="0.35">
      <c r="AH336" s="21"/>
      <c r="AI336" s="21"/>
      <c r="AJ336" s="21"/>
      <c r="AK336" s="21"/>
    </row>
    <row r="337" spans="34:37" x14ac:dyDescent="0.35">
      <c r="AH337" s="21"/>
      <c r="AI337" s="21"/>
      <c r="AJ337" s="21"/>
      <c r="AK337" s="21"/>
    </row>
    <row r="338" spans="34:37" x14ac:dyDescent="0.35">
      <c r="AH338" s="21"/>
      <c r="AI338" s="21"/>
      <c r="AJ338" s="21"/>
      <c r="AK338" s="21"/>
    </row>
    <row r="339" spans="34:37" x14ac:dyDescent="0.35">
      <c r="AH339" s="21"/>
      <c r="AI339" s="21"/>
      <c r="AJ339" s="21"/>
      <c r="AK339" s="21"/>
    </row>
    <row r="340" spans="34:37" x14ac:dyDescent="0.35">
      <c r="AH340" s="21"/>
      <c r="AI340" s="21"/>
      <c r="AJ340" s="21"/>
      <c r="AK340" s="21"/>
    </row>
    <row r="341" spans="34:37" x14ac:dyDescent="0.35">
      <c r="AH341" s="21"/>
      <c r="AI341" s="21"/>
      <c r="AJ341" s="21"/>
      <c r="AK341" s="21"/>
    </row>
    <row r="342" spans="34:37" x14ac:dyDescent="0.35">
      <c r="AH342" s="21"/>
      <c r="AI342" s="21"/>
      <c r="AJ342" s="21"/>
      <c r="AK342" s="21"/>
    </row>
    <row r="343" spans="34:37" x14ac:dyDescent="0.35">
      <c r="AH343" s="21"/>
      <c r="AI343" s="21"/>
      <c r="AJ343" s="21"/>
      <c r="AK343" s="21"/>
    </row>
    <row r="344" spans="34:37" x14ac:dyDescent="0.35">
      <c r="AH344" s="21"/>
      <c r="AI344" s="21"/>
      <c r="AJ344" s="21"/>
      <c r="AK344" s="21"/>
    </row>
    <row r="345" spans="34:37" x14ac:dyDescent="0.35">
      <c r="AH345" s="21"/>
      <c r="AI345" s="21"/>
      <c r="AJ345" s="21"/>
      <c r="AK345" s="21"/>
    </row>
    <row r="346" spans="34:37" x14ac:dyDescent="0.35">
      <c r="AH346" s="21"/>
      <c r="AI346" s="21"/>
      <c r="AJ346" s="21"/>
      <c r="AK346" s="21"/>
    </row>
    <row r="347" spans="34:37" x14ac:dyDescent="0.35">
      <c r="AH347" s="21"/>
      <c r="AI347" s="21"/>
      <c r="AJ347" s="21"/>
      <c r="AK347" s="21"/>
    </row>
    <row r="348" spans="34:37" x14ac:dyDescent="0.35">
      <c r="AH348" s="21"/>
      <c r="AI348" s="21"/>
      <c r="AJ348" s="21"/>
      <c r="AK348" s="21"/>
    </row>
    <row r="349" spans="34:37" x14ac:dyDescent="0.35">
      <c r="AH349" s="21"/>
      <c r="AI349" s="21"/>
      <c r="AJ349" s="21"/>
      <c r="AK349" s="21"/>
    </row>
    <row r="350" spans="34:37" x14ac:dyDescent="0.35">
      <c r="AH350" s="21"/>
      <c r="AI350" s="21"/>
      <c r="AJ350" s="21"/>
      <c r="AK350" s="21"/>
    </row>
    <row r="351" spans="34:37" x14ac:dyDescent="0.35">
      <c r="AH351" s="21"/>
      <c r="AI351" s="21"/>
      <c r="AJ351" s="21"/>
      <c r="AK351" s="21"/>
    </row>
    <row r="352" spans="34:37" x14ac:dyDescent="0.35">
      <c r="AH352" s="21"/>
      <c r="AI352" s="21"/>
      <c r="AJ352" s="21"/>
      <c r="AK352" s="21"/>
    </row>
    <row r="353" spans="34:37" x14ac:dyDescent="0.35">
      <c r="AH353" s="21"/>
      <c r="AI353" s="21"/>
      <c r="AJ353" s="21"/>
      <c r="AK353" s="21"/>
    </row>
    <row r="354" spans="34:37" x14ac:dyDescent="0.35">
      <c r="AH354" s="21"/>
      <c r="AI354" s="21"/>
      <c r="AJ354" s="21"/>
      <c r="AK354" s="21"/>
    </row>
    <row r="355" spans="34:37" x14ac:dyDescent="0.35">
      <c r="AH355" s="21"/>
      <c r="AI355" s="21"/>
      <c r="AJ355" s="21"/>
      <c r="AK355" s="21"/>
    </row>
    <row r="356" spans="34:37" x14ac:dyDescent="0.35">
      <c r="AH356" s="21"/>
      <c r="AI356" s="21"/>
      <c r="AJ356" s="21"/>
      <c r="AK356" s="21"/>
    </row>
    <row r="357" spans="34:37" x14ac:dyDescent="0.35">
      <c r="AH357" s="21"/>
      <c r="AI357" s="21"/>
      <c r="AJ357" s="21"/>
      <c r="AK357" s="21"/>
    </row>
    <row r="358" spans="34:37" x14ac:dyDescent="0.35">
      <c r="AH358" s="21"/>
      <c r="AI358" s="21"/>
      <c r="AJ358" s="21"/>
      <c r="AK358" s="21"/>
    </row>
    <row r="359" spans="34:37" x14ac:dyDescent="0.35">
      <c r="AH359" s="21"/>
      <c r="AI359" s="21"/>
      <c r="AJ359" s="21"/>
      <c r="AK359" s="21"/>
    </row>
    <row r="360" spans="34:37" x14ac:dyDescent="0.35">
      <c r="AH360" s="21"/>
      <c r="AI360" s="21"/>
      <c r="AJ360" s="21"/>
      <c r="AK360" s="21"/>
    </row>
    <row r="361" spans="34:37" x14ac:dyDescent="0.35">
      <c r="AH361" s="21"/>
      <c r="AI361" s="21"/>
      <c r="AJ361" s="21"/>
      <c r="AK361" s="21"/>
    </row>
    <row r="362" spans="34:37" x14ac:dyDescent="0.35">
      <c r="AH362" s="21"/>
      <c r="AI362" s="21"/>
      <c r="AJ362" s="21"/>
      <c r="AK362" s="21"/>
    </row>
    <row r="363" spans="34:37" x14ac:dyDescent="0.35">
      <c r="AH363" s="21"/>
      <c r="AI363" s="21"/>
      <c r="AJ363" s="21"/>
      <c r="AK363" s="21"/>
    </row>
    <row r="364" spans="34:37" x14ac:dyDescent="0.35">
      <c r="AH364" s="21"/>
      <c r="AI364" s="21"/>
      <c r="AJ364" s="21"/>
      <c r="AK364" s="21"/>
    </row>
    <row r="365" spans="34:37" x14ac:dyDescent="0.35">
      <c r="AH365" s="21"/>
      <c r="AI365" s="21"/>
      <c r="AJ365" s="21"/>
      <c r="AK365" s="21"/>
    </row>
    <row r="366" spans="34:37" x14ac:dyDescent="0.35">
      <c r="AH366" s="21"/>
      <c r="AI366" s="21"/>
      <c r="AJ366" s="21"/>
      <c r="AK366" s="21"/>
    </row>
    <row r="367" spans="34:37" x14ac:dyDescent="0.35">
      <c r="AH367" s="21"/>
      <c r="AI367" s="21"/>
      <c r="AJ367" s="21"/>
      <c r="AK367" s="21"/>
    </row>
    <row r="368" spans="34:37" x14ac:dyDescent="0.35">
      <c r="AH368" s="21"/>
      <c r="AI368" s="21"/>
      <c r="AJ368" s="21"/>
      <c r="AK368" s="21"/>
    </row>
    <row r="369" spans="34:37" x14ac:dyDescent="0.35">
      <c r="AH369" s="21"/>
      <c r="AI369" s="21"/>
      <c r="AJ369" s="21"/>
      <c r="AK369" s="21"/>
    </row>
    <row r="370" spans="34:37" x14ac:dyDescent="0.35">
      <c r="AH370" s="21"/>
      <c r="AI370" s="21"/>
      <c r="AJ370" s="21"/>
      <c r="AK370" s="21"/>
    </row>
    <row r="371" spans="34:37" x14ac:dyDescent="0.35">
      <c r="AH371" s="21"/>
      <c r="AI371" s="21"/>
      <c r="AJ371" s="21"/>
      <c r="AK371" s="21"/>
    </row>
    <row r="372" spans="34:37" x14ac:dyDescent="0.35">
      <c r="AH372" s="21"/>
      <c r="AI372" s="21"/>
      <c r="AJ372" s="21"/>
      <c r="AK372" s="21"/>
    </row>
    <row r="373" spans="34:37" x14ac:dyDescent="0.35">
      <c r="AH373" s="21"/>
      <c r="AI373" s="21"/>
      <c r="AJ373" s="21"/>
      <c r="AK373" s="21"/>
    </row>
    <row r="374" spans="34:37" x14ac:dyDescent="0.35">
      <c r="AH374" s="21"/>
      <c r="AI374" s="21"/>
      <c r="AJ374" s="21"/>
      <c r="AK374" s="21"/>
    </row>
    <row r="375" spans="34:37" x14ac:dyDescent="0.35">
      <c r="AH375" s="21"/>
      <c r="AI375" s="21"/>
      <c r="AJ375" s="21"/>
      <c r="AK375" s="21"/>
    </row>
    <row r="376" spans="34:37" x14ac:dyDescent="0.35">
      <c r="AH376" s="21"/>
      <c r="AI376" s="21"/>
      <c r="AJ376" s="21"/>
      <c r="AK376" s="21"/>
    </row>
    <row r="377" spans="34:37" x14ac:dyDescent="0.35">
      <c r="AH377" s="21"/>
      <c r="AI377" s="21"/>
      <c r="AJ377" s="21"/>
      <c r="AK377" s="21"/>
    </row>
    <row r="378" spans="34:37" x14ac:dyDescent="0.35">
      <c r="AH378" s="21"/>
      <c r="AI378" s="21"/>
      <c r="AJ378" s="21"/>
      <c r="AK378" s="21"/>
    </row>
    <row r="379" spans="34:37" x14ac:dyDescent="0.35">
      <c r="AH379" s="21"/>
      <c r="AI379" s="21"/>
      <c r="AJ379" s="21"/>
      <c r="AK379" s="21"/>
    </row>
    <row r="380" spans="34:37" x14ac:dyDescent="0.35">
      <c r="AH380" s="21"/>
      <c r="AI380" s="21"/>
      <c r="AJ380" s="21"/>
      <c r="AK380" s="21"/>
    </row>
    <row r="381" spans="34:37" x14ac:dyDescent="0.35">
      <c r="AH381" s="21"/>
      <c r="AI381" s="21"/>
      <c r="AJ381" s="21"/>
      <c r="AK381" s="21"/>
    </row>
    <row r="382" spans="34:37" x14ac:dyDescent="0.35">
      <c r="AH382" s="21"/>
      <c r="AI382" s="21"/>
      <c r="AJ382" s="21"/>
      <c r="AK382" s="21"/>
    </row>
    <row r="383" spans="34:37" x14ac:dyDescent="0.35">
      <c r="AH383" s="21"/>
      <c r="AI383" s="21"/>
      <c r="AJ383" s="21"/>
      <c r="AK383" s="21"/>
    </row>
    <row r="384" spans="34:37" x14ac:dyDescent="0.35">
      <c r="AH384" s="21"/>
      <c r="AI384" s="21"/>
      <c r="AJ384" s="21"/>
      <c r="AK384" s="21"/>
    </row>
    <row r="385" spans="34:37" x14ac:dyDescent="0.35">
      <c r="AH385" s="21"/>
      <c r="AI385" s="21"/>
      <c r="AJ385" s="21"/>
      <c r="AK385" s="21"/>
    </row>
    <row r="386" spans="34:37" x14ac:dyDescent="0.35">
      <c r="AH386" s="21"/>
      <c r="AI386" s="21"/>
      <c r="AJ386" s="21"/>
      <c r="AK386" s="21"/>
    </row>
    <row r="387" spans="34:37" x14ac:dyDescent="0.35">
      <c r="AH387" s="21"/>
      <c r="AI387" s="21"/>
      <c r="AJ387" s="21"/>
      <c r="AK387" s="21"/>
    </row>
    <row r="388" spans="34:37" x14ac:dyDescent="0.35">
      <c r="AH388" s="21"/>
      <c r="AI388" s="21"/>
      <c r="AJ388" s="21"/>
      <c r="AK388" s="21"/>
    </row>
    <row r="389" spans="34:37" x14ac:dyDescent="0.35">
      <c r="AH389" s="21"/>
      <c r="AI389" s="21"/>
      <c r="AJ389" s="21"/>
      <c r="AK389" s="21"/>
    </row>
    <row r="390" spans="34:37" x14ac:dyDescent="0.35">
      <c r="AH390" s="21"/>
      <c r="AI390" s="21"/>
      <c r="AJ390" s="21"/>
      <c r="AK390" s="21"/>
    </row>
    <row r="391" spans="34:37" x14ac:dyDescent="0.35">
      <c r="AH391" s="21"/>
      <c r="AI391" s="21"/>
      <c r="AJ391" s="21"/>
      <c r="AK391" s="21"/>
    </row>
    <row r="392" spans="34:37" x14ac:dyDescent="0.35">
      <c r="AH392" s="21"/>
      <c r="AI392" s="21"/>
      <c r="AJ392" s="21"/>
      <c r="AK392" s="21"/>
    </row>
    <row r="393" spans="34:37" x14ac:dyDescent="0.35">
      <c r="AH393" s="21"/>
      <c r="AI393" s="21"/>
      <c r="AJ393" s="21"/>
      <c r="AK393" s="21"/>
    </row>
    <row r="394" spans="34:37" x14ac:dyDescent="0.35">
      <c r="AH394" s="21"/>
      <c r="AI394" s="21"/>
      <c r="AJ394" s="21"/>
      <c r="AK394" s="21"/>
    </row>
    <row r="395" spans="34:37" x14ac:dyDescent="0.35">
      <c r="AH395" s="21"/>
      <c r="AI395" s="21"/>
      <c r="AJ395" s="21"/>
      <c r="AK395" s="21"/>
    </row>
    <row r="396" spans="34:37" x14ac:dyDescent="0.35">
      <c r="AH396" s="21"/>
      <c r="AI396" s="21"/>
      <c r="AJ396" s="21"/>
      <c r="AK396" s="21"/>
    </row>
    <row r="397" spans="34:37" x14ac:dyDescent="0.35">
      <c r="AH397" s="21"/>
      <c r="AI397" s="21"/>
      <c r="AJ397" s="21"/>
      <c r="AK397" s="21"/>
    </row>
    <row r="398" spans="34:37" x14ac:dyDescent="0.35">
      <c r="AH398" s="21"/>
      <c r="AI398" s="21"/>
      <c r="AJ398" s="21"/>
      <c r="AK398" s="21"/>
    </row>
    <row r="399" spans="34:37" x14ac:dyDescent="0.35">
      <c r="AH399" s="21"/>
      <c r="AI399" s="21"/>
      <c r="AJ399" s="21"/>
      <c r="AK399" s="21"/>
    </row>
    <row r="400" spans="34:37" x14ac:dyDescent="0.35">
      <c r="AH400" s="21"/>
      <c r="AI400" s="21"/>
      <c r="AJ400" s="21"/>
      <c r="AK400" s="21"/>
    </row>
    <row r="401" spans="34:37" x14ac:dyDescent="0.35">
      <c r="AH401" s="21"/>
      <c r="AI401" s="21"/>
      <c r="AJ401" s="21"/>
      <c r="AK401" s="21"/>
    </row>
    <row r="402" spans="34:37" x14ac:dyDescent="0.35">
      <c r="AH402" s="21"/>
      <c r="AI402" s="21"/>
      <c r="AJ402" s="21"/>
      <c r="AK402" s="21"/>
    </row>
    <row r="403" spans="34:37" x14ac:dyDescent="0.35">
      <c r="AH403" s="21"/>
      <c r="AI403" s="21"/>
      <c r="AJ403" s="21"/>
      <c r="AK403" s="21"/>
    </row>
    <row r="404" spans="34:37" x14ac:dyDescent="0.35">
      <c r="AH404" s="21"/>
      <c r="AI404" s="21"/>
      <c r="AJ404" s="21"/>
      <c r="AK404" s="21"/>
    </row>
    <row r="405" spans="34:37" x14ac:dyDescent="0.35">
      <c r="AH405" s="21"/>
      <c r="AI405" s="21"/>
      <c r="AJ405" s="21"/>
      <c r="AK405" s="21"/>
    </row>
    <row r="406" spans="34:37" x14ac:dyDescent="0.35">
      <c r="AH406" s="21"/>
      <c r="AI406" s="21"/>
      <c r="AJ406" s="21"/>
      <c r="AK406" s="21"/>
    </row>
    <row r="407" spans="34:37" x14ac:dyDescent="0.35">
      <c r="AH407" s="21"/>
      <c r="AI407" s="21"/>
      <c r="AJ407" s="21"/>
      <c r="AK407" s="21"/>
    </row>
    <row r="408" spans="34:37" x14ac:dyDescent="0.35">
      <c r="AH408" s="21"/>
      <c r="AI408" s="21"/>
      <c r="AJ408" s="21"/>
      <c r="AK408" s="21"/>
    </row>
    <row r="409" spans="34:37" x14ac:dyDescent="0.35">
      <c r="AH409" s="21"/>
      <c r="AI409" s="21"/>
      <c r="AJ409" s="21"/>
      <c r="AK409" s="21"/>
    </row>
    <row r="410" spans="34:37" x14ac:dyDescent="0.35">
      <c r="AH410" s="21"/>
      <c r="AI410" s="21"/>
      <c r="AJ410" s="21"/>
      <c r="AK410" s="21"/>
    </row>
    <row r="411" spans="34:37" x14ac:dyDescent="0.35">
      <c r="AH411" s="21"/>
      <c r="AI411" s="21"/>
      <c r="AJ411" s="21"/>
      <c r="AK411" s="21"/>
    </row>
    <row r="412" spans="34:37" x14ac:dyDescent="0.35">
      <c r="AH412" s="21"/>
      <c r="AI412" s="21"/>
      <c r="AJ412" s="21"/>
      <c r="AK412" s="21"/>
    </row>
    <row r="413" spans="34:37" x14ac:dyDescent="0.35">
      <c r="AH413" s="21"/>
      <c r="AI413" s="21"/>
      <c r="AJ413" s="21"/>
      <c r="AK413" s="21"/>
    </row>
    <row r="414" spans="34:37" x14ac:dyDescent="0.35">
      <c r="AH414" s="21"/>
      <c r="AI414" s="21"/>
      <c r="AJ414" s="21"/>
      <c r="AK414" s="21"/>
    </row>
    <row r="415" spans="34:37" x14ac:dyDescent="0.35">
      <c r="AH415" s="21"/>
      <c r="AI415" s="21"/>
      <c r="AJ415" s="21"/>
      <c r="AK415" s="21"/>
    </row>
    <row r="416" spans="34:37" x14ac:dyDescent="0.35">
      <c r="AH416" s="21"/>
      <c r="AI416" s="21"/>
      <c r="AJ416" s="21"/>
      <c r="AK416" s="21"/>
    </row>
    <row r="417" spans="34:37" x14ac:dyDescent="0.35">
      <c r="AH417" s="21"/>
      <c r="AI417" s="21"/>
      <c r="AJ417" s="21"/>
      <c r="AK417" s="21"/>
    </row>
    <row r="418" spans="34:37" x14ac:dyDescent="0.35">
      <c r="AH418" s="21"/>
      <c r="AI418" s="21"/>
      <c r="AJ418" s="21"/>
      <c r="AK418" s="21"/>
    </row>
    <row r="419" spans="34:37" x14ac:dyDescent="0.35">
      <c r="AH419" s="21"/>
      <c r="AI419" s="21"/>
      <c r="AJ419" s="21"/>
      <c r="AK419" s="21"/>
    </row>
    <row r="420" spans="34:37" x14ac:dyDescent="0.35">
      <c r="AH420" s="21"/>
      <c r="AI420" s="21"/>
      <c r="AJ420" s="21"/>
      <c r="AK420" s="21"/>
    </row>
    <row r="421" spans="34:37" x14ac:dyDescent="0.35">
      <c r="AH421" s="21"/>
      <c r="AI421" s="21"/>
      <c r="AJ421" s="21"/>
      <c r="AK421" s="21"/>
    </row>
    <row r="422" spans="34:37" x14ac:dyDescent="0.35">
      <c r="AH422" s="21"/>
      <c r="AI422" s="21"/>
      <c r="AJ422" s="21"/>
      <c r="AK422" s="21"/>
    </row>
    <row r="423" spans="34:37" x14ac:dyDescent="0.35">
      <c r="AH423" s="21"/>
      <c r="AI423" s="21"/>
      <c r="AJ423" s="21"/>
      <c r="AK423" s="21"/>
    </row>
    <row r="424" spans="34:37" x14ac:dyDescent="0.35">
      <c r="AH424" s="21"/>
      <c r="AI424" s="21"/>
      <c r="AJ424" s="21"/>
      <c r="AK424" s="21"/>
    </row>
    <row r="425" spans="34:37" x14ac:dyDescent="0.35">
      <c r="AH425" s="21"/>
      <c r="AI425" s="21"/>
      <c r="AJ425" s="21"/>
      <c r="AK425" s="21"/>
    </row>
    <row r="426" spans="34:37" x14ac:dyDescent="0.35">
      <c r="AH426" s="21"/>
      <c r="AI426" s="21"/>
      <c r="AJ426" s="21"/>
      <c r="AK426" s="21"/>
    </row>
    <row r="427" spans="34:37" x14ac:dyDescent="0.35">
      <c r="AH427" s="21"/>
      <c r="AI427" s="21"/>
      <c r="AJ427" s="21"/>
      <c r="AK427" s="21"/>
    </row>
    <row r="428" spans="34:37" x14ac:dyDescent="0.35">
      <c r="AH428" s="21"/>
      <c r="AI428" s="21"/>
      <c r="AJ428" s="21"/>
      <c r="AK428" s="21"/>
    </row>
    <row r="429" spans="34:37" x14ac:dyDescent="0.35">
      <c r="AH429" s="21"/>
      <c r="AI429" s="21"/>
      <c r="AJ429" s="21"/>
      <c r="AK429" s="21"/>
    </row>
    <row r="430" spans="34:37" x14ac:dyDescent="0.35">
      <c r="AH430" s="21"/>
      <c r="AI430" s="21"/>
      <c r="AJ430" s="21"/>
      <c r="AK430" s="21"/>
    </row>
    <row r="431" spans="34:37" x14ac:dyDescent="0.35">
      <c r="AH431" s="21"/>
      <c r="AI431" s="21"/>
      <c r="AJ431" s="21"/>
      <c r="AK431" s="21"/>
    </row>
    <row r="432" spans="34:37" x14ac:dyDescent="0.35">
      <c r="AH432" s="21"/>
      <c r="AI432" s="21"/>
      <c r="AJ432" s="21"/>
      <c r="AK432" s="21"/>
    </row>
    <row r="433" spans="34:37" x14ac:dyDescent="0.35">
      <c r="AH433" s="21"/>
      <c r="AI433" s="21"/>
      <c r="AJ433" s="21"/>
      <c r="AK433" s="21"/>
    </row>
    <row r="434" spans="34:37" x14ac:dyDescent="0.35">
      <c r="AH434" s="21"/>
      <c r="AI434" s="21"/>
      <c r="AJ434" s="21"/>
      <c r="AK434" s="21"/>
    </row>
    <row r="435" spans="34:37" x14ac:dyDescent="0.35">
      <c r="AH435" s="21"/>
      <c r="AI435" s="21"/>
      <c r="AJ435" s="21"/>
      <c r="AK435" s="21"/>
    </row>
    <row r="436" spans="34:37" x14ac:dyDescent="0.35">
      <c r="AH436" s="21"/>
      <c r="AI436" s="21"/>
      <c r="AJ436" s="21"/>
      <c r="AK436" s="21"/>
    </row>
    <row r="437" spans="34:37" x14ac:dyDescent="0.35">
      <c r="AH437" s="21"/>
      <c r="AI437" s="21"/>
      <c r="AJ437" s="21"/>
      <c r="AK437" s="21"/>
    </row>
    <row r="438" spans="34:37" x14ac:dyDescent="0.35">
      <c r="AH438" s="21"/>
      <c r="AI438" s="21"/>
      <c r="AJ438" s="21"/>
      <c r="AK438" s="21"/>
    </row>
    <row r="439" spans="34:37" x14ac:dyDescent="0.35">
      <c r="AH439" s="21"/>
      <c r="AI439" s="21"/>
      <c r="AJ439" s="21"/>
      <c r="AK439" s="21"/>
    </row>
    <row r="440" spans="34:37" x14ac:dyDescent="0.35">
      <c r="AH440" s="21"/>
      <c r="AI440" s="21"/>
      <c r="AJ440" s="21"/>
      <c r="AK440" s="21"/>
    </row>
    <row r="441" spans="34:37" x14ac:dyDescent="0.35">
      <c r="AH441" s="21"/>
      <c r="AI441" s="21"/>
      <c r="AJ441" s="21"/>
      <c r="AK441" s="21"/>
    </row>
    <row r="442" spans="34:37" x14ac:dyDescent="0.35">
      <c r="AH442" s="21"/>
      <c r="AI442" s="21"/>
      <c r="AJ442" s="21"/>
      <c r="AK442" s="21"/>
    </row>
    <row r="443" spans="34:37" x14ac:dyDescent="0.35">
      <c r="AH443" s="21"/>
      <c r="AI443" s="21"/>
      <c r="AJ443" s="21"/>
      <c r="AK443" s="21"/>
    </row>
    <row r="444" spans="34:37" x14ac:dyDescent="0.35">
      <c r="AH444" s="21"/>
      <c r="AI444" s="21"/>
      <c r="AJ444" s="21"/>
      <c r="AK444" s="21"/>
    </row>
    <row r="445" spans="34:37" x14ac:dyDescent="0.35">
      <c r="AH445" s="21"/>
      <c r="AI445" s="21"/>
      <c r="AJ445" s="21"/>
      <c r="AK445" s="21"/>
    </row>
    <row r="446" spans="34:37" x14ac:dyDescent="0.35">
      <c r="AH446" s="21"/>
      <c r="AI446" s="21"/>
      <c r="AJ446" s="21"/>
      <c r="AK446" s="21"/>
    </row>
    <row r="447" spans="34:37" x14ac:dyDescent="0.35">
      <c r="AH447" s="21"/>
      <c r="AI447" s="21"/>
      <c r="AJ447" s="21"/>
      <c r="AK447" s="21"/>
    </row>
    <row r="448" spans="34:37" x14ac:dyDescent="0.35">
      <c r="AH448" s="21"/>
      <c r="AI448" s="21"/>
      <c r="AJ448" s="21"/>
      <c r="AK448" s="21"/>
    </row>
    <row r="449" spans="34:37" x14ac:dyDescent="0.35">
      <c r="AH449" s="21"/>
      <c r="AI449" s="21"/>
      <c r="AJ449" s="21"/>
      <c r="AK449" s="21"/>
    </row>
    <row r="450" spans="34:37" x14ac:dyDescent="0.35">
      <c r="AH450" s="21"/>
      <c r="AI450" s="21"/>
      <c r="AJ450" s="21"/>
      <c r="AK450" s="21"/>
    </row>
    <row r="451" spans="34:37" x14ac:dyDescent="0.35">
      <c r="AH451" s="21"/>
      <c r="AI451" s="21"/>
      <c r="AJ451" s="21"/>
      <c r="AK451" s="21"/>
    </row>
  </sheetData>
  <autoFilter ref="A6:AM451" xr:uid="{E4D9BB4B-7593-479D-BD3D-744FCED46D15}">
    <filterColumn colId="8">
      <filters>
        <filter val="CRM"/>
      </filters>
    </filterColumn>
  </autoFilter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BEC7D-49E4-4583-BFB0-DF6CA96118A4}">
  <sheetPr filterMode="1"/>
  <dimension ref="A1:AM451"/>
  <sheetViews>
    <sheetView workbookViewId="0">
      <selection activeCell="A290" sqref="A290:AM451"/>
    </sheetView>
  </sheetViews>
  <sheetFormatPr defaultRowHeight="14.5" x14ac:dyDescent="0.35"/>
  <sheetData>
    <row r="1" spans="1:39" ht="24.75" customHeight="1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ht="15" customHeight="1" x14ac:dyDescent="0.35">
      <c r="B2" s="7" t="s">
        <v>50</v>
      </c>
      <c r="C2" t="s">
        <v>3436</v>
      </c>
      <c r="D2" s="8" t="s">
        <v>51</v>
      </c>
      <c r="G2" t="s">
        <v>3436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B=283,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5" spans="1:39" ht="15" customHeight="1" x14ac:dyDescent="0.35"/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hidden="1" thickTop="1" x14ac:dyDescent="0.35">
      <c r="A7" t="s">
        <v>2087</v>
      </c>
      <c r="B7" t="s">
        <v>2088</v>
      </c>
      <c r="C7" t="s">
        <v>66</v>
      </c>
      <c r="D7" t="s">
        <v>2089</v>
      </c>
      <c r="E7" t="s">
        <v>559</v>
      </c>
      <c r="F7">
        <v>1</v>
      </c>
      <c r="G7" t="s">
        <v>2050</v>
      </c>
      <c r="H7" t="s">
        <v>2051</v>
      </c>
      <c r="I7" t="s">
        <v>53</v>
      </c>
      <c r="J7" t="s">
        <v>67</v>
      </c>
      <c r="K7" t="s">
        <v>68</v>
      </c>
      <c r="L7" t="s">
        <v>2052</v>
      </c>
      <c r="M7" t="s">
        <v>2064</v>
      </c>
      <c r="N7">
        <v>0</v>
      </c>
      <c r="O7">
        <v>0</v>
      </c>
      <c r="P7">
        <v>0</v>
      </c>
      <c r="Q7">
        <v>900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69</v>
      </c>
      <c r="AH7" s="21" t="s">
        <v>3424</v>
      </c>
      <c r="AI7" s="21">
        <v>67.5</v>
      </c>
      <c r="AJ7" s="21">
        <v>100</v>
      </c>
      <c r="AK7" s="21" t="s">
        <v>2054</v>
      </c>
      <c r="AL7" t="s">
        <v>70</v>
      </c>
      <c r="AM7" t="s">
        <v>2029</v>
      </c>
    </row>
    <row r="8" spans="1:39" ht="15" hidden="1" thickTop="1" x14ac:dyDescent="0.35">
      <c r="A8" t="s">
        <v>2090</v>
      </c>
      <c r="B8" t="s">
        <v>2091</v>
      </c>
      <c r="C8" t="s">
        <v>71</v>
      </c>
      <c r="D8" t="s">
        <v>2092</v>
      </c>
      <c r="E8" t="s">
        <v>72</v>
      </c>
      <c r="F8">
        <v>2</v>
      </c>
      <c r="G8" t="s">
        <v>2050</v>
      </c>
      <c r="H8" t="s">
        <v>2051</v>
      </c>
      <c r="I8" t="s">
        <v>53</v>
      </c>
      <c r="J8" t="s">
        <v>73</v>
      </c>
      <c r="K8" t="s">
        <v>68</v>
      </c>
      <c r="L8" t="s">
        <v>2052</v>
      </c>
      <c r="M8" t="s">
        <v>2093</v>
      </c>
      <c r="N8">
        <v>0</v>
      </c>
      <c r="O8">
        <v>0</v>
      </c>
      <c r="P8">
        <v>0</v>
      </c>
      <c r="Q8">
        <v>840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74</v>
      </c>
      <c r="AH8" s="21" t="s">
        <v>3424</v>
      </c>
      <c r="AI8" s="21">
        <v>63</v>
      </c>
      <c r="AJ8" s="21">
        <v>100</v>
      </c>
      <c r="AK8" s="21" t="s">
        <v>2055</v>
      </c>
      <c r="AL8" t="s">
        <v>75</v>
      </c>
      <c r="AM8" t="s">
        <v>2027</v>
      </c>
    </row>
    <row r="9" spans="1:39" ht="15" hidden="1" thickTop="1" x14ac:dyDescent="0.35">
      <c r="A9" t="s">
        <v>2056</v>
      </c>
      <c r="B9" t="s">
        <v>2095</v>
      </c>
      <c r="C9" t="s">
        <v>76</v>
      </c>
      <c r="D9" t="s">
        <v>3437</v>
      </c>
      <c r="E9" t="s">
        <v>559</v>
      </c>
      <c r="F9">
        <v>3</v>
      </c>
      <c r="G9" t="s">
        <v>2050</v>
      </c>
      <c r="H9" t="s">
        <v>2051</v>
      </c>
      <c r="I9" t="s">
        <v>53</v>
      </c>
      <c r="J9" t="s">
        <v>67</v>
      </c>
      <c r="K9" t="s">
        <v>68</v>
      </c>
      <c r="L9" t="s">
        <v>2052</v>
      </c>
      <c r="M9" t="s">
        <v>2064</v>
      </c>
      <c r="N9">
        <v>0</v>
      </c>
      <c r="O9">
        <v>0</v>
      </c>
      <c r="P9">
        <v>0</v>
      </c>
      <c r="Q9">
        <v>900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77</v>
      </c>
      <c r="AH9" s="21" t="s">
        <v>3424</v>
      </c>
      <c r="AI9" s="21">
        <v>67.5</v>
      </c>
      <c r="AJ9" s="21">
        <v>100</v>
      </c>
      <c r="AK9" s="21" t="s">
        <v>2055</v>
      </c>
      <c r="AL9" t="s">
        <v>70</v>
      </c>
      <c r="AM9" t="s">
        <v>2028</v>
      </c>
    </row>
    <row r="10" spans="1:39" ht="15" hidden="1" thickTop="1" x14ac:dyDescent="0.35">
      <c r="A10" t="s">
        <v>2057</v>
      </c>
      <c r="B10" t="s">
        <v>2098</v>
      </c>
      <c r="C10" t="s">
        <v>78</v>
      </c>
      <c r="D10" t="s">
        <v>2099</v>
      </c>
      <c r="E10" t="s">
        <v>559</v>
      </c>
      <c r="F10">
        <v>2</v>
      </c>
      <c r="G10" t="s">
        <v>2050</v>
      </c>
      <c r="H10" t="s">
        <v>2051</v>
      </c>
      <c r="I10" t="s">
        <v>53</v>
      </c>
      <c r="J10" t="s">
        <v>67</v>
      </c>
      <c r="K10" t="s">
        <v>68</v>
      </c>
      <c r="L10" t="s">
        <v>2052</v>
      </c>
      <c r="M10" t="s">
        <v>2064</v>
      </c>
      <c r="N10">
        <v>0</v>
      </c>
      <c r="O10">
        <v>0</v>
      </c>
      <c r="P10">
        <v>0</v>
      </c>
      <c r="Q10">
        <v>900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80</v>
      </c>
      <c r="AH10" s="21" t="s">
        <v>3424</v>
      </c>
      <c r="AI10" s="21">
        <v>67.5</v>
      </c>
      <c r="AJ10" s="21">
        <v>100</v>
      </c>
      <c r="AK10" s="21" t="s">
        <v>2055</v>
      </c>
      <c r="AL10" t="s">
        <v>70</v>
      </c>
      <c r="AM10" t="s">
        <v>2029</v>
      </c>
    </row>
    <row r="11" spans="1:39" ht="15" hidden="1" thickTop="1" x14ac:dyDescent="0.35">
      <c r="A11" t="s">
        <v>2058</v>
      </c>
      <c r="B11" t="s">
        <v>2101</v>
      </c>
      <c r="C11" t="s">
        <v>565</v>
      </c>
      <c r="D11" t="s">
        <v>2102</v>
      </c>
      <c r="E11" t="s">
        <v>559</v>
      </c>
      <c r="F11">
        <v>1</v>
      </c>
      <c r="G11" t="s">
        <v>2050</v>
      </c>
      <c r="H11" t="s">
        <v>2051</v>
      </c>
      <c r="I11" t="s">
        <v>53</v>
      </c>
      <c r="J11" t="s">
        <v>427</v>
      </c>
      <c r="K11" t="s">
        <v>68</v>
      </c>
      <c r="L11" t="s">
        <v>2052</v>
      </c>
      <c r="M11" t="s">
        <v>2053</v>
      </c>
      <c r="N11">
        <v>0</v>
      </c>
      <c r="O11">
        <v>0</v>
      </c>
      <c r="P11">
        <v>0</v>
      </c>
      <c r="Q11">
        <v>1440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83</v>
      </c>
      <c r="AH11" s="21" t="s">
        <v>3425</v>
      </c>
      <c r="AI11" s="21">
        <v>107.92500000000001</v>
      </c>
      <c r="AJ11" s="21">
        <v>100</v>
      </c>
      <c r="AK11" s="21" t="s">
        <v>2054</v>
      </c>
      <c r="AL11" t="s">
        <v>70</v>
      </c>
      <c r="AM11" t="s">
        <v>2029</v>
      </c>
    </row>
    <row r="12" spans="1:39" ht="15" hidden="1" thickTop="1" x14ac:dyDescent="0.35">
      <c r="A12" t="s">
        <v>2059</v>
      </c>
      <c r="B12" t="s">
        <v>2103</v>
      </c>
      <c r="C12" t="s">
        <v>565</v>
      </c>
      <c r="D12" t="s">
        <v>2104</v>
      </c>
      <c r="E12" t="s">
        <v>559</v>
      </c>
      <c r="F12">
        <v>2</v>
      </c>
      <c r="G12" t="s">
        <v>2050</v>
      </c>
      <c r="H12" t="s">
        <v>2051</v>
      </c>
      <c r="I12" t="s">
        <v>53</v>
      </c>
      <c r="J12" t="s">
        <v>427</v>
      </c>
      <c r="K12" t="s">
        <v>68</v>
      </c>
      <c r="L12" t="s">
        <v>2052</v>
      </c>
      <c r="M12" t="s">
        <v>2063</v>
      </c>
      <c r="N12">
        <v>0</v>
      </c>
      <c r="O12">
        <v>0</v>
      </c>
      <c r="P12">
        <v>0</v>
      </c>
      <c r="Q12">
        <v>1020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84</v>
      </c>
      <c r="AH12" s="21" t="s">
        <v>3425</v>
      </c>
      <c r="AI12" s="21">
        <v>76.500000000000014</v>
      </c>
      <c r="AJ12" s="21">
        <v>100</v>
      </c>
      <c r="AK12" s="21" t="s">
        <v>2054</v>
      </c>
      <c r="AL12" t="s">
        <v>70</v>
      </c>
      <c r="AM12" t="s">
        <v>2027</v>
      </c>
    </row>
    <row r="13" spans="1:39" ht="15" hidden="1" thickTop="1" x14ac:dyDescent="0.35">
      <c r="A13" t="s">
        <v>2105</v>
      </c>
      <c r="B13" t="s">
        <v>2107</v>
      </c>
      <c r="C13" t="s">
        <v>81</v>
      </c>
      <c r="D13" t="s">
        <v>2108</v>
      </c>
      <c r="E13" t="s">
        <v>559</v>
      </c>
      <c r="F13">
        <v>1</v>
      </c>
      <c r="G13" t="s">
        <v>2050</v>
      </c>
      <c r="H13" t="s">
        <v>2051</v>
      </c>
      <c r="I13" t="s">
        <v>53</v>
      </c>
      <c r="J13" t="s">
        <v>82</v>
      </c>
      <c r="K13" t="s">
        <v>68</v>
      </c>
      <c r="L13" t="s">
        <v>2052</v>
      </c>
      <c r="M13" t="s">
        <v>2100</v>
      </c>
      <c r="N13">
        <v>0</v>
      </c>
      <c r="O13">
        <v>0</v>
      </c>
      <c r="P13">
        <v>0</v>
      </c>
      <c r="Q13">
        <v>840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85</v>
      </c>
      <c r="AH13" s="21" t="s">
        <v>3425</v>
      </c>
      <c r="AI13" s="21">
        <v>62.999999999999986</v>
      </c>
      <c r="AJ13" s="21">
        <v>100</v>
      </c>
      <c r="AK13" s="21" t="s">
        <v>2055</v>
      </c>
      <c r="AL13" t="s">
        <v>70</v>
      </c>
      <c r="AM13" t="s">
        <v>2030</v>
      </c>
    </row>
    <row r="14" spans="1:39" ht="15" hidden="1" thickTop="1" x14ac:dyDescent="0.35">
      <c r="A14" t="s">
        <v>2106</v>
      </c>
      <c r="B14" t="s">
        <v>2109</v>
      </c>
      <c r="C14" t="s">
        <v>820</v>
      </c>
      <c r="D14" t="s">
        <v>2110</v>
      </c>
      <c r="E14" t="s">
        <v>72</v>
      </c>
      <c r="F14">
        <v>2</v>
      </c>
      <c r="G14" t="s">
        <v>2050</v>
      </c>
      <c r="H14" t="s">
        <v>2051</v>
      </c>
      <c r="I14" t="s">
        <v>53</v>
      </c>
      <c r="J14" t="s">
        <v>424</v>
      </c>
      <c r="K14" t="s">
        <v>68</v>
      </c>
      <c r="L14" t="s">
        <v>2052</v>
      </c>
      <c r="M14" t="s">
        <v>2053</v>
      </c>
      <c r="N14">
        <v>0</v>
      </c>
      <c r="O14">
        <v>0</v>
      </c>
      <c r="P14">
        <v>0</v>
      </c>
      <c r="Q14">
        <v>1440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87</v>
      </c>
      <c r="AH14" s="21" t="s">
        <v>3425</v>
      </c>
      <c r="AI14" s="21">
        <v>107.92500000000001</v>
      </c>
      <c r="AJ14" s="21">
        <v>100</v>
      </c>
      <c r="AK14" s="21" t="s">
        <v>2054</v>
      </c>
      <c r="AL14" t="s">
        <v>75</v>
      </c>
      <c r="AM14" t="s">
        <v>2027</v>
      </c>
    </row>
    <row r="15" spans="1:39" ht="15" hidden="1" thickTop="1" x14ac:dyDescent="0.35">
      <c r="A15" t="s">
        <v>2111</v>
      </c>
      <c r="B15" t="s">
        <v>2112</v>
      </c>
      <c r="C15" t="s">
        <v>78</v>
      </c>
      <c r="D15" t="s">
        <v>2113</v>
      </c>
      <c r="E15" t="s">
        <v>559</v>
      </c>
      <c r="F15">
        <v>1</v>
      </c>
      <c r="G15" t="s">
        <v>2050</v>
      </c>
      <c r="H15" t="s">
        <v>2051</v>
      </c>
      <c r="I15" t="s">
        <v>53</v>
      </c>
      <c r="J15" t="s">
        <v>67</v>
      </c>
      <c r="K15" t="s">
        <v>68</v>
      </c>
      <c r="L15" t="s">
        <v>2052</v>
      </c>
      <c r="M15" t="s">
        <v>2053</v>
      </c>
      <c r="N15">
        <v>0</v>
      </c>
      <c r="O15">
        <v>0</v>
      </c>
      <c r="P15">
        <v>0</v>
      </c>
      <c r="Q15">
        <v>1440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89</v>
      </c>
      <c r="AH15" s="21" t="s">
        <v>3425</v>
      </c>
      <c r="AI15" s="21">
        <v>107.92500000000001</v>
      </c>
      <c r="AJ15" s="21">
        <v>100</v>
      </c>
      <c r="AK15" s="21" t="s">
        <v>2054</v>
      </c>
      <c r="AL15" t="s">
        <v>70</v>
      </c>
      <c r="AM15" t="s">
        <v>2030</v>
      </c>
    </row>
    <row r="16" spans="1:39" ht="15" hidden="1" thickTop="1" x14ac:dyDescent="0.35">
      <c r="A16" t="s">
        <v>2114</v>
      </c>
      <c r="B16" t="s">
        <v>2116</v>
      </c>
      <c r="C16" t="s">
        <v>71</v>
      </c>
      <c r="D16" t="s">
        <v>2117</v>
      </c>
      <c r="E16" t="s">
        <v>72</v>
      </c>
      <c r="F16">
        <v>1</v>
      </c>
      <c r="G16" t="s">
        <v>2050</v>
      </c>
      <c r="H16" t="s">
        <v>2051</v>
      </c>
      <c r="I16" t="s">
        <v>53</v>
      </c>
      <c r="J16" t="s">
        <v>73</v>
      </c>
      <c r="K16" t="s">
        <v>68</v>
      </c>
      <c r="L16" t="s">
        <v>2052</v>
      </c>
      <c r="M16" t="s">
        <v>2053</v>
      </c>
      <c r="N16">
        <v>0</v>
      </c>
      <c r="O16">
        <v>0</v>
      </c>
      <c r="P16">
        <v>0</v>
      </c>
      <c r="Q16">
        <v>1440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90</v>
      </c>
      <c r="AH16" s="21" t="s">
        <v>3426</v>
      </c>
      <c r="AI16" s="21">
        <v>107.92500000000001</v>
      </c>
      <c r="AJ16" s="21">
        <v>100</v>
      </c>
      <c r="AK16" s="21" t="s">
        <v>2055</v>
      </c>
      <c r="AL16" t="s">
        <v>75</v>
      </c>
      <c r="AM16" t="s">
        <v>2028</v>
      </c>
    </row>
    <row r="17" spans="1:39" ht="15" hidden="1" thickTop="1" x14ac:dyDescent="0.35">
      <c r="A17" t="s">
        <v>2115</v>
      </c>
      <c r="B17" t="s">
        <v>2118</v>
      </c>
      <c r="C17" t="s">
        <v>66</v>
      </c>
      <c r="D17" t="s">
        <v>2119</v>
      </c>
      <c r="E17" t="s">
        <v>559</v>
      </c>
      <c r="F17">
        <v>2</v>
      </c>
      <c r="G17" t="s">
        <v>2050</v>
      </c>
      <c r="H17" t="s">
        <v>2051</v>
      </c>
      <c r="I17" t="s">
        <v>53</v>
      </c>
      <c r="J17" t="s">
        <v>67</v>
      </c>
      <c r="K17" t="s">
        <v>68</v>
      </c>
      <c r="L17" t="s">
        <v>2052</v>
      </c>
      <c r="M17" t="s">
        <v>2064</v>
      </c>
      <c r="N17">
        <v>0</v>
      </c>
      <c r="O17">
        <v>0</v>
      </c>
      <c r="P17">
        <v>0</v>
      </c>
      <c r="Q17">
        <v>900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91</v>
      </c>
      <c r="AH17" s="21" t="s">
        <v>3427</v>
      </c>
      <c r="AI17" s="21">
        <v>67.5</v>
      </c>
      <c r="AJ17" s="21">
        <v>100</v>
      </c>
      <c r="AK17" s="21" t="s">
        <v>2055</v>
      </c>
      <c r="AL17" t="s">
        <v>70</v>
      </c>
      <c r="AM17" t="s">
        <v>2029</v>
      </c>
    </row>
    <row r="18" spans="1:39" ht="15" hidden="1" thickTop="1" x14ac:dyDescent="0.35">
      <c r="A18" t="s">
        <v>2120</v>
      </c>
      <c r="B18" t="s">
        <v>2123</v>
      </c>
      <c r="C18" t="s">
        <v>66</v>
      </c>
      <c r="D18" t="s">
        <v>2124</v>
      </c>
      <c r="E18" t="s">
        <v>559</v>
      </c>
      <c r="F18">
        <v>1</v>
      </c>
      <c r="G18" t="s">
        <v>2050</v>
      </c>
      <c r="H18" t="s">
        <v>2051</v>
      </c>
      <c r="I18" t="s">
        <v>53</v>
      </c>
      <c r="J18" t="s">
        <v>67</v>
      </c>
      <c r="K18" t="s">
        <v>68</v>
      </c>
      <c r="L18" t="s">
        <v>2052</v>
      </c>
      <c r="M18" t="s">
        <v>2053</v>
      </c>
      <c r="N18">
        <v>0</v>
      </c>
      <c r="O18">
        <v>0</v>
      </c>
      <c r="P18">
        <v>0</v>
      </c>
      <c r="Q18">
        <v>1440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93</v>
      </c>
      <c r="AH18" s="21" t="s">
        <v>3427</v>
      </c>
      <c r="AI18" s="21">
        <v>107.92500000000001</v>
      </c>
      <c r="AJ18" s="21">
        <v>100</v>
      </c>
      <c r="AK18" s="21" t="s">
        <v>2054</v>
      </c>
      <c r="AL18" t="s">
        <v>70</v>
      </c>
      <c r="AM18" t="s">
        <v>2031</v>
      </c>
    </row>
    <row r="19" spans="1:39" ht="15" hidden="1" thickTop="1" x14ac:dyDescent="0.35">
      <c r="A19" t="s">
        <v>2121</v>
      </c>
      <c r="B19" t="s">
        <v>2125</v>
      </c>
      <c r="C19" t="s">
        <v>1515</v>
      </c>
      <c r="D19" t="s">
        <v>2126</v>
      </c>
      <c r="E19" t="s">
        <v>95</v>
      </c>
      <c r="F19">
        <v>1</v>
      </c>
      <c r="G19" t="s">
        <v>2050</v>
      </c>
      <c r="H19" t="s">
        <v>2051</v>
      </c>
      <c r="I19" t="s">
        <v>53</v>
      </c>
      <c r="J19" t="s">
        <v>1516</v>
      </c>
      <c r="K19" t="s">
        <v>68</v>
      </c>
      <c r="L19" t="s">
        <v>2052</v>
      </c>
      <c r="M19" t="s">
        <v>2053</v>
      </c>
      <c r="N19">
        <v>0</v>
      </c>
      <c r="O19">
        <v>0</v>
      </c>
      <c r="P19">
        <v>0</v>
      </c>
      <c r="Q19">
        <v>1440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97</v>
      </c>
      <c r="AH19" s="21" t="s">
        <v>3427</v>
      </c>
      <c r="AI19" s="21">
        <v>107.92500000000001</v>
      </c>
      <c r="AJ19" s="21">
        <v>100</v>
      </c>
      <c r="AK19" s="21" t="s">
        <v>2055</v>
      </c>
      <c r="AL19" t="s">
        <v>75</v>
      </c>
      <c r="AM19" t="s">
        <v>2027</v>
      </c>
    </row>
    <row r="20" spans="1:39" ht="15" hidden="1" thickTop="1" x14ac:dyDescent="0.35">
      <c r="A20" t="s">
        <v>2122</v>
      </c>
      <c r="B20" t="s">
        <v>2127</v>
      </c>
      <c r="C20" t="s">
        <v>71</v>
      </c>
      <c r="D20" t="s">
        <v>2128</v>
      </c>
      <c r="E20" t="s">
        <v>72</v>
      </c>
      <c r="F20">
        <v>1</v>
      </c>
      <c r="G20" t="s">
        <v>2050</v>
      </c>
      <c r="H20" t="s">
        <v>2051</v>
      </c>
      <c r="I20" t="s">
        <v>53</v>
      </c>
      <c r="J20" t="s">
        <v>73</v>
      </c>
      <c r="K20" t="s">
        <v>68</v>
      </c>
      <c r="L20" t="s">
        <v>2052</v>
      </c>
      <c r="M20" t="s">
        <v>2053</v>
      </c>
      <c r="N20">
        <v>0</v>
      </c>
      <c r="O20">
        <v>0</v>
      </c>
      <c r="P20">
        <v>0</v>
      </c>
      <c r="Q20">
        <v>1440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98</v>
      </c>
      <c r="AH20" s="21" t="s">
        <v>3427</v>
      </c>
      <c r="AI20" s="21">
        <v>107.92500000000001</v>
      </c>
      <c r="AJ20" s="21">
        <v>100</v>
      </c>
      <c r="AK20" s="21" t="s">
        <v>2054</v>
      </c>
      <c r="AL20" t="s">
        <v>75</v>
      </c>
      <c r="AM20" t="s">
        <v>2028</v>
      </c>
    </row>
    <row r="21" spans="1:39" ht="15" hidden="1" thickTop="1" x14ac:dyDescent="0.35">
      <c r="A21" t="s">
        <v>2129</v>
      </c>
      <c r="B21" t="s">
        <v>2132</v>
      </c>
      <c r="C21" t="s">
        <v>78</v>
      </c>
      <c r="D21" t="s">
        <v>2133</v>
      </c>
      <c r="E21" t="s">
        <v>559</v>
      </c>
      <c r="F21">
        <v>1</v>
      </c>
      <c r="G21" t="s">
        <v>2050</v>
      </c>
      <c r="H21" t="s">
        <v>2051</v>
      </c>
      <c r="I21" t="s">
        <v>53</v>
      </c>
      <c r="J21" t="s">
        <v>67</v>
      </c>
      <c r="K21" t="s">
        <v>68</v>
      </c>
      <c r="L21" t="s">
        <v>2052</v>
      </c>
      <c r="M21" t="s">
        <v>2053</v>
      </c>
      <c r="N21">
        <v>0</v>
      </c>
      <c r="O21">
        <v>0</v>
      </c>
      <c r="P21">
        <v>0</v>
      </c>
      <c r="Q21">
        <v>1440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99</v>
      </c>
      <c r="AH21" s="21" t="s">
        <v>3427</v>
      </c>
      <c r="AI21" s="21">
        <v>107.92500000000001</v>
      </c>
      <c r="AJ21" s="21">
        <v>100</v>
      </c>
      <c r="AK21" s="21" t="s">
        <v>2054</v>
      </c>
      <c r="AL21" t="s">
        <v>70</v>
      </c>
      <c r="AM21" t="s">
        <v>2027</v>
      </c>
    </row>
    <row r="22" spans="1:39" ht="15" hidden="1" thickTop="1" x14ac:dyDescent="0.35">
      <c r="A22" t="s">
        <v>2130</v>
      </c>
      <c r="B22" t="s">
        <v>2134</v>
      </c>
      <c r="C22" t="s">
        <v>100</v>
      </c>
      <c r="D22" t="s">
        <v>2135</v>
      </c>
      <c r="E22" t="s">
        <v>559</v>
      </c>
      <c r="F22">
        <v>1</v>
      </c>
      <c r="G22" t="s">
        <v>2050</v>
      </c>
      <c r="H22" t="s">
        <v>2051</v>
      </c>
      <c r="I22" t="s">
        <v>53</v>
      </c>
      <c r="J22" t="s">
        <v>67</v>
      </c>
      <c r="K22" t="s">
        <v>68</v>
      </c>
      <c r="L22" t="s">
        <v>2052</v>
      </c>
      <c r="M22" t="s">
        <v>2053</v>
      </c>
      <c r="N22">
        <v>0</v>
      </c>
      <c r="O22">
        <v>0</v>
      </c>
      <c r="P22">
        <v>0</v>
      </c>
      <c r="Q22">
        <v>1440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101</v>
      </c>
      <c r="AH22" s="21" t="s">
        <v>3424</v>
      </c>
      <c r="AI22" s="21">
        <v>107.92500000000001</v>
      </c>
      <c r="AJ22" s="21">
        <v>100</v>
      </c>
      <c r="AK22" s="21" t="s">
        <v>2054</v>
      </c>
      <c r="AL22" t="s">
        <v>70</v>
      </c>
      <c r="AM22" t="s">
        <v>2028</v>
      </c>
    </row>
    <row r="23" spans="1:39" ht="15" hidden="1" thickTop="1" x14ac:dyDescent="0.35">
      <c r="A23" t="s">
        <v>2131</v>
      </c>
      <c r="B23" t="s">
        <v>2136</v>
      </c>
      <c r="C23" t="s">
        <v>102</v>
      </c>
      <c r="D23" t="s">
        <v>2137</v>
      </c>
      <c r="E23" t="s">
        <v>559</v>
      </c>
      <c r="F23">
        <v>1</v>
      </c>
      <c r="G23" t="s">
        <v>2050</v>
      </c>
      <c r="H23" t="s">
        <v>2051</v>
      </c>
      <c r="I23" t="s">
        <v>53</v>
      </c>
      <c r="J23" t="s">
        <v>67</v>
      </c>
      <c r="K23" t="s">
        <v>68</v>
      </c>
      <c r="L23" t="s">
        <v>2052</v>
      </c>
      <c r="M23" t="s">
        <v>2053</v>
      </c>
      <c r="N23">
        <v>0</v>
      </c>
      <c r="O23">
        <v>0</v>
      </c>
      <c r="P23">
        <v>0</v>
      </c>
      <c r="Q23">
        <v>1440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103</v>
      </c>
      <c r="AH23" s="21" t="s">
        <v>3425</v>
      </c>
      <c r="AI23" s="21">
        <v>107.92500000000001</v>
      </c>
      <c r="AJ23" s="21">
        <v>100</v>
      </c>
      <c r="AK23" s="21" t="s">
        <v>2054</v>
      </c>
      <c r="AL23" t="s">
        <v>70</v>
      </c>
      <c r="AM23" t="s">
        <v>2027</v>
      </c>
    </row>
    <row r="24" spans="1:39" ht="15" hidden="1" thickTop="1" x14ac:dyDescent="0.35">
      <c r="A24" t="s">
        <v>2138</v>
      </c>
      <c r="B24" t="s">
        <v>2140</v>
      </c>
      <c r="C24" t="s">
        <v>66</v>
      </c>
      <c r="D24" t="s">
        <v>2141</v>
      </c>
      <c r="E24" t="s">
        <v>559</v>
      </c>
      <c r="F24">
        <v>2</v>
      </c>
      <c r="G24" t="s">
        <v>2050</v>
      </c>
      <c r="H24" t="s">
        <v>2051</v>
      </c>
      <c r="I24" t="s">
        <v>53</v>
      </c>
      <c r="J24" t="s">
        <v>67</v>
      </c>
      <c r="K24" t="s">
        <v>68</v>
      </c>
      <c r="L24" t="s">
        <v>2052</v>
      </c>
      <c r="M24" t="s">
        <v>2053</v>
      </c>
      <c r="N24">
        <v>0</v>
      </c>
      <c r="O24">
        <v>0</v>
      </c>
      <c r="P24">
        <v>0</v>
      </c>
      <c r="Q24">
        <v>1440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104</v>
      </c>
      <c r="AH24" s="21" t="s">
        <v>3428</v>
      </c>
      <c r="AI24" s="21">
        <v>107.92500000000001</v>
      </c>
      <c r="AJ24" s="21">
        <v>100</v>
      </c>
      <c r="AK24" s="21" t="s">
        <v>2054</v>
      </c>
      <c r="AL24" t="s">
        <v>70</v>
      </c>
      <c r="AM24" t="s">
        <v>2028</v>
      </c>
    </row>
    <row r="25" spans="1:39" ht="15" hidden="1" thickTop="1" x14ac:dyDescent="0.35">
      <c r="A25" t="s">
        <v>2060</v>
      </c>
      <c r="B25" t="s">
        <v>2147</v>
      </c>
      <c r="C25" t="s">
        <v>76</v>
      </c>
      <c r="D25" t="s">
        <v>2148</v>
      </c>
      <c r="E25" t="s">
        <v>559</v>
      </c>
      <c r="F25">
        <v>1</v>
      </c>
      <c r="G25" t="s">
        <v>2050</v>
      </c>
      <c r="H25" t="s">
        <v>2051</v>
      </c>
      <c r="I25" t="s">
        <v>53</v>
      </c>
      <c r="J25" t="s">
        <v>67</v>
      </c>
      <c r="K25" t="s">
        <v>68</v>
      </c>
      <c r="L25" t="s">
        <v>2052</v>
      </c>
      <c r="M25" t="s">
        <v>2064</v>
      </c>
      <c r="N25">
        <v>0</v>
      </c>
      <c r="O25">
        <v>0</v>
      </c>
      <c r="P25">
        <v>0</v>
      </c>
      <c r="Q25">
        <v>900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105</v>
      </c>
      <c r="AH25" s="21" t="s">
        <v>3425</v>
      </c>
      <c r="AI25" s="21">
        <v>67.5</v>
      </c>
      <c r="AJ25" s="21">
        <v>100</v>
      </c>
      <c r="AK25" s="21" t="s">
        <v>2054</v>
      </c>
      <c r="AL25" t="s">
        <v>70</v>
      </c>
      <c r="AM25" t="s">
        <v>2029</v>
      </c>
    </row>
    <row r="26" spans="1:39" ht="15" hidden="1" thickTop="1" x14ac:dyDescent="0.35">
      <c r="A26" t="s">
        <v>2142</v>
      </c>
      <c r="B26" t="s">
        <v>2149</v>
      </c>
      <c r="C26" t="s">
        <v>76</v>
      </c>
      <c r="D26" t="s">
        <v>2150</v>
      </c>
      <c r="E26" t="s">
        <v>559</v>
      </c>
      <c r="F26">
        <v>1</v>
      </c>
      <c r="G26" t="s">
        <v>2050</v>
      </c>
      <c r="H26" t="s">
        <v>2051</v>
      </c>
      <c r="I26" t="s">
        <v>53</v>
      </c>
      <c r="J26" t="s">
        <v>67</v>
      </c>
      <c r="K26" t="s">
        <v>68</v>
      </c>
      <c r="L26" t="s">
        <v>2052</v>
      </c>
      <c r="M26" t="s">
        <v>2064</v>
      </c>
      <c r="N26">
        <v>0</v>
      </c>
      <c r="O26">
        <v>0</v>
      </c>
      <c r="P26">
        <v>0</v>
      </c>
      <c r="Q26">
        <v>900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106</v>
      </c>
      <c r="AH26" s="21" t="s">
        <v>3424</v>
      </c>
      <c r="AI26" s="21">
        <v>67.5</v>
      </c>
      <c r="AJ26" s="21">
        <v>100</v>
      </c>
      <c r="AK26" s="21" t="s">
        <v>2054</v>
      </c>
      <c r="AL26" t="s">
        <v>70</v>
      </c>
      <c r="AM26" t="s">
        <v>2028</v>
      </c>
    </row>
    <row r="27" spans="1:39" ht="15" hidden="1" thickTop="1" x14ac:dyDescent="0.35">
      <c r="A27" t="s">
        <v>2143</v>
      </c>
      <c r="B27" t="s">
        <v>2151</v>
      </c>
      <c r="C27" t="s">
        <v>86</v>
      </c>
      <c r="D27" t="s">
        <v>2152</v>
      </c>
      <c r="E27" t="s">
        <v>72</v>
      </c>
      <c r="F27">
        <v>1</v>
      </c>
      <c r="G27" t="s">
        <v>2050</v>
      </c>
      <c r="H27" t="s">
        <v>2051</v>
      </c>
      <c r="I27" t="s">
        <v>53</v>
      </c>
      <c r="J27" t="s">
        <v>73</v>
      </c>
      <c r="K27" t="s">
        <v>68</v>
      </c>
      <c r="L27" t="s">
        <v>2052</v>
      </c>
      <c r="M27" t="s">
        <v>2064</v>
      </c>
      <c r="N27">
        <v>0</v>
      </c>
      <c r="O27">
        <v>0</v>
      </c>
      <c r="P27">
        <v>0</v>
      </c>
      <c r="Q27">
        <v>900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107</v>
      </c>
      <c r="AH27" s="21" t="s">
        <v>3424</v>
      </c>
      <c r="AI27" s="21">
        <v>67.5</v>
      </c>
      <c r="AJ27" s="21">
        <v>100</v>
      </c>
      <c r="AK27" s="21" t="s">
        <v>2054</v>
      </c>
      <c r="AL27" t="s">
        <v>75</v>
      </c>
      <c r="AM27" t="s">
        <v>2029</v>
      </c>
    </row>
    <row r="28" spans="1:39" ht="15" hidden="1" thickTop="1" x14ac:dyDescent="0.35">
      <c r="A28" t="s">
        <v>2145</v>
      </c>
      <c r="B28" t="s">
        <v>2156</v>
      </c>
      <c r="C28" t="s">
        <v>102</v>
      </c>
      <c r="D28" t="s">
        <v>2157</v>
      </c>
      <c r="E28" t="s">
        <v>559</v>
      </c>
      <c r="F28">
        <v>1</v>
      </c>
      <c r="G28" t="s">
        <v>2050</v>
      </c>
      <c r="H28" t="s">
        <v>2051</v>
      </c>
      <c r="I28" t="s">
        <v>53</v>
      </c>
      <c r="J28" t="s">
        <v>67</v>
      </c>
      <c r="K28" t="s">
        <v>68</v>
      </c>
      <c r="L28" t="s">
        <v>2052</v>
      </c>
      <c r="M28" t="s">
        <v>2053</v>
      </c>
      <c r="N28">
        <v>0</v>
      </c>
      <c r="O28">
        <v>0</v>
      </c>
      <c r="P28">
        <v>0</v>
      </c>
      <c r="Q28">
        <v>1440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108</v>
      </c>
      <c r="AH28" s="21" t="s">
        <v>3425</v>
      </c>
      <c r="AI28" s="21">
        <v>107.92500000000001</v>
      </c>
      <c r="AJ28" s="21">
        <v>100</v>
      </c>
      <c r="AK28" s="21" t="s">
        <v>2054</v>
      </c>
      <c r="AL28" t="s">
        <v>70</v>
      </c>
      <c r="AM28" t="s">
        <v>2027</v>
      </c>
    </row>
    <row r="29" spans="1:39" ht="15" hidden="1" thickTop="1" x14ac:dyDescent="0.35">
      <c r="A29" t="s">
        <v>2153</v>
      </c>
      <c r="B29" t="s">
        <v>2160</v>
      </c>
      <c r="C29" t="s">
        <v>102</v>
      </c>
      <c r="D29" t="s">
        <v>2161</v>
      </c>
      <c r="E29" t="s">
        <v>559</v>
      </c>
      <c r="F29">
        <v>1</v>
      </c>
      <c r="G29" t="s">
        <v>2050</v>
      </c>
      <c r="H29" t="s">
        <v>2051</v>
      </c>
      <c r="I29" t="s">
        <v>53</v>
      </c>
      <c r="J29" t="s">
        <v>67</v>
      </c>
      <c r="K29" t="s">
        <v>68</v>
      </c>
      <c r="L29" t="s">
        <v>2052</v>
      </c>
      <c r="M29" t="s">
        <v>2053</v>
      </c>
      <c r="N29">
        <v>0</v>
      </c>
      <c r="O29">
        <v>0</v>
      </c>
      <c r="P29">
        <v>0</v>
      </c>
      <c r="Q29">
        <v>1440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109</v>
      </c>
      <c r="AH29" s="21" t="s">
        <v>3429</v>
      </c>
      <c r="AI29" s="21">
        <v>107.92500000000001</v>
      </c>
      <c r="AJ29" s="21">
        <v>100</v>
      </c>
      <c r="AK29" s="21" t="s">
        <v>2055</v>
      </c>
      <c r="AL29" t="s">
        <v>70</v>
      </c>
      <c r="AM29" t="s">
        <v>2028</v>
      </c>
    </row>
    <row r="30" spans="1:39" ht="15" hidden="1" thickTop="1" x14ac:dyDescent="0.35">
      <c r="A30" t="s">
        <v>2154</v>
      </c>
      <c r="B30" t="s">
        <v>2162</v>
      </c>
      <c r="C30" t="s">
        <v>78</v>
      </c>
      <c r="D30" t="s">
        <v>2163</v>
      </c>
      <c r="E30" t="s">
        <v>559</v>
      </c>
      <c r="F30">
        <v>1</v>
      </c>
      <c r="G30" t="s">
        <v>2050</v>
      </c>
      <c r="H30" t="s">
        <v>2051</v>
      </c>
      <c r="I30" t="s">
        <v>53</v>
      </c>
      <c r="J30" t="s">
        <v>67</v>
      </c>
      <c r="K30" t="s">
        <v>68</v>
      </c>
      <c r="L30" t="s">
        <v>2052</v>
      </c>
      <c r="M30" t="s">
        <v>2053</v>
      </c>
      <c r="N30">
        <v>0</v>
      </c>
      <c r="O30">
        <v>0</v>
      </c>
      <c r="P30">
        <v>0</v>
      </c>
      <c r="Q30">
        <v>1440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110</v>
      </c>
      <c r="AH30" s="21" t="s">
        <v>3424</v>
      </c>
      <c r="AI30" s="21">
        <v>107.92500000000001</v>
      </c>
      <c r="AJ30" s="21">
        <v>100</v>
      </c>
      <c r="AK30" s="21" t="s">
        <v>2054</v>
      </c>
      <c r="AL30" t="s">
        <v>70</v>
      </c>
      <c r="AM30" t="s">
        <v>2029</v>
      </c>
    </row>
    <row r="31" spans="1:39" ht="15" hidden="1" thickTop="1" x14ac:dyDescent="0.35">
      <c r="A31" t="s">
        <v>2158</v>
      </c>
      <c r="B31" t="s">
        <v>2164</v>
      </c>
      <c r="C31" t="s">
        <v>111</v>
      </c>
      <c r="D31" t="s">
        <v>2165</v>
      </c>
      <c r="E31" t="s">
        <v>112</v>
      </c>
      <c r="F31">
        <v>1</v>
      </c>
      <c r="G31" t="s">
        <v>2050</v>
      </c>
      <c r="H31" t="s">
        <v>2051</v>
      </c>
      <c r="I31" t="s">
        <v>53</v>
      </c>
      <c r="J31" t="s">
        <v>113</v>
      </c>
      <c r="K31" t="s">
        <v>68</v>
      </c>
      <c r="L31" t="s">
        <v>2052</v>
      </c>
      <c r="M31" t="s">
        <v>2053</v>
      </c>
      <c r="N31">
        <v>0</v>
      </c>
      <c r="O31">
        <v>0</v>
      </c>
      <c r="P31">
        <v>0</v>
      </c>
      <c r="Q31">
        <v>1440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114</v>
      </c>
      <c r="AH31" s="21" t="s">
        <v>3424</v>
      </c>
      <c r="AI31" s="21">
        <v>107.92500000000001</v>
      </c>
      <c r="AJ31" s="21">
        <v>100</v>
      </c>
      <c r="AK31" s="21" t="s">
        <v>2054</v>
      </c>
      <c r="AL31" t="s">
        <v>115</v>
      </c>
      <c r="AM31" t="s">
        <v>2027</v>
      </c>
    </row>
    <row r="32" spans="1:39" ht="15" hidden="1" thickTop="1" x14ac:dyDescent="0.35">
      <c r="A32" t="s">
        <v>2166</v>
      </c>
      <c r="B32" t="s">
        <v>2171</v>
      </c>
      <c r="C32" t="s">
        <v>117</v>
      </c>
      <c r="D32" t="s">
        <v>2172</v>
      </c>
      <c r="E32" t="s">
        <v>559</v>
      </c>
      <c r="F32">
        <v>1</v>
      </c>
      <c r="G32" t="s">
        <v>2050</v>
      </c>
      <c r="H32" t="s">
        <v>2051</v>
      </c>
      <c r="I32" t="s">
        <v>53</v>
      </c>
      <c r="J32" t="s">
        <v>67</v>
      </c>
      <c r="K32" t="s">
        <v>68</v>
      </c>
      <c r="L32" t="s">
        <v>2052</v>
      </c>
      <c r="M32" t="s">
        <v>2066</v>
      </c>
      <c r="N32">
        <v>0</v>
      </c>
      <c r="O32">
        <v>0</v>
      </c>
      <c r="P32">
        <v>0</v>
      </c>
      <c r="Q32">
        <v>780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118</v>
      </c>
      <c r="AH32" s="21" t="s">
        <v>3425</v>
      </c>
      <c r="AI32" s="21">
        <v>58.5</v>
      </c>
      <c r="AJ32" s="21">
        <v>100</v>
      </c>
      <c r="AK32" s="21" t="s">
        <v>2054</v>
      </c>
      <c r="AL32" t="s">
        <v>70</v>
      </c>
      <c r="AM32" t="s">
        <v>2029</v>
      </c>
    </row>
    <row r="33" spans="1:39" ht="15" hidden="1" thickTop="1" x14ac:dyDescent="0.35">
      <c r="A33" t="s">
        <v>2168</v>
      </c>
      <c r="B33" t="s">
        <v>2173</v>
      </c>
      <c r="C33" t="s">
        <v>76</v>
      </c>
      <c r="D33" t="s">
        <v>2174</v>
      </c>
      <c r="E33" t="s">
        <v>119</v>
      </c>
      <c r="F33">
        <v>1</v>
      </c>
      <c r="G33" t="s">
        <v>2050</v>
      </c>
      <c r="H33" t="s">
        <v>2051</v>
      </c>
      <c r="I33" t="s">
        <v>53</v>
      </c>
      <c r="J33" t="s">
        <v>67</v>
      </c>
      <c r="K33" t="s">
        <v>68</v>
      </c>
      <c r="L33" t="s">
        <v>2052</v>
      </c>
      <c r="M33" t="s">
        <v>2053</v>
      </c>
      <c r="N33">
        <v>0</v>
      </c>
      <c r="O33">
        <v>0</v>
      </c>
      <c r="P33">
        <v>0</v>
      </c>
      <c r="Q33">
        <v>1440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120</v>
      </c>
      <c r="AH33" s="21" t="s">
        <v>3425</v>
      </c>
      <c r="AI33" s="21">
        <v>107.92500000000001</v>
      </c>
      <c r="AJ33" s="21">
        <v>100</v>
      </c>
      <c r="AK33" s="21" t="s">
        <v>2054</v>
      </c>
      <c r="AL33" t="s">
        <v>70</v>
      </c>
      <c r="AM33" t="s">
        <v>2028</v>
      </c>
    </row>
    <row r="34" spans="1:39" ht="15" hidden="1" thickTop="1" x14ac:dyDescent="0.35">
      <c r="A34" t="s">
        <v>2169</v>
      </c>
      <c r="B34" t="s">
        <v>2175</v>
      </c>
      <c r="C34" t="s">
        <v>76</v>
      </c>
      <c r="D34" t="s">
        <v>2176</v>
      </c>
      <c r="E34" t="s">
        <v>559</v>
      </c>
      <c r="F34">
        <v>2</v>
      </c>
      <c r="G34" t="s">
        <v>2050</v>
      </c>
      <c r="H34" t="s">
        <v>2051</v>
      </c>
      <c r="I34" t="s">
        <v>53</v>
      </c>
      <c r="J34" t="s">
        <v>67</v>
      </c>
      <c r="K34" t="s">
        <v>68</v>
      </c>
      <c r="L34" t="s">
        <v>2052</v>
      </c>
      <c r="M34" t="s">
        <v>2053</v>
      </c>
      <c r="N34">
        <v>0</v>
      </c>
      <c r="O34">
        <v>0</v>
      </c>
      <c r="P34">
        <v>0</v>
      </c>
      <c r="Q34">
        <v>1440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121</v>
      </c>
      <c r="AH34" s="21" t="s">
        <v>3425</v>
      </c>
      <c r="AI34" s="21">
        <v>107.92500000000001</v>
      </c>
      <c r="AJ34" s="21">
        <v>100</v>
      </c>
      <c r="AK34" s="21" t="s">
        <v>2055</v>
      </c>
      <c r="AL34" t="s">
        <v>70</v>
      </c>
      <c r="AM34" t="s">
        <v>2030</v>
      </c>
    </row>
    <row r="35" spans="1:39" ht="15" hidden="1" thickTop="1" x14ac:dyDescent="0.35">
      <c r="A35" t="s">
        <v>2177</v>
      </c>
      <c r="B35" t="s">
        <v>2183</v>
      </c>
      <c r="C35" t="s">
        <v>76</v>
      </c>
      <c r="D35" t="s">
        <v>2184</v>
      </c>
      <c r="E35" t="s">
        <v>559</v>
      </c>
      <c r="F35">
        <v>2</v>
      </c>
      <c r="G35" t="s">
        <v>2050</v>
      </c>
      <c r="H35" t="s">
        <v>2051</v>
      </c>
      <c r="I35" t="s">
        <v>53</v>
      </c>
      <c r="J35" t="s">
        <v>67</v>
      </c>
      <c r="K35" t="s">
        <v>68</v>
      </c>
      <c r="L35" t="s">
        <v>2052</v>
      </c>
      <c r="M35" t="s">
        <v>2064</v>
      </c>
      <c r="N35">
        <v>0</v>
      </c>
      <c r="O35">
        <v>0</v>
      </c>
      <c r="P35">
        <v>0</v>
      </c>
      <c r="Q35">
        <v>900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122</v>
      </c>
      <c r="AH35" s="21" t="s">
        <v>3424</v>
      </c>
      <c r="AI35" s="21">
        <v>67.5</v>
      </c>
      <c r="AJ35" s="21">
        <v>100</v>
      </c>
      <c r="AK35" s="21" t="s">
        <v>2054</v>
      </c>
      <c r="AL35" t="s">
        <v>70</v>
      </c>
      <c r="AM35" t="s">
        <v>2029</v>
      </c>
    </row>
    <row r="36" spans="1:39" ht="15" hidden="1" thickTop="1" x14ac:dyDescent="0.35">
      <c r="A36" t="s">
        <v>2178</v>
      </c>
      <c r="B36" t="s">
        <v>2185</v>
      </c>
      <c r="C36" t="s">
        <v>81</v>
      </c>
      <c r="D36" t="s">
        <v>2186</v>
      </c>
      <c r="E36" t="s">
        <v>559</v>
      </c>
      <c r="F36">
        <v>2</v>
      </c>
      <c r="G36" t="s">
        <v>2050</v>
      </c>
      <c r="H36" t="s">
        <v>2051</v>
      </c>
      <c r="I36" t="s">
        <v>53</v>
      </c>
      <c r="J36" t="s">
        <v>82</v>
      </c>
      <c r="K36" t="s">
        <v>68</v>
      </c>
      <c r="L36" t="s">
        <v>2052</v>
      </c>
      <c r="M36" t="s">
        <v>2053</v>
      </c>
      <c r="N36">
        <v>0</v>
      </c>
      <c r="O36">
        <v>0</v>
      </c>
      <c r="P36">
        <v>0</v>
      </c>
      <c r="Q36">
        <v>1440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123</v>
      </c>
      <c r="AH36" s="21" t="s">
        <v>3425</v>
      </c>
      <c r="AI36" s="21">
        <v>107.92500000000001</v>
      </c>
      <c r="AJ36" s="21">
        <v>100</v>
      </c>
      <c r="AK36" s="21" t="s">
        <v>2054</v>
      </c>
      <c r="AL36" t="s">
        <v>70</v>
      </c>
      <c r="AM36" t="s">
        <v>2027</v>
      </c>
    </row>
    <row r="37" spans="1:39" ht="15" hidden="1" thickTop="1" x14ac:dyDescent="0.35">
      <c r="A37" t="s">
        <v>2179</v>
      </c>
      <c r="B37" t="s">
        <v>2187</v>
      </c>
      <c r="C37" t="s">
        <v>100</v>
      </c>
      <c r="D37" t="s">
        <v>2188</v>
      </c>
      <c r="E37" t="s">
        <v>559</v>
      </c>
      <c r="F37">
        <v>1</v>
      </c>
      <c r="G37" t="s">
        <v>2050</v>
      </c>
      <c r="H37" t="s">
        <v>2051</v>
      </c>
      <c r="I37" t="s">
        <v>53</v>
      </c>
      <c r="J37" t="s">
        <v>67</v>
      </c>
      <c r="K37" t="s">
        <v>68</v>
      </c>
      <c r="L37" t="s">
        <v>2052</v>
      </c>
      <c r="M37" t="s">
        <v>2053</v>
      </c>
      <c r="N37">
        <v>0</v>
      </c>
      <c r="O37">
        <v>0</v>
      </c>
      <c r="P37">
        <v>0</v>
      </c>
      <c r="Q37">
        <v>1440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124</v>
      </c>
      <c r="AH37" s="21" t="s">
        <v>3424</v>
      </c>
      <c r="AI37" s="21">
        <v>107.92500000000001</v>
      </c>
      <c r="AJ37" s="21">
        <v>100</v>
      </c>
      <c r="AK37" s="21" t="s">
        <v>2054</v>
      </c>
      <c r="AL37" t="s">
        <v>70</v>
      </c>
      <c r="AM37" t="s">
        <v>2031</v>
      </c>
    </row>
    <row r="38" spans="1:39" ht="15" hidden="1" thickTop="1" x14ac:dyDescent="0.35">
      <c r="A38" t="s">
        <v>2181</v>
      </c>
      <c r="B38" t="s">
        <v>2189</v>
      </c>
      <c r="C38" t="s">
        <v>76</v>
      </c>
      <c r="D38" t="s">
        <v>2190</v>
      </c>
      <c r="E38" t="s">
        <v>559</v>
      </c>
      <c r="F38">
        <v>2</v>
      </c>
      <c r="G38" t="s">
        <v>2050</v>
      </c>
      <c r="H38" t="s">
        <v>2051</v>
      </c>
      <c r="I38" t="s">
        <v>53</v>
      </c>
      <c r="J38" t="s">
        <v>67</v>
      </c>
      <c r="K38" t="s">
        <v>68</v>
      </c>
      <c r="L38" t="s">
        <v>2052</v>
      </c>
      <c r="M38" t="s">
        <v>2084</v>
      </c>
      <c r="N38">
        <v>0</v>
      </c>
      <c r="O38">
        <v>0</v>
      </c>
      <c r="P38">
        <v>0</v>
      </c>
      <c r="Q38">
        <v>840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125</v>
      </c>
      <c r="AH38" s="21" t="s">
        <v>3424</v>
      </c>
      <c r="AI38" s="21">
        <v>62.999999999999986</v>
      </c>
      <c r="AJ38" s="21">
        <v>100</v>
      </c>
      <c r="AK38" s="21" t="s">
        <v>2055</v>
      </c>
      <c r="AL38" t="s">
        <v>70</v>
      </c>
      <c r="AM38" t="s">
        <v>2027</v>
      </c>
    </row>
    <row r="39" spans="1:39" ht="15" hidden="1" thickTop="1" x14ac:dyDescent="0.35">
      <c r="A39" t="s">
        <v>2191</v>
      </c>
      <c r="B39" t="s">
        <v>2195</v>
      </c>
      <c r="C39" t="s">
        <v>565</v>
      </c>
      <c r="D39" t="s">
        <v>2196</v>
      </c>
      <c r="E39" t="s">
        <v>559</v>
      </c>
      <c r="F39">
        <v>2</v>
      </c>
      <c r="G39" t="s">
        <v>2050</v>
      </c>
      <c r="H39" t="s">
        <v>2051</v>
      </c>
      <c r="I39" t="s">
        <v>53</v>
      </c>
      <c r="J39" t="s">
        <v>427</v>
      </c>
      <c r="K39" t="s">
        <v>68</v>
      </c>
      <c r="L39" t="s">
        <v>2052</v>
      </c>
      <c r="M39" t="s">
        <v>2053</v>
      </c>
      <c r="N39">
        <v>0</v>
      </c>
      <c r="O39">
        <v>0</v>
      </c>
      <c r="P39">
        <v>0</v>
      </c>
      <c r="Q39">
        <v>1440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127</v>
      </c>
      <c r="AH39" s="21" t="s">
        <v>3425</v>
      </c>
      <c r="AI39" s="21">
        <v>107.92500000000001</v>
      </c>
      <c r="AJ39" s="21">
        <v>100</v>
      </c>
      <c r="AK39" s="21" t="s">
        <v>2055</v>
      </c>
      <c r="AL39" t="s">
        <v>70</v>
      </c>
      <c r="AM39" t="s">
        <v>2029</v>
      </c>
    </row>
    <row r="40" spans="1:39" ht="15" hidden="1" thickTop="1" x14ac:dyDescent="0.35">
      <c r="A40" t="s">
        <v>2193</v>
      </c>
      <c r="B40" t="s">
        <v>2197</v>
      </c>
      <c r="C40" t="s">
        <v>128</v>
      </c>
      <c r="D40" t="s">
        <v>2198</v>
      </c>
      <c r="E40" t="s">
        <v>112</v>
      </c>
      <c r="F40">
        <v>1</v>
      </c>
      <c r="G40" t="s">
        <v>2050</v>
      </c>
      <c r="H40" t="s">
        <v>2051</v>
      </c>
      <c r="I40" t="s">
        <v>53</v>
      </c>
      <c r="J40" t="s">
        <v>113</v>
      </c>
      <c r="K40" t="s">
        <v>68</v>
      </c>
      <c r="L40" t="s">
        <v>2052</v>
      </c>
      <c r="M40" t="s">
        <v>2053</v>
      </c>
      <c r="N40">
        <v>0</v>
      </c>
      <c r="O40">
        <v>0</v>
      </c>
      <c r="P40">
        <v>0</v>
      </c>
      <c r="Q40">
        <v>1440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129</v>
      </c>
      <c r="AH40" s="21" t="s">
        <v>3425</v>
      </c>
      <c r="AI40" s="21">
        <v>107.92500000000001</v>
      </c>
      <c r="AJ40" s="21">
        <v>100</v>
      </c>
      <c r="AK40" s="21" t="s">
        <v>2055</v>
      </c>
      <c r="AL40" t="s">
        <v>115</v>
      </c>
      <c r="AM40" t="s">
        <v>2027</v>
      </c>
    </row>
    <row r="41" spans="1:39" ht="15" hidden="1" thickTop="1" x14ac:dyDescent="0.35">
      <c r="A41" t="s">
        <v>2061</v>
      </c>
      <c r="B41" t="s">
        <v>2200</v>
      </c>
      <c r="C41" t="s">
        <v>117</v>
      </c>
      <c r="D41" t="s">
        <v>2201</v>
      </c>
      <c r="E41" t="s">
        <v>559</v>
      </c>
      <c r="F41">
        <v>1</v>
      </c>
      <c r="G41" t="s">
        <v>2050</v>
      </c>
      <c r="H41" t="s">
        <v>2051</v>
      </c>
      <c r="I41" t="s">
        <v>53</v>
      </c>
      <c r="J41" t="s">
        <v>67</v>
      </c>
      <c r="K41" t="s">
        <v>68</v>
      </c>
      <c r="L41" t="s">
        <v>2052</v>
      </c>
      <c r="M41" t="s">
        <v>2053</v>
      </c>
      <c r="N41">
        <v>0</v>
      </c>
      <c r="O41">
        <v>0</v>
      </c>
      <c r="P41">
        <v>0</v>
      </c>
      <c r="Q41">
        <v>1440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130</v>
      </c>
      <c r="AH41" s="21" t="s">
        <v>3424</v>
      </c>
      <c r="AI41" s="21">
        <v>107.92500000000001</v>
      </c>
      <c r="AJ41" s="21">
        <v>100</v>
      </c>
      <c r="AK41" s="21" t="s">
        <v>2054</v>
      </c>
      <c r="AL41" t="s">
        <v>70</v>
      </c>
      <c r="AM41" t="s">
        <v>2029</v>
      </c>
    </row>
    <row r="42" spans="1:39" ht="15" hidden="1" thickTop="1" x14ac:dyDescent="0.35">
      <c r="A42" t="s">
        <v>2202</v>
      </c>
      <c r="B42" t="s">
        <v>2207</v>
      </c>
      <c r="C42" t="s">
        <v>86</v>
      </c>
      <c r="D42" t="s">
        <v>2208</v>
      </c>
      <c r="E42" t="s">
        <v>72</v>
      </c>
      <c r="F42">
        <v>1</v>
      </c>
      <c r="G42" t="s">
        <v>2050</v>
      </c>
      <c r="H42" t="s">
        <v>2051</v>
      </c>
      <c r="I42" t="s">
        <v>53</v>
      </c>
      <c r="J42" t="s">
        <v>73</v>
      </c>
      <c r="K42" t="s">
        <v>68</v>
      </c>
      <c r="L42" t="s">
        <v>2052</v>
      </c>
      <c r="M42" t="s">
        <v>2063</v>
      </c>
      <c r="N42">
        <v>0</v>
      </c>
      <c r="O42">
        <v>0</v>
      </c>
      <c r="P42">
        <v>0</v>
      </c>
      <c r="Q42">
        <v>1020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131</v>
      </c>
      <c r="AH42" s="21" t="s">
        <v>3430</v>
      </c>
      <c r="AI42" s="21">
        <v>76.500000000000014</v>
      </c>
      <c r="AJ42" s="21">
        <v>100</v>
      </c>
      <c r="AK42" s="21" t="s">
        <v>2054</v>
      </c>
      <c r="AL42" t="s">
        <v>75</v>
      </c>
      <c r="AM42" t="s">
        <v>2027</v>
      </c>
    </row>
    <row r="43" spans="1:39" ht="15" hidden="1" thickTop="1" x14ac:dyDescent="0.35">
      <c r="A43" t="s">
        <v>2062</v>
      </c>
      <c r="B43" t="s">
        <v>2213</v>
      </c>
      <c r="C43" t="s">
        <v>820</v>
      </c>
      <c r="D43" t="s">
        <v>2214</v>
      </c>
      <c r="E43" t="s">
        <v>72</v>
      </c>
      <c r="F43">
        <v>1</v>
      </c>
      <c r="G43" t="s">
        <v>2050</v>
      </c>
      <c r="H43" t="s">
        <v>2051</v>
      </c>
      <c r="I43" t="s">
        <v>53</v>
      </c>
      <c r="J43" t="s">
        <v>424</v>
      </c>
      <c r="K43" t="s">
        <v>68</v>
      </c>
      <c r="L43" t="s">
        <v>2052</v>
      </c>
      <c r="M43" t="s">
        <v>2053</v>
      </c>
      <c r="N43">
        <v>0</v>
      </c>
      <c r="O43">
        <v>0</v>
      </c>
      <c r="P43">
        <v>0</v>
      </c>
      <c r="Q43">
        <v>1440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133</v>
      </c>
      <c r="AH43" s="21" t="s">
        <v>3425</v>
      </c>
      <c r="AI43" s="21">
        <v>107.92500000000001</v>
      </c>
      <c r="AJ43" s="21">
        <v>100</v>
      </c>
      <c r="AK43" s="21" t="s">
        <v>2054</v>
      </c>
      <c r="AL43" t="s">
        <v>75</v>
      </c>
      <c r="AM43" t="s">
        <v>2027</v>
      </c>
    </row>
    <row r="44" spans="1:39" ht="15" hidden="1" thickTop="1" x14ac:dyDescent="0.35">
      <c r="A44" t="s">
        <v>2205</v>
      </c>
      <c r="B44" t="s">
        <v>2215</v>
      </c>
      <c r="C44" t="s">
        <v>3376</v>
      </c>
      <c r="D44" t="s">
        <v>2216</v>
      </c>
      <c r="E44" t="s">
        <v>559</v>
      </c>
      <c r="F44">
        <v>1</v>
      </c>
      <c r="G44" t="s">
        <v>2050</v>
      </c>
      <c r="H44" t="s">
        <v>2051</v>
      </c>
      <c r="I44" t="s">
        <v>53</v>
      </c>
      <c r="J44" t="s">
        <v>67</v>
      </c>
      <c r="K44" t="s">
        <v>68</v>
      </c>
      <c r="L44" t="s">
        <v>2052</v>
      </c>
      <c r="M44" t="s">
        <v>2053</v>
      </c>
      <c r="N44">
        <v>0</v>
      </c>
      <c r="O44">
        <v>0</v>
      </c>
      <c r="P44">
        <v>0</v>
      </c>
      <c r="Q44">
        <v>1440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134</v>
      </c>
      <c r="AH44" s="21" t="s">
        <v>3425</v>
      </c>
      <c r="AI44" s="21">
        <v>107.92500000000001</v>
      </c>
      <c r="AJ44" s="21">
        <v>100</v>
      </c>
      <c r="AK44" s="21" t="s">
        <v>2054</v>
      </c>
      <c r="AL44" t="s">
        <v>70</v>
      </c>
      <c r="AM44" t="s">
        <v>2027</v>
      </c>
    </row>
    <row r="45" spans="1:39" ht="15" hidden="1" thickTop="1" x14ac:dyDescent="0.35">
      <c r="A45" t="s">
        <v>2209</v>
      </c>
      <c r="B45" t="s">
        <v>2220</v>
      </c>
      <c r="C45" t="s">
        <v>135</v>
      </c>
      <c r="D45" t="s">
        <v>2221</v>
      </c>
      <c r="E45" t="s">
        <v>136</v>
      </c>
      <c r="F45">
        <v>1</v>
      </c>
      <c r="G45" t="s">
        <v>2050</v>
      </c>
      <c r="H45" t="s">
        <v>2051</v>
      </c>
      <c r="I45" t="s">
        <v>53</v>
      </c>
      <c r="J45" t="s">
        <v>137</v>
      </c>
      <c r="K45" t="s">
        <v>68</v>
      </c>
      <c r="L45" t="s">
        <v>2052</v>
      </c>
      <c r="M45" t="s">
        <v>2053</v>
      </c>
      <c r="N45">
        <v>0</v>
      </c>
      <c r="O45">
        <v>0</v>
      </c>
      <c r="P45">
        <v>0</v>
      </c>
      <c r="Q45">
        <v>1440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138</v>
      </c>
      <c r="AH45" s="21" t="s">
        <v>3425</v>
      </c>
      <c r="AI45" s="21">
        <v>107.92500000000001</v>
      </c>
      <c r="AJ45" s="21">
        <v>100</v>
      </c>
      <c r="AK45" s="21" t="s">
        <v>2054</v>
      </c>
      <c r="AL45" t="s">
        <v>115</v>
      </c>
      <c r="AM45" t="s">
        <v>2027</v>
      </c>
    </row>
    <row r="46" spans="1:39" ht="15" hidden="1" thickTop="1" x14ac:dyDescent="0.35">
      <c r="A46" t="s">
        <v>2211</v>
      </c>
      <c r="B46" t="s">
        <v>2222</v>
      </c>
      <c r="C46" t="s">
        <v>3376</v>
      </c>
      <c r="D46" t="s">
        <v>2223</v>
      </c>
      <c r="E46" t="s">
        <v>559</v>
      </c>
      <c r="F46">
        <v>1</v>
      </c>
      <c r="G46" t="s">
        <v>2050</v>
      </c>
      <c r="H46" t="s">
        <v>2051</v>
      </c>
      <c r="I46" t="s">
        <v>53</v>
      </c>
      <c r="J46" t="s">
        <v>67</v>
      </c>
      <c r="K46" t="s">
        <v>68</v>
      </c>
      <c r="L46" t="s">
        <v>2052</v>
      </c>
      <c r="M46" t="s">
        <v>2053</v>
      </c>
      <c r="N46">
        <v>0</v>
      </c>
      <c r="O46">
        <v>0</v>
      </c>
      <c r="P46">
        <v>0</v>
      </c>
      <c r="Q46">
        <v>1440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139</v>
      </c>
      <c r="AH46" s="21" t="s">
        <v>3425</v>
      </c>
      <c r="AI46" s="21">
        <v>107.92500000000001</v>
      </c>
      <c r="AJ46" s="21">
        <v>100</v>
      </c>
      <c r="AK46" s="21" t="s">
        <v>2054</v>
      </c>
      <c r="AL46" t="s">
        <v>70</v>
      </c>
      <c r="AM46" t="s">
        <v>2027</v>
      </c>
    </row>
    <row r="47" spans="1:39" ht="15" hidden="1" thickTop="1" x14ac:dyDescent="0.35">
      <c r="A47" t="s">
        <v>2217</v>
      </c>
      <c r="B47" t="s">
        <v>2230</v>
      </c>
      <c r="C47" t="s">
        <v>78</v>
      </c>
      <c r="D47" t="s">
        <v>2231</v>
      </c>
      <c r="E47" t="s">
        <v>559</v>
      </c>
      <c r="F47">
        <v>1</v>
      </c>
      <c r="G47" t="s">
        <v>2050</v>
      </c>
      <c r="H47" t="s">
        <v>2051</v>
      </c>
      <c r="I47" t="s">
        <v>53</v>
      </c>
      <c r="J47" t="s">
        <v>67</v>
      </c>
      <c r="K47" t="s">
        <v>68</v>
      </c>
      <c r="L47" t="s">
        <v>2052</v>
      </c>
      <c r="M47" t="s">
        <v>2053</v>
      </c>
      <c r="N47">
        <v>0</v>
      </c>
      <c r="O47">
        <v>0</v>
      </c>
      <c r="P47">
        <v>0</v>
      </c>
      <c r="Q47">
        <v>1440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140</v>
      </c>
      <c r="AH47" s="21" t="s">
        <v>3425</v>
      </c>
      <c r="AI47" s="21">
        <v>107.92500000000001</v>
      </c>
      <c r="AJ47" s="21">
        <v>100</v>
      </c>
      <c r="AK47" s="21" t="s">
        <v>2054</v>
      </c>
      <c r="AL47" t="s">
        <v>70</v>
      </c>
      <c r="AM47" t="s">
        <v>2029</v>
      </c>
    </row>
    <row r="48" spans="1:39" ht="15" hidden="1" thickTop="1" x14ac:dyDescent="0.35">
      <c r="A48" t="s">
        <v>2218</v>
      </c>
      <c r="B48" t="s">
        <v>2232</v>
      </c>
      <c r="C48" t="s">
        <v>92</v>
      </c>
      <c r="D48" t="s">
        <v>2233</v>
      </c>
      <c r="E48" t="s">
        <v>119</v>
      </c>
      <c r="F48">
        <v>1</v>
      </c>
      <c r="G48" t="s">
        <v>2050</v>
      </c>
      <c r="H48" t="s">
        <v>2051</v>
      </c>
      <c r="I48" t="s">
        <v>53</v>
      </c>
      <c r="J48" t="s">
        <v>67</v>
      </c>
      <c r="K48" t="s">
        <v>68</v>
      </c>
      <c r="L48" t="s">
        <v>2052</v>
      </c>
      <c r="M48" t="s">
        <v>2053</v>
      </c>
      <c r="N48">
        <v>0</v>
      </c>
      <c r="O48">
        <v>0</v>
      </c>
      <c r="P48">
        <v>0</v>
      </c>
      <c r="Q48">
        <v>1440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141</v>
      </c>
      <c r="AH48" s="21" t="s">
        <v>3427</v>
      </c>
      <c r="AI48" s="21">
        <v>107.92500000000001</v>
      </c>
      <c r="AJ48" s="21">
        <v>100</v>
      </c>
      <c r="AK48" s="21" t="s">
        <v>2054</v>
      </c>
      <c r="AL48" t="s">
        <v>70</v>
      </c>
      <c r="AM48" t="s">
        <v>2027</v>
      </c>
    </row>
    <row r="49" spans="1:39" ht="15" hidden="1" thickTop="1" x14ac:dyDescent="0.35">
      <c r="A49" t="s">
        <v>2224</v>
      </c>
      <c r="B49" t="s">
        <v>2238</v>
      </c>
      <c r="C49" t="s">
        <v>81</v>
      </c>
      <c r="D49" t="s">
        <v>2239</v>
      </c>
      <c r="E49" t="s">
        <v>559</v>
      </c>
      <c r="F49">
        <v>1</v>
      </c>
      <c r="G49" t="s">
        <v>2050</v>
      </c>
      <c r="H49" t="s">
        <v>2051</v>
      </c>
      <c r="I49" t="s">
        <v>53</v>
      </c>
      <c r="J49" t="s">
        <v>82</v>
      </c>
      <c r="K49" t="s">
        <v>68</v>
      </c>
      <c r="L49" t="s">
        <v>2052</v>
      </c>
      <c r="M49" t="s">
        <v>2053</v>
      </c>
      <c r="N49">
        <v>0</v>
      </c>
      <c r="O49">
        <v>0</v>
      </c>
      <c r="P49">
        <v>0</v>
      </c>
      <c r="Q49">
        <v>1440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142</v>
      </c>
      <c r="AH49" s="21" t="s">
        <v>3425</v>
      </c>
      <c r="AI49" s="21">
        <v>107.92500000000001</v>
      </c>
      <c r="AJ49" s="21">
        <v>100</v>
      </c>
      <c r="AK49" s="21" t="s">
        <v>2054</v>
      </c>
      <c r="AL49" t="s">
        <v>70</v>
      </c>
      <c r="AM49" t="s">
        <v>2029</v>
      </c>
    </row>
    <row r="50" spans="1:39" ht="15" hidden="1" thickTop="1" x14ac:dyDescent="0.35">
      <c r="A50" t="s">
        <v>2225</v>
      </c>
      <c r="B50" t="s">
        <v>2240</v>
      </c>
      <c r="C50" t="s">
        <v>76</v>
      </c>
      <c r="D50" t="s">
        <v>2241</v>
      </c>
      <c r="E50" t="s">
        <v>119</v>
      </c>
      <c r="F50">
        <v>1</v>
      </c>
      <c r="G50" t="s">
        <v>2050</v>
      </c>
      <c r="H50" t="s">
        <v>2051</v>
      </c>
      <c r="I50" t="s">
        <v>53</v>
      </c>
      <c r="J50" t="s">
        <v>67</v>
      </c>
      <c r="K50" t="s">
        <v>68</v>
      </c>
      <c r="L50" t="s">
        <v>2052</v>
      </c>
      <c r="M50" t="s">
        <v>2053</v>
      </c>
      <c r="N50">
        <v>0</v>
      </c>
      <c r="O50">
        <v>0</v>
      </c>
      <c r="P50">
        <v>0</v>
      </c>
      <c r="Q50">
        <v>1440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143</v>
      </c>
      <c r="AH50" s="21" t="s">
        <v>3424</v>
      </c>
      <c r="AI50" s="21">
        <v>107.92500000000001</v>
      </c>
      <c r="AJ50" s="21">
        <v>100</v>
      </c>
      <c r="AK50" s="21" t="s">
        <v>2054</v>
      </c>
      <c r="AL50" t="s">
        <v>70</v>
      </c>
      <c r="AM50" t="s">
        <v>2029</v>
      </c>
    </row>
    <row r="51" spans="1:39" ht="15" hidden="1" thickTop="1" x14ac:dyDescent="0.35">
      <c r="A51" t="s">
        <v>2227</v>
      </c>
      <c r="B51" t="s">
        <v>2244</v>
      </c>
      <c r="C51" t="s">
        <v>78</v>
      </c>
      <c r="D51" t="s">
        <v>2245</v>
      </c>
      <c r="E51" t="s">
        <v>559</v>
      </c>
      <c r="F51">
        <v>1</v>
      </c>
      <c r="G51" t="s">
        <v>2050</v>
      </c>
      <c r="H51" t="s">
        <v>2051</v>
      </c>
      <c r="I51" t="s">
        <v>53</v>
      </c>
      <c r="J51" t="s">
        <v>67</v>
      </c>
      <c r="K51" t="s">
        <v>68</v>
      </c>
      <c r="L51" t="s">
        <v>2052</v>
      </c>
      <c r="M51" t="s">
        <v>2053</v>
      </c>
      <c r="N51">
        <v>0</v>
      </c>
      <c r="O51">
        <v>0</v>
      </c>
      <c r="P51">
        <v>0</v>
      </c>
      <c r="Q51">
        <v>1440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144</v>
      </c>
      <c r="AH51" s="21" t="s">
        <v>3425</v>
      </c>
      <c r="AI51" s="21">
        <v>107.92500000000001</v>
      </c>
      <c r="AJ51" s="21">
        <v>100</v>
      </c>
      <c r="AK51" s="21" t="s">
        <v>2054</v>
      </c>
      <c r="AL51" t="s">
        <v>70</v>
      </c>
      <c r="AM51" t="s">
        <v>2030</v>
      </c>
    </row>
    <row r="52" spans="1:39" ht="15" hidden="1" thickTop="1" x14ac:dyDescent="0.35">
      <c r="A52" t="s">
        <v>2228</v>
      </c>
      <c r="B52" t="s">
        <v>2247</v>
      </c>
      <c r="C52" t="s">
        <v>66</v>
      </c>
      <c r="D52" t="s">
        <v>2248</v>
      </c>
      <c r="E52" t="s">
        <v>559</v>
      </c>
      <c r="F52">
        <v>1</v>
      </c>
      <c r="G52" t="s">
        <v>2050</v>
      </c>
      <c r="H52" t="s">
        <v>2051</v>
      </c>
      <c r="I52" t="s">
        <v>53</v>
      </c>
      <c r="J52" t="s">
        <v>67</v>
      </c>
      <c r="K52" t="s">
        <v>68</v>
      </c>
      <c r="L52" t="s">
        <v>2052</v>
      </c>
      <c r="M52" t="s">
        <v>2084</v>
      </c>
      <c r="N52">
        <v>0</v>
      </c>
      <c r="O52">
        <v>0</v>
      </c>
      <c r="P52">
        <v>0</v>
      </c>
      <c r="Q52">
        <v>840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145</v>
      </c>
      <c r="AH52" s="21" t="s">
        <v>3427</v>
      </c>
      <c r="AI52" s="21">
        <v>62.999999999999986</v>
      </c>
      <c r="AJ52" s="21">
        <v>100</v>
      </c>
      <c r="AK52" s="21" t="s">
        <v>2055</v>
      </c>
      <c r="AL52" t="s">
        <v>70</v>
      </c>
      <c r="AM52" t="s">
        <v>2028</v>
      </c>
    </row>
    <row r="53" spans="1:39" ht="15" hidden="1" thickTop="1" x14ac:dyDescent="0.35">
      <c r="A53" t="s">
        <v>2234</v>
      </c>
      <c r="B53" t="s">
        <v>2251</v>
      </c>
      <c r="C53" t="s">
        <v>92</v>
      </c>
      <c r="D53" t="s">
        <v>2252</v>
      </c>
      <c r="E53" t="s">
        <v>119</v>
      </c>
      <c r="F53">
        <v>1</v>
      </c>
      <c r="G53" t="s">
        <v>2050</v>
      </c>
      <c r="H53" t="s">
        <v>2051</v>
      </c>
      <c r="I53" t="s">
        <v>53</v>
      </c>
      <c r="J53" t="s">
        <v>67</v>
      </c>
      <c r="K53" t="s">
        <v>68</v>
      </c>
      <c r="L53" t="s">
        <v>2052</v>
      </c>
      <c r="M53" t="s">
        <v>2053</v>
      </c>
      <c r="N53">
        <v>0</v>
      </c>
      <c r="O53">
        <v>0</v>
      </c>
      <c r="P53">
        <v>0</v>
      </c>
      <c r="Q53">
        <v>1440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147</v>
      </c>
      <c r="AH53" s="21" t="s">
        <v>3424</v>
      </c>
      <c r="AI53" s="21">
        <v>107.92500000000001</v>
      </c>
      <c r="AJ53" s="21">
        <v>100</v>
      </c>
      <c r="AK53" s="21" t="s">
        <v>2054</v>
      </c>
      <c r="AL53" t="s">
        <v>70</v>
      </c>
      <c r="AM53" t="s">
        <v>2029</v>
      </c>
    </row>
    <row r="54" spans="1:39" ht="15" hidden="1" thickTop="1" x14ac:dyDescent="0.35">
      <c r="A54" t="s">
        <v>2236</v>
      </c>
      <c r="B54" t="s">
        <v>2256</v>
      </c>
      <c r="C54" t="s">
        <v>102</v>
      </c>
      <c r="D54" t="s">
        <v>2257</v>
      </c>
      <c r="E54" t="s">
        <v>559</v>
      </c>
      <c r="F54">
        <v>1</v>
      </c>
      <c r="G54" t="s">
        <v>2050</v>
      </c>
      <c r="H54" t="s">
        <v>2051</v>
      </c>
      <c r="I54" t="s">
        <v>53</v>
      </c>
      <c r="J54" t="s">
        <v>67</v>
      </c>
      <c r="K54" t="s">
        <v>68</v>
      </c>
      <c r="L54" t="s">
        <v>2052</v>
      </c>
      <c r="M54" t="s">
        <v>2053</v>
      </c>
      <c r="N54">
        <v>0</v>
      </c>
      <c r="O54">
        <v>0</v>
      </c>
      <c r="P54">
        <v>0</v>
      </c>
      <c r="Q54">
        <v>1440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148</v>
      </c>
      <c r="AH54" s="21" t="s">
        <v>3425</v>
      </c>
      <c r="AI54" s="21">
        <v>107.92500000000001</v>
      </c>
      <c r="AJ54" s="21">
        <v>100</v>
      </c>
      <c r="AK54" s="21" t="s">
        <v>2054</v>
      </c>
      <c r="AL54" t="s">
        <v>70</v>
      </c>
      <c r="AM54" t="s">
        <v>2029</v>
      </c>
    </row>
    <row r="55" spans="1:39" ht="15" hidden="1" thickTop="1" x14ac:dyDescent="0.35">
      <c r="A55" t="s">
        <v>2242</v>
      </c>
      <c r="B55" t="s">
        <v>2262</v>
      </c>
      <c r="C55" t="s">
        <v>66</v>
      </c>
      <c r="D55" t="s">
        <v>2263</v>
      </c>
      <c r="E55" t="s">
        <v>559</v>
      </c>
      <c r="F55">
        <v>1</v>
      </c>
      <c r="G55" t="s">
        <v>2050</v>
      </c>
      <c r="H55" t="s">
        <v>2051</v>
      </c>
      <c r="I55" t="s">
        <v>53</v>
      </c>
      <c r="J55" t="s">
        <v>67</v>
      </c>
      <c r="K55" t="s">
        <v>68</v>
      </c>
      <c r="L55" t="s">
        <v>2052</v>
      </c>
      <c r="M55" t="s">
        <v>2063</v>
      </c>
      <c r="N55">
        <v>0</v>
      </c>
      <c r="O55">
        <v>0</v>
      </c>
      <c r="P55">
        <v>0</v>
      </c>
      <c r="Q55">
        <v>1020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150</v>
      </c>
      <c r="AH55" s="21" t="s">
        <v>3427</v>
      </c>
      <c r="AI55" s="21">
        <v>76.500000000000014</v>
      </c>
      <c r="AJ55" s="21">
        <v>100</v>
      </c>
      <c r="AK55" s="21" t="s">
        <v>2054</v>
      </c>
      <c r="AL55" t="s">
        <v>70</v>
      </c>
      <c r="AM55" t="s">
        <v>2029</v>
      </c>
    </row>
    <row r="56" spans="1:39" ht="15" hidden="1" thickTop="1" x14ac:dyDescent="0.35">
      <c r="A56" t="s">
        <v>2243</v>
      </c>
      <c r="B56" t="s">
        <v>2265</v>
      </c>
      <c r="C56" t="s">
        <v>66</v>
      </c>
      <c r="D56" t="s">
        <v>2266</v>
      </c>
      <c r="E56" t="s">
        <v>559</v>
      </c>
      <c r="F56">
        <v>1</v>
      </c>
      <c r="G56" t="s">
        <v>2050</v>
      </c>
      <c r="H56" t="s">
        <v>2051</v>
      </c>
      <c r="I56" t="s">
        <v>53</v>
      </c>
      <c r="J56" t="s">
        <v>67</v>
      </c>
      <c r="K56" t="s">
        <v>68</v>
      </c>
      <c r="L56" t="s">
        <v>2052</v>
      </c>
      <c r="M56" t="s">
        <v>2064</v>
      </c>
      <c r="N56">
        <v>0</v>
      </c>
      <c r="O56">
        <v>0</v>
      </c>
      <c r="P56">
        <v>0</v>
      </c>
      <c r="Q56">
        <v>900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151</v>
      </c>
      <c r="AH56" s="21" t="s">
        <v>3427</v>
      </c>
      <c r="AI56" s="21">
        <v>67.5</v>
      </c>
      <c r="AJ56" s="21">
        <v>100</v>
      </c>
      <c r="AK56" s="21" t="s">
        <v>2054</v>
      </c>
      <c r="AL56" t="s">
        <v>70</v>
      </c>
      <c r="AM56" t="s">
        <v>2029</v>
      </c>
    </row>
    <row r="57" spans="1:39" ht="15" hidden="1" thickTop="1" x14ac:dyDescent="0.35">
      <c r="A57" t="s">
        <v>2249</v>
      </c>
      <c r="B57" t="s">
        <v>2269</v>
      </c>
      <c r="C57" t="s">
        <v>565</v>
      </c>
      <c r="D57" t="s">
        <v>2270</v>
      </c>
      <c r="E57" t="s">
        <v>559</v>
      </c>
      <c r="F57">
        <v>1</v>
      </c>
      <c r="G57" t="s">
        <v>2050</v>
      </c>
      <c r="H57" t="s">
        <v>2051</v>
      </c>
      <c r="I57" t="s">
        <v>53</v>
      </c>
      <c r="J57" t="s">
        <v>427</v>
      </c>
      <c r="K57" t="s">
        <v>68</v>
      </c>
      <c r="L57" t="s">
        <v>2052</v>
      </c>
      <c r="M57" t="s">
        <v>2053</v>
      </c>
      <c r="N57">
        <v>0</v>
      </c>
      <c r="O57">
        <v>0</v>
      </c>
      <c r="P57">
        <v>0</v>
      </c>
      <c r="Q57">
        <v>1440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152</v>
      </c>
      <c r="AH57" s="21" t="s">
        <v>3425</v>
      </c>
      <c r="AI57" s="21">
        <v>107.92500000000001</v>
      </c>
      <c r="AJ57" s="21">
        <v>100</v>
      </c>
      <c r="AK57" s="21" t="s">
        <v>2054</v>
      </c>
      <c r="AL57" t="s">
        <v>70</v>
      </c>
      <c r="AM57" t="s">
        <v>2028</v>
      </c>
    </row>
    <row r="58" spans="1:39" ht="15" hidden="1" thickTop="1" x14ac:dyDescent="0.35">
      <c r="A58" t="s">
        <v>2253</v>
      </c>
      <c r="B58" t="s">
        <v>2273</v>
      </c>
      <c r="C58" t="s">
        <v>100</v>
      </c>
      <c r="D58" t="s">
        <v>2274</v>
      </c>
      <c r="E58" t="s">
        <v>559</v>
      </c>
      <c r="F58">
        <v>1</v>
      </c>
      <c r="G58" t="s">
        <v>2050</v>
      </c>
      <c r="H58" t="s">
        <v>2051</v>
      </c>
      <c r="I58" t="s">
        <v>53</v>
      </c>
      <c r="J58" t="s">
        <v>67</v>
      </c>
      <c r="K58" t="s">
        <v>68</v>
      </c>
      <c r="L58" t="s">
        <v>2052</v>
      </c>
      <c r="M58" t="s">
        <v>2053</v>
      </c>
      <c r="N58">
        <v>0</v>
      </c>
      <c r="O58">
        <v>0</v>
      </c>
      <c r="P58">
        <v>0</v>
      </c>
      <c r="Q58">
        <v>1440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153</v>
      </c>
      <c r="AH58" s="21" t="s">
        <v>3425</v>
      </c>
      <c r="AI58" s="21">
        <v>107.92500000000001</v>
      </c>
      <c r="AJ58" s="21">
        <v>100</v>
      </c>
      <c r="AK58" s="21" t="s">
        <v>2054</v>
      </c>
      <c r="AL58" t="s">
        <v>70</v>
      </c>
      <c r="AM58" t="s">
        <v>2028</v>
      </c>
    </row>
    <row r="59" spans="1:39" ht="15" hidden="1" thickTop="1" x14ac:dyDescent="0.35">
      <c r="A59" t="s">
        <v>2254</v>
      </c>
      <c r="B59" t="s">
        <v>2275</v>
      </c>
      <c r="C59" t="s">
        <v>66</v>
      </c>
      <c r="D59" t="s">
        <v>2276</v>
      </c>
      <c r="E59" t="s">
        <v>559</v>
      </c>
      <c r="F59">
        <v>1</v>
      </c>
      <c r="G59" t="s">
        <v>2050</v>
      </c>
      <c r="H59" t="s">
        <v>2051</v>
      </c>
      <c r="I59" t="s">
        <v>53</v>
      </c>
      <c r="J59" t="s">
        <v>67</v>
      </c>
      <c r="K59" t="s">
        <v>68</v>
      </c>
      <c r="L59" t="s">
        <v>2052</v>
      </c>
      <c r="M59" t="s">
        <v>2053</v>
      </c>
      <c r="N59">
        <v>0</v>
      </c>
      <c r="O59">
        <v>0</v>
      </c>
      <c r="P59">
        <v>0</v>
      </c>
      <c r="Q59">
        <v>1440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154</v>
      </c>
      <c r="AH59" s="21" t="s">
        <v>3424</v>
      </c>
      <c r="AI59" s="21">
        <v>107.92500000000001</v>
      </c>
      <c r="AJ59" s="21">
        <v>100</v>
      </c>
      <c r="AK59" s="21" t="s">
        <v>2054</v>
      </c>
      <c r="AL59" t="s">
        <v>70</v>
      </c>
      <c r="AM59" t="s">
        <v>2030</v>
      </c>
    </row>
    <row r="60" spans="1:39" ht="15" hidden="1" thickTop="1" x14ac:dyDescent="0.35">
      <c r="A60" t="s">
        <v>2258</v>
      </c>
      <c r="B60" t="s">
        <v>2277</v>
      </c>
      <c r="C60" t="s">
        <v>81</v>
      </c>
      <c r="D60" t="s">
        <v>2278</v>
      </c>
      <c r="E60" t="s">
        <v>559</v>
      </c>
      <c r="F60">
        <v>1</v>
      </c>
      <c r="G60" t="s">
        <v>2050</v>
      </c>
      <c r="H60" t="s">
        <v>2051</v>
      </c>
      <c r="I60" t="s">
        <v>53</v>
      </c>
      <c r="J60" t="s">
        <v>82</v>
      </c>
      <c r="K60" t="s">
        <v>68</v>
      </c>
      <c r="L60" t="s">
        <v>2052</v>
      </c>
      <c r="M60" t="s">
        <v>2053</v>
      </c>
      <c r="N60">
        <v>0</v>
      </c>
      <c r="O60">
        <v>0</v>
      </c>
      <c r="P60">
        <v>0</v>
      </c>
      <c r="Q60">
        <v>1440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155</v>
      </c>
      <c r="AH60" s="21" t="s">
        <v>3427</v>
      </c>
      <c r="AI60" s="21">
        <v>107.92500000000001</v>
      </c>
      <c r="AJ60" s="21">
        <v>100</v>
      </c>
      <c r="AK60" s="21" t="s">
        <v>2054</v>
      </c>
      <c r="AL60" t="s">
        <v>70</v>
      </c>
      <c r="AM60" t="s">
        <v>2030</v>
      </c>
    </row>
    <row r="61" spans="1:39" ht="15" hidden="1" thickTop="1" x14ac:dyDescent="0.35">
      <c r="A61" t="s">
        <v>2260</v>
      </c>
      <c r="B61" t="s">
        <v>2279</v>
      </c>
      <c r="C61" t="s">
        <v>102</v>
      </c>
      <c r="D61" t="s">
        <v>2280</v>
      </c>
      <c r="E61" t="s">
        <v>559</v>
      </c>
      <c r="F61">
        <v>1</v>
      </c>
      <c r="G61" t="s">
        <v>2050</v>
      </c>
      <c r="H61" t="s">
        <v>2051</v>
      </c>
      <c r="I61" t="s">
        <v>53</v>
      </c>
      <c r="J61" t="s">
        <v>67</v>
      </c>
      <c r="K61" t="s">
        <v>68</v>
      </c>
      <c r="L61" t="s">
        <v>2052</v>
      </c>
      <c r="M61" t="s">
        <v>2053</v>
      </c>
      <c r="N61">
        <v>0</v>
      </c>
      <c r="O61">
        <v>0</v>
      </c>
      <c r="P61">
        <v>0</v>
      </c>
      <c r="Q61">
        <v>1440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156</v>
      </c>
      <c r="AH61" s="21" t="s">
        <v>3427</v>
      </c>
      <c r="AI61" s="21">
        <v>107.92500000000001</v>
      </c>
      <c r="AJ61" s="21">
        <v>100</v>
      </c>
      <c r="AK61" s="21" t="s">
        <v>2055</v>
      </c>
      <c r="AL61" t="s">
        <v>70</v>
      </c>
      <c r="AM61" t="s">
        <v>2030</v>
      </c>
    </row>
    <row r="62" spans="1:39" ht="15" hidden="1" thickTop="1" x14ac:dyDescent="0.35">
      <c r="A62" t="s">
        <v>2261</v>
      </c>
      <c r="B62" t="s">
        <v>2281</v>
      </c>
      <c r="C62" t="s">
        <v>76</v>
      </c>
      <c r="D62" t="s">
        <v>2282</v>
      </c>
      <c r="E62" t="s">
        <v>559</v>
      </c>
      <c r="F62">
        <v>1</v>
      </c>
      <c r="G62" t="s">
        <v>2050</v>
      </c>
      <c r="H62" t="s">
        <v>2051</v>
      </c>
      <c r="I62" t="s">
        <v>53</v>
      </c>
      <c r="J62" t="s">
        <v>67</v>
      </c>
      <c r="K62" t="s">
        <v>68</v>
      </c>
      <c r="L62" t="s">
        <v>2052</v>
      </c>
      <c r="M62" t="s">
        <v>2053</v>
      </c>
      <c r="N62">
        <v>0</v>
      </c>
      <c r="O62">
        <v>0</v>
      </c>
      <c r="P62">
        <v>0</v>
      </c>
      <c r="Q62">
        <v>1440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157</v>
      </c>
      <c r="AH62" s="21" t="s">
        <v>3427</v>
      </c>
      <c r="AI62" s="21">
        <v>107.92500000000001</v>
      </c>
      <c r="AJ62" s="21">
        <v>100</v>
      </c>
      <c r="AK62" s="21" t="s">
        <v>2054</v>
      </c>
      <c r="AL62" t="s">
        <v>70</v>
      </c>
      <c r="AM62" t="s">
        <v>2029</v>
      </c>
    </row>
    <row r="63" spans="1:39" ht="15" hidden="1" thickTop="1" x14ac:dyDescent="0.35">
      <c r="A63" t="s">
        <v>2267</v>
      </c>
      <c r="B63" t="s">
        <v>2283</v>
      </c>
      <c r="C63" t="s">
        <v>3376</v>
      </c>
      <c r="D63" t="s">
        <v>2284</v>
      </c>
      <c r="E63" t="s">
        <v>559</v>
      </c>
      <c r="F63">
        <v>1</v>
      </c>
      <c r="G63" t="s">
        <v>2050</v>
      </c>
      <c r="H63" t="s">
        <v>2051</v>
      </c>
      <c r="I63" t="s">
        <v>53</v>
      </c>
      <c r="J63" t="s">
        <v>67</v>
      </c>
      <c r="K63" t="s">
        <v>68</v>
      </c>
      <c r="L63" t="s">
        <v>2052</v>
      </c>
      <c r="M63" t="s">
        <v>2053</v>
      </c>
      <c r="N63">
        <v>0</v>
      </c>
      <c r="O63">
        <v>0</v>
      </c>
      <c r="P63">
        <v>0</v>
      </c>
      <c r="Q63">
        <v>1440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158</v>
      </c>
      <c r="AH63" s="21" t="s">
        <v>3424</v>
      </c>
      <c r="AI63" s="21">
        <v>107.92500000000001</v>
      </c>
      <c r="AJ63" s="21">
        <v>100</v>
      </c>
      <c r="AK63" s="21" t="s">
        <v>2054</v>
      </c>
      <c r="AL63" t="s">
        <v>70</v>
      </c>
      <c r="AM63" t="s">
        <v>2029</v>
      </c>
    </row>
    <row r="64" spans="1:39" ht="15" hidden="1" thickTop="1" x14ac:dyDescent="0.35">
      <c r="A64" t="s">
        <v>2271</v>
      </c>
      <c r="B64" t="s">
        <v>2285</v>
      </c>
      <c r="C64" t="s">
        <v>117</v>
      </c>
      <c r="D64" t="s">
        <v>2286</v>
      </c>
      <c r="E64" t="s">
        <v>559</v>
      </c>
      <c r="F64">
        <v>1</v>
      </c>
      <c r="G64" t="s">
        <v>2050</v>
      </c>
      <c r="H64" t="s">
        <v>2051</v>
      </c>
      <c r="I64" t="s">
        <v>53</v>
      </c>
      <c r="J64" t="s">
        <v>67</v>
      </c>
      <c r="K64" t="s">
        <v>68</v>
      </c>
      <c r="L64" t="s">
        <v>2052</v>
      </c>
      <c r="M64" t="s">
        <v>2053</v>
      </c>
      <c r="N64">
        <v>1</v>
      </c>
      <c r="O64">
        <v>37</v>
      </c>
      <c r="P64">
        <v>2.57</v>
      </c>
      <c r="Q64">
        <v>1440</v>
      </c>
      <c r="R64">
        <v>1</v>
      </c>
      <c r="S64">
        <v>37</v>
      </c>
      <c r="T64">
        <v>2.57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159</v>
      </c>
      <c r="AH64" s="21" t="s">
        <v>3424</v>
      </c>
      <c r="AI64" s="21">
        <v>107.92500000000001</v>
      </c>
      <c r="AJ64" s="21">
        <v>97.430555555555557</v>
      </c>
      <c r="AK64" s="21" t="s">
        <v>2055</v>
      </c>
      <c r="AL64" t="s">
        <v>70</v>
      </c>
      <c r="AM64" t="s">
        <v>2030</v>
      </c>
    </row>
    <row r="65" spans="1:39" ht="15" hidden="1" thickTop="1" x14ac:dyDescent="0.35">
      <c r="A65" t="s">
        <v>2287</v>
      </c>
      <c r="B65" t="s">
        <v>2291</v>
      </c>
      <c r="C65" t="s">
        <v>66</v>
      </c>
      <c r="D65" t="s">
        <v>2292</v>
      </c>
      <c r="E65" t="s">
        <v>559</v>
      </c>
      <c r="F65">
        <v>2</v>
      </c>
      <c r="G65" t="s">
        <v>2050</v>
      </c>
      <c r="H65" t="s">
        <v>2051</v>
      </c>
      <c r="I65" t="s">
        <v>53</v>
      </c>
      <c r="J65" t="s">
        <v>67</v>
      </c>
      <c r="K65" t="s">
        <v>68</v>
      </c>
      <c r="L65" t="s">
        <v>2052</v>
      </c>
      <c r="M65" t="s">
        <v>2053</v>
      </c>
      <c r="N65">
        <v>0</v>
      </c>
      <c r="O65">
        <v>0</v>
      </c>
      <c r="P65">
        <v>0</v>
      </c>
      <c r="Q65">
        <v>1440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160</v>
      </c>
      <c r="AH65" s="21" t="s">
        <v>3424</v>
      </c>
      <c r="AI65" s="21">
        <v>107.92500000000001</v>
      </c>
      <c r="AJ65" s="21">
        <v>100</v>
      </c>
      <c r="AK65" s="21" t="s">
        <v>2054</v>
      </c>
      <c r="AL65" t="s">
        <v>70</v>
      </c>
      <c r="AM65" t="s">
        <v>2029</v>
      </c>
    </row>
    <row r="66" spans="1:39" ht="15" hidden="1" thickTop="1" x14ac:dyDescent="0.35">
      <c r="A66" t="s">
        <v>2289</v>
      </c>
      <c r="B66" t="s">
        <v>2294</v>
      </c>
      <c r="C66" t="s">
        <v>66</v>
      </c>
      <c r="D66" t="s">
        <v>2295</v>
      </c>
      <c r="E66" t="s">
        <v>559</v>
      </c>
      <c r="F66">
        <v>1</v>
      </c>
      <c r="G66" t="s">
        <v>2050</v>
      </c>
      <c r="H66" t="s">
        <v>2051</v>
      </c>
      <c r="I66" t="s">
        <v>53</v>
      </c>
      <c r="J66" t="s">
        <v>67</v>
      </c>
      <c r="K66" t="s">
        <v>68</v>
      </c>
      <c r="L66" t="s">
        <v>2052</v>
      </c>
      <c r="M66" t="s">
        <v>2053</v>
      </c>
      <c r="N66">
        <v>0</v>
      </c>
      <c r="O66">
        <v>0</v>
      </c>
      <c r="P66">
        <v>0</v>
      </c>
      <c r="Q66">
        <v>1440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161</v>
      </c>
      <c r="AH66" s="21" t="s">
        <v>3424</v>
      </c>
      <c r="AI66" s="21">
        <v>107.92500000000001</v>
      </c>
      <c r="AJ66" s="21">
        <v>100</v>
      </c>
      <c r="AK66" s="21" t="s">
        <v>2054</v>
      </c>
      <c r="AL66" t="s">
        <v>70</v>
      </c>
      <c r="AM66" t="s">
        <v>2028</v>
      </c>
    </row>
    <row r="67" spans="1:39" ht="15" hidden="1" thickTop="1" x14ac:dyDescent="0.35">
      <c r="A67" t="s">
        <v>2290</v>
      </c>
      <c r="B67" t="s">
        <v>2296</v>
      </c>
      <c r="C67" t="s">
        <v>78</v>
      </c>
      <c r="D67" t="s">
        <v>2297</v>
      </c>
      <c r="E67" t="s">
        <v>559</v>
      </c>
      <c r="F67">
        <v>1</v>
      </c>
      <c r="G67" t="s">
        <v>2050</v>
      </c>
      <c r="H67" t="s">
        <v>2051</v>
      </c>
      <c r="I67" t="s">
        <v>53</v>
      </c>
      <c r="J67" t="s">
        <v>67</v>
      </c>
      <c r="K67" t="s">
        <v>68</v>
      </c>
      <c r="L67" t="s">
        <v>2052</v>
      </c>
      <c r="M67" t="s">
        <v>2053</v>
      </c>
      <c r="N67">
        <v>0</v>
      </c>
      <c r="O67">
        <v>0</v>
      </c>
      <c r="P67">
        <v>0</v>
      </c>
      <c r="Q67">
        <v>1440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162</v>
      </c>
      <c r="AH67" s="21" t="s">
        <v>3424</v>
      </c>
      <c r="AI67" s="21">
        <v>107.92500000000001</v>
      </c>
      <c r="AJ67" s="21">
        <v>100</v>
      </c>
      <c r="AK67" s="21" t="s">
        <v>2054</v>
      </c>
      <c r="AL67" t="s">
        <v>70</v>
      </c>
      <c r="AM67" t="s">
        <v>2028</v>
      </c>
    </row>
    <row r="68" spans="1:39" ht="15" hidden="1" thickTop="1" x14ac:dyDescent="0.35">
      <c r="A68" t="s">
        <v>2298</v>
      </c>
      <c r="B68" t="s">
        <v>2300</v>
      </c>
      <c r="C68" t="s">
        <v>78</v>
      </c>
      <c r="D68" t="s">
        <v>2301</v>
      </c>
      <c r="E68" t="s">
        <v>559</v>
      </c>
      <c r="F68">
        <v>1</v>
      </c>
      <c r="G68" t="s">
        <v>2050</v>
      </c>
      <c r="H68" t="s">
        <v>2051</v>
      </c>
      <c r="I68" t="s">
        <v>53</v>
      </c>
      <c r="J68" t="s">
        <v>67</v>
      </c>
      <c r="K68" t="s">
        <v>68</v>
      </c>
      <c r="L68" t="s">
        <v>2052</v>
      </c>
      <c r="M68" t="s">
        <v>2064</v>
      </c>
      <c r="N68">
        <v>0</v>
      </c>
      <c r="O68">
        <v>0</v>
      </c>
      <c r="P68">
        <v>0</v>
      </c>
      <c r="Q68">
        <v>900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163</v>
      </c>
      <c r="AH68" s="21" t="s">
        <v>3425</v>
      </c>
      <c r="AI68" s="21">
        <v>67.5</v>
      </c>
      <c r="AJ68" s="21">
        <v>100</v>
      </c>
      <c r="AK68" s="21" t="s">
        <v>2054</v>
      </c>
      <c r="AL68" t="s">
        <v>70</v>
      </c>
      <c r="AM68" t="s">
        <v>2029</v>
      </c>
    </row>
    <row r="69" spans="1:39" ht="15" hidden="1" thickTop="1" x14ac:dyDescent="0.35">
      <c r="A69" t="s">
        <v>2302</v>
      </c>
      <c r="B69" t="s">
        <v>2309</v>
      </c>
      <c r="C69" t="s">
        <v>117</v>
      </c>
      <c r="D69" t="s">
        <v>2310</v>
      </c>
      <c r="E69" t="s">
        <v>559</v>
      </c>
      <c r="F69">
        <v>1</v>
      </c>
      <c r="G69" t="s">
        <v>2050</v>
      </c>
      <c r="H69" t="s">
        <v>2051</v>
      </c>
      <c r="I69" t="s">
        <v>53</v>
      </c>
      <c r="J69" t="s">
        <v>67</v>
      </c>
      <c r="K69" t="s">
        <v>68</v>
      </c>
      <c r="L69" t="s">
        <v>2052</v>
      </c>
      <c r="M69" t="s">
        <v>2063</v>
      </c>
      <c r="N69">
        <v>0</v>
      </c>
      <c r="O69">
        <v>0</v>
      </c>
      <c r="P69">
        <v>0</v>
      </c>
      <c r="Q69">
        <v>1020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164</v>
      </c>
      <c r="AH69" s="21" t="s">
        <v>3425</v>
      </c>
      <c r="AI69" s="21">
        <v>76.500000000000014</v>
      </c>
      <c r="AJ69" s="21">
        <v>100</v>
      </c>
      <c r="AK69" s="21" t="s">
        <v>2054</v>
      </c>
      <c r="AL69" t="s">
        <v>70</v>
      </c>
      <c r="AM69" t="s">
        <v>2027</v>
      </c>
    </row>
    <row r="70" spans="1:39" ht="15" hidden="1" thickTop="1" x14ac:dyDescent="0.35">
      <c r="A70" t="s">
        <v>2304</v>
      </c>
      <c r="B70" t="s">
        <v>2311</v>
      </c>
      <c r="C70" t="s">
        <v>76</v>
      </c>
      <c r="D70" t="s">
        <v>2312</v>
      </c>
      <c r="E70" t="s">
        <v>559</v>
      </c>
      <c r="F70">
        <v>1</v>
      </c>
      <c r="G70" t="s">
        <v>2050</v>
      </c>
      <c r="H70" t="s">
        <v>2051</v>
      </c>
      <c r="I70" t="s">
        <v>53</v>
      </c>
      <c r="J70" t="s">
        <v>67</v>
      </c>
      <c r="K70" t="s">
        <v>68</v>
      </c>
      <c r="L70" t="s">
        <v>2052</v>
      </c>
      <c r="M70" t="s">
        <v>2068</v>
      </c>
      <c r="N70">
        <v>0</v>
      </c>
      <c r="O70">
        <v>0</v>
      </c>
      <c r="P70">
        <v>0</v>
      </c>
      <c r="Q70">
        <v>720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561</v>
      </c>
      <c r="AH70" s="21" t="s">
        <v>3425</v>
      </c>
      <c r="AI70" s="21">
        <v>54</v>
      </c>
      <c r="AJ70" s="21">
        <v>100</v>
      </c>
      <c r="AK70" s="21" t="s">
        <v>2054</v>
      </c>
      <c r="AL70" t="s">
        <v>70</v>
      </c>
      <c r="AM70" t="s">
        <v>2027</v>
      </c>
    </row>
    <row r="71" spans="1:39" ht="15" hidden="1" thickTop="1" x14ac:dyDescent="0.35">
      <c r="A71" t="s">
        <v>2305</v>
      </c>
      <c r="B71" t="s">
        <v>2313</v>
      </c>
      <c r="C71" t="s">
        <v>100</v>
      </c>
      <c r="D71" t="s">
        <v>2314</v>
      </c>
      <c r="E71" t="s">
        <v>559</v>
      </c>
      <c r="F71">
        <v>1</v>
      </c>
      <c r="G71" t="s">
        <v>2050</v>
      </c>
      <c r="H71" t="s">
        <v>2051</v>
      </c>
      <c r="I71" t="s">
        <v>53</v>
      </c>
      <c r="J71" t="s">
        <v>67</v>
      </c>
      <c r="K71" t="s">
        <v>68</v>
      </c>
      <c r="L71" t="s">
        <v>2052</v>
      </c>
      <c r="M71" t="s">
        <v>2053</v>
      </c>
      <c r="N71">
        <v>0</v>
      </c>
      <c r="O71">
        <v>0</v>
      </c>
      <c r="P71">
        <v>0</v>
      </c>
      <c r="Q71">
        <v>1440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165</v>
      </c>
      <c r="AH71" s="21" t="s">
        <v>3425</v>
      </c>
      <c r="AI71" s="21">
        <v>107.92500000000001</v>
      </c>
      <c r="AJ71" s="21">
        <v>100</v>
      </c>
      <c r="AK71" s="21" t="s">
        <v>2054</v>
      </c>
      <c r="AL71" t="s">
        <v>70</v>
      </c>
      <c r="AM71" t="s">
        <v>2029</v>
      </c>
    </row>
    <row r="72" spans="1:39" ht="15" hidden="1" thickTop="1" x14ac:dyDescent="0.35">
      <c r="A72" t="s">
        <v>2307</v>
      </c>
      <c r="B72" t="s">
        <v>2315</v>
      </c>
      <c r="C72" t="s">
        <v>78</v>
      </c>
      <c r="D72" t="s">
        <v>2316</v>
      </c>
      <c r="E72" t="s">
        <v>559</v>
      </c>
      <c r="F72">
        <v>1</v>
      </c>
      <c r="G72" t="s">
        <v>2050</v>
      </c>
      <c r="H72" t="s">
        <v>2051</v>
      </c>
      <c r="I72" t="s">
        <v>53</v>
      </c>
      <c r="J72" t="s">
        <v>67</v>
      </c>
      <c r="K72" t="s">
        <v>68</v>
      </c>
      <c r="L72" t="s">
        <v>2052</v>
      </c>
      <c r="M72" t="s">
        <v>2053</v>
      </c>
      <c r="N72">
        <v>0</v>
      </c>
      <c r="O72">
        <v>0</v>
      </c>
      <c r="P72">
        <v>0</v>
      </c>
      <c r="Q72">
        <v>1440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1514</v>
      </c>
      <c r="AH72" s="21" t="s">
        <v>3425</v>
      </c>
      <c r="AI72" s="21">
        <v>107.92500000000001</v>
      </c>
      <c r="AJ72" s="21">
        <v>100</v>
      </c>
      <c r="AK72" s="21" t="s">
        <v>2055</v>
      </c>
      <c r="AL72" t="s">
        <v>70</v>
      </c>
      <c r="AM72" t="s">
        <v>2029</v>
      </c>
    </row>
    <row r="73" spans="1:39" ht="15" hidden="1" thickTop="1" x14ac:dyDescent="0.35">
      <c r="A73" t="s">
        <v>2318</v>
      </c>
      <c r="B73" t="s">
        <v>2330</v>
      </c>
      <c r="C73" t="s">
        <v>102</v>
      </c>
      <c r="D73" t="s">
        <v>2331</v>
      </c>
      <c r="E73" t="s">
        <v>559</v>
      </c>
      <c r="F73">
        <v>1</v>
      </c>
      <c r="G73" t="s">
        <v>2050</v>
      </c>
      <c r="H73" t="s">
        <v>2051</v>
      </c>
      <c r="I73" t="s">
        <v>53</v>
      </c>
      <c r="J73" t="s">
        <v>67</v>
      </c>
      <c r="K73" t="s">
        <v>68</v>
      </c>
      <c r="L73" t="s">
        <v>2052</v>
      </c>
      <c r="M73" t="s">
        <v>2053</v>
      </c>
      <c r="N73">
        <v>0</v>
      </c>
      <c r="O73">
        <v>0</v>
      </c>
      <c r="P73">
        <v>0</v>
      </c>
      <c r="Q73">
        <v>1440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166</v>
      </c>
      <c r="AH73" s="21" t="s">
        <v>3430</v>
      </c>
      <c r="AI73" s="21">
        <v>107.92500000000001</v>
      </c>
      <c r="AJ73" s="21">
        <v>100</v>
      </c>
      <c r="AK73" s="21" t="s">
        <v>2054</v>
      </c>
      <c r="AL73" t="s">
        <v>70</v>
      </c>
      <c r="AM73" t="s">
        <v>2027</v>
      </c>
    </row>
    <row r="74" spans="1:39" ht="15" hidden="1" thickTop="1" x14ac:dyDescent="0.35">
      <c r="A74" t="s">
        <v>2320</v>
      </c>
      <c r="B74" t="s">
        <v>2332</v>
      </c>
      <c r="C74" t="s">
        <v>117</v>
      </c>
      <c r="D74" t="s">
        <v>2333</v>
      </c>
      <c r="E74" t="s">
        <v>559</v>
      </c>
      <c r="F74">
        <v>1</v>
      </c>
      <c r="G74" t="s">
        <v>2050</v>
      </c>
      <c r="H74" t="s">
        <v>2051</v>
      </c>
      <c r="I74" t="s">
        <v>53</v>
      </c>
      <c r="J74" t="s">
        <v>67</v>
      </c>
      <c r="K74" t="s">
        <v>68</v>
      </c>
      <c r="L74" t="s">
        <v>2052</v>
      </c>
      <c r="M74" t="s">
        <v>2053</v>
      </c>
      <c r="N74">
        <v>0</v>
      </c>
      <c r="O74">
        <v>0</v>
      </c>
      <c r="P74">
        <v>0</v>
      </c>
      <c r="Q74">
        <v>1440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167</v>
      </c>
      <c r="AH74" s="21" t="s">
        <v>3425</v>
      </c>
      <c r="AI74" s="21">
        <v>107.92500000000001</v>
      </c>
      <c r="AJ74" s="21">
        <v>100</v>
      </c>
      <c r="AK74" s="21" t="s">
        <v>2054</v>
      </c>
      <c r="AL74" t="s">
        <v>70</v>
      </c>
      <c r="AM74" t="s">
        <v>2027</v>
      </c>
    </row>
    <row r="75" spans="1:39" ht="15" hidden="1" thickTop="1" x14ac:dyDescent="0.35">
      <c r="A75" t="s">
        <v>2322</v>
      </c>
      <c r="B75" t="s">
        <v>2335</v>
      </c>
      <c r="C75" t="s">
        <v>100</v>
      </c>
      <c r="D75" t="s">
        <v>2336</v>
      </c>
      <c r="E75" t="s">
        <v>119</v>
      </c>
      <c r="F75">
        <v>1</v>
      </c>
      <c r="G75" t="s">
        <v>2050</v>
      </c>
      <c r="H75" t="s">
        <v>2051</v>
      </c>
      <c r="I75" t="s">
        <v>53</v>
      </c>
      <c r="J75" t="s">
        <v>67</v>
      </c>
      <c r="K75" t="s">
        <v>68</v>
      </c>
      <c r="L75" t="s">
        <v>2052</v>
      </c>
      <c r="M75" t="s">
        <v>2064</v>
      </c>
      <c r="N75">
        <v>0</v>
      </c>
      <c r="O75">
        <v>0</v>
      </c>
      <c r="P75">
        <v>0</v>
      </c>
      <c r="Q75">
        <v>900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168</v>
      </c>
      <c r="AH75" s="21" t="s">
        <v>3424</v>
      </c>
      <c r="AI75" s="21">
        <v>67.5</v>
      </c>
      <c r="AJ75" s="21">
        <v>100</v>
      </c>
      <c r="AK75" s="21" t="s">
        <v>2054</v>
      </c>
      <c r="AL75" t="s">
        <v>70</v>
      </c>
      <c r="AM75" t="s">
        <v>2029</v>
      </c>
    </row>
    <row r="76" spans="1:39" ht="15" hidden="1" thickTop="1" x14ac:dyDescent="0.35">
      <c r="A76" t="s">
        <v>2323</v>
      </c>
      <c r="B76" t="s">
        <v>2338</v>
      </c>
      <c r="C76" t="s">
        <v>76</v>
      </c>
      <c r="D76" t="s">
        <v>2339</v>
      </c>
      <c r="E76" t="s">
        <v>559</v>
      </c>
      <c r="F76">
        <v>1</v>
      </c>
      <c r="G76" t="s">
        <v>2050</v>
      </c>
      <c r="H76" t="s">
        <v>2051</v>
      </c>
      <c r="I76" t="s">
        <v>53</v>
      </c>
      <c r="J76" t="s">
        <v>67</v>
      </c>
      <c r="K76" t="s">
        <v>68</v>
      </c>
      <c r="L76" t="s">
        <v>2052</v>
      </c>
      <c r="M76" t="s">
        <v>2053</v>
      </c>
      <c r="N76">
        <v>0</v>
      </c>
      <c r="O76">
        <v>0</v>
      </c>
      <c r="P76">
        <v>0</v>
      </c>
      <c r="Q76">
        <v>1440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169</v>
      </c>
      <c r="AH76" s="21" t="s">
        <v>3425</v>
      </c>
      <c r="AI76" s="21">
        <v>107.92500000000001</v>
      </c>
      <c r="AJ76" s="21">
        <v>100</v>
      </c>
      <c r="AK76" s="21" t="s">
        <v>2054</v>
      </c>
      <c r="AL76" t="s">
        <v>70</v>
      </c>
      <c r="AM76" t="s">
        <v>2028</v>
      </c>
    </row>
    <row r="77" spans="1:39" ht="15" hidden="1" thickTop="1" x14ac:dyDescent="0.35">
      <c r="A77" t="s">
        <v>2065</v>
      </c>
      <c r="B77" t="s">
        <v>2340</v>
      </c>
      <c r="C77" t="s">
        <v>565</v>
      </c>
      <c r="D77" t="s">
        <v>2341</v>
      </c>
      <c r="E77" t="s">
        <v>559</v>
      </c>
      <c r="F77">
        <v>1</v>
      </c>
      <c r="G77" t="s">
        <v>2050</v>
      </c>
      <c r="H77" t="s">
        <v>2051</v>
      </c>
      <c r="I77" t="s">
        <v>53</v>
      </c>
      <c r="J77" t="s">
        <v>427</v>
      </c>
      <c r="K77" t="s">
        <v>68</v>
      </c>
      <c r="L77" t="s">
        <v>2052</v>
      </c>
      <c r="M77" t="s">
        <v>2053</v>
      </c>
      <c r="N77">
        <v>0</v>
      </c>
      <c r="O77">
        <v>0</v>
      </c>
      <c r="P77">
        <v>0</v>
      </c>
      <c r="Q77">
        <v>1440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170</v>
      </c>
      <c r="AH77" s="21" t="s">
        <v>3424</v>
      </c>
      <c r="AI77" s="21">
        <v>107.92500000000001</v>
      </c>
      <c r="AJ77" s="21">
        <v>100</v>
      </c>
      <c r="AK77" s="21" t="s">
        <v>2054</v>
      </c>
      <c r="AL77" t="s">
        <v>70</v>
      </c>
      <c r="AM77" t="s">
        <v>2029</v>
      </c>
    </row>
    <row r="78" spans="1:39" ht="15" hidden="1" thickTop="1" x14ac:dyDescent="0.35">
      <c r="A78" t="s">
        <v>2326</v>
      </c>
      <c r="B78" t="s">
        <v>2344</v>
      </c>
      <c r="C78" t="s">
        <v>100</v>
      </c>
      <c r="D78" t="s">
        <v>2345</v>
      </c>
      <c r="E78" t="s">
        <v>559</v>
      </c>
      <c r="F78">
        <v>1</v>
      </c>
      <c r="G78" t="s">
        <v>2050</v>
      </c>
      <c r="H78" t="s">
        <v>2051</v>
      </c>
      <c r="I78" t="s">
        <v>53</v>
      </c>
      <c r="J78" t="s">
        <v>67</v>
      </c>
      <c r="K78" t="s">
        <v>68</v>
      </c>
      <c r="L78" t="s">
        <v>2052</v>
      </c>
      <c r="M78" t="s">
        <v>2053</v>
      </c>
      <c r="N78">
        <v>0</v>
      </c>
      <c r="O78">
        <v>0</v>
      </c>
      <c r="P78">
        <v>0</v>
      </c>
      <c r="Q78">
        <v>1440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173</v>
      </c>
      <c r="AH78" s="21" t="s">
        <v>3425</v>
      </c>
      <c r="AI78" s="21">
        <v>107.92500000000001</v>
      </c>
      <c r="AJ78" s="21">
        <v>100</v>
      </c>
      <c r="AK78" s="21" t="s">
        <v>2054</v>
      </c>
      <c r="AL78" t="s">
        <v>70</v>
      </c>
      <c r="AM78" t="s">
        <v>2028</v>
      </c>
    </row>
    <row r="79" spans="1:39" ht="15" hidden="1" thickTop="1" x14ac:dyDescent="0.35">
      <c r="A79" t="s">
        <v>2327</v>
      </c>
      <c r="B79" t="s">
        <v>2346</v>
      </c>
      <c r="C79" t="s">
        <v>78</v>
      </c>
      <c r="D79" t="s">
        <v>2347</v>
      </c>
      <c r="E79" t="s">
        <v>559</v>
      </c>
      <c r="F79">
        <v>1</v>
      </c>
      <c r="G79" t="s">
        <v>2050</v>
      </c>
      <c r="H79" t="s">
        <v>2051</v>
      </c>
      <c r="I79" t="s">
        <v>53</v>
      </c>
      <c r="J79" t="s">
        <v>67</v>
      </c>
      <c r="K79" t="s">
        <v>68</v>
      </c>
      <c r="L79" t="s">
        <v>2052</v>
      </c>
      <c r="M79" t="s">
        <v>2064</v>
      </c>
      <c r="N79">
        <v>0</v>
      </c>
      <c r="O79">
        <v>0</v>
      </c>
      <c r="P79">
        <v>0</v>
      </c>
      <c r="Q79">
        <v>900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174</v>
      </c>
      <c r="AH79" s="21" t="s">
        <v>3425</v>
      </c>
      <c r="AI79" s="21">
        <v>67.5</v>
      </c>
      <c r="AJ79" s="21">
        <v>100</v>
      </c>
      <c r="AK79" s="21" t="s">
        <v>2054</v>
      </c>
      <c r="AL79" t="s">
        <v>70</v>
      </c>
      <c r="AM79" t="s">
        <v>2028</v>
      </c>
    </row>
    <row r="80" spans="1:39" ht="15" hidden="1" thickTop="1" x14ac:dyDescent="0.35">
      <c r="A80" t="s">
        <v>2328</v>
      </c>
      <c r="B80" t="s">
        <v>2348</v>
      </c>
      <c r="C80" t="s">
        <v>100</v>
      </c>
      <c r="D80" t="s">
        <v>2349</v>
      </c>
      <c r="E80" t="s">
        <v>559</v>
      </c>
      <c r="F80">
        <v>1</v>
      </c>
      <c r="G80" t="s">
        <v>2050</v>
      </c>
      <c r="H80" t="s">
        <v>2051</v>
      </c>
      <c r="I80" t="s">
        <v>53</v>
      </c>
      <c r="J80" t="s">
        <v>67</v>
      </c>
      <c r="K80" t="s">
        <v>68</v>
      </c>
      <c r="L80" t="s">
        <v>2052</v>
      </c>
      <c r="M80" t="s">
        <v>2053</v>
      </c>
      <c r="N80">
        <v>0</v>
      </c>
      <c r="O80">
        <v>0</v>
      </c>
      <c r="P80">
        <v>0</v>
      </c>
      <c r="Q80">
        <v>1440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175</v>
      </c>
      <c r="AH80" s="21" t="s">
        <v>3425</v>
      </c>
      <c r="AI80" s="21">
        <v>107.92500000000001</v>
      </c>
      <c r="AJ80" s="21">
        <v>100</v>
      </c>
      <c r="AK80" s="21" t="s">
        <v>2054</v>
      </c>
      <c r="AL80" t="s">
        <v>70</v>
      </c>
      <c r="AM80" t="s">
        <v>2030</v>
      </c>
    </row>
    <row r="81" spans="1:39" ht="15" hidden="1" thickTop="1" x14ac:dyDescent="0.35">
      <c r="A81" t="s">
        <v>2334</v>
      </c>
      <c r="B81" t="s">
        <v>2350</v>
      </c>
      <c r="C81" t="s">
        <v>565</v>
      </c>
      <c r="D81" t="s">
        <v>2351</v>
      </c>
      <c r="E81" t="s">
        <v>559</v>
      </c>
      <c r="F81">
        <v>2</v>
      </c>
      <c r="G81" t="s">
        <v>2050</v>
      </c>
      <c r="H81" t="s">
        <v>2051</v>
      </c>
      <c r="I81" t="s">
        <v>53</v>
      </c>
      <c r="J81" t="s">
        <v>427</v>
      </c>
      <c r="K81" t="s">
        <v>68</v>
      </c>
      <c r="L81" t="s">
        <v>2052</v>
      </c>
      <c r="M81" t="s">
        <v>2053</v>
      </c>
      <c r="N81">
        <v>0</v>
      </c>
      <c r="O81">
        <v>0</v>
      </c>
      <c r="P81">
        <v>0</v>
      </c>
      <c r="Q81">
        <v>1440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176</v>
      </c>
      <c r="AH81" s="21" t="s">
        <v>3428</v>
      </c>
      <c r="AI81" s="21">
        <v>107.92500000000001</v>
      </c>
      <c r="AJ81" s="21">
        <v>100</v>
      </c>
      <c r="AK81" s="21" t="s">
        <v>2054</v>
      </c>
      <c r="AL81" t="s">
        <v>70</v>
      </c>
      <c r="AM81" t="s">
        <v>2029</v>
      </c>
    </row>
    <row r="82" spans="1:39" ht="15" hidden="1" thickTop="1" x14ac:dyDescent="0.35">
      <c r="A82" t="s">
        <v>2342</v>
      </c>
      <c r="B82" t="s">
        <v>2352</v>
      </c>
      <c r="C82" t="s">
        <v>76</v>
      </c>
      <c r="D82" t="s">
        <v>2353</v>
      </c>
      <c r="E82" t="s">
        <v>559</v>
      </c>
      <c r="F82">
        <v>1</v>
      </c>
      <c r="G82" t="s">
        <v>2050</v>
      </c>
      <c r="H82" t="s">
        <v>2051</v>
      </c>
      <c r="I82" t="s">
        <v>53</v>
      </c>
      <c r="J82" t="s">
        <v>67</v>
      </c>
      <c r="K82" t="s">
        <v>68</v>
      </c>
      <c r="L82" t="s">
        <v>2052</v>
      </c>
      <c r="M82" t="s">
        <v>2064</v>
      </c>
      <c r="N82">
        <v>0</v>
      </c>
      <c r="O82">
        <v>0</v>
      </c>
      <c r="P82">
        <v>0</v>
      </c>
      <c r="Q82">
        <v>900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177</v>
      </c>
      <c r="AH82" s="21" t="s">
        <v>3424</v>
      </c>
      <c r="AI82" s="21">
        <v>67.5</v>
      </c>
      <c r="AJ82" s="21">
        <v>100</v>
      </c>
      <c r="AK82" s="21" t="s">
        <v>2054</v>
      </c>
      <c r="AL82" t="s">
        <v>70</v>
      </c>
      <c r="AM82" t="s">
        <v>2029</v>
      </c>
    </row>
    <row r="83" spans="1:39" ht="15" hidden="1" thickTop="1" x14ac:dyDescent="0.35">
      <c r="A83" t="s">
        <v>2354</v>
      </c>
      <c r="B83" t="s">
        <v>2358</v>
      </c>
      <c r="C83" t="s">
        <v>81</v>
      </c>
      <c r="D83" t="s">
        <v>2359</v>
      </c>
      <c r="E83" t="s">
        <v>559</v>
      </c>
      <c r="F83">
        <v>2</v>
      </c>
      <c r="G83" t="s">
        <v>2050</v>
      </c>
      <c r="H83" t="s">
        <v>2051</v>
      </c>
      <c r="I83" t="s">
        <v>53</v>
      </c>
      <c r="J83" t="s">
        <v>82</v>
      </c>
      <c r="K83" t="s">
        <v>68</v>
      </c>
      <c r="L83" t="s">
        <v>2052</v>
      </c>
      <c r="M83" t="s">
        <v>2053</v>
      </c>
      <c r="N83">
        <v>0</v>
      </c>
      <c r="O83">
        <v>0</v>
      </c>
      <c r="P83">
        <v>0</v>
      </c>
      <c r="Q83">
        <v>1440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272</v>
      </c>
      <c r="AH83" s="21" t="s">
        <v>3424</v>
      </c>
      <c r="AI83" s="21">
        <v>107.92500000000001</v>
      </c>
      <c r="AJ83" s="21">
        <v>100</v>
      </c>
      <c r="AK83" s="21" t="s">
        <v>2054</v>
      </c>
      <c r="AL83" t="s">
        <v>70</v>
      </c>
      <c r="AM83" t="s">
        <v>2029</v>
      </c>
    </row>
    <row r="84" spans="1:39" ht="15" hidden="1" thickTop="1" x14ac:dyDescent="0.35">
      <c r="A84" t="s">
        <v>2356</v>
      </c>
      <c r="B84" t="s">
        <v>2360</v>
      </c>
      <c r="C84" t="s">
        <v>92</v>
      </c>
      <c r="D84" t="s">
        <v>2361</v>
      </c>
      <c r="E84" t="s">
        <v>119</v>
      </c>
      <c r="F84">
        <v>1</v>
      </c>
      <c r="G84" t="s">
        <v>2050</v>
      </c>
      <c r="H84" t="s">
        <v>2051</v>
      </c>
      <c r="I84" t="s">
        <v>53</v>
      </c>
      <c r="J84" t="s">
        <v>67</v>
      </c>
      <c r="K84" t="s">
        <v>68</v>
      </c>
      <c r="L84" t="s">
        <v>2052</v>
      </c>
      <c r="M84" t="s">
        <v>2053</v>
      </c>
      <c r="N84">
        <v>1</v>
      </c>
      <c r="O84">
        <v>35</v>
      </c>
      <c r="P84">
        <v>2.4300000000000002</v>
      </c>
      <c r="Q84">
        <v>1440</v>
      </c>
      <c r="R84">
        <v>1</v>
      </c>
      <c r="S84">
        <v>35</v>
      </c>
      <c r="T84">
        <v>2.4300000000000002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221</v>
      </c>
      <c r="AH84" s="21" t="s">
        <v>3424</v>
      </c>
      <c r="AI84" s="21">
        <v>107.92500000000001</v>
      </c>
      <c r="AJ84" s="21">
        <v>97.569444444444443</v>
      </c>
      <c r="AK84" s="21" t="s">
        <v>2055</v>
      </c>
      <c r="AL84" t="s">
        <v>70</v>
      </c>
      <c r="AM84" t="s">
        <v>2029</v>
      </c>
    </row>
    <row r="85" spans="1:39" ht="15" hidden="1" thickTop="1" x14ac:dyDescent="0.35">
      <c r="A85" t="s">
        <v>2362</v>
      </c>
      <c r="B85" t="s">
        <v>2365</v>
      </c>
      <c r="C85" t="s">
        <v>66</v>
      </c>
      <c r="D85" t="s">
        <v>2366</v>
      </c>
      <c r="E85" t="s">
        <v>559</v>
      </c>
      <c r="F85">
        <v>1</v>
      </c>
      <c r="G85" t="s">
        <v>2050</v>
      </c>
      <c r="H85" t="s">
        <v>2051</v>
      </c>
      <c r="I85" t="s">
        <v>53</v>
      </c>
      <c r="J85" t="s">
        <v>67</v>
      </c>
      <c r="K85" t="s">
        <v>68</v>
      </c>
      <c r="L85" t="s">
        <v>2052</v>
      </c>
      <c r="M85" t="s">
        <v>2053</v>
      </c>
      <c r="N85">
        <v>1</v>
      </c>
      <c r="O85">
        <v>71</v>
      </c>
      <c r="P85">
        <v>4.93</v>
      </c>
      <c r="Q85">
        <v>1440</v>
      </c>
      <c r="R85">
        <v>1</v>
      </c>
      <c r="S85">
        <v>71</v>
      </c>
      <c r="T85">
        <v>4.93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267</v>
      </c>
      <c r="AH85" s="21" t="s">
        <v>3424</v>
      </c>
      <c r="AI85" s="21">
        <v>107.92500000000001</v>
      </c>
      <c r="AJ85" s="21">
        <v>95.069444444444443</v>
      </c>
      <c r="AK85" s="21" t="s">
        <v>2055</v>
      </c>
      <c r="AL85" t="s">
        <v>70</v>
      </c>
      <c r="AM85" t="s">
        <v>2028</v>
      </c>
    </row>
    <row r="86" spans="1:39" ht="15" hidden="1" thickTop="1" x14ac:dyDescent="0.35">
      <c r="A86" t="s">
        <v>2363</v>
      </c>
      <c r="B86" t="s">
        <v>2367</v>
      </c>
      <c r="C86" t="s">
        <v>76</v>
      </c>
      <c r="D86" t="s">
        <v>2368</v>
      </c>
      <c r="E86" t="s">
        <v>559</v>
      </c>
      <c r="F86">
        <v>2</v>
      </c>
      <c r="G86" t="s">
        <v>2050</v>
      </c>
      <c r="H86" t="s">
        <v>2051</v>
      </c>
      <c r="I86" t="s">
        <v>53</v>
      </c>
      <c r="J86" t="s">
        <v>67</v>
      </c>
      <c r="K86" t="s">
        <v>68</v>
      </c>
      <c r="L86" t="s">
        <v>2052</v>
      </c>
      <c r="M86" t="s">
        <v>2053</v>
      </c>
      <c r="N86">
        <v>0</v>
      </c>
      <c r="O86">
        <v>0</v>
      </c>
      <c r="P86">
        <v>0</v>
      </c>
      <c r="Q86">
        <v>1440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352</v>
      </c>
      <c r="AH86" s="21" t="s">
        <v>3424</v>
      </c>
      <c r="AI86" s="21">
        <v>107.92500000000001</v>
      </c>
      <c r="AJ86" s="21">
        <v>100</v>
      </c>
      <c r="AK86" s="21" t="s">
        <v>2055</v>
      </c>
      <c r="AL86" t="s">
        <v>70</v>
      </c>
      <c r="AM86" t="s">
        <v>2030</v>
      </c>
    </row>
    <row r="87" spans="1:39" ht="15" hidden="1" thickTop="1" x14ac:dyDescent="0.35">
      <c r="A87" t="s">
        <v>2369</v>
      </c>
      <c r="B87" t="s">
        <v>2375</v>
      </c>
      <c r="C87" t="s">
        <v>92</v>
      </c>
      <c r="D87" t="s">
        <v>2376</v>
      </c>
      <c r="E87" t="s">
        <v>119</v>
      </c>
      <c r="F87">
        <v>1</v>
      </c>
      <c r="G87" t="s">
        <v>2050</v>
      </c>
      <c r="H87" t="s">
        <v>2051</v>
      </c>
      <c r="I87" t="s">
        <v>53</v>
      </c>
      <c r="J87" t="s">
        <v>67</v>
      </c>
      <c r="K87" t="s">
        <v>68</v>
      </c>
      <c r="L87" t="s">
        <v>2052</v>
      </c>
      <c r="M87" t="s">
        <v>2053</v>
      </c>
      <c r="N87">
        <v>0</v>
      </c>
      <c r="O87">
        <v>0</v>
      </c>
      <c r="P87">
        <v>0</v>
      </c>
      <c r="Q87">
        <v>1440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183</v>
      </c>
      <c r="AH87" s="21" t="s">
        <v>3425</v>
      </c>
      <c r="AI87" s="21">
        <v>107.92500000000001</v>
      </c>
      <c r="AJ87" s="21">
        <v>100</v>
      </c>
      <c r="AK87" s="21" t="s">
        <v>2054</v>
      </c>
      <c r="AL87" t="s">
        <v>70</v>
      </c>
      <c r="AM87" t="s">
        <v>2027</v>
      </c>
    </row>
    <row r="88" spans="1:39" ht="15" hidden="1" thickTop="1" x14ac:dyDescent="0.35">
      <c r="A88" t="s">
        <v>2371</v>
      </c>
      <c r="B88" t="s">
        <v>2377</v>
      </c>
      <c r="C88" t="s">
        <v>102</v>
      </c>
      <c r="D88" t="s">
        <v>2378</v>
      </c>
      <c r="E88" t="s">
        <v>559</v>
      </c>
      <c r="F88">
        <v>1</v>
      </c>
      <c r="G88" t="s">
        <v>2050</v>
      </c>
      <c r="H88" t="s">
        <v>2051</v>
      </c>
      <c r="I88" t="s">
        <v>53</v>
      </c>
      <c r="J88" t="s">
        <v>67</v>
      </c>
      <c r="K88" t="s">
        <v>68</v>
      </c>
      <c r="L88" t="s">
        <v>2052</v>
      </c>
      <c r="M88" t="s">
        <v>2053</v>
      </c>
      <c r="N88">
        <v>0</v>
      </c>
      <c r="O88">
        <v>0</v>
      </c>
      <c r="P88">
        <v>0</v>
      </c>
      <c r="Q88">
        <v>1440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195</v>
      </c>
      <c r="AH88" s="21" t="s">
        <v>3429</v>
      </c>
      <c r="AI88" s="21">
        <v>107.92500000000001</v>
      </c>
      <c r="AJ88" s="21">
        <v>100</v>
      </c>
      <c r="AK88" s="21" t="s">
        <v>2054</v>
      </c>
      <c r="AL88" t="s">
        <v>70</v>
      </c>
      <c r="AM88" t="s">
        <v>2027</v>
      </c>
    </row>
    <row r="89" spans="1:39" ht="15" hidden="1" thickTop="1" x14ac:dyDescent="0.35">
      <c r="A89" t="s">
        <v>2373</v>
      </c>
      <c r="B89" t="s">
        <v>2379</v>
      </c>
      <c r="C89" t="s">
        <v>100</v>
      </c>
      <c r="D89" t="s">
        <v>2380</v>
      </c>
      <c r="E89" t="s">
        <v>559</v>
      </c>
      <c r="F89">
        <v>1</v>
      </c>
      <c r="G89" t="s">
        <v>2050</v>
      </c>
      <c r="H89" t="s">
        <v>2051</v>
      </c>
      <c r="I89" t="s">
        <v>53</v>
      </c>
      <c r="J89" t="s">
        <v>67</v>
      </c>
      <c r="K89" t="s">
        <v>68</v>
      </c>
      <c r="L89" t="s">
        <v>2052</v>
      </c>
      <c r="M89" t="s">
        <v>2053</v>
      </c>
      <c r="N89">
        <v>0</v>
      </c>
      <c r="O89">
        <v>0</v>
      </c>
      <c r="P89">
        <v>0</v>
      </c>
      <c r="Q89">
        <v>1440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171</v>
      </c>
      <c r="AH89" s="21" t="s">
        <v>3424</v>
      </c>
      <c r="AI89" s="21">
        <v>107.92500000000001</v>
      </c>
      <c r="AJ89" s="21">
        <v>100</v>
      </c>
      <c r="AK89" s="21" t="s">
        <v>2055</v>
      </c>
      <c r="AL89" t="s">
        <v>70</v>
      </c>
      <c r="AM89" t="s">
        <v>2030</v>
      </c>
    </row>
    <row r="90" spans="1:39" ht="15" hidden="1" thickTop="1" x14ac:dyDescent="0.35">
      <c r="A90" t="s">
        <v>2381</v>
      </c>
      <c r="B90" t="s">
        <v>2386</v>
      </c>
      <c r="C90" t="s">
        <v>92</v>
      </c>
      <c r="D90" t="s">
        <v>2387</v>
      </c>
      <c r="E90" t="s">
        <v>559</v>
      </c>
      <c r="F90">
        <v>1</v>
      </c>
      <c r="G90" t="s">
        <v>2050</v>
      </c>
      <c r="H90" t="s">
        <v>2051</v>
      </c>
      <c r="I90" t="s">
        <v>53</v>
      </c>
      <c r="J90" t="s">
        <v>67</v>
      </c>
      <c r="K90" t="s">
        <v>68</v>
      </c>
      <c r="L90" t="s">
        <v>2052</v>
      </c>
      <c r="M90" t="s">
        <v>2064</v>
      </c>
      <c r="N90">
        <v>0</v>
      </c>
      <c r="O90">
        <v>0</v>
      </c>
      <c r="P90">
        <v>0</v>
      </c>
      <c r="Q90">
        <v>900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338</v>
      </c>
      <c r="AH90" s="21" t="s">
        <v>3424</v>
      </c>
      <c r="AI90" s="21">
        <v>67.5</v>
      </c>
      <c r="AJ90" s="21">
        <v>100</v>
      </c>
      <c r="AK90" s="21" t="s">
        <v>2054</v>
      </c>
      <c r="AL90" t="s">
        <v>70</v>
      </c>
      <c r="AM90" t="s">
        <v>2029</v>
      </c>
    </row>
    <row r="91" spans="1:39" ht="15" hidden="1" thickTop="1" x14ac:dyDescent="0.35">
      <c r="A91" t="s">
        <v>2067</v>
      </c>
      <c r="B91" t="s">
        <v>2388</v>
      </c>
      <c r="C91" t="s">
        <v>100</v>
      </c>
      <c r="D91" t="s">
        <v>2389</v>
      </c>
      <c r="E91" t="s">
        <v>119</v>
      </c>
      <c r="F91">
        <v>1</v>
      </c>
      <c r="G91" t="s">
        <v>2050</v>
      </c>
      <c r="H91" t="s">
        <v>2051</v>
      </c>
      <c r="I91" t="s">
        <v>53</v>
      </c>
      <c r="J91" t="s">
        <v>67</v>
      </c>
      <c r="K91" t="s">
        <v>68</v>
      </c>
      <c r="L91" t="s">
        <v>2052</v>
      </c>
      <c r="M91" t="s">
        <v>2064</v>
      </c>
      <c r="N91">
        <v>0</v>
      </c>
      <c r="O91">
        <v>0</v>
      </c>
      <c r="P91">
        <v>0</v>
      </c>
      <c r="Q91">
        <v>900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357</v>
      </c>
      <c r="AH91" s="21" t="s">
        <v>3425</v>
      </c>
      <c r="AI91" s="21">
        <v>67.5</v>
      </c>
      <c r="AJ91" s="21">
        <v>100</v>
      </c>
      <c r="AK91" s="21" t="s">
        <v>2054</v>
      </c>
      <c r="AL91" t="s">
        <v>70</v>
      </c>
      <c r="AM91" t="s">
        <v>2028</v>
      </c>
    </row>
    <row r="92" spans="1:39" ht="15" hidden="1" thickTop="1" x14ac:dyDescent="0.35">
      <c r="A92" t="s">
        <v>2384</v>
      </c>
      <c r="B92" t="s">
        <v>3409</v>
      </c>
      <c r="C92" t="s">
        <v>71</v>
      </c>
      <c r="D92" t="s">
        <v>3410</v>
      </c>
      <c r="E92" t="s">
        <v>72</v>
      </c>
      <c r="F92">
        <v>1</v>
      </c>
      <c r="G92" t="s">
        <v>2050</v>
      </c>
      <c r="H92" t="s">
        <v>2051</v>
      </c>
      <c r="I92" t="s">
        <v>53</v>
      </c>
      <c r="J92" t="s">
        <v>73</v>
      </c>
      <c r="K92" t="s">
        <v>68</v>
      </c>
      <c r="L92" t="s">
        <v>2052</v>
      </c>
      <c r="M92" t="s">
        <v>2053</v>
      </c>
      <c r="N92">
        <v>0</v>
      </c>
      <c r="O92">
        <v>0</v>
      </c>
      <c r="P92">
        <v>0</v>
      </c>
      <c r="Q92">
        <v>1440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295</v>
      </c>
      <c r="AH92" s="21" t="s">
        <v>3427</v>
      </c>
      <c r="AI92" s="21">
        <v>107.92500000000001</v>
      </c>
      <c r="AJ92" s="21">
        <v>100</v>
      </c>
      <c r="AK92" s="21" t="s">
        <v>2054</v>
      </c>
      <c r="AL92" t="s">
        <v>75</v>
      </c>
      <c r="AM92" t="s">
        <v>2032</v>
      </c>
    </row>
    <row r="93" spans="1:39" ht="15" hidden="1" thickTop="1" x14ac:dyDescent="0.35">
      <c r="A93" t="s">
        <v>2390</v>
      </c>
      <c r="B93" t="s">
        <v>3402</v>
      </c>
      <c r="C93" t="s">
        <v>66</v>
      </c>
      <c r="D93" t="s">
        <v>3403</v>
      </c>
      <c r="E93" t="s">
        <v>559</v>
      </c>
      <c r="F93">
        <v>1</v>
      </c>
      <c r="G93" t="s">
        <v>2050</v>
      </c>
      <c r="H93" t="s">
        <v>2051</v>
      </c>
      <c r="I93" t="s">
        <v>53</v>
      </c>
      <c r="J93" t="s">
        <v>67</v>
      </c>
      <c r="K93" t="s">
        <v>68</v>
      </c>
      <c r="L93" t="s">
        <v>2052</v>
      </c>
      <c r="M93" t="s">
        <v>2064</v>
      </c>
      <c r="N93">
        <v>0</v>
      </c>
      <c r="O93">
        <v>0</v>
      </c>
      <c r="P93">
        <v>0</v>
      </c>
      <c r="Q93">
        <v>900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172</v>
      </c>
      <c r="AH93" s="21" t="s">
        <v>3425</v>
      </c>
      <c r="AI93" s="21">
        <v>67.5</v>
      </c>
      <c r="AJ93" s="21">
        <v>100</v>
      </c>
      <c r="AK93" s="21" t="s">
        <v>2054</v>
      </c>
      <c r="AL93" t="s">
        <v>70</v>
      </c>
      <c r="AM93" t="s">
        <v>2032</v>
      </c>
    </row>
    <row r="94" spans="1:39" ht="15" hidden="1" thickTop="1" x14ac:dyDescent="0.35">
      <c r="A94" t="s">
        <v>2406</v>
      </c>
      <c r="B94" t="s">
        <v>2392</v>
      </c>
      <c r="C94" t="s">
        <v>78</v>
      </c>
      <c r="D94" t="s">
        <v>2393</v>
      </c>
      <c r="E94" t="s">
        <v>559</v>
      </c>
      <c r="F94">
        <v>1</v>
      </c>
      <c r="G94" t="s">
        <v>2050</v>
      </c>
      <c r="H94" t="s">
        <v>2051</v>
      </c>
      <c r="I94" t="s">
        <v>53</v>
      </c>
      <c r="J94" t="s">
        <v>67</v>
      </c>
      <c r="K94" t="s">
        <v>68</v>
      </c>
      <c r="L94" t="s">
        <v>2052</v>
      </c>
      <c r="M94" t="s">
        <v>2053</v>
      </c>
      <c r="N94">
        <v>0</v>
      </c>
      <c r="O94">
        <v>0</v>
      </c>
      <c r="P94">
        <v>0</v>
      </c>
      <c r="Q94">
        <v>1440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178</v>
      </c>
      <c r="AH94" s="21" t="s">
        <v>3425</v>
      </c>
      <c r="AI94" s="21">
        <v>107.92500000000001</v>
      </c>
      <c r="AJ94" s="21">
        <v>100</v>
      </c>
      <c r="AK94" s="21" t="s">
        <v>2055</v>
      </c>
      <c r="AL94" t="s">
        <v>70</v>
      </c>
      <c r="AM94" t="s">
        <v>2030</v>
      </c>
    </row>
    <row r="95" spans="1:39" ht="15" hidden="1" thickTop="1" x14ac:dyDescent="0.35">
      <c r="A95" t="s">
        <v>2407</v>
      </c>
      <c r="B95" t="s">
        <v>2394</v>
      </c>
      <c r="C95" t="s">
        <v>92</v>
      </c>
      <c r="D95" t="s">
        <v>2395</v>
      </c>
      <c r="E95" t="s">
        <v>559</v>
      </c>
      <c r="F95">
        <v>1</v>
      </c>
      <c r="G95" t="s">
        <v>2050</v>
      </c>
      <c r="H95" t="s">
        <v>2051</v>
      </c>
      <c r="I95" t="s">
        <v>53</v>
      </c>
      <c r="J95" t="s">
        <v>67</v>
      </c>
      <c r="K95" t="s">
        <v>68</v>
      </c>
      <c r="L95" t="s">
        <v>2052</v>
      </c>
      <c r="M95" t="s">
        <v>2053</v>
      </c>
      <c r="N95">
        <v>0</v>
      </c>
      <c r="O95">
        <v>0</v>
      </c>
      <c r="P95">
        <v>0</v>
      </c>
      <c r="Q95">
        <v>1440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179</v>
      </c>
      <c r="AH95" s="21" t="s">
        <v>3424</v>
      </c>
      <c r="AI95" s="21">
        <v>107.92500000000001</v>
      </c>
      <c r="AJ95" s="21">
        <v>100</v>
      </c>
      <c r="AK95" s="21" t="s">
        <v>2054</v>
      </c>
      <c r="AL95" t="s">
        <v>70</v>
      </c>
      <c r="AM95" t="s">
        <v>2027</v>
      </c>
    </row>
    <row r="96" spans="1:39" ht="15" hidden="1" thickTop="1" x14ac:dyDescent="0.35">
      <c r="A96" t="s">
        <v>2408</v>
      </c>
      <c r="B96" t="s">
        <v>2396</v>
      </c>
      <c r="C96" t="s">
        <v>117</v>
      </c>
      <c r="D96" t="s">
        <v>2397</v>
      </c>
      <c r="E96" t="s">
        <v>559</v>
      </c>
      <c r="F96">
        <v>1</v>
      </c>
      <c r="G96" t="s">
        <v>2050</v>
      </c>
      <c r="H96" t="s">
        <v>2051</v>
      </c>
      <c r="I96" t="s">
        <v>53</v>
      </c>
      <c r="J96" t="s">
        <v>67</v>
      </c>
      <c r="K96" t="s">
        <v>68</v>
      </c>
      <c r="L96" t="s">
        <v>2052</v>
      </c>
      <c r="M96" t="s">
        <v>2053</v>
      </c>
      <c r="N96">
        <v>0</v>
      </c>
      <c r="O96">
        <v>0</v>
      </c>
      <c r="P96">
        <v>0</v>
      </c>
      <c r="Q96">
        <v>1440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180</v>
      </c>
      <c r="AH96" s="21" t="s">
        <v>3424</v>
      </c>
      <c r="AI96" s="21">
        <v>107.92500000000001</v>
      </c>
      <c r="AJ96" s="21">
        <v>100</v>
      </c>
      <c r="AK96" s="21" t="s">
        <v>2054</v>
      </c>
      <c r="AL96" t="s">
        <v>70</v>
      </c>
      <c r="AM96" t="s">
        <v>2027</v>
      </c>
    </row>
    <row r="97" spans="1:39" ht="15" hidden="1" thickTop="1" x14ac:dyDescent="0.35">
      <c r="A97" t="s">
        <v>2409</v>
      </c>
      <c r="B97" t="s">
        <v>2398</v>
      </c>
      <c r="C97" t="s">
        <v>66</v>
      </c>
      <c r="D97" t="s">
        <v>2399</v>
      </c>
      <c r="E97" t="s">
        <v>559</v>
      </c>
      <c r="F97">
        <v>1</v>
      </c>
      <c r="G97" t="s">
        <v>2050</v>
      </c>
      <c r="H97" t="s">
        <v>2051</v>
      </c>
      <c r="I97" t="s">
        <v>53</v>
      </c>
      <c r="J97" t="s">
        <v>67</v>
      </c>
      <c r="K97" t="s">
        <v>68</v>
      </c>
      <c r="L97" t="s">
        <v>2052</v>
      </c>
      <c r="M97" t="s">
        <v>2053</v>
      </c>
      <c r="N97">
        <v>0</v>
      </c>
      <c r="O97">
        <v>0</v>
      </c>
      <c r="P97">
        <v>0</v>
      </c>
      <c r="Q97">
        <v>1440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181</v>
      </c>
      <c r="AH97" s="21" t="s">
        <v>3429</v>
      </c>
      <c r="AI97" s="21">
        <v>107.92500000000001</v>
      </c>
      <c r="AJ97" s="21">
        <v>100</v>
      </c>
      <c r="AK97" s="21" t="s">
        <v>2055</v>
      </c>
      <c r="AL97" t="s">
        <v>70</v>
      </c>
      <c r="AM97" t="s">
        <v>2027</v>
      </c>
    </row>
    <row r="98" spans="1:39" ht="15" hidden="1" thickTop="1" x14ac:dyDescent="0.35">
      <c r="A98" t="s">
        <v>2410</v>
      </c>
      <c r="B98" t="s">
        <v>2400</v>
      </c>
      <c r="C98" t="s">
        <v>3376</v>
      </c>
      <c r="D98" t="s">
        <v>2401</v>
      </c>
      <c r="E98" t="s">
        <v>559</v>
      </c>
      <c r="F98">
        <v>1</v>
      </c>
      <c r="G98" t="s">
        <v>2050</v>
      </c>
      <c r="H98" t="s">
        <v>2051</v>
      </c>
      <c r="I98" t="s">
        <v>53</v>
      </c>
      <c r="J98" t="s">
        <v>67</v>
      </c>
      <c r="K98" t="s">
        <v>68</v>
      </c>
      <c r="L98" t="s">
        <v>2052</v>
      </c>
      <c r="M98" t="s">
        <v>2053</v>
      </c>
      <c r="N98">
        <v>0</v>
      </c>
      <c r="O98">
        <v>0</v>
      </c>
      <c r="P98">
        <v>0</v>
      </c>
      <c r="Q98">
        <v>1440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182</v>
      </c>
      <c r="AH98" s="21" t="s">
        <v>3424</v>
      </c>
      <c r="AI98" s="21">
        <v>107.92500000000001</v>
      </c>
      <c r="AJ98" s="21">
        <v>100</v>
      </c>
      <c r="AK98" s="21" t="s">
        <v>2054</v>
      </c>
      <c r="AL98" t="s">
        <v>70</v>
      </c>
      <c r="AM98" t="s">
        <v>2029</v>
      </c>
    </row>
    <row r="99" spans="1:39" ht="15" hidden="1" thickTop="1" x14ac:dyDescent="0.35">
      <c r="A99" t="s">
        <v>2415</v>
      </c>
      <c r="B99" t="s">
        <v>2402</v>
      </c>
      <c r="C99" t="s">
        <v>111</v>
      </c>
      <c r="D99" t="s">
        <v>2403</v>
      </c>
      <c r="E99" t="s">
        <v>112</v>
      </c>
      <c r="F99">
        <v>1</v>
      </c>
      <c r="G99" t="s">
        <v>2050</v>
      </c>
      <c r="H99" t="s">
        <v>2051</v>
      </c>
      <c r="I99" t="s">
        <v>53</v>
      </c>
      <c r="J99" t="s">
        <v>113</v>
      </c>
      <c r="K99" t="s">
        <v>68</v>
      </c>
      <c r="L99" t="s">
        <v>2052</v>
      </c>
      <c r="M99" t="s">
        <v>2053</v>
      </c>
      <c r="N99">
        <v>0</v>
      </c>
      <c r="O99">
        <v>0</v>
      </c>
      <c r="P99">
        <v>0</v>
      </c>
      <c r="Q99">
        <v>1440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184</v>
      </c>
      <c r="AH99" s="21" t="s">
        <v>3430</v>
      </c>
      <c r="AI99" s="21">
        <v>107.92500000000001</v>
      </c>
      <c r="AJ99" s="21">
        <v>100</v>
      </c>
      <c r="AK99" s="21" t="s">
        <v>2054</v>
      </c>
      <c r="AL99" t="s">
        <v>115</v>
      </c>
      <c r="AM99" t="s">
        <v>2027</v>
      </c>
    </row>
    <row r="100" spans="1:39" ht="15" hidden="1" thickTop="1" x14ac:dyDescent="0.35">
      <c r="A100" t="s">
        <v>2429</v>
      </c>
      <c r="B100" t="s">
        <v>2418</v>
      </c>
      <c r="C100" t="s">
        <v>117</v>
      </c>
      <c r="D100" t="s">
        <v>2419</v>
      </c>
      <c r="E100" t="s">
        <v>559</v>
      </c>
      <c r="F100">
        <v>1</v>
      </c>
      <c r="G100" t="s">
        <v>2050</v>
      </c>
      <c r="H100" t="s">
        <v>2051</v>
      </c>
      <c r="I100" t="s">
        <v>53</v>
      </c>
      <c r="J100" t="s">
        <v>67</v>
      </c>
      <c r="K100" t="s">
        <v>68</v>
      </c>
      <c r="L100" t="s">
        <v>2052</v>
      </c>
      <c r="M100" t="s">
        <v>2053</v>
      </c>
      <c r="N100">
        <v>0</v>
      </c>
      <c r="O100">
        <v>0</v>
      </c>
      <c r="P100">
        <v>0</v>
      </c>
      <c r="Q100">
        <v>1440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185</v>
      </c>
      <c r="AH100" s="21" t="s">
        <v>3427</v>
      </c>
      <c r="AI100" s="21">
        <v>107.92500000000001</v>
      </c>
      <c r="AJ100" s="21">
        <v>100</v>
      </c>
      <c r="AK100" s="21" t="s">
        <v>2054</v>
      </c>
      <c r="AL100" t="s">
        <v>70</v>
      </c>
      <c r="AM100" t="s">
        <v>2027</v>
      </c>
    </row>
    <row r="101" spans="1:39" ht="15" hidden="1" thickTop="1" x14ac:dyDescent="0.35">
      <c r="A101" t="s">
        <v>2443</v>
      </c>
      <c r="B101" t="s">
        <v>2421</v>
      </c>
      <c r="C101" t="s">
        <v>3376</v>
      </c>
      <c r="D101" t="s">
        <v>2422</v>
      </c>
      <c r="E101" t="s">
        <v>559</v>
      </c>
      <c r="F101">
        <v>1</v>
      </c>
      <c r="G101" t="s">
        <v>2050</v>
      </c>
      <c r="H101" t="s">
        <v>2051</v>
      </c>
      <c r="I101" t="s">
        <v>53</v>
      </c>
      <c r="J101" t="s">
        <v>67</v>
      </c>
      <c r="K101" t="s">
        <v>68</v>
      </c>
      <c r="L101" t="s">
        <v>2052</v>
      </c>
      <c r="M101" t="s">
        <v>2053</v>
      </c>
      <c r="N101">
        <v>0</v>
      </c>
      <c r="O101">
        <v>0</v>
      </c>
      <c r="P101">
        <v>0</v>
      </c>
      <c r="Q101">
        <v>1440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186</v>
      </c>
      <c r="AH101" s="21" t="s">
        <v>3425</v>
      </c>
      <c r="AI101" s="21">
        <v>107.92500000000001</v>
      </c>
      <c r="AJ101" s="21">
        <v>100</v>
      </c>
      <c r="AK101" s="21" t="s">
        <v>2054</v>
      </c>
      <c r="AL101" t="s">
        <v>70</v>
      </c>
      <c r="AM101" t="s">
        <v>2028</v>
      </c>
    </row>
    <row r="102" spans="1:39" ht="15" hidden="1" thickTop="1" x14ac:dyDescent="0.35">
      <c r="A102" t="s">
        <v>2444</v>
      </c>
      <c r="B102" t="s">
        <v>2424</v>
      </c>
      <c r="C102" t="s">
        <v>3376</v>
      </c>
      <c r="D102" t="s">
        <v>2425</v>
      </c>
      <c r="E102" t="s">
        <v>559</v>
      </c>
      <c r="F102">
        <v>1</v>
      </c>
      <c r="G102" t="s">
        <v>2050</v>
      </c>
      <c r="H102" t="s">
        <v>2051</v>
      </c>
      <c r="I102" t="s">
        <v>53</v>
      </c>
      <c r="J102" t="s">
        <v>67</v>
      </c>
      <c r="K102" t="s">
        <v>68</v>
      </c>
      <c r="L102" t="s">
        <v>2052</v>
      </c>
      <c r="M102" t="s">
        <v>2053</v>
      </c>
      <c r="N102">
        <v>0</v>
      </c>
      <c r="O102">
        <v>0</v>
      </c>
      <c r="P102">
        <v>0</v>
      </c>
      <c r="Q102">
        <v>1440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187</v>
      </c>
      <c r="AH102" s="21" t="s">
        <v>3425</v>
      </c>
      <c r="AI102" s="21">
        <v>107.92500000000001</v>
      </c>
      <c r="AJ102" s="21">
        <v>100</v>
      </c>
      <c r="AK102" s="21" t="s">
        <v>2054</v>
      </c>
      <c r="AL102" t="s">
        <v>70</v>
      </c>
      <c r="AM102" t="s">
        <v>2028</v>
      </c>
    </row>
    <row r="103" spans="1:39" ht="15" hidden="1" thickTop="1" x14ac:dyDescent="0.35">
      <c r="A103" t="s">
        <v>2445</v>
      </c>
      <c r="B103" t="s">
        <v>2427</v>
      </c>
      <c r="C103" t="s">
        <v>76</v>
      </c>
      <c r="D103" t="s">
        <v>2428</v>
      </c>
      <c r="E103" t="s">
        <v>559</v>
      </c>
      <c r="F103">
        <v>1</v>
      </c>
      <c r="G103" t="s">
        <v>2050</v>
      </c>
      <c r="H103" t="s">
        <v>2051</v>
      </c>
      <c r="I103" t="s">
        <v>53</v>
      </c>
      <c r="J103" t="s">
        <v>67</v>
      </c>
      <c r="K103" t="s">
        <v>68</v>
      </c>
      <c r="L103" t="s">
        <v>2052</v>
      </c>
      <c r="M103" t="s">
        <v>2053</v>
      </c>
      <c r="N103">
        <v>0</v>
      </c>
      <c r="O103">
        <v>0</v>
      </c>
      <c r="P103">
        <v>0</v>
      </c>
      <c r="Q103">
        <v>1440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188</v>
      </c>
      <c r="AH103" s="21" t="s">
        <v>3425</v>
      </c>
      <c r="AI103" s="21">
        <v>107.92500000000001</v>
      </c>
      <c r="AJ103" s="21">
        <v>100</v>
      </c>
      <c r="AK103" s="21" t="s">
        <v>2055</v>
      </c>
      <c r="AL103" t="s">
        <v>70</v>
      </c>
      <c r="AM103" t="s">
        <v>2030</v>
      </c>
    </row>
    <row r="104" spans="1:39" ht="15" hidden="1" thickTop="1" x14ac:dyDescent="0.35">
      <c r="A104" t="s">
        <v>2447</v>
      </c>
      <c r="B104" t="s">
        <v>2430</v>
      </c>
      <c r="C104" t="s">
        <v>76</v>
      </c>
      <c r="D104" t="s">
        <v>2431</v>
      </c>
      <c r="E104" t="s">
        <v>119</v>
      </c>
      <c r="F104">
        <v>1</v>
      </c>
      <c r="G104" t="s">
        <v>2050</v>
      </c>
      <c r="H104" t="s">
        <v>2051</v>
      </c>
      <c r="I104" t="s">
        <v>53</v>
      </c>
      <c r="J104" t="s">
        <v>67</v>
      </c>
      <c r="K104" t="s">
        <v>68</v>
      </c>
      <c r="L104" t="s">
        <v>2052</v>
      </c>
      <c r="M104" t="s">
        <v>2053</v>
      </c>
      <c r="N104">
        <v>0</v>
      </c>
      <c r="O104">
        <v>0</v>
      </c>
      <c r="P104">
        <v>0</v>
      </c>
      <c r="Q104">
        <v>1440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189</v>
      </c>
      <c r="AH104" s="21" t="s">
        <v>3425</v>
      </c>
      <c r="AI104" s="21">
        <v>107.92500000000001</v>
      </c>
      <c r="AJ104" s="21">
        <v>100</v>
      </c>
      <c r="AK104" s="21" t="s">
        <v>2054</v>
      </c>
      <c r="AL104" t="s">
        <v>70</v>
      </c>
      <c r="AM104" t="s">
        <v>2029</v>
      </c>
    </row>
    <row r="105" spans="1:39" ht="15" hidden="1" thickTop="1" x14ac:dyDescent="0.35">
      <c r="A105" t="s">
        <v>2452</v>
      </c>
      <c r="B105" t="s">
        <v>2434</v>
      </c>
      <c r="C105" t="s">
        <v>78</v>
      </c>
      <c r="D105" t="s">
        <v>2435</v>
      </c>
      <c r="E105" t="s">
        <v>559</v>
      </c>
      <c r="F105">
        <v>1</v>
      </c>
      <c r="G105" t="s">
        <v>2050</v>
      </c>
      <c r="H105" t="s">
        <v>2051</v>
      </c>
      <c r="I105" t="s">
        <v>53</v>
      </c>
      <c r="J105" t="s">
        <v>67</v>
      </c>
      <c r="K105" t="s">
        <v>68</v>
      </c>
      <c r="L105" t="s">
        <v>2052</v>
      </c>
      <c r="M105" t="s">
        <v>2053</v>
      </c>
      <c r="N105">
        <v>0</v>
      </c>
      <c r="O105">
        <v>0</v>
      </c>
      <c r="P105">
        <v>0</v>
      </c>
      <c r="Q105">
        <v>1440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t="s">
        <v>190</v>
      </c>
      <c r="AH105" s="21" t="s">
        <v>3425</v>
      </c>
      <c r="AI105" s="21">
        <v>107.92500000000001</v>
      </c>
      <c r="AJ105" s="21">
        <v>100</v>
      </c>
      <c r="AK105" s="21" t="s">
        <v>2055</v>
      </c>
      <c r="AL105" t="s">
        <v>70</v>
      </c>
      <c r="AM105" t="s">
        <v>2028</v>
      </c>
    </row>
    <row r="106" spans="1:39" ht="15" hidden="1" thickTop="1" x14ac:dyDescent="0.35">
      <c r="A106" t="s">
        <v>2453</v>
      </c>
      <c r="B106" t="s">
        <v>2436</v>
      </c>
      <c r="C106" t="s">
        <v>76</v>
      </c>
      <c r="D106" t="s">
        <v>2437</v>
      </c>
      <c r="E106" t="s">
        <v>559</v>
      </c>
      <c r="F106">
        <v>1</v>
      </c>
      <c r="G106" t="s">
        <v>2050</v>
      </c>
      <c r="H106" t="s">
        <v>2051</v>
      </c>
      <c r="I106" t="s">
        <v>53</v>
      </c>
      <c r="J106" t="s">
        <v>67</v>
      </c>
      <c r="K106" t="s">
        <v>68</v>
      </c>
      <c r="L106" t="s">
        <v>2052</v>
      </c>
      <c r="M106" t="s">
        <v>2053</v>
      </c>
      <c r="N106">
        <v>0</v>
      </c>
      <c r="O106">
        <v>0</v>
      </c>
      <c r="P106">
        <v>0</v>
      </c>
      <c r="Q106">
        <v>1440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191</v>
      </c>
      <c r="AH106" s="21" t="s">
        <v>3425</v>
      </c>
      <c r="AI106" s="21">
        <v>107.92500000000001</v>
      </c>
      <c r="AJ106" s="21">
        <v>100</v>
      </c>
      <c r="AK106" s="21" t="s">
        <v>2055</v>
      </c>
      <c r="AL106" t="s">
        <v>70</v>
      </c>
      <c r="AM106" t="s">
        <v>2028</v>
      </c>
    </row>
    <row r="107" spans="1:39" ht="15" hidden="1" thickTop="1" x14ac:dyDescent="0.35">
      <c r="A107" t="s">
        <v>2462</v>
      </c>
      <c r="B107" t="s">
        <v>2439</v>
      </c>
      <c r="C107" t="s">
        <v>78</v>
      </c>
      <c r="D107" t="s">
        <v>2440</v>
      </c>
      <c r="E107" t="s">
        <v>559</v>
      </c>
      <c r="F107">
        <v>1</v>
      </c>
      <c r="G107" t="s">
        <v>2050</v>
      </c>
      <c r="H107" t="s">
        <v>2051</v>
      </c>
      <c r="I107" t="s">
        <v>53</v>
      </c>
      <c r="J107" t="s">
        <v>67</v>
      </c>
      <c r="K107" t="s">
        <v>68</v>
      </c>
      <c r="L107" t="s">
        <v>2052</v>
      </c>
      <c r="M107" t="s">
        <v>2053</v>
      </c>
      <c r="N107">
        <v>0</v>
      </c>
      <c r="O107">
        <v>0</v>
      </c>
      <c r="P107">
        <v>0</v>
      </c>
      <c r="Q107">
        <v>1440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 t="s">
        <v>192</v>
      </c>
      <c r="AH107" s="21" t="s">
        <v>3425</v>
      </c>
      <c r="AI107" s="21">
        <v>107.92500000000001</v>
      </c>
      <c r="AJ107" s="21">
        <v>100</v>
      </c>
      <c r="AK107" s="21" t="s">
        <v>2054</v>
      </c>
      <c r="AL107" t="s">
        <v>70</v>
      </c>
      <c r="AM107" t="s">
        <v>2029</v>
      </c>
    </row>
    <row r="108" spans="1:39" ht="15" hidden="1" thickTop="1" x14ac:dyDescent="0.35">
      <c r="A108" t="s">
        <v>2467</v>
      </c>
      <c r="B108" t="s">
        <v>2454</v>
      </c>
      <c r="C108" t="s">
        <v>76</v>
      </c>
      <c r="D108" t="s">
        <v>2455</v>
      </c>
      <c r="E108" t="s">
        <v>559</v>
      </c>
      <c r="F108">
        <v>2</v>
      </c>
      <c r="G108" t="s">
        <v>2050</v>
      </c>
      <c r="H108" t="s">
        <v>2051</v>
      </c>
      <c r="I108" t="s">
        <v>53</v>
      </c>
      <c r="J108" t="s">
        <v>67</v>
      </c>
      <c r="K108" t="s">
        <v>68</v>
      </c>
      <c r="L108" t="s">
        <v>2052</v>
      </c>
      <c r="M108" t="s">
        <v>2053</v>
      </c>
      <c r="N108">
        <v>0</v>
      </c>
      <c r="O108">
        <v>0</v>
      </c>
      <c r="P108">
        <v>0</v>
      </c>
      <c r="Q108">
        <v>1440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193</v>
      </c>
      <c r="AH108" s="21" t="s">
        <v>3424</v>
      </c>
      <c r="AI108" s="21">
        <v>107.92500000000001</v>
      </c>
      <c r="AJ108" s="21">
        <v>100</v>
      </c>
      <c r="AK108" s="21" t="s">
        <v>2054</v>
      </c>
      <c r="AL108" t="s">
        <v>70</v>
      </c>
      <c r="AM108" t="s">
        <v>2029</v>
      </c>
    </row>
    <row r="109" spans="1:39" ht="15" hidden="1" thickTop="1" x14ac:dyDescent="0.35">
      <c r="A109" t="s">
        <v>2472</v>
      </c>
      <c r="B109" t="s">
        <v>2420</v>
      </c>
      <c r="C109" t="s">
        <v>117</v>
      </c>
      <c r="D109" t="s">
        <v>2461</v>
      </c>
      <c r="E109" t="s">
        <v>559</v>
      </c>
      <c r="F109">
        <v>1</v>
      </c>
      <c r="G109" t="s">
        <v>2050</v>
      </c>
      <c r="H109" t="s">
        <v>2051</v>
      </c>
      <c r="I109" t="s">
        <v>53</v>
      </c>
      <c r="J109" t="s">
        <v>67</v>
      </c>
      <c r="K109" t="s">
        <v>68</v>
      </c>
      <c r="L109" t="s">
        <v>2052</v>
      </c>
      <c r="M109" t="s">
        <v>2053</v>
      </c>
      <c r="N109">
        <v>0</v>
      </c>
      <c r="O109">
        <v>0</v>
      </c>
      <c r="P109">
        <v>0</v>
      </c>
      <c r="Q109">
        <v>1440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194</v>
      </c>
      <c r="AH109" s="21" t="s">
        <v>3425</v>
      </c>
      <c r="AI109" s="21">
        <v>107.92500000000001</v>
      </c>
      <c r="AJ109" s="21">
        <v>100</v>
      </c>
      <c r="AK109" s="21" t="s">
        <v>2055</v>
      </c>
      <c r="AL109" t="s">
        <v>70</v>
      </c>
      <c r="AM109" t="s">
        <v>2029</v>
      </c>
    </row>
    <row r="110" spans="1:39" ht="15" hidden="1" thickTop="1" x14ac:dyDescent="0.35">
      <c r="A110" t="s">
        <v>2494</v>
      </c>
      <c r="B110" t="s">
        <v>2477</v>
      </c>
      <c r="C110" t="s">
        <v>92</v>
      </c>
      <c r="D110" t="s">
        <v>2478</v>
      </c>
      <c r="E110" t="s">
        <v>119</v>
      </c>
      <c r="F110">
        <v>1</v>
      </c>
      <c r="G110" t="s">
        <v>2050</v>
      </c>
      <c r="H110" t="s">
        <v>2051</v>
      </c>
      <c r="I110" t="s">
        <v>53</v>
      </c>
      <c r="J110" t="s">
        <v>67</v>
      </c>
      <c r="K110" t="s">
        <v>68</v>
      </c>
      <c r="L110" t="s">
        <v>2052</v>
      </c>
      <c r="M110" t="s">
        <v>2053</v>
      </c>
      <c r="N110">
        <v>0</v>
      </c>
      <c r="O110">
        <v>0</v>
      </c>
      <c r="P110">
        <v>0</v>
      </c>
      <c r="Q110">
        <v>1440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196</v>
      </c>
      <c r="AH110" s="21" t="s">
        <v>3425</v>
      </c>
      <c r="AI110" s="21">
        <v>107.92500000000001</v>
      </c>
      <c r="AJ110" s="21">
        <v>100</v>
      </c>
      <c r="AK110" s="21" t="s">
        <v>2055</v>
      </c>
      <c r="AL110" t="s">
        <v>70</v>
      </c>
      <c r="AM110" t="s">
        <v>2029</v>
      </c>
    </row>
    <row r="111" spans="1:39" ht="15" hidden="1" thickTop="1" x14ac:dyDescent="0.35">
      <c r="A111" t="s">
        <v>2499</v>
      </c>
      <c r="B111" t="s">
        <v>2480</v>
      </c>
      <c r="C111" t="s">
        <v>117</v>
      </c>
      <c r="D111" t="s">
        <v>2481</v>
      </c>
      <c r="E111" t="s">
        <v>559</v>
      </c>
      <c r="F111">
        <v>1</v>
      </c>
      <c r="G111" t="s">
        <v>2050</v>
      </c>
      <c r="H111" t="s">
        <v>2051</v>
      </c>
      <c r="I111" t="s">
        <v>53</v>
      </c>
      <c r="J111" t="s">
        <v>67</v>
      </c>
      <c r="K111" t="s">
        <v>68</v>
      </c>
      <c r="L111" t="s">
        <v>2052</v>
      </c>
      <c r="M111" t="s">
        <v>2053</v>
      </c>
      <c r="N111">
        <v>0</v>
      </c>
      <c r="O111">
        <v>0</v>
      </c>
      <c r="P111">
        <v>0</v>
      </c>
      <c r="Q111">
        <v>1440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197</v>
      </c>
      <c r="AH111" s="21" t="s">
        <v>3429</v>
      </c>
      <c r="AI111" s="21">
        <v>107.92500000000001</v>
      </c>
      <c r="AJ111" s="21">
        <v>100</v>
      </c>
      <c r="AK111" s="21" t="s">
        <v>2054</v>
      </c>
      <c r="AL111" t="s">
        <v>70</v>
      </c>
      <c r="AM111" t="s">
        <v>2027</v>
      </c>
    </row>
    <row r="112" spans="1:39" ht="15" hidden="1" thickTop="1" x14ac:dyDescent="0.35">
      <c r="A112" t="s">
        <v>2500</v>
      </c>
      <c r="B112" t="s">
        <v>2482</v>
      </c>
      <c r="C112" t="s">
        <v>66</v>
      </c>
      <c r="D112" t="s">
        <v>2483</v>
      </c>
      <c r="E112" t="s">
        <v>559</v>
      </c>
      <c r="F112">
        <v>1</v>
      </c>
      <c r="G112" t="s">
        <v>2050</v>
      </c>
      <c r="H112" t="s">
        <v>2051</v>
      </c>
      <c r="I112" t="s">
        <v>53</v>
      </c>
      <c r="J112" t="s">
        <v>67</v>
      </c>
      <c r="K112" t="s">
        <v>68</v>
      </c>
      <c r="L112" t="s">
        <v>2052</v>
      </c>
      <c r="M112" t="s">
        <v>2053</v>
      </c>
      <c r="N112">
        <v>0</v>
      </c>
      <c r="O112">
        <v>0</v>
      </c>
      <c r="P112">
        <v>0</v>
      </c>
      <c r="Q112">
        <v>1440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198</v>
      </c>
      <c r="AH112" s="21" t="s">
        <v>3429</v>
      </c>
      <c r="AI112" s="21">
        <v>107.92500000000001</v>
      </c>
      <c r="AJ112" s="21">
        <v>100</v>
      </c>
      <c r="AK112" s="21" t="s">
        <v>2055</v>
      </c>
      <c r="AL112" t="s">
        <v>70</v>
      </c>
      <c r="AM112" t="s">
        <v>2028</v>
      </c>
    </row>
    <row r="113" spans="1:39" ht="15" hidden="1" thickTop="1" x14ac:dyDescent="0.35">
      <c r="A113" t="s">
        <v>2501</v>
      </c>
      <c r="B113" t="s">
        <v>2484</v>
      </c>
      <c r="C113" t="s">
        <v>102</v>
      </c>
      <c r="D113" t="s">
        <v>2485</v>
      </c>
      <c r="E113" t="s">
        <v>559</v>
      </c>
      <c r="F113">
        <v>1</v>
      </c>
      <c r="G113" t="s">
        <v>2050</v>
      </c>
      <c r="H113" t="s">
        <v>2051</v>
      </c>
      <c r="I113" t="s">
        <v>53</v>
      </c>
      <c r="J113" t="s">
        <v>67</v>
      </c>
      <c r="K113" t="s">
        <v>68</v>
      </c>
      <c r="L113" t="s">
        <v>2052</v>
      </c>
      <c r="M113" t="s">
        <v>2053</v>
      </c>
      <c r="N113">
        <v>0</v>
      </c>
      <c r="O113">
        <v>0</v>
      </c>
      <c r="P113">
        <v>0</v>
      </c>
      <c r="Q113">
        <v>1440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199</v>
      </c>
      <c r="AH113" s="21" t="s">
        <v>3429</v>
      </c>
      <c r="AI113" s="21">
        <v>107.92500000000001</v>
      </c>
      <c r="AJ113" s="21">
        <v>100</v>
      </c>
      <c r="AK113" s="21" t="s">
        <v>2054</v>
      </c>
      <c r="AL113" t="s">
        <v>70</v>
      </c>
      <c r="AM113" t="s">
        <v>2027</v>
      </c>
    </row>
    <row r="114" spans="1:39" ht="15" hidden="1" thickTop="1" x14ac:dyDescent="0.35">
      <c r="A114" t="s">
        <v>2504</v>
      </c>
      <c r="B114" t="s">
        <v>2486</v>
      </c>
      <c r="C114" t="s">
        <v>92</v>
      </c>
      <c r="D114" t="s">
        <v>2487</v>
      </c>
      <c r="E114" t="s">
        <v>559</v>
      </c>
      <c r="F114">
        <v>1</v>
      </c>
      <c r="G114" t="s">
        <v>2050</v>
      </c>
      <c r="H114" t="s">
        <v>2051</v>
      </c>
      <c r="I114" t="s">
        <v>53</v>
      </c>
      <c r="J114" t="s">
        <v>67</v>
      </c>
      <c r="K114" t="s">
        <v>68</v>
      </c>
      <c r="L114" t="s">
        <v>2052</v>
      </c>
      <c r="M114" t="s">
        <v>2053</v>
      </c>
      <c r="N114">
        <v>0</v>
      </c>
      <c r="O114">
        <v>0</v>
      </c>
      <c r="P114">
        <v>0</v>
      </c>
      <c r="Q114">
        <v>1440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200</v>
      </c>
      <c r="AH114" s="21" t="s">
        <v>3424</v>
      </c>
      <c r="AI114" s="21">
        <v>107.92500000000001</v>
      </c>
      <c r="AJ114" s="21">
        <v>100</v>
      </c>
      <c r="AK114" s="21" t="s">
        <v>2054</v>
      </c>
      <c r="AL114" t="s">
        <v>70</v>
      </c>
      <c r="AM114" t="s">
        <v>2028</v>
      </c>
    </row>
    <row r="115" spans="1:39" ht="15" hidden="1" thickTop="1" x14ac:dyDescent="0.35">
      <c r="A115" t="s">
        <v>2506</v>
      </c>
      <c r="B115" t="s">
        <v>2488</v>
      </c>
      <c r="C115" t="s">
        <v>76</v>
      </c>
      <c r="D115" t="s">
        <v>2489</v>
      </c>
      <c r="E115" t="s">
        <v>119</v>
      </c>
      <c r="F115">
        <v>1</v>
      </c>
      <c r="G115" t="s">
        <v>2050</v>
      </c>
      <c r="H115" t="s">
        <v>2051</v>
      </c>
      <c r="I115" t="s">
        <v>53</v>
      </c>
      <c r="J115" t="s">
        <v>67</v>
      </c>
      <c r="K115" t="s">
        <v>68</v>
      </c>
      <c r="L115" t="s">
        <v>2052</v>
      </c>
      <c r="M115" t="s">
        <v>2053</v>
      </c>
      <c r="N115">
        <v>0</v>
      </c>
      <c r="O115">
        <v>0</v>
      </c>
      <c r="P115">
        <v>0</v>
      </c>
      <c r="Q115">
        <v>1440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201</v>
      </c>
      <c r="AH115" s="21" t="s">
        <v>3429</v>
      </c>
      <c r="AI115" s="21">
        <v>107.92500000000001</v>
      </c>
      <c r="AJ115" s="21">
        <v>100</v>
      </c>
      <c r="AK115" s="21" t="s">
        <v>2054</v>
      </c>
      <c r="AL115" t="s">
        <v>70</v>
      </c>
      <c r="AM115" t="s">
        <v>2029</v>
      </c>
    </row>
    <row r="116" spans="1:39" ht="15" hidden="1" thickTop="1" x14ac:dyDescent="0.35">
      <c r="A116" t="s">
        <v>2507</v>
      </c>
      <c r="B116" t="s">
        <v>2490</v>
      </c>
      <c r="C116" t="s">
        <v>3376</v>
      </c>
      <c r="D116" t="s">
        <v>2491</v>
      </c>
      <c r="E116" t="s">
        <v>559</v>
      </c>
      <c r="F116">
        <v>1</v>
      </c>
      <c r="G116" t="s">
        <v>2050</v>
      </c>
      <c r="H116" t="s">
        <v>2051</v>
      </c>
      <c r="I116" t="s">
        <v>53</v>
      </c>
      <c r="J116" t="s">
        <v>67</v>
      </c>
      <c r="K116" t="s">
        <v>68</v>
      </c>
      <c r="L116" t="s">
        <v>2052</v>
      </c>
      <c r="M116" t="s">
        <v>2053</v>
      </c>
      <c r="N116">
        <v>0</v>
      </c>
      <c r="O116">
        <v>0</v>
      </c>
      <c r="P116">
        <v>0</v>
      </c>
      <c r="Q116">
        <v>1440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202</v>
      </c>
      <c r="AH116" s="21" t="s">
        <v>3424</v>
      </c>
      <c r="AI116" s="21">
        <v>107.92500000000001</v>
      </c>
      <c r="AJ116" s="21">
        <v>100</v>
      </c>
      <c r="AK116" s="21" t="s">
        <v>2054</v>
      </c>
      <c r="AL116" t="s">
        <v>70</v>
      </c>
      <c r="AM116" t="s">
        <v>2030</v>
      </c>
    </row>
    <row r="117" spans="1:39" ht="15" hidden="1" thickTop="1" x14ac:dyDescent="0.35">
      <c r="A117" t="s">
        <v>2520</v>
      </c>
      <c r="B117" t="s">
        <v>2512</v>
      </c>
      <c r="C117" t="s">
        <v>76</v>
      </c>
      <c r="D117" t="s">
        <v>2513</v>
      </c>
      <c r="E117" t="s">
        <v>559</v>
      </c>
      <c r="F117">
        <v>2</v>
      </c>
      <c r="G117" t="s">
        <v>2050</v>
      </c>
      <c r="H117" t="s">
        <v>2051</v>
      </c>
      <c r="I117" t="s">
        <v>53</v>
      </c>
      <c r="J117" t="s">
        <v>67</v>
      </c>
      <c r="K117" t="s">
        <v>68</v>
      </c>
      <c r="L117" t="s">
        <v>2052</v>
      </c>
      <c r="M117" t="s">
        <v>2064</v>
      </c>
      <c r="N117">
        <v>1</v>
      </c>
      <c r="O117">
        <v>131</v>
      </c>
      <c r="P117">
        <v>14.56</v>
      </c>
      <c r="Q117">
        <v>900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131</v>
      </c>
      <c r="Z117">
        <v>14.56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204</v>
      </c>
      <c r="AH117" s="21" t="s">
        <v>3424</v>
      </c>
      <c r="AI117" s="21">
        <v>67.5</v>
      </c>
      <c r="AJ117" s="21">
        <v>85.444444444444443</v>
      </c>
      <c r="AK117" s="21" t="s">
        <v>2055</v>
      </c>
      <c r="AL117" t="s">
        <v>70</v>
      </c>
      <c r="AM117" t="s">
        <v>2028</v>
      </c>
    </row>
    <row r="118" spans="1:39" ht="15" hidden="1" thickTop="1" x14ac:dyDescent="0.35">
      <c r="A118" t="s">
        <v>2521</v>
      </c>
      <c r="B118" t="s">
        <v>2514</v>
      </c>
      <c r="C118" t="s">
        <v>117</v>
      </c>
      <c r="D118" t="s">
        <v>2515</v>
      </c>
      <c r="E118" t="s">
        <v>559</v>
      </c>
      <c r="F118">
        <v>1</v>
      </c>
      <c r="G118" t="s">
        <v>2050</v>
      </c>
      <c r="H118" t="s">
        <v>2051</v>
      </c>
      <c r="I118" t="s">
        <v>53</v>
      </c>
      <c r="J118" t="s">
        <v>67</v>
      </c>
      <c r="K118" t="s">
        <v>68</v>
      </c>
      <c r="L118" t="s">
        <v>2052</v>
      </c>
      <c r="M118" t="s">
        <v>2053</v>
      </c>
      <c r="N118">
        <v>0</v>
      </c>
      <c r="O118">
        <v>0</v>
      </c>
      <c r="P118">
        <v>0</v>
      </c>
      <c r="Q118">
        <v>1440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205</v>
      </c>
      <c r="AH118" s="21" t="s">
        <v>3424</v>
      </c>
      <c r="AI118" s="21">
        <v>107.92500000000001</v>
      </c>
      <c r="AJ118" s="21">
        <v>100</v>
      </c>
      <c r="AK118" s="21" t="s">
        <v>2054</v>
      </c>
      <c r="AL118" t="s">
        <v>70</v>
      </c>
      <c r="AM118" t="s">
        <v>2029</v>
      </c>
    </row>
    <row r="119" spans="1:39" ht="15" hidden="1" thickTop="1" x14ac:dyDescent="0.35">
      <c r="A119" t="s">
        <v>2522</v>
      </c>
      <c r="B119" t="s">
        <v>2516</v>
      </c>
      <c r="C119" t="s">
        <v>111</v>
      </c>
      <c r="D119" t="s">
        <v>2517</v>
      </c>
      <c r="E119" t="s">
        <v>112</v>
      </c>
      <c r="F119">
        <v>1</v>
      </c>
      <c r="G119" t="s">
        <v>2050</v>
      </c>
      <c r="H119" t="s">
        <v>2051</v>
      </c>
      <c r="I119" t="s">
        <v>53</v>
      </c>
      <c r="J119" t="s">
        <v>113</v>
      </c>
      <c r="K119" t="s">
        <v>68</v>
      </c>
      <c r="L119" t="s">
        <v>2052</v>
      </c>
      <c r="M119" t="s">
        <v>2053</v>
      </c>
      <c r="N119">
        <v>0</v>
      </c>
      <c r="O119">
        <v>0</v>
      </c>
      <c r="P119">
        <v>0</v>
      </c>
      <c r="Q119">
        <v>1440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206</v>
      </c>
      <c r="AH119" s="21" t="s">
        <v>3430</v>
      </c>
      <c r="AI119" s="21">
        <v>107.92500000000001</v>
      </c>
      <c r="AJ119" s="21">
        <v>100</v>
      </c>
      <c r="AK119" s="21" t="s">
        <v>2054</v>
      </c>
      <c r="AL119" t="s">
        <v>115</v>
      </c>
      <c r="AM119" t="s">
        <v>2027</v>
      </c>
    </row>
    <row r="120" spans="1:39" ht="15" hidden="1" thickTop="1" x14ac:dyDescent="0.35">
      <c r="A120" t="s">
        <v>2533</v>
      </c>
      <c r="B120" t="s">
        <v>2523</v>
      </c>
      <c r="C120" t="s">
        <v>102</v>
      </c>
      <c r="D120" t="s">
        <v>2524</v>
      </c>
      <c r="E120" t="s">
        <v>559</v>
      </c>
      <c r="F120">
        <v>1</v>
      </c>
      <c r="G120" t="s">
        <v>2050</v>
      </c>
      <c r="H120" t="s">
        <v>2051</v>
      </c>
      <c r="I120" t="s">
        <v>53</v>
      </c>
      <c r="J120" t="s">
        <v>67</v>
      </c>
      <c r="K120" t="s">
        <v>68</v>
      </c>
      <c r="L120" t="s">
        <v>2052</v>
      </c>
      <c r="M120" t="s">
        <v>2053</v>
      </c>
      <c r="N120">
        <v>0</v>
      </c>
      <c r="O120">
        <v>0</v>
      </c>
      <c r="P120">
        <v>0</v>
      </c>
      <c r="Q120">
        <v>1440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t="s">
        <v>207</v>
      </c>
      <c r="AH120" s="21" t="s">
        <v>3424</v>
      </c>
      <c r="AI120" s="21">
        <v>107.92500000000001</v>
      </c>
      <c r="AJ120" s="21">
        <v>100</v>
      </c>
      <c r="AK120" s="21" t="s">
        <v>2054</v>
      </c>
      <c r="AL120" t="s">
        <v>70</v>
      </c>
      <c r="AM120" t="s">
        <v>2029</v>
      </c>
    </row>
    <row r="121" spans="1:39" ht="15" hidden="1" thickTop="1" x14ac:dyDescent="0.35">
      <c r="A121" t="s">
        <v>2541</v>
      </c>
      <c r="B121" t="s">
        <v>2527</v>
      </c>
      <c r="C121" t="s">
        <v>92</v>
      </c>
      <c r="D121" t="s">
        <v>2528</v>
      </c>
      <c r="E121" t="s">
        <v>119</v>
      </c>
      <c r="F121">
        <v>1</v>
      </c>
      <c r="G121" t="s">
        <v>2050</v>
      </c>
      <c r="H121" t="s">
        <v>2051</v>
      </c>
      <c r="I121" t="s">
        <v>53</v>
      </c>
      <c r="J121" t="s">
        <v>67</v>
      </c>
      <c r="K121" t="s">
        <v>68</v>
      </c>
      <c r="L121" t="s">
        <v>2052</v>
      </c>
      <c r="M121" t="s">
        <v>2053</v>
      </c>
      <c r="N121">
        <v>0</v>
      </c>
      <c r="O121">
        <v>0</v>
      </c>
      <c r="P121">
        <v>0</v>
      </c>
      <c r="Q121">
        <v>1440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208</v>
      </c>
      <c r="AH121" s="21" t="s">
        <v>3425</v>
      </c>
      <c r="AI121" s="21">
        <v>107.92500000000001</v>
      </c>
      <c r="AJ121" s="21">
        <v>100</v>
      </c>
      <c r="AK121" s="21" t="s">
        <v>2055</v>
      </c>
      <c r="AL121" t="s">
        <v>70</v>
      </c>
      <c r="AM121" t="s">
        <v>2030</v>
      </c>
    </row>
    <row r="122" spans="1:39" ht="15" hidden="1" thickTop="1" x14ac:dyDescent="0.35">
      <c r="A122" t="s">
        <v>2547</v>
      </c>
      <c r="B122" t="s">
        <v>2530</v>
      </c>
      <c r="C122" t="s">
        <v>76</v>
      </c>
      <c r="D122" t="s">
        <v>2531</v>
      </c>
      <c r="E122" t="s">
        <v>559</v>
      </c>
      <c r="F122">
        <v>2</v>
      </c>
      <c r="G122" t="s">
        <v>2050</v>
      </c>
      <c r="H122" t="s">
        <v>2051</v>
      </c>
      <c r="I122" t="s">
        <v>53</v>
      </c>
      <c r="J122" t="s">
        <v>67</v>
      </c>
      <c r="K122" t="s">
        <v>68</v>
      </c>
      <c r="L122" t="s">
        <v>2052</v>
      </c>
      <c r="M122" t="s">
        <v>2053</v>
      </c>
      <c r="N122">
        <v>0</v>
      </c>
      <c r="O122">
        <v>0</v>
      </c>
      <c r="P122">
        <v>0</v>
      </c>
      <c r="Q122">
        <v>1440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t="s">
        <v>209</v>
      </c>
      <c r="AH122" s="21" t="s">
        <v>3428</v>
      </c>
      <c r="AI122" s="21">
        <v>107.92500000000001</v>
      </c>
      <c r="AJ122" s="21">
        <v>100</v>
      </c>
      <c r="AK122" s="21" t="s">
        <v>2055</v>
      </c>
      <c r="AL122" t="s">
        <v>70</v>
      </c>
      <c r="AM122" t="s">
        <v>2029</v>
      </c>
    </row>
    <row r="123" spans="1:39" ht="15" hidden="1" thickTop="1" x14ac:dyDescent="0.35">
      <c r="A123" t="s">
        <v>2551</v>
      </c>
      <c r="B123" t="s">
        <v>2538</v>
      </c>
      <c r="C123" t="s">
        <v>3376</v>
      </c>
      <c r="D123" t="s">
        <v>2539</v>
      </c>
      <c r="E123" t="s">
        <v>559</v>
      </c>
      <c r="F123">
        <v>1</v>
      </c>
      <c r="G123" t="s">
        <v>2050</v>
      </c>
      <c r="H123" t="s">
        <v>2051</v>
      </c>
      <c r="I123" t="s">
        <v>53</v>
      </c>
      <c r="J123" t="s">
        <v>67</v>
      </c>
      <c r="K123" t="s">
        <v>68</v>
      </c>
      <c r="L123" t="s">
        <v>2052</v>
      </c>
      <c r="M123" t="s">
        <v>2053</v>
      </c>
      <c r="N123">
        <v>0</v>
      </c>
      <c r="O123">
        <v>0</v>
      </c>
      <c r="P123">
        <v>0</v>
      </c>
      <c r="Q123">
        <v>1440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211</v>
      </c>
      <c r="AH123" s="21" t="s">
        <v>3425</v>
      </c>
      <c r="AI123" s="21">
        <v>107.92500000000001</v>
      </c>
      <c r="AJ123" s="21">
        <v>100</v>
      </c>
      <c r="AK123" s="21" t="s">
        <v>2054</v>
      </c>
      <c r="AL123" t="s">
        <v>70</v>
      </c>
      <c r="AM123" t="s">
        <v>2029</v>
      </c>
    </row>
    <row r="124" spans="1:39" ht="15" hidden="1" thickTop="1" x14ac:dyDescent="0.35">
      <c r="A124" t="s">
        <v>2553</v>
      </c>
      <c r="B124" t="s">
        <v>2542</v>
      </c>
      <c r="C124" t="s">
        <v>3376</v>
      </c>
      <c r="D124" t="s">
        <v>2543</v>
      </c>
      <c r="E124" t="s">
        <v>559</v>
      </c>
      <c r="F124">
        <v>1</v>
      </c>
      <c r="G124" t="s">
        <v>2050</v>
      </c>
      <c r="H124" t="s">
        <v>2051</v>
      </c>
      <c r="I124" t="s">
        <v>53</v>
      </c>
      <c r="J124" t="s">
        <v>67</v>
      </c>
      <c r="K124" t="s">
        <v>68</v>
      </c>
      <c r="L124" t="s">
        <v>2052</v>
      </c>
      <c r="M124" t="s">
        <v>2053</v>
      </c>
      <c r="N124">
        <v>0</v>
      </c>
      <c r="O124">
        <v>0</v>
      </c>
      <c r="P124">
        <v>0</v>
      </c>
      <c r="Q124">
        <v>1440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212</v>
      </c>
      <c r="AH124" s="21" t="s">
        <v>3424</v>
      </c>
      <c r="AI124" s="21">
        <v>107.92500000000001</v>
      </c>
      <c r="AJ124" s="21">
        <v>100</v>
      </c>
      <c r="AK124" s="21" t="s">
        <v>2054</v>
      </c>
      <c r="AL124" t="s">
        <v>70</v>
      </c>
      <c r="AM124" t="s">
        <v>2029</v>
      </c>
    </row>
    <row r="125" spans="1:39" ht="15" hidden="1" thickTop="1" x14ac:dyDescent="0.35">
      <c r="A125" t="s">
        <v>2565</v>
      </c>
      <c r="B125" t="s">
        <v>2556</v>
      </c>
      <c r="C125" t="s">
        <v>76</v>
      </c>
      <c r="D125" t="s">
        <v>2557</v>
      </c>
      <c r="E125" t="s">
        <v>559</v>
      </c>
      <c r="F125">
        <v>1</v>
      </c>
      <c r="G125" t="s">
        <v>2050</v>
      </c>
      <c r="H125" t="s">
        <v>2051</v>
      </c>
      <c r="I125" t="s">
        <v>53</v>
      </c>
      <c r="J125" t="s">
        <v>67</v>
      </c>
      <c r="K125" t="s">
        <v>68</v>
      </c>
      <c r="L125" t="s">
        <v>2052</v>
      </c>
      <c r="M125" t="s">
        <v>2053</v>
      </c>
      <c r="N125">
        <v>0</v>
      </c>
      <c r="O125">
        <v>0</v>
      </c>
      <c r="P125">
        <v>0</v>
      </c>
      <c r="Q125">
        <v>1440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t="s">
        <v>213</v>
      </c>
      <c r="AH125" s="21" t="s">
        <v>3424</v>
      </c>
      <c r="AI125" s="21">
        <v>107.92500000000001</v>
      </c>
      <c r="AJ125" s="21">
        <v>100</v>
      </c>
      <c r="AK125" s="21" t="s">
        <v>2054</v>
      </c>
      <c r="AL125" t="s">
        <v>70</v>
      </c>
      <c r="AM125" t="s">
        <v>2028</v>
      </c>
    </row>
    <row r="126" spans="1:39" ht="15" hidden="1" thickTop="1" x14ac:dyDescent="0.35">
      <c r="A126" t="s">
        <v>2566</v>
      </c>
      <c r="B126" t="s">
        <v>2558</v>
      </c>
      <c r="C126" t="s">
        <v>117</v>
      </c>
      <c r="D126" t="s">
        <v>2559</v>
      </c>
      <c r="E126" t="s">
        <v>559</v>
      </c>
      <c r="F126">
        <v>1</v>
      </c>
      <c r="G126" t="s">
        <v>2050</v>
      </c>
      <c r="H126" t="s">
        <v>2051</v>
      </c>
      <c r="I126" t="s">
        <v>53</v>
      </c>
      <c r="J126" t="s">
        <v>67</v>
      </c>
      <c r="K126" t="s">
        <v>68</v>
      </c>
      <c r="L126" t="s">
        <v>2052</v>
      </c>
      <c r="M126" t="s">
        <v>2053</v>
      </c>
      <c r="N126">
        <v>0</v>
      </c>
      <c r="O126">
        <v>0</v>
      </c>
      <c r="P126">
        <v>0</v>
      </c>
      <c r="Q126">
        <v>1440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214</v>
      </c>
      <c r="AH126" s="21" t="s">
        <v>3424</v>
      </c>
      <c r="AI126" s="21">
        <v>107.92500000000001</v>
      </c>
      <c r="AJ126" s="21">
        <v>100</v>
      </c>
      <c r="AK126" s="21" t="s">
        <v>2054</v>
      </c>
      <c r="AL126" t="s">
        <v>70</v>
      </c>
      <c r="AM126" t="s">
        <v>2027</v>
      </c>
    </row>
    <row r="127" spans="1:39" ht="15" hidden="1" thickTop="1" x14ac:dyDescent="0.35">
      <c r="A127" t="s">
        <v>2069</v>
      </c>
      <c r="B127" t="s">
        <v>2569</v>
      </c>
      <c r="C127" t="s">
        <v>128</v>
      </c>
      <c r="D127" t="s">
        <v>2570</v>
      </c>
      <c r="E127" t="s">
        <v>112</v>
      </c>
      <c r="F127">
        <v>1</v>
      </c>
      <c r="G127" t="s">
        <v>2050</v>
      </c>
      <c r="H127" t="s">
        <v>2051</v>
      </c>
      <c r="I127" t="s">
        <v>53</v>
      </c>
      <c r="J127" t="s">
        <v>113</v>
      </c>
      <c r="K127" t="s">
        <v>68</v>
      </c>
      <c r="L127" t="s">
        <v>2052</v>
      </c>
      <c r="M127" t="s">
        <v>2053</v>
      </c>
      <c r="N127">
        <v>0</v>
      </c>
      <c r="O127">
        <v>0</v>
      </c>
      <c r="P127">
        <v>0</v>
      </c>
      <c r="Q127">
        <v>1440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215</v>
      </c>
      <c r="AH127" s="21" t="s">
        <v>3428</v>
      </c>
      <c r="AI127" s="21">
        <v>107.92500000000001</v>
      </c>
      <c r="AJ127" s="21">
        <v>100</v>
      </c>
      <c r="AK127" s="21" t="s">
        <v>2055</v>
      </c>
      <c r="AL127" t="s">
        <v>115</v>
      </c>
      <c r="AM127" t="s">
        <v>2029</v>
      </c>
    </row>
    <row r="128" spans="1:39" ht="15" hidden="1" thickTop="1" x14ac:dyDescent="0.35">
      <c r="A128" t="s">
        <v>2588</v>
      </c>
      <c r="B128" t="s">
        <v>2577</v>
      </c>
      <c r="C128" t="s">
        <v>565</v>
      </c>
      <c r="D128" t="s">
        <v>2578</v>
      </c>
      <c r="E128" t="s">
        <v>559</v>
      </c>
      <c r="F128">
        <v>2</v>
      </c>
      <c r="G128" t="s">
        <v>2050</v>
      </c>
      <c r="H128" t="s">
        <v>2051</v>
      </c>
      <c r="I128" t="s">
        <v>53</v>
      </c>
      <c r="J128" t="s">
        <v>427</v>
      </c>
      <c r="K128" t="s">
        <v>68</v>
      </c>
      <c r="L128" t="s">
        <v>2052</v>
      </c>
      <c r="M128" t="s">
        <v>2053</v>
      </c>
      <c r="N128">
        <v>0</v>
      </c>
      <c r="O128">
        <v>0</v>
      </c>
      <c r="P128">
        <v>0</v>
      </c>
      <c r="Q128">
        <v>1440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216</v>
      </c>
      <c r="AH128" s="21" t="s">
        <v>3428</v>
      </c>
      <c r="AI128" s="21">
        <v>107.92500000000001</v>
      </c>
      <c r="AJ128" s="21">
        <v>100</v>
      </c>
      <c r="AK128" s="21" t="s">
        <v>2054</v>
      </c>
      <c r="AL128" t="s">
        <v>70</v>
      </c>
      <c r="AM128" t="s">
        <v>2027</v>
      </c>
    </row>
    <row r="129" spans="1:39" ht="15" hidden="1" thickTop="1" x14ac:dyDescent="0.35">
      <c r="A129" t="s">
        <v>2479</v>
      </c>
      <c r="B129" t="s">
        <v>2580</v>
      </c>
      <c r="C129" t="s">
        <v>117</v>
      </c>
      <c r="D129" t="s">
        <v>2581</v>
      </c>
      <c r="E129" t="s">
        <v>559</v>
      </c>
      <c r="F129">
        <v>1</v>
      </c>
      <c r="G129" t="s">
        <v>2050</v>
      </c>
      <c r="H129" t="s">
        <v>2051</v>
      </c>
      <c r="I129" t="s">
        <v>53</v>
      </c>
      <c r="J129" t="s">
        <v>67</v>
      </c>
      <c r="K129" t="s">
        <v>68</v>
      </c>
      <c r="L129" t="s">
        <v>2052</v>
      </c>
      <c r="M129" t="s">
        <v>2053</v>
      </c>
      <c r="N129">
        <v>0</v>
      </c>
      <c r="O129">
        <v>0</v>
      </c>
      <c r="P129">
        <v>0</v>
      </c>
      <c r="Q129">
        <v>1440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217</v>
      </c>
      <c r="AH129" s="21" t="s">
        <v>3425</v>
      </c>
      <c r="AI129" s="21">
        <v>107.92500000000001</v>
      </c>
      <c r="AJ129" s="21">
        <v>100</v>
      </c>
      <c r="AK129" s="21" t="s">
        <v>2054</v>
      </c>
      <c r="AL129" t="s">
        <v>70</v>
      </c>
      <c r="AM129" t="s">
        <v>2031</v>
      </c>
    </row>
    <row r="130" spans="1:39" ht="15" hidden="1" thickTop="1" x14ac:dyDescent="0.35">
      <c r="A130" t="s">
        <v>2597</v>
      </c>
      <c r="B130" t="s">
        <v>2583</v>
      </c>
      <c r="C130" t="s">
        <v>76</v>
      </c>
      <c r="D130" t="s">
        <v>2584</v>
      </c>
      <c r="E130" t="s">
        <v>119</v>
      </c>
      <c r="F130">
        <v>1</v>
      </c>
      <c r="G130" t="s">
        <v>2050</v>
      </c>
      <c r="H130" t="s">
        <v>2051</v>
      </c>
      <c r="I130" t="s">
        <v>53</v>
      </c>
      <c r="J130" t="s">
        <v>67</v>
      </c>
      <c r="K130" t="s">
        <v>68</v>
      </c>
      <c r="L130" t="s">
        <v>2052</v>
      </c>
      <c r="M130" t="s">
        <v>2053</v>
      </c>
      <c r="N130">
        <v>0</v>
      </c>
      <c r="O130">
        <v>0</v>
      </c>
      <c r="P130">
        <v>0</v>
      </c>
      <c r="Q130">
        <v>1440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t="s">
        <v>218</v>
      </c>
      <c r="AH130" s="21" t="s">
        <v>3425</v>
      </c>
      <c r="AI130" s="21">
        <v>107.92500000000001</v>
      </c>
      <c r="AJ130" s="21">
        <v>100</v>
      </c>
      <c r="AK130" s="21" t="s">
        <v>2054</v>
      </c>
      <c r="AL130" t="s">
        <v>70</v>
      </c>
      <c r="AM130" t="s">
        <v>2031</v>
      </c>
    </row>
    <row r="131" spans="1:39" ht="15" hidden="1" thickTop="1" x14ac:dyDescent="0.35">
      <c r="A131" t="s">
        <v>2602</v>
      </c>
      <c r="B131" t="s">
        <v>2591</v>
      </c>
      <c r="C131" t="s">
        <v>71</v>
      </c>
      <c r="D131" t="s">
        <v>2592</v>
      </c>
      <c r="E131" t="s">
        <v>72</v>
      </c>
      <c r="F131">
        <v>1</v>
      </c>
      <c r="G131" t="s">
        <v>2050</v>
      </c>
      <c r="H131" t="s">
        <v>2051</v>
      </c>
      <c r="I131" t="s">
        <v>53</v>
      </c>
      <c r="J131" t="s">
        <v>73</v>
      </c>
      <c r="K131" t="s">
        <v>68</v>
      </c>
      <c r="L131" t="s">
        <v>2052</v>
      </c>
      <c r="M131" t="s">
        <v>2053</v>
      </c>
      <c r="N131">
        <v>0</v>
      </c>
      <c r="O131">
        <v>0</v>
      </c>
      <c r="P131">
        <v>0</v>
      </c>
      <c r="Q131">
        <v>1440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219</v>
      </c>
      <c r="AH131" s="21" t="s">
        <v>3428</v>
      </c>
      <c r="AI131" s="21">
        <v>107.92500000000001</v>
      </c>
      <c r="AJ131" s="21">
        <v>100</v>
      </c>
      <c r="AK131" s="21" t="s">
        <v>2054</v>
      </c>
      <c r="AL131" t="s">
        <v>75</v>
      </c>
      <c r="AM131" t="s">
        <v>2028</v>
      </c>
    </row>
    <row r="132" spans="1:39" ht="15" hidden="1" thickTop="1" x14ac:dyDescent="0.35">
      <c r="A132" t="s">
        <v>2607</v>
      </c>
      <c r="B132" t="s">
        <v>2593</v>
      </c>
      <c r="C132" t="s">
        <v>92</v>
      </c>
      <c r="D132" t="s">
        <v>2594</v>
      </c>
      <c r="E132" t="s">
        <v>119</v>
      </c>
      <c r="F132">
        <v>1</v>
      </c>
      <c r="G132" t="s">
        <v>2050</v>
      </c>
      <c r="H132" t="s">
        <v>2051</v>
      </c>
      <c r="I132" t="s">
        <v>53</v>
      </c>
      <c r="J132" t="s">
        <v>67</v>
      </c>
      <c r="K132" t="s">
        <v>68</v>
      </c>
      <c r="L132" t="s">
        <v>2052</v>
      </c>
      <c r="M132" t="s">
        <v>2053</v>
      </c>
      <c r="N132">
        <v>0</v>
      </c>
      <c r="O132">
        <v>0</v>
      </c>
      <c r="P132">
        <v>0</v>
      </c>
      <c r="Q132">
        <v>1440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220</v>
      </c>
      <c r="AH132" s="21" t="s">
        <v>3424</v>
      </c>
      <c r="AI132" s="21">
        <v>107.92500000000001</v>
      </c>
      <c r="AJ132" s="21">
        <v>100</v>
      </c>
      <c r="AK132" s="21" t="s">
        <v>2054</v>
      </c>
      <c r="AL132" t="s">
        <v>70</v>
      </c>
      <c r="AM132" t="s">
        <v>2029</v>
      </c>
    </row>
    <row r="133" spans="1:39" ht="15" hidden="1" thickTop="1" x14ac:dyDescent="0.35">
      <c r="A133" t="s">
        <v>2071</v>
      </c>
      <c r="B133" t="s">
        <v>2605</v>
      </c>
      <c r="C133" t="s">
        <v>102</v>
      </c>
      <c r="D133" t="s">
        <v>2606</v>
      </c>
      <c r="E133" t="s">
        <v>559</v>
      </c>
      <c r="F133">
        <v>1</v>
      </c>
      <c r="G133" t="s">
        <v>2050</v>
      </c>
      <c r="H133" t="s">
        <v>2051</v>
      </c>
      <c r="I133" t="s">
        <v>53</v>
      </c>
      <c r="J133" t="s">
        <v>67</v>
      </c>
      <c r="K133" t="s">
        <v>68</v>
      </c>
      <c r="L133" t="s">
        <v>2052</v>
      </c>
      <c r="M133" t="s">
        <v>2053</v>
      </c>
      <c r="N133">
        <v>0</v>
      </c>
      <c r="O133">
        <v>0</v>
      </c>
      <c r="P133">
        <v>0</v>
      </c>
      <c r="Q133">
        <v>1440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222</v>
      </c>
      <c r="AH133" s="21" t="s">
        <v>3424</v>
      </c>
      <c r="AI133" s="21">
        <v>107.92500000000001</v>
      </c>
      <c r="AJ133" s="21">
        <v>100</v>
      </c>
      <c r="AK133" s="21" t="s">
        <v>2054</v>
      </c>
      <c r="AL133" t="s">
        <v>70</v>
      </c>
      <c r="AM133" t="s">
        <v>2030</v>
      </c>
    </row>
    <row r="134" spans="1:39" ht="15" hidden="1" thickTop="1" x14ac:dyDescent="0.35">
      <c r="A134" t="s">
        <v>2072</v>
      </c>
      <c r="B134" t="s">
        <v>2608</v>
      </c>
      <c r="C134" t="s">
        <v>102</v>
      </c>
      <c r="D134" t="s">
        <v>2609</v>
      </c>
      <c r="E134" t="s">
        <v>559</v>
      </c>
      <c r="F134">
        <v>1</v>
      </c>
      <c r="G134" t="s">
        <v>2050</v>
      </c>
      <c r="H134" t="s">
        <v>2051</v>
      </c>
      <c r="I134" t="s">
        <v>53</v>
      </c>
      <c r="J134" t="s">
        <v>67</v>
      </c>
      <c r="K134" t="s">
        <v>68</v>
      </c>
      <c r="L134" t="s">
        <v>2052</v>
      </c>
      <c r="M134" t="s">
        <v>2053</v>
      </c>
      <c r="N134">
        <v>1</v>
      </c>
      <c r="O134">
        <v>23</v>
      </c>
      <c r="P134">
        <v>1.6</v>
      </c>
      <c r="Q134">
        <v>1440</v>
      </c>
      <c r="R134">
        <v>1</v>
      </c>
      <c r="S134">
        <v>23</v>
      </c>
      <c r="T134">
        <v>1.6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223</v>
      </c>
      <c r="AH134" s="21" t="s">
        <v>3424</v>
      </c>
      <c r="AI134" s="21">
        <v>107.92500000000001</v>
      </c>
      <c r="AJ134" s="21">
        <v>98.402777777777771</v>
      </c>
      <c r="AK134" s="21" t="s">
        <v>2054</v>
      </c>
      <c r="AL134" t="s">
        <v>70</v>
      </c>
      <c r="AM134" t="s">
        <v>2028</v>
      </c>
    </row>
    <row r="135" spans="1:39" ht="15" hidden="1" thickTop="1" x14ac:dyDescent="0.35">
      <c r="A135" t="s">
        <v>2073</v>
      </c>
      <c r="B135" t="s">
        <v>2611</v>
      </c>
      <c r="C135" t="s">
        <v>117</v>
      </c>
      <c r="D135" t="s">
        <v>2612</v>
      </c>
      <c r="E135" t="s">
        <v>559</v>
      </c>
      <c r="F135">
        <v>1</v>
      </c>
      <c r="G135" t="s">
        <v>2050</v>
      </c>
      <c r="H135" t="s">
        <v>2051</v>
      </c>
      <c r="I135" t="s">
        <v>53</v>
      </c>
      <c r="J135" t="s">
        <v>67</v>
      </c>
      <c r="K135" t="s">
        <v>68</v>
      </c>
      <c r="L135" t="s">
        <v>2052</v>
      </c>
      <c r="M135" t="s">
        <v>2053</v>
      </c>
      <c r="N135">
        <v>0</v>
      </c>
      <c r="O135">
        <v>0</v>
      </c>
      <c r="P135">
        <v>0</v>
      </c>
      <c r="Q135">
        <v>1440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224</v>
      </c>
      <c r="AH135" s="21" t="s">
        <v>3424</v>
      </c>
      <c r="AI135" s="21">
        <v>107.92500000000001</v>
      </c>
      <c r="AJ135" s="21">
        <v>100</v>
      </c>
      <c r="AK135" s="21" t="s">
        <v>2054</v>
      </c>
      <c r="AL135" t="s">
        <v>70</v>
      </c>
      <c r="AM135" t="s">
        <v>2027</v>
      </c>
    </row>
    <row r="136" spans="1:39" ht="15" hidden="1" thickTop="1" x14ac:dyDescent="0.35">
      <c r="A136" t="s">
        <v>2624</v>
      </c>
      <c r="B136" t="s">
        <v>2617</v>
      </c>
      <c r="C136" t="s">
        <v>128</v>
      </c>
      <c r="D136" t="s">
        <v>2618</v>
      </c>
      <c r="E136" t="s">
        <v>112</v>
      </c>
      <c r="F136">
        <v>1</v>
      </c>
      <c r="G136" t="s">
        <v>2050</v>
      </c>
      <c r="H136" t="s">
        <v>2051</v>
      </c>
      <c r="I136" t="s">
        <v>53</v>
      </c>
      <c r="J136" t="s">
        <v>113</v>
      </c>
      <c r="K136" t="s">
        <v>68</v>
      </c>
      <c r="L136" t="s">
        <v>2052</v>
      </c>
      <c r="M136" t="s">
        <v>2619</v>
      </c>
      <c r="N136">
        <v>0</v>
      </c>
      <c r="O136">
        <v>0</v>
      </c>
      <c r="P136">
        <v>0</v>
      </c>
      <c r="Q136">
        <v>1140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225</v>
      </c>
      <c r="AH136" s="21" t="s">
        <v>3424</v>
      </c>
      <c r="AI136" s="21">
        <v>85.5</v>
      </c>
      <c r="AJ136" s="21">
        <v>100</v>
      </c>
      <c r="AK136" s="21" t="s">
        <v>2054</v>
      </c>
      <c r="AL136" t="s">
        <v>115</v>
      </c>
      <c r="AM136" t="s">
        <v>2027</v>
      </c>
    </row>
    <row r="137" spans="1:39" ht="15" hidden="1" thickTop="1" x14ac:dyDescent="0.35">
      <c r="A137" t="s">
        <v>2626</v>
      </c>
      <c r="B137" t="s">
        <v>2620</v>
      </c>
      <c r="C137" t="s">
        <v>66</v>
      </c>
      <c r="D137" t="s">
        <v>2621</v>
      </c>
      <c r="E137" t="s">
        <v>559</v>
      </c>
      <c r="F137">
        <v>1</v>
      </c>
      <c r="G137" t="s">
        <v>2050</v>
      </c>
      <c r="H137" t="s">
        <v>2051</v>
      </c>
      <c r="I137" t="s">
        <v>53</v>
      </c>
      <c r="J137" t="s">
        <v>67</v>
      </c>
      <c r="K137" t="s">
        <v>68</v>
      </c>
      <c r="L137" t="s">
        <v>2052</v>
      </c>
      <c r="M137" t="s">
        <v>2053</v>
      </c>
      <c r="N137">
        <v>2</v>
      </c>
      <c r="O137">
        <v>294</v>
      </c>
      <c r="P137">
        <v>20.420000000000002</v>
      </c>
      <c r="Q137">
        <v>1440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2</v>
      </c>
      <c r="Y137">
        <v>294</v>
      </c>
      <c r="Z137">
        <v>20.420000000000002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226</v>
      </c>
      <c r="AH137" s="21" t="s">
        <v>3424</v>
      </c>
      <c r="AI137" s="21">
        <v>107.92500000000001</v>
      </c>
      <c r="AJ137" s="21">
        <v>79.583333333333329</v>
      </c>
      <c r="AK137" s="21" t="s">
        <v>2055</v>
      </c>
      <c r="AL137" t="s">
        <v>70</v>
      </c>
      <c r="AM137" t="s">
        <v>2028</v>
      </c>
    </row>
    <row r="138" spans="1:39" ht="15" hidden="1" thickTop="1" x14ac:dyDescent="0.35">
      <c r="A138" t="s">
        <v>2630</v>
      </c>
      <c r="B138" t="s">
        <v>2628</v>
      </c>
      <c r="C138" t="s">
        <v>66</v>
      </c>
      <c r="D138" t="s">
        <v>2629</v>
      </c>
      <c r="E138" t="s">
        <v>559</v>
      </c>
      <c r="F138">
        <v>1</v>
      </c>
      <c r="G138" t="s">
        <v>2050</v>
      </c>
      <c r="H138" t="s">
        <v>2051</v>
      </c>
      <c r="I138" t="s">
        <v>53</v>
      </c>
      <c r="J138" t="s">
        <v>67</v>
      </c>
      <c r="K138" t="s">
        <v>68</v>
      </c>
      <c r="L138" t="s">
        <v>2052</v>
      </c>
      <c r="M138" t="s">
        <v>2064</v>
      </c>
      <c r="N138">
        <v>0</v>
      </c>
      <c r="O138">
        <v>0</v>
      </c>
      <c r="P138">
        <v>0</v>
      </c>
      <c r="Q138">
        <v>900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s">
        <v>227</v>
      </c>
      <c r="AH138" s="21" t="s">
        <v>3424</v>
      </c>
      <c r="AI138" s="21">
        <v>67.5</v>
      </c>
      <c r="AJ138" s="21">
        <v>100</v>
      </c>
      <c r="AK138" s="21" t="s">
        <v>2055</v>
      </c>
      <c r="AL138" t="s">
        <v>70</v>
      </c>
      <c r="AM138" t="s">
        <v>2027</v>
      </c>
    </row>
    <row r="139" spans="1:39" ht="15" hidden="1" thickTop="1" x14ac:dyDescent="0.35">
      <c r="A139" t="s">
        <v>2636</v>
      </c>
      <c r="B139" t="s">
        <v>2632</v>
      </c>
      <c r="C139" t="s">
        <v>100</v>
      </c>
      <c r="D139" t="s">
        <v>2633</v>
      </c>
      <c r="E139" t="s">
        <v>559</v>
      </c>
      <c r="F139">
        <v>1</v>
      </c>
      <c r="G139" t="s">
        <v>2050</v>
      </c>
      <c r="H139" t="s">
        <v>2051</v>
      </c>
      <c r="I139" t="s">
        <v>53</v>
      </c>
      <c r="J139" t="s">
        <v>67</v>
      </c>
      <c r="K139" t="s">
        <v>68</v>
      </c>
      <c r="L139" t="s">
        <v>2052</v>
      </c>
      <c r="M139" t="s">
        <v>2053</v>
      </c>
      <c r="N139">
        <v>0</v>
      </c>
      <c r="O139">
        <v>0</v>
      </c>
      <c r="P139">
        <v>0</v>
      </c>
      <c r="Q139">
        <v>1440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228</v>
      </c>
      <c r="AH139" s="21" t="s">
        <v>3424</v>
      </c>
      <c r="AI139" s="21">
        <v>107.92500000000001</v>
      </c>
      <c r="AJ139" s="21">
        <v>100</v>
      </c>
      <c r="AK139" s="21" t="s">
        <v>2054</v>
      </c>
      <c r="AL139" t="s">
        <v>70</v>
      </c>
      <c r="AM139" t="s">
        <v>2031</v>
      </c>
    </row>
    <row r="140" spans="1:39" ht="15" hidden="1" thickTop="1" x14ac:dyDescent="0.35">
      <c r="A140" t="s">
        <v>2637</v>
      </c>
      <c r="B140" t="s">
        <v>2634</v>
      </c>
      <c r="C140" t="s">
        <v>78</v>
      </c>
      <c r="D140" t="s">
        <v>2635</v>
      </c>
      <c r="E140" t="s">
        <v>559</v>
      </c>
      <c r="F140">
        <v>1</v>
      </c>
      <c r="G140" t="s">
        <v>2050</v>
      </c>
      <c r="H140" t="s">
        <v>2051</v>
      </c>
      <c r="I140" t="s">
        <v>53</v>
      </c>
      <c r="J140" t="s">
        <v>67</v>
      </c>
      <c r="K140" t="s">
        <v>68</v>
      </c>
      <c r="L140" t="s">
        <v>2052</v>
      </c>
      <c r="M140" t="s">
        <v>2053</v>
      </c>
      <c r="N140">
        <v>0</v>
      </c>
      <c r="O140">
        <v>0</v>
      </c>
      <c r="P140">
        <v>0</v>
      </c>
      <c r="Q140">
        <v>1440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229</v>
      </c>
      <c r="AH140" s="21" t="s">
        <v>3424</v>
      </c>
      <c r="AI140" s="21">
        <v>107.92500000000001</v>
      </c>
      <c r="AJ140" s="21">
        <v>100</v>
      </c>
      <c r="AK140" s="21" t="s">
        <v>2055</v>
      </c>
      <c r="AL140" t="s">
        <v>70</v>
      </c>
      <c r="AM140" t="s">
        <v>2031</v>
      </c>
    </row>
    <row r="141" spans="1:39" ht="15" hidden="1" thickTop="1" x14ac:dyDescent="0.35">
      <c r="A141" t="s">
        <v>2642</v>
      </c>
      <c r="B141" t="s">
        <v>2640</v>
      </c>
      <c r="C141" t="s">
        <v>3376</v>
      </c>
      <c r="D141" t="s">
        <v>2641</v>
      </c>
      <c r="E141" t="s">
        <v>559</v>
      </c>
      <c r="F141">
        <v>1</v>
      </c>
      <c r="G141" t="s">
        <v>2050</v>
      </c>
      <c r="H141" t="s">
        <v>2051</v>
      </c>
      <c r="I141" t="s">
        <v>53</v>
      </c>
      <c r="J141" t="s">
        <v>67</v>
      </c>
      <c r="K141" t="s">
        <v>68</v>
      </c>
      <c r="L141" t="s">
        <v>2052</v>
      </c>
      <c r="M141" t="s">
        <v>2053</v>
      </c>
      <c r="N141">
        <v>0</v>
      </c>
      <c r="O141">
        <v>0</v>
      </c>
      <c r="P141">
        <v>0</v>
      </c>
      <c r="Q141">
        <v>1440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t="s">
        <v>230</v>
      </c>
      <c r="AH141" s="21" t="s">
        <v>3424</v>
      </c>
      <c r="AI141" s="21">
        <v>107.92500000000001</v>
      </c>
      <c r="AJ141" s="21">
        <v>100</v>
      </c>
      <c r="AK141" s="21" t="s">
        <v>2055</v>
      </c>
      <c r="AL141" t="s">
        <v>70</v>
      </c>
      <c r="AM141" t="s">
        <v>2031</v>
      </c>
    </row>
    <row r="142" spans="1:39" ht="15" hidden="1" thickTop="1" x14ac:dyDescent="0.35">
      <c r="A142" t="s">
        <v>2646</v>
      </c>
      <c r="B142" t="s">
        <v>2644</v>
      </c>
      <c r="C142" t="s">
        <v>3376</v>
      </c>
      <c r="D142" t="s">
        <v>2645</v>
      </c>
      <c r="E142" t="s">
        <v>559</v>
      </c>
      <c r="F142">
        <v>1</v>
      </c>
      <c r="G142" t="s">
        <v>2050</v>
      </c>
      <c r="H142" t="s">
        <v>2051</v>
      </c>
      <c r="I142" t="s">
        <v>53</v>
      </c>
      <c r="J142" t="s">
        <v>67</v>
      </c>
      <c r="K142" t="s">
        <v>68</v>
      </c>
      <c r="L142" t="s">
        <v>2052</v>
      </c>
      <c r="M142" t="s">
        <v>2053</v>
      </c>
      <c r="N142">
        <v>0</v>
      </c>
      <c r="O142">
        <v>0</v>
      </c>
      <c r="P142">
        <v>0</v>
      </c>
      <c r="Q142">
        <v>1440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231</v>
      </c>
      <c r="AH142" s="21" t="s">
        <v>3424</v>
      </c>
      <c r="AI142" s="21">
        <v>107.92500000000001</v>
      </c>
      <c r="AJ142" s="21">
        <v>100</v>
      </c>
      <c r="AK142" s="21" t="s">
        <v>2054</v>
      </c>
      <c r="AL142" t="s">
        <v>70</v>
      </c>
      <c r="AM142" t="s">
        <v>2027</v>
      </c>
    </row>
    <row r="143" spans="1:39" ht="15" hidden="1" thickTop="1" x14ac:dyDescent="0.35">
      <c r="A143" t="s">
        <v>2658</v>
      </c>
      <c r="B143" t="s">
        <v>2648</v>
      </c>
      <c r="C143" t="s">
        <v>102</v>
      </c>
      <c r="D143" t="s">
        <v>2649</v>
      </c>
      <c r="E143" t="s">
        <v>559</v>
      </c>
      <c r="F143">
        <v>1</v>
      </c>
      <c r="G143" t="s">
        <v>2050</v>
      </c>
      <c r="H143" t="s">
        <v>2051</v>
      </c>
      <c r="I143" t="s">
        <v>53</v>
      </c>
      <c r="J143" t="s">
        <v>67</v>
      </c>
      <c r="K143" t="s">
        <v>68</v>
      </c>
      <c r="L143" t="s">
        <v>2052</v>
      </c>
      <c r="M143" t="s">
        <v>2053</v>
      </c>
      <c r="N143">
        <v>0</v>
      </c>
      <c r="O143">
        <v>0</v>
      </c>
      <c r="P143">
        <v>0</v>
      </c>
      <c r="Q143">
        <v>1440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232</v>
      </c>
      <c r="AH143" s="21" t="s">
        <v>3424</v>
      </c>
      <c r="AI143" s="21">
        <v>107.92500000000001</v>
      </c>
      <c r="AJ143" s="21">
        <v>100</v>
      </c>
      <c r="AK143" s="21" t="s">
        <v>2054</v>
      </c>
      <c r="AL143" t="s">
        <v>70</v>
      </c>
      <c r="AM143" t="s">
        <v>2030</v>
      </c>
    </row>
    <row r="144" spans="1:39" ht="15" hidden="1" thickTop="1" x14ac:dyDescent="0.35">
      <c r="A144" t="s">
        <v>2659</v>
      </c>
      <c r="B144" t="s">
        <v>2650</v>
      </c>
      <c r="C144" t="s">
        <v>92</v>
      </c>
      <c r="D144" t="s">
        <v>2651</v>
      </c>
      <c r="E144" t="s">
        <v>559</v>
      </c>
      <c r="F144">
        <v>1</v>
      </c>
      <c r="G144" t="s">
        <v>2050</v>
      </c>
      <c r="H144" t="s">
        <v>2051</v>
      </c>
      <c r="I144" t="s">
        <v>53</v>
      </c>
      <c r="J144" t="s">
        <v>67</v>
      </c>
      <c r="K144" t="s">
        <v>68</v>
      </c>
      <c r="L144" t="s">
        <v>2052</v>
      </c>
      <c r="M144" t="s">
        <v>2053</v>
      </c>
      <c r="N144">
        <v>1</v>
      </c>
      <c r="O144">
        <v>61</v>
      </c>
      <c r="P144">
        <v>4.24</v>
      </c>
      <c r="Q144">
        <v>1440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61</v>
      </c>
      <c r="Z144">
        <v>4.24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t="s">
        <v>233</v>
      </c>
      <c r="AH144" s="21" t="s">
        <v>3424</v>
      </c>
      <c r="AI144" s="21">
        <v>107.92500000000001</v>
      </c>
      <c r="AJ144" s="21">
        <v>95.763888888888886</v>
      </c>
      <c r="AK144" s="21" t="s">
        <v>2054</v>
      </c>
      <c r="AL144" t="s">
        <v>70</v>
      </c>
      <c r="AM144" t="s">
        <v>2028</v>
      </c>
    </row>
    <row r="145" spans="1:39" ht="15" hidden="1" thickTop="1" x14ac:dyDescent="0.35">
      <c r="A145" t="s">
        <v>2508</v>
      </c>
      <c r="B145" t="s">
        <v>2652</v>
      </c>
      <c r="C145" t="s">
        <v>76</v>
      </c>
      <c r="D145" t="s">
        <v>2653</v>
      </c>
      <c r="E145" t="s">
        <v>119</v>
      </c>
      <c r="F145">
        <v>1</v>
      </c>
      <c r="G145" t="s">
        <v>2050</v>
      </c>
      <c r="H145" t="s">
        <v>2051</v>
      </c>
      <c r="I145" t="s">
        <v>53</v>
      </c>
      <c r="J145" t="s">
        <v>67</v>
      </c>
      <c r="K145" t="s">
        <v>68</v>
      </c>
      <c r="L145" t="s">
        <v>2052</v>
      </c>
      <c r="M145" t="s">
        <v>2053</v>
      </c>
      <c r="N145">
        <v>0</v>
      </c>
      <c r="O145">
        <v>0</v>
      </c>
      <c r="P145">
        <v>0</v>
      </c>
      <c r="Q145">
        <v>1440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234</v>
      </c>
      <c r="AH145" s="21" t="s">
        <v>3424</v>
      </c>
      <c r="AI145" s="21">
        <v>107.92500000000001</v>
      </c>
      <c r="AJ145" s="21">
        <v>100</v>
      </c>
      <c r="AK145" s="21" t="s">
        <v>2054</v>
      </c>
      <c r="AL145" t="s">
        <v>70</v>
      </c>
      <c r="AM145" t="s">
        <v>2028</v>
      </c>
    </row>
    <row r="146" spans="1:39" ht="15" hidden="1" thickTop="1" x14ac:dyDescent="0.35">
      <c r="A146" t="s">
        <v>2660</v>
      </c>
      <c r="B146" t="s">
        <v>2654</v>
      </c>
      <c r="C146" t="s">
        <v>3376</v>
      </c>
      <c r="D146" t="s">
        <v>2655</v>
      </c>
      <c r="E146" t="s">
        <v>559</v>
      </c>
      <c r="F146">
        <v>1</v>
      </c>
      <c r="G146" t="s">
        <v>2050</v>
      </c>
      <c r="H146" t="s">
        <v>2051</v>
      </c>
      <c r="I146" t="s">
        <v>53</v>
      </c>
      <c r="J146" t="s">
        <v>67</v>
      </c>
      <c r="K146" t="s">
        <v>68</v>
      </c>
      <c r="L146" t="s">
        <v>2052</v>
      </c>
      <c r="M146" t="s">
        <v>2053</v>
      </c>
      <c r="N146">
        <v>0</v>
      </c>
      <c r="O146">
        <v>0</v>
      </c>
      <c r="P146">
        <v>0</v>
      </c>
      <c r="Q146">
        <v>1440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235</v>
      </c>
      <c r="AH146" s="21" t="s">
        <v>3424</v>
      </c>
      <c r="AI146" s="21">
        <v>107.92500000000001</v>
      </c>
      <c r="AJ146" s="21">
        <v>100</v>
      </c>
      <c r="AK146" s="21" t="s">
        <v>2054</v>
      </c>
      <c r="AL146" t="s">
        <v>70</v>
      </c>
      <c r="AM146" t="s">
        <v>2028</v>
      </c>
    </row>
    <row r="147" spans="1:39" ht="15" hidden="1" thickTop="1" x14ac:dyDescent="0.35">
      <c r="A147" t="s">
        <v>2661</v>
      </c>
      <c r="B147" t="s">
        <v>2656</v>
      </c>
      <c r="C147" t="s">
        <v>3376</v>
      </c>
      <c r="D147" t="s">
        <v>2657</v>
      </c>
      <c r="E147" t="s">
        <v>559</v>
      </c>
      <c r="F147">
        <v>1</v>
      </c>
      <c r="G147" t="s">
        <v>2050</v>
      </c>
      <c r="H147" t="s">
        <v>2051</v>
      </c>
      <c r="I147" t="s">
        <v>53</v>
      </c>
      <c r="J147" t="s">
        <v>67</v>
      </c>
      <c r="K147" t="s">
        <v>68</v>
      </c>
      <c r="L147" t="s">
        <v>2052</v>
      </c>
      <c r="M147" t="s">
        <v>2053</v>
      </c>
      <c r="N147">
        <v>0</v>
      </c>
      <c r="O147">
        <v>0</v>
      </c>
      <c r="P147">
        <v>0</v>
      </c>
      <c r="Q147">
        <v>1440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236</v>
      </c>
      <c r="AH147" s="21" t="s">
        <v>3425</v>
      </c>
      <c r="AI147" s="21">
        <v>107.92500000000001</v>
      </c>
      <c r="AJ147" s="21">
        <v>100</v>
      </c>
      <c r="AK147" s="21" t="s">
        <v>2055</v>
      </c>
      <c r="AL147" t="s">
        <v>70</v>
      </c>
      <c r="AM147" t="s">
        <v>2030</v>
      </c>
    </row>
    <row r="148" spans="1:39" ht="15" hidden="1" thickTop="1" x14ac:dyDescent="0.35">
      <c r="A148" t="s">
        <v>2666</v>
      </c>
      <c r="B148" t="s">
        <v>2664</v>
      </c>
      <c r="C148" t="s">
        <v>820</v>
      </c>
      <c r="D148" t="s">
        <v>2665</v>
      </c>
      <c r="E148" t="s">
        <v>72</v>
      </c>
      <c r="F148">
        <v>1</v>
      </c>
      <c r="G148" t="s">
        <v>2050</v>
      </c>
      <c r="H148" t="s">
        <v>2051</v>
      </c>
      <c r="I148" t="s">
        <v>53</v>
      </c>
      <c r="J148" t="s">
        <v>424</v>
      </c>
      <c r="K148" t="s">
        <v>68</v>
      </c>
      <c r="L148" t="s">
        <v>2052</v>
      </c>
      <c r="M148" t="s">
        <v>2064</v>
      </c>
      <c r="N148">
        <v>0</v>
      </c>
      <c r="O148">
        <v>0</v>
      </c>
      <c r="P148">
        <v>0</v>
      </c>
      <c r="Q148">
        <v>900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238</v>
      </c>
      <c r="AH148" s="21" t="s">
        <v>3425</v>
      </c>
      <c r="AI148" s="21">
        <v>67.5</v>
      </c>
      <c r="AJ148" s="21">
        <v>100</v>
      </c>
      <c r="AK148" s="21" t="s">
        <v>2054</v>
      </c>
      <c r="AL148" t="s">
        <v>75</v>
      </c>
      <c r="AM148" t="s">
        <v>2027</v>
      </c>
    </row>
    <row r="149" spans="1:39" ht="15" hidden="1" thickTop="1" x14ac:dyDescent="0.35">
      <c r="A149" t="s">
        <v>2671</v>
      </c>
      <c r="B149" t="s">
        <v>2669</v>
      </c>
      <c r="C149" t="s">
        <v>100</v>
      </c>
      <c r="D149" t="s">
        <v>2670</v>
      </c>
      <c r="E149" t="s">
        <v>119</v>
      </c>
      <c r="F149">
        <v>1</v>
      </c>
      <c r="G149" t="s">
        <v>2050</v>
      </c>
      <c r="H149" t="s">
        <v>2051</v>
      </c>
      <c r="I149" t="s">
        <v>53</v>
      </c>
      <c r="J149" t="s">
        <v>67</v>
      </c>
      <c r="K149" t="s">
        <v>68</v>
      </c>
      <c r="L149" t="s">
        <v>3397</v>
      </c>
      <c r="M149" t="s">
        <v>2317</v>
      </c>
      <c r="N149">
        <v>0</v>
      </c>
      <c r="O149">
        <v>0</v>
      </c>
      <c r="P149">
        <v>0</v>
      </c>
      <c r="Q149">
        <v>540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239</v>
      </c>
      <c r="AH149" s="21" t="s">
        <v>3429</v>
      </c>
      <c r="AI149" s="21">
        <v>40.500000000000007</v>
      </c>
      <c r="AJ149" s="21">
        <v>100</v>
      </c>
      <c r="AK149" s="21" t="s">
        <v>2054</v>
      </c>
      <c r="AL149" t="s">
        <v>70</v>
      </c>
      <c r="AM149" t="s">
        <v>2027</v>
      </c>
    </row>
    <row r="150" spans="1:39" ht="15" hidden="1" thickTop="1" x14ac:dyDescent="0.35">
      <c r="A150" t="s">
        <v>2687</v>
      </c>
      <c r="B150" t="s">
        <v>2675</v>
      </c>
      <c r="C150" t="s">
        <v>78</v>
      </c>
      <c r="D150" t="s">
        <v>2676</v>
      </c>
      <c r="E150" t="s">
        <v>559</v>
      </c>
      <c r="F150">
        <v>1</v>
      </c>
      <c r="G150" t="s">
        <v>2050</v>
      </c>
      <c r="H150" t="s">
        <v>2051</v>
      </c>
      <c r="I150" t="s">
        <v>53</v>
      </c>
      <c r="J150" t="s">
        <v>67</v>
      </c>
      <c r="K150" t="s">
        <v>68</v>
      </c>
      <c r="L150" t="s">
        <v>2052</v>
      </c>
      <c r="M150" t="s">
        <v>2083</v>
      </c>
      <c r="N150">
        <v>0</v>
      </c>
      <c r="O150">
        <v>0</v>
      </c>
      <c r="P150">
        <v>0</v>
      </c>
      <c r="Q150">
        <v>960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t="s">
        <v>240</v>
      </c>
      <c r="AH150" s="21" t="s">
        <v>3424</v>
      </c>
      <c r="AI150" s="21">
        <v>72.000000000000014</v>
      </c>
      <c r="AJ150" s="21">
        <v>100</v>
      </c>
      <c r="AK150" s="21" t="s">
        <v>2054</v>
      </c>
      <c r="AL150" t="s">
        <v>70</v>
      </c>
      <c r="AM150" t="s">
        <v>2029</v>
      </c>
    </row>
    <row r="151" spans="1:39" ht="15" hidden="1" thickTop="1" x14ac:dyDescent="0.35">
      <c r="A151" t="s">
        <v>2688</v>
      </c>
      <c r="B151" t="s">
        <v>2677</v>
      </c>
      <c r="C151" t="s">
        <v>66</v>
      </c>
      <c r="D151" t="s">
        <v>2678</v>
      </c>
      <c r="E151" t="s">
        <v>559</v>
      </c>
      <c r="F151">
        <v>1</v>
      </c>
      <c r="G151" t="s">
        <v>2050</v>
      </c>
      <c r="H151" t="s">
        <v>2051</v>
      </c>
      <c r="I151" t="s">
        <v>53</v>
      </c>
      <c r="J151" t="s">
        <v>67</v>
      </c>
      <c r="K151" t="s">
        <v>68</v>
      </c>
      <c r="L151" t="s">
        <v>2052</v>
      </c>
      <c r="M151" t="s">
        <v>2064</v>
      </c>
      <c r="N151">
        <v>0</v>
      </c>
      <c r="O151">
        <v>0</v>
      </c>
      <c r="P151">
        <v>0</v>
      </c>
      <c r="Q151">
        <v>900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t="s">
        <v>241</v>
      </c>
      <c r="AH151" s="21" t="s">
        <v>3424</v>
      </c>
      <c r="AI151" s="21">
        <v>67.5</v>
      </c>
      <c r="AJ151" s="21">
        <v>100</v>
      </c>
      <c r="AK151" s="21" t="s">
        <v>2054</v>
      </c>
      <c r="AL151" t="s">
        <v>70</v>
      </c>
      <c r="AM151" t="s">
        <v>2028</v>
      </c>
    </row>
    <row r="152" spans="1:39" ht="15" hidden="1" thickTop="1" x14ac:dyDescent="0.35">
      <c r="A152" t="s">
        <v>2689</v>
      </c>
      <c r="B152" t="s">
        <v>2679</v>
      </c>
      <c r="C152" t="s">
        <v>100</v>
      </c>
      <c r="D152" t="s">
        <v>2680</v>
      </c>
      <c r="E152" t="s">
        <v>559</v>
      </c>
      <c r="F152">
        <v>1</v>
      </c>
      <c r="G152" t="s">
        <v>2050</v>
      </c>
      <c r="H152" t="s">
        <v>2051</v>
      </c>
      <c r="I152" t="s">
        <v>53</v>
      </c>
      <c r="J152" t="s">
        <v>67</v>
      </c>
      <c r="K152" t="s">
        <v>68</v>
      </c>
      <c r="L152" t="s">
        <v>2052</v>
      </c>
      <c r="M152" t="s">
        <v>2053</v>
      </c>
      <c r="N152">
        <v>1</v>
      </c>
      <c r="O152">
        <v>143</v>
      </c>
      <c r="P152">
        <v>9.93</v>
      </c>
      <c r="Q152">
        <v>1440</v>
      </c>
      <c r="R152">
        <v>1</v>
      </c>
      <c r="S152">
        <v>143</v>
      </c>
      <c r="T152">
        <v>9.93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242</v>
      </c>
      <c r="AH152" s="21" t="s">
        <v>3424</v>
      </c>
      <c r="AI152" s="21">
        <v>107.92500000000001</v>
      </c>
      <c r="AJ152" s="21">
        <v>90.069444444444443</v>
      </c>
      <c r="AK152" s="21" t="s">
        <v>2055</v>
      </c>
      <c r="AL152" t="s">
        <v>70</v>
      </c>
      <c r="AM152" t="s">
        <v>2030</v>
      </c>
    </row>
    <row r="153" spans="1:39" ht="15" hidden="1" thickTop="1" x14ac:dyDescent="0.35">
      <c r="A153" t="s">
        <v>2690</v>
      </c>
      <c r="B153" t="s">
        <v>2681</v>
      </c>
      <c r="C153" t="s">
        <v>100</v>
      </c>
      <c r="D153" t="s">
        <v>2682</v>
      </c>
      <c r="E153" t="s">
        <v>559</v>
      </c>
      <c r="F153">
        <v>1</v>
      </c>
      <c r="G153" t="s">
        <v>2050</v>
      </c>
      <c r="H153" t="s">
        <v>2051</v>
      </c>
      <c r="I153" t="s">
        <v>53</v>
      </c>
      <c r="J153" t="s">
        <v>67</v>
      </c>
      <c r="K153" t="s">
        <v>68</v>
      </c>
      <c r="L153" t="s">
        <v>2052</v>
      </c>
      <c r="M153" t="s">
        <v>2053</v>
      </c>
      <c r="N153">
        <v>0</v>
      </c>
      <c r="O153">
        <v>0</v>
      </c>
      <c r="P153">
        <v>0</v>
      </c>
      <c r="Q153">
        <v>1440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t="s">
        <v>243</v>
      </c>
      <c r="AH153" s="21" t="s">
        <v>3424</v>
      </c>
      <c r="AI153" s="21">
        <v>107.92500000000001</v>
      </c>
      <c r="AJ153" s="21">
        <v>100</v>
      </c>
      <c r="AK153" s="21" t="s">
        <v>2055</v>
      </c>
      <c r="AL153" t="s">
        <v>70</v>
      </c>
      <c r="AM153" t="s">
        <v>2030</v>
      </c>
    </row>
    <row r="154" spans="1:39" ht="15" hidden="1" thickTop="1" x14ac:dyDescent="0.35">
      <c r="A154" t="s">
        <v>2691</v>
      </c>
      <c r="B154" t="s">
        <v>2683</v>
      </c>
      <c r="C154" t="s">
        <v>76</v>
      </c>
      <c r="D154" t="s">
        <v>2684</v>
      </c>
      <c r="E154" t="s">
        <v>559</v>
      </c>
      <c r="F154">
        <v>2</v>
      </c>
      <c r="G154" t="s">
        <v>2050</v>
      </c>
      <c r="H154" t="s">
        <v>2051</v>
      </c>
      <c r="I154" t="s">
        <v>53</v>
      </c>
      <c r="J154" t="s">
        <v>67</v>
      </c>
      <c r="K154" t="s">
        <v>68</v>
      </c>
      <c r="L154" t="s">
        <v>2052</v>
      </c>
      <c r="M154" t="s">
        <v>2064</v>
      </c>
      <c r="N154">
        <v>0</v>
      </c>
      <c r="O154">
        <v>0</v>
      </c>
      <c r="P154">
        <v>0</v>
      </c>
      <c r="Q154">
        <v>900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t="s">
        <v>244</v>
      </c>
      <c r="AH154" s="21" t="s">
        <v>3424</v>
      </c>
      <c r="AI154" s="21">
        <v>67.5</v>
      </c>
      <c r="AJ154" s="21">
        <v>100</v>
      </c>
      <c r="AK154" s="21" t="s">
        <v>2054</v>
      </c>
      <c r="AL154" t="s">
        <v>70</v>
      </c>
      <c r="AM154" t="s">
        <v>2029</v>
      </c>
    </row>
    <row r="155" spans="1:39" ht="15" hidden="1" thickTop="1" x14ac:dyDescent="0.35">
      <c r="A155" t="s">
        <v>2692</v>
      </c>
      <c r="B155" t="s">
        <v>2685</v>
      </c>
      <c r="C155" t="s">
        <v>78</v>
      </c>
      <c r="D155" t="s">
        <v>2686</v>
      </c>
      <c r="E155" t="s">
        <v>559</v>
      </c>
      <c r="F155">
        <v>1</v>
      </c>
      <c r="G155" t="s">
        <v>2050</v>
      </c>
      <c r="H155" t="s">
        <v>2051</v>
      </c>
      <c r="I155" t="s">
        <v>53</v>
      </c>
      <c r="J155" t="s">
        <v>67</v>
      </c>
      <c r="K155" t="s">
        <v>68</v>
      </c>
      <c r="L155" t="s">
        <v>2052</v>
      </c>
      <c r="M155" t="s">
        <v>2083</v>
      </c>
      <c r="N155">
        <v>0</v>
      </c>
      <c r="O155">
        <v>0</v>
      </c>
      <c r="P155">
        <v>0</v>
      </c>
      <c r="Q155">
        <v>960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245</v>
      </c>
      <c r="AH155" s="21" t="s">
        <v>3424</v>
      </c>
      <c r="AI155" s="21">
        <v>72.000000000000014</v>
      </c>
      <c r="AJ155" s="21">
        <v>100</v>
      </c>
      <c r="AK155" s="21" t="s">
        <v>2054</v>
      </c>
      <c r="AL155" t="s">
        <v>70</v>
      </c>
      <c r="AM155" t="s">
        <v>2030</v>
      </c>
    </row>
    <row r="156" spans="1:39" ht="15" hidden="1" thickTop="1" x14ac:dyDescent="0.35">
      <c r="A156" t="s">
        <v>2702</v>
      </c>
      <c r="B156" t="s">
        <v>2696</v>
      </c>
      <c r="C156" t="s">
        <v>3376</v>
      </c>
      <c r="D156" t="s">
        <v>2697</v>
      </c>
      <c r="E156" t="s">
        <v>559</v>
      </c>
      <c r="F156">
        <v>1</v>
      </c>
      <c r="G156" t="s">
        <v>2050</v>
      </c>
      <c r="H156" t="s">
        <v>2051</v>
      </c>
      <c r="I156" t="s">
        <v>53</v>
      </c>
      <c r="J156" t="s">
        <v>67</v>
      </c>
      <c r="K156" t="s">
        <v>68</v>
      </c>
      <c r="L156" t="s">
        <v>2052</v>
      </c>
      <c r="M156" t="s">
        <v>2053</v>
      </c>
      <c r="N156">
        <v>0</v>
      </c>
      <c r="O156">
        <v>0</v>
      </c>
      <c r="P156">
        <v>0</v>
      </c>
      <c r="Q156">
        <v>1440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246</v>
      </c>
      <c r="AH156" s="21" t="s">
        <v>3424</v>
      </c>
      <c r="AI156" s="21">
        <v>107.92500000000001</v>
      </c>
      <c r="AJ156" s="21">
        <v>100</v>
      </c>
      <c r="AK156" s="21" t="s">
        <v>2054</v>
      </c>
      <c r="AL156" t="s">
        <v>70</v>
      </c>
      <c r="AM156" t="s">
        <v>2029</v>
      </c>
    </row>
    <row r="157" spans="1:39" ht="15" hidden="1" thickTop="1" x14ac:dyDescent="0.35">
      <c r="A157" t="s">
        <v>2703</v>
      </c>
      <c r="B157" t="s">
        <v>2698</v>
      </c>
      <c r="C157" t="s">
        <v>66</v>
      </c>
      <c r="D157" t="s">
        <v>2699</v>
      </c>
      <c r="E157" t="s">
        <v>559</v>
      </c>
      <c r="F157">
        <v>1</v>
      </c>
      <c r="G157" t="s">
        <v>2050</v>
      </c>
      <c r="H157" t="s">
        <v>2051</v>
      </c>
      <c r="I157" t="s">
        <v>53</v>
      </c>
      <c r="J157" t="s">
        <v>67</v>
      </c>
      <c r="K157" t="s">
        <v>68</v>
      </c>
      <c r="L157" t="s">
        <v>2052</v>
      </c>
      <c r="M157" t="s">
        <v>2053</v>
      </c>
      <c r="N157">
        <v>0</v>
      </c>
      <c r="O157">
        <v>0</v>
      </c>
      <c r="P157">
        <v>0</v>
      </c>
      <c r="Q157">
        <v>1440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247</v>
      </c>
      <c r="AH157" s="21" t="s">
        <v>3424</v>
      </c>
      <c r="AI157" s="21">
        <v>107.92500000000001</v>
      </c>
      <c r="AJ157" s="21">
        <v>100</v>
      </c>
      <c r="AK157" s="21" t="s">
        <v>2054</v>
      </c>
      <c r="AL157" t="s">
        <v>70</v>
      </c>
      <c r="AM157" t="s">
        <v>2027</v>
      </c>
    </row>
    <row r="158" spans="1:39" ht="15" hidden="1" thickTop="1" x14ac:dyDescent="0.35">
      <c r="A158" t="s">
        <v>2704</v>
      </c>
      <c r="B158" t="s">
        <v>2700</v>
      </c>
      <c r="C158" t="s">
        <v>92</v>
      </c>
      <c r="D158" t="s">
        <v>2701</v>
      </c>
      <c r="E158" t="s">
        <v>119</v>
      </c>
      <c r="F158">
        <v>1</v>
      </c>
      <c r="G158" t="s">
        <v>2050</v>
      </c>
      <c r="H158" t="s">
        <v>2051</v>
      </c>
      <c r="I158" t="s">
        <v>53</v>
      </c>
      <c r="J158" t="s">
        <v>67</v>
      </c>
      <c r="K158" t="s">
        <v>68</v>
      </c>
      <c r="L158" t="s">
        <v>2052</v>
      </c>
      <c r="M158" t="s">
        <v>2053</v>
      </c>
      <c r="N158">
        <v>0</v>
      </c>
      <c r="O158">
        <v>0</v>
      </c>
      <c r="P158">
        <v>0</v>
      </c>
      <c r="Q158">
        <v>1440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248</v>
      </c>
      <c r="AH158" s="21" t="s">
        <v>3424</v>
      </c>
      <c r="AI158" s="21">
        <v>107.92500000000001</v>
      </c>
      <c r="AJ158" s="21">
        <v>100</v>
      </c>
      <c r="AK158" s="21" t="s">
        <v>2054</v>
      </c>
      <c r="AL158" t="s">
        <v>70</v>
      </c>
      <c r="AM158" t="s">
        <v>2029</v>
      </c>
    </row>
    <row r="159" spans="1:39" ht="15" hidden="1" thickTop="1" x14ac:dyDescent="0.35">
      <c r="A159" t="s">
        <v>2710</v>
      </c>
      <c r="B159" t="s">
        <v>2708</v>
      </c>
      <c r="C159" t="s">
        <v>100</v>
      </c>
      <c r="D159" t="s">
        <v>2709</v>
      </c>
      <c r="E159" t="s">
        <v>559</v>
      </c>
      <c r="F159">
        <v>1</v>
      </c>
      <c r="G159" t="s">
        <v>2050</v>
      </c>
      <c r="H159" t="s">
        <v>2051</v>
      </c>
      <c r="I159" t="s">
        <v>53</v>
      </c>
      <c r="J159" t="s">
        <v>67</v>
      </c>
      <c r="K159" t="s">
        <v>68</v>
      </c>
      <c r="L159" t="s">
        <v>2052</v>
      </c>
      <c r="M159" t="s">
        <v>2078</v>
      </c>
      <c r="N159">
        <v>0</v>
      </c>
      <c r="O159">
        <v>0</v>
      </c>
      <c r="P159">
        <v>0</v>
      </c>
      <c r="Q159">
        <v>960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249</v>
      </c>
      <c r="AH159" s="21" t="s">
        <v>3424</v>
      </c>
      <c r="AI159" s="21">
        <v>72</v>
      </c>
      <c r="AJ159" s="21">
        <v>100</v>
      </c>
      <c r="AK159" s="21" t="s">
        <v>2054</v>
      </c>
      <c r="AL159" t="s">
        <v>70</v>
      </c>
      <c r="AM159" t="s">
        <v>2029</v>
      </c>
    </row>
    <row r="160" spans="1:39" ht="15" hidden="1" thickTop="1" x14ac:dyDescent="0.35">
      <c r="A160" t="s">
        <v>2715</v>
      </c>
      <c r="B160" t="s">
        <v>2713</v>
      </c>
      <c r="C160" t="s">
        <v>78</v>
      </c>
      <c r="D160" t="s">
        <v>2714</v>
      </c>
      <c r="E160" t="s">
        <v>559</v>
      </c>
      <c r="F160">
        <v>1</v>
      </c>
      <c r="G160" t="s">
        <v>2050</v>
      </c>
      <c r="H160" t="s">
        <v>2051</v>
      </c>
      <c r="I160" t="s">
        <v>53</v>
      </c>
      <c r="J160" t="s">
        <v>67</v>
      </c>
      <c r="K160" t="s">
        <v>68</v>
      </c>
      <c r="L160" t="s">
        <v>2052</v>
      </c>
      <c r="M160" t="s">
        <v>2053</v>
      </c>
      <c r="N160">
        <v>0</v>
      </c>
      <c r="O160">
        <v>0</v>
      </c>
      <c r="P160">
        <v>0</v>
      </c>
      <c r="Q160">
        <v>1440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250</v>
      </c>
      <c r="AH160" s="21" t="s">
        <v>3424</v>
      </c>
      <c r="AI160" s="21">
        <v>107.92500000000001</v>
      </c>
      <c r="AJ160" s="21">
        <v>100</v>
      </c>
      <c r="AK160" s="21" t="s">
        <v>2054</v>
      </c>
      <c r="AL160" t="s">
        <v>70</v>
      </c>
      <c r="AM160" t="s">
        <v>2028</v>
      </c>
    </row>
    <row r="161" spans="1:39" ht="15" hidden="1" thickTop="1" x14ac:dyDescent="0.35">
      <c r="A161" t="s">
        <v>2724</v>
      </c>
      <c r="B161" t="s">
        <v>2718</v>
      </c>
      <c r="C161" t="s">
        <v>102</v>
      </c>
      <c r="D161" t="s">
        <v>2719</v>
      </c>
      <c r="E161" t="s">
        <v>559</v>
      </c>
      <c r="F161">
        <v>1</v>
      </c>
      <c r="G161" t="s">
        <v>2050</v>
      </c>
      <c r="H161" t="s">
        <v>2051</v>
      </c>
      <c r="I161" t="s">
        <v>53</v>
      </c>
      <c r="J161" t="s">
        <v>67</v>
      </c>
      <c r="K161" t="s">
        <v>68</v>
      </c>
      <c r="L161" t="s">
        <v>2052</v>
      </c>
      <c r="M161" t="s">
        <v>2053</v>
      </c>
      <c r="N161">
        <v>0</v>
      </c>
      <c r="O161">
        <v>0</v>
      </c>
      <c r="P161">
        <v>0</v>
      </c>
      <c r="Q161">
        <v>1440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251</v>
      </c>
      <c r="AH161" s="21" t="s">
        <v>3424</v>
      </c>
      <c r="AI161" s="21">
        <v>107.92500000000001</v>
      </c>
      <c r="AJ161" s="21">
        <v>100</v>
      </c>
      <c r="AK161" s="21" t="s">
        <v>2054</v>
      </c>
      <c r="AL161" t="s">
        <v>70</v>
      </c>
      <c r="AM161" t="s">
        <v>2031</v>
      </c>
    </row>
    <row r="162" spans="1:39" ht="15" hidden="1" thickTop="1" x14ac:dyDescent="0.35">
      <c r="A162" t="s">
        <v>2725</v>
      </c>
      <c r="B162" t="s">
        <v>2720</v>
      </c>
      <c r="C162" t="s">
        <v>102</v>
      </c>
      <c r="D162" t="s">
        <v>2721</v>
      </c>
      <c r="E162" t="s">
        <v>559</v>
      </c>
      <c r="F162">
        <v>1</v>
      </c>
      <c r="G162" t="s">
        <v>2050</v>
      </c>
      <c r="H162" t="s">
        <v>2051</v>
      </c>
      <c r="I162" t="s">
        <v>53</v>
      </c>
      <c r="J162" t="s">
        <v>67</v>
      </c>
      <c r="K162" t="s">
        <v>68</v>
      </c>
      <c r="L162" t="s">
        <v>2052</v>
      </c>
      <c r="M162" t="s">
        <v>2053</v>
      </c>
      <c r="N162">
        <v>1</v>
      </c>
      <c r="O162">
        <v>29</v>
      </c>
      <c r="P162">
        <v>2.0099999999999998</v>
      </c>
      <c r="Q162">
        <v>1440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29</v>
      </c>
      <c r="Z162">
        <v>2.0099999999999998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252</v>
      </c>
      <c r="AH162" s="21" t="s">
        <v>3424</v>
      </c>
      <c r="AI162" s="21">
        <v>107.92500000000001</v>
      </c>
      <c r="AJ162" s="21">
        <v>97.986111111111114</v>
      </c>
      <c r="AK162" s="21" t="s">
        <v>2054</v>
      </c>
      <c r="AL162" t="s">
        <v>70</v>
      </c>
      <c r="AM162" t="s">
        <v>2030</v>
      </c>
    </row>
    <row r="163" spans="1:39" ht="15" hidden="1" thickTop="1" x14ac:dyDescent="0.35">
      <c r="A163" t="s">
        <v>2726</v>
      </c>
      <c r="B163" t="s">
        <v>2722</v>
      </c>
      <c r="C163" t="s">
        <v>102</v>
      </c>
      <c r="D163" t="s">
        <v>2723</v>
      </c>
      <c r="E163" t="s">
        <v>559</v>
      </c>
      <c r="F163">
        <v>1</v>
      </c>
      <c r="G163" t="s">
        <v>2050</v>
      </c>
      <c r="H163" t="s">
        <v>2051</v>
      </c>
      <c r="I163" t="s">
        <v>53</v>
      </c>
      <c r="J163" t="s">
        <v>67</v>
      </c>
      <c r="K163" t="s">
        <v>68</v>
      </c>
      <c r="L163" t="s">
        <v>2052</v>
      </c>
      <c r="M163" t="s">
        <v>2053</v>
      </c>
      <c r="N163">
        <v>0</v>
      </c>
      <c r="O163">
        <v>0</v>
      </c>
      <c r="P163">
        <v>0</v>
      </c>
      <c r="Q163">
        <v>1440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253</v>
      </c>
      <c r="AH163" s="21" t="s">
        <v>3424</v>
      </c>
      <c r="AI163" s="21">
        <v>107.92500000000001</v>
      </c>
      <c r="AJ163" s="21">
        <v>100</v>
      </c>
      <c r="AK163" s="21" t="s">
        <v>2055</v>
      </c>
      <c r="AL163" t="s">
        <v>70</v>
      </c>
      <c r="AM163" t="s">
        <v>2031</v>
      </c>
    </row>
    <row r="164" spans="1:39" ht="15" hidden="1" thickTop="1" x14ac:dyDescent="0.35">
      <c r="A164" t="s">
        <v>2732</v>
      </c>
      <c r="B164" t="s">
        <v>2730</v>
      </c>
      <c r="C164" t="s">
        <v>92</v>
      </c>
      <c r="D164" t="s">
        <v>2731</v>
      </c>
      <c r="E164" t="s">
        <v>119</v>
      </c>
      <c r="F164">
        <v>1</v>
      </c>
      <c r="G164" t="s">
        <v>2050</v>
      </c>
      <c r="H164" t="s">
        <v>2051</v>
      </c>
      <c r="I164" t="s">
        <v>53</v>
      </c>
      <c r="J164" t="s">
        <v>67</v>
      </c>
      <c r="K164" t="s">
        <v>68</v>
      </c>
      <c r="L164" t="s">
        <v>2052</v>
      </c>
      <c r="M164" t="s">
        <v>2053</v>
      </c>
      <c r="N164">
        <v>0</v>
      </c>
      <c r="O164">
        <v>0</v>
      </c>
      <c r="P164">
        <v>0</v>
      </c>
      <c r="Q164">
        <v>1440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t="s">
        <v>254</v>
      </c>
      <c r="AH164" s="21" t="s">
        <v>3424</v>
      </c>
      <c r="AI164" s="21">
        <v>107.92500000000001</v>
      </c>
      <c r="AJ164" s="21">
        <v>100</v>
      </c>
      <c r="AK164" s="21" t="s">
        <v>2054</v>
      </c>
      <c r="AL164" t="s">
        <v>70</v>
      </c>
      <c r="AM164" t="s">
        <v>2029</v>
      </c>
    </row>
    <row r="165" spans="1:39" ht="15" hidden="1" thickTop="1" x14ac:dyDescent="0.35">
      <c r="A165" t="s">
        <v>2737</v>
      </c>
      <c r="B165" t="s">
        <v>2735</v>
      </c>
      <c r="C165" t="s">
        <v>81</v>
      </c>
      <c r="D165" t="s">
        <v>2736</v>
      </c>
      <c r="E165" t="s">
        <v>559</v>
      </c>
      <c r="F165">
        <v>1</v>
      </c>
      <c r="G165" t="s">
        <v>2050</v>
      </c>
      <c r="H165" t="s">
        <v>2051</v>
      </c>
      <c r="I165" t="s">
        <v>53</v>
      </c>
      <c r="J165" t="s">
        <v>82</v>
      </c>
      <c r="K165" t="s">
        <v>68</v>
      </c>
      <c r="L165" t="s">
        <v>2052</v>
      </c>
      <c r="M165" t="s">
        <v>2053</v>
      </c>
      <c r="N165">
        <v>0</v>
      </c>
      <c r="O165">
        <v>0</v>
      </c>
      <c r="P165">
        <v>0</v>
      </c>
      <c r="Q165">
        <v>1440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255</v>
      </c>
      <c r="AH165" s="21" t="s">
        <v>3428</v>
      </c>
      <c r="AI165" s="21">
        <v>107.92500000000001</v>
      </c>
      <c r="AJ165" s="21">
        <v>100</v>
      </c>
      <c r="AK165" s="21" t="s">
        <v>2054</v>
      </c>
      <c r="AL165" t="s">
        <v>70</v>
      </c>
      <c r="AM165" t="s">
        <v>2029</v>
      </c>
    </row>
    <row r="166" spans="1:39" ht="15" hidden="1" thickTop="1" x14ac:dyDescent="0.35">
      <c r="A166" t="s">
        <v>2077</v>
      </c>
      <c r="B166" t="s">
        <v>2738</v>
      </c>
      <c r="C166" t="s">
        <v>92</v>
      </c>
      <c r="D166" t="s">
        <v>2739</v>
      </c>
      <c r="E166" t="s">
        <v>119</v>
      </c>
      <c r="F166">
        <v>1</v>
      </c>
      <c r="G166" t="s">
        <v>2050</v>
      </c>
      <c r="H166" t="s">
        <v>2051</v>
      </c>
      <c r="I166" t="s">
        <v>53</v>
      </c>
      <c r="J166" t="s">
        <v>67</v>
      </c>
      <c r="K166" t="s">
        <v>68</v>
      </c>
      <c r="L166" t="s">
        <v>2052</v>
      </c>
      <c r="M166" t="s">
        <v>2053</v>
      </c>
      <c r="N166">
        <v>0</v>
      </c>
      <c r="O166">
        <v>0</v>
      </c>
      <c r="P166">
        <v>0</v>
      </c>
      <c r="Q166">
        <v>1440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t="s">
        <v>256</v>
      </c>
      <c r="AH166" s="21" t="s">
        <v>3424</v>
      </c>
      <c r="AI166" s="21">
        <v>107.92500000000001</v>
      </c>
      <c r="AJ166" s="21">
        <v>100</v>
      </c>
      <c r="AK166" s="21" t="s">
        <v>2055</v>
      </c>
      <c r="AL166" t="s">
        <v>70</v>
      </c>
      <c r="AM166" t="s">
        <v>2030</v>
      </c>
    </row>
    <row r="167" spans="1:39" ht="15" hidden="1" thickTop="1" x14ac:dyDescent="0.35">
      <c r="A167" t="s">
        <v>2752</v>
      </c>
      <c r="B167" t="s">
        <v>2744</v>
      </c>
      <c r="C167" t="s">
        <v>66</v>
      </c>
      <c r="D167" t="s">
        <v>2745</v>
      </c>
      <c r="E167" t="s">
        <v>559</v>
      </c>
      <c r="F167">
        <v>1</v>
      </c>
      <c r="G167" t="s">
        <v>2050</v>
      </c>
      <c r="H167" t="s">
        <v>2051</v>
      </c>
      <c r="I167" t="s">
        <v>53</v>
      </c>
      <c r="J167" t="s">
        <v>67</v>
      </c>
      <c r="K167" t="s">
        <v>68</v>
      </c>
      <c r="L167" t="s">
        <v>2052</v>
      </c>
      <c r="M167" t="s">
        <v>2053</v>
      </c>
      <c r="N167">
        <v>0</v>
      </c>
      <c r="O167">
        <v>0</v>
      </c>
      <c r="P167">
        <v>0</v>
      </c>
      <c r="Q167">
        <v>1440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 t="s">
        <v>257</v>
      </c>
      <c r="AH167" s="21" t="s">
        <v>3424</v>
      </c>
      <c r="AI167" s="21">
        <v>107.92500000000001</v>
      </c>
      <c r="AJ167" s="21">
        <v>100</v>
      </c>
      <c r="AK167" s="21" t="s">
        <v>2055</v>
      </c>
      <c r="AL167" t="s">
        <v>70</v>
      </c>
      <c r="AM167" t="s">
        <v>2029</v>
      </c>
    </row>
    <row r="168" spans="1:39" ht="15" hidden="1" thickTop="1" x14ac:dyDescent="0.35">
      <c r="A168" t="s">
        <v>2753</v>
      </c>
      <c r="B168" t="s">
        <v>2746</v>
      </c>
      <c r="C168" t="s">
        <v>117</v>
      </c>
      <c r="D168" t="s">
        <v>2747</v>
      </c>
      <c r="E168" t="s">
        <v>559</v>
      </c>
      <c r="F168">
        <v>1</v>
      </c>
      <c r="G168" t="s">
        <v>2050</v>
      </c>
      <c r="H168" t="s">
        <v>2051</v>
      </c>
      <c r="I168" t="s">
        <v>53</v>
      </c>
      <c r="J168" t="s">
        <v>67</v>
      </c>
      <c r="K168" t="s">
        <v>68</v>
      </c>
      <c r="L168" t="s">
        <v>2052</v>
      </c>
      <c r="M168" t="s">
        <v>2053</v>
      </c>
      <c r="N168">
        <v>0</v>
      </c>
      <c r="O168">
        <v>0</v>
      </c>
      <c r="P168">
        <v>0</v>
      </c>
      <c r="Q168">
        <v>1440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t="s">
        <v>258</v>
      </c>
      <c r="AH168" s="21" t="s">
        <v>3424</v>
      </c>
      <c r="AI168" s="21">
        <v>107.92500000000001</v>
      </c>
      <c r="AJ168" s="21">
        <v>100</v>
      </c>
      <c r="AK168" s="21" t="s">
        <v>2054</v>
      </c>
      <c r="AL168" t="s">
        <v>70</v>
      </c>
      <c r="AM168" t="s">
        <v>2029</v>
      </c>
    </row>
    <row r="169" spans="1:39" ht="15" hidden="1" thickTop="1" x14ac:dyDescent="0.35">
      <c r="A169" t="s">
        <v>2754</v>
      </c>
      <c r="B169" t="s">
        <v>2748</v>
      </c>
      <c r="C169" t="s">
        <v>66</v>
      </c>
      <c r="D169" t="s">
        <v>2749</v>
      </c>
      <c r="E169" t="s">
        <v>559</v>
      </c>
      <c r="F169">
        <v>1</v>
      </c>
      <c r="G169" t="s">
        <v>2050</v>
      </c>
      <c r="H169" t="s">
        <v>2051</v>
      </c>
      <c r="I169" t="s">
        <v>53</v>
      </c>
      <c r="J169" t="s">
        <v>67</v>
      </c>
      <c r="K169" t="s">
        <v>68</v>
      </c>
      <c r="L169" t="s">
        <v>2052</v>
      </c>
      <c r="M169" t="s">
        <v>2053</v>
      </c>
      <c r="N169">
        <v>0</v>
      </c>
      <c r="O169">
        <v>0</v>
      </c>
      <c r="P169">
        <v>0</v>
      </c>
      <c r="Q169">
        <v>1440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t="s">
        <v>259</v>
      </c>
      <c r="AH169" s="21" t="s">
        <v>3427</v>
      </c>
      <c r="AI169" s="21">
        <v>107.92500000000001</v>
      </c>
      <c r="AJ169" s="21">
        <v>100</v>
      </c>
      <c r="AK169" s="21" t="s">
        <v>2054</v>
      </c>
      <c r="AL169" t="s">
        <v>70</v>
      </c>
      <c r="AM169" t="s">
        <v>2027</v>
      </c>
    </row>
    <row r="170" spans="1:39" ht="15" hidden="1" thickTop="1" x14ac:dyDescent="0.35">
      <c r="A170" t="s">
        <v>2756</v>
      </c>
      <c r="B170" t="s">
        <v>2750</v>
      </c>
      <c r="C170" t="s">
        <v>3376</v>
      </c>
      <c r="D170" t="s">
        <v>2751</v>
      </c>
      <c r="E170" t="s">
        <v>559</v>
      </c>
      <c r="F170">
        <v>1</v>
      </c>
      <c r="G170" t="s">
        <v>2050</v>
      </c>
      <c r="H170" t="s">
        <v>2051</v>
      </c>
      <c r="I170" t="s">
        <v>53</v>
      </c>
      <c r="J170" t="s">
        <v>67</v>
      </c>
      <c r="K170" t="s">
        <v>68</v>
      </c>
      <c r="L170" t="s">
        <v>2052</v>
      </c>
      <c r="M170" t="s">
        <v>2053</v>
      </c>
      <c r="N170">
        <v>0</v>
      </c>
      <c r="O170">
        <v>0</v>
      </c>
      <c r="P170">
        <v>0</v>
      </c>
      <c r="Q170">
        <v>1440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260</v>
      </c>
      <c r="AH170" s="21" t="s">
        <v>3424</v>
      </c>
      <c r="AI170" s="21">
        <v>107.92500000000001</v>
      </c>
      <c r="AJ170" s="21">
        <v>100</v>
      </c>
      <c r="AK170" s="21" t="s">
        <v>2054</v>
      </c>
      <c r="AL170" t="s">
        <v>70</v>
      </c>
      <c r="AM170" t="s">
        <v>2031</v>
      </c>
    </row>
    <row r="171" spans="1:39" ht="15" hidden="1" thickTop="1" x14ac:dyDescent="0.35">
      <c r="A171" t="s">
        <v>2764</v>
      </c>
      <c r="B171" t="s">
        <v>2758</v>
      </c>
      <c r="C171" t="s">
        <v>102</v>
      </c>
      <c r="D171" t="s">
        <v>2759</v>
      </c>
      <c r="E171" t="s">
        <v>559</v>
      </c>
      <c r="F171">
        <v>1</v>
      </c>
      <c r="G171" t="s">
        <v>2050</v>
      </c>
      <c r="H171" t="s">
        <v>2051</v>
      </c>
      <c r="I171" t="s">
        <v>53</v>
      </c>
      <c r="J171" t="s">
        <v>67</v>
      </c>
      <c r="K171" t="s">
        <v>68</v>
      </c>
      <c r="L171" t="s">
        <v>2052</v>
      </c>
      <c r="M171" t="s">
        <v>2053</v>
      </c>
      <c r="N171">
        <v>0</v>
      </c>
      <c r="O171">
        <v>0</v>
      </c>
      <c r="P171">
        <v>0</v>
      </c>
      <c r="Q171">
        <v>1440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261</v>
      </c>
      <c r="AH171" s="21" t="s">
        <v>3425</v>
      </c>
      <c r="AI171" s="21">
        <v>107.92500000000001</v>
      </c>
      <c r="AJ171" s="21">
        <v>100</v>
      </c>
      <c r="AK171" s="21" t="s">
        <v>2055</v>
      </c>
      <c r="AL171" t="s">
        <v>70</v>
      </c>
      <c r="AM171" t="s">
        <v>2030</v>
      </c>
    </row>
    <row r="172" spans="1:39" ht="15" hidden="1" thickTop="1" x14ac:dyDescent="0.35">
      <c r="A172" t="s">
        <v>2765</v>
      </c>
      <c r="B172" t="s">
        <v>2761</v>
      </c>
      <c r="C172" t="s">
        <v>111</v>
      </c>
      <c r="D172" t="s">
        <v>2762</v>
      </c>
      <c r="E172" t="s">
        <v>112</v>
      </c>
      <c r="F172">
        <v>1</v>
      </c>
      <c r="G172" t="s">
        <v>2050</v>
      </c>
      <c r="H172" t="s">
        <v>2051</v>
      </c>
      <c r="I172" t="s">
        <v>53</v>
      </c>
      <c r="J172" t="s">
        <v>113</v>
      </c>
      <c r="K172" t="s">
        <v>68</v>
      </c>
      <c r="L172" t="s">
        <v>2052</v>
      </c>
      <c r="M172" t="s">
        <v>2053</v>
      </c>
      <c r="N172">
        <v>0</v>
      </c>
      <c r="O172">
        <v>0</v>
      </c>
      <c r="P172">
        <v>0</v>
      </c>
      <c r="Q172">
        <v>1440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262</v>
      </c>
      <c r="AH172" s="21" t="s">
        <v>3425</v>
      </c>
      <c r="AI172" s="21">
        <v>107.92500000000001</v>
      </c>
      <c r="AJ172" s="21">
        <v>100</v>
      </c>
      <c r="AK172" s="21" t="s">
        <v>2054</v>
      </c>
      <c r="AL172" t="s">
        <v>115</v>
      </c>
      <c r="AM172" t="s">
        <v>2027</v>
      </c>
    </row>
    <row r="173" spans="1:39" ht="15" hidden="1" thickTop="1" x14ac:dyDescent="0.35">
      <c r="A173" t="s">
        <v>2773</v>
      </c>
      <c r="B173" t="s">
        <v>2769</v>
      </c>
      <c r="C173" t="s">
        <v>102</v>
      </c>
      <c r="D173" t="s">
        <v>2770</v>
      </c>
      <c r="E173" t="s">
        <v>559</v>
      </c>
      <c r="F173">
        <v>1</v>
      </c>
      <c r="G173" t="s">
        <v>2050</v>
      </c>
      <c r="H173" t="s">
        <v>2051</v>
      </c>
      <c r="I173" t="s">
        <v>53</v>
      </c>
      <c r="J173" t="s">
        <v>67</v>
      </c>
      <c r="K173" t="s">
        <v>68</v>
      </c>
      <c r="L173" t="s">
        <v>2052</v>
      </c>
      <c r="M173" t="s">
        <v>2053</v>
      </c>
      <c r="N173">
        <v>0</v>
      </c>
      <c r="O173">
        <v>0</v>
      </c>
      <c r="P173">
        <v>0</v>
      </c>
      <c r="Q173">
        <v>1440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263</v>
      </c>
      <c r="AH173" s="21" t="s">
        <v>3425</v>
      </c>
      <c r="AI173" s="21">
        <v>107.92500000000001</v>
      </c>
      <c r="AJ173" s="21">
        <v>100</v>
      </c>
      <c r="AK173" s="21" t="s">
        <v>2054</v>
      </c>
      <c r="AL173" t="s">
        <v>70</v>
      </c>
      <c r="AM173" t="s">
        <v>2029</v>
      </c>
    </row>
    <row r="174" spans="1:39" ht="15" hidden="1" thickTop="1" x14ac:dyDescent="0.35">
      <c r="A174" t="s">
        <v>2774</v>
      </c>
      <c r="B174" t="s">
        <v>2771</v>
      </c>
      <c r="C174" t="s">
        <v>565</v>
      </c>
      <c r="D174" t="s">
        <v>2772</v>
      </c>
      <c r="E174" t="s">
        <v>559</v>
      </c>
      <c r="F174">
        <v>2</v>
      </c>
      <c r="G174" t="s">
        <v>2050</v>
      </c>
      <c r="H174" t="s">
        <v>2051</v>
      </c>
      <c r="I174" t="s">
        <v>53</v>
      </c>
      <c r="J174" t="s">
        <v>427</v>
      </c>
      <c r="K174" t="s">
        <v>68</v>
      </c>
      <c r="L174" t="s">
        <v>2052</v>
      </c>
      <c r="M174" t="s">
        <v>2053</v>
      </c>
      <c r="N174">
        <v>0</v>
      </c>
      <c r="O174">
        <v>0</v>
      </c>
      <c r="P174">
        <v>0</v>
      </c>
      <c r="Q174">
        <v>1440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 t="s">
        <v>264</v>
      </c>
      <c r="AH174" s="21" t="s">
        <v>3427</v>
      </c>
      <c r="AI174" s="21">
        <v>107.92500000000001</v>
      </c>
      <c r="AJ174" s="21">
        <v>100</v>
      </c>
      <c r="AK174" s="21" t="s">
        <v>2054</v>
      </c>
      <c r="AL174" t="s">
        <v>70</v>
      </c>
      <c r="AM174" t="s">
        <v>2029</v>
      </c>
    </row>
    <row r="175" spans="1:39" ht="15" hidden="1" thickTop="1" x14ac:dyDescent="0.35">
      <c r="A175" t="s">
        <v>2527</v>
      </c>
      <c r="B175" t="s">
        <v>2778</v>
      </c>
      <c r="C175" t="s">
        <v>66</v>
      </c>
      <c r="D175" t="s">
        <v>2779</v>
      </c>
      <c r="E175" t="s">
        <v>119</v>
      </c>
      <c r="F175">
        <v>1</v>
      </c>
      <c r="G175" t="s">
        <v>2050</v>
      </c>
      <c r="H175" t="s">
        <v>2051</v>
      </c>
      <c r="I175" t="s">
        <v>53</v>
      </c>
      <c r="J175" t="s">
        <v>67</v>
      </c>
      <c r="K175" t="s">
        <v>68</v>
      </c>
      <c r="L175" t="s">
        <v>2052</v>
      </c>
      <c r="M175" t="s">
        <v>2063</v>
      </c>
      <c r="N175">
        <v>0</v>
      </c>
      <c r="O175">
        <v>0</v>
      </c>
      <c r="P175">
        <v>0</v>
      </c>
      <c r="Q175">
        <v>1020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265</v>
      </c>
      <c r="AH175" s="21" t="s">
        <v>3425</v>
      </c>
      <c r="AI175" s="21">
        <v>76.500000000000014</v>
      </c>
      <c r="AJ175" s="21">
        <v>100</v>
      </c>
      <c r="AK175" s="21" t="s">
        <v>2054</v>
      </c>
      <c r="AL175" t="s">
        <v>70</v>
      </c>
      <c r="AM175" t="s">
        <v>2028</v>
      </c>
    </row>
    <row r="176" spans="1:39" ht="15" hidden="1" thickTop="1" x14ac:dyDescent="0.35">
      <c r="A176" t="s">
        <v>2785</v>
      </c>
      <c r="B176" t="s">
        <v>2783</v>
      </c>
      <c r="C176" t="s">
        <v>78</v>
      </c>
      <c r="D176" t="s">
        <v>2784</v>
      </c>
      <c r="E176" t="s">
        <v>559</v>
      </c>
      <c r="F176">
        <v>1</v>
      </c>
      <c r="G176" t="s">
        <v>2050</v>
      </c>
      <c r="H176" t="s">
        <v>2051</v>
      </c>
      <c r="I176" t="s">
        <v>53</v>
      </c>
      <c r="J176" t="s">
        <v>67</v>
      </c>
      <c r="K176" t="s">
        <v>68</v>
      </c>
      <c r="L176" t="s">
        <v>2052</v>
      </c>
      <c r="M176" t="s">
        <v>2063</v>
      </c>
      <c r="N176">
        <v>0</v>
      </c>
      <c r="O176">
        <v>0</v>
      </c>
      <c r="P176">
        <v>0</v>
      </c>
      <c r="Q176">
        <v>1020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266</v>
      </c>
      <c r="AH176" s="21" t="s">
        <v>3425</v>
      </c>
      <c r="AI176" s="21">
        <v>76.500000000000014</v>
      </c>
      <c r="AJ176" s="21">
        <v>100</v>
      </c>
      <c r="AK176" s="21" t="s">
        <v>2055</v>
      </c>
      <c r="AL176" t="s">
        <v>70</v>
      </c>
      <c r="AM176" t="s">
        <v>2031</v>
      </c>
    </row>
    <row r="177" spans="1:39" ht="15" hidden="1" thickTop="1" x14ac:dyDescent="0.35">
      <c r="A177" t="s">
        <v>2791</v>
      </c>
      <c r="B177" t="s">
        <v>2787</v>
      </c>
      <c r="C177" t="s">
        <v>100</v>
      </c>
      <c r="D177" t="s">
        <v>2788</v>
      </c>
      <c r="E177" t="s">
        <v>559</v>
      </c>
      <c r="F177">
        <v>1</v>
      </c>
      <c r="G177" t="s">
        <v>2050</v>
      </c>
      <c r="H177" t="s">
        <v>2051</v>
      </c>
      <c r="I177" t="s">
        <v>53</v>
      </c>
      <c r="J177" t="s">
        <v>67</v>
      </c>
      <c r="K177" t="s">
        <v>68</v>
      </c>
      <c r="L177" t="s">
        <v>2052</v>
      </c>
      <c r="M177" t="s">
        <v>2083</v>
      </c>
      <c r="N177">
        <v>0</v>
      </c>
      <c r="O177">
        <v>0</v>
      </c>
      <c r="P177">
        <v>0</v>
      </c>
      <c r="Q177">
        <v>960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268</v>
      </c>
      <c r="AH177" s="21" t="s">
        <v>3427</v>
      </c>
      <c r="AI177" s="21">
        <v>72.000000000000014</v>
      </c>
      <c r="AJ177" s="21">
        <v>100</v>
      </c>
      <c r="AK177" s="21" t="s">
        <v>2054</v>
      </c>
      <c r="AL177" t="s">
        <v>70</v>
      </c>
      <c r="AM177" t="s">
        <v>2029</v>
      </c>
    </row>
    <row r="178" spans="1:39" ht="15" hidden="1" thickTop="1" x14ac:dyDescent="0.35">
      <c r="A178" t="s">
        <v>2796</v>
      </c>
      <c r="B178" t="s">
        <v>2794</v>
      </c>
      <c r="C178" t="s">
        <v>820</v>
      </c>
      <c r="D178" t="s">
        <v>2795</v>
      </c>
      <c r="E178" t="s">
        <v>72</v>
      </c>
      <c r="F178">
        <v>1</v>
      </c>
      <c r="G178" t="s">
        <v>2050</v>
      </c>
      <c r="H178" t="s">
        <v>2051</v>
      </c>
      <c r="I178" t="s">
        <v>53</v>
      </c>
      <c r="J178" t="s">
        <v>424</v>
      </c>
      <c r="K178" t="s">
        <v>68</v>
      </c>
      <c r="L178" t="s">
        <v>2052</v>
      </c>
      <c r="M178" t="s">
        <v>2053</v>
      </c>
      <c r="N178">
        <v>0</v>
      </c>
      <c r="O178">
        <v>0</v>
      </c>
      <c r="P178">
        <v>0</v>
      </c>
      <c r="Q178">
        <v>1440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 t="s">
        <v>269</v>
      </c>
      <c r="AH178" s="21" t="s">
        <v>3428</v>
      </c>
      <c r="AI178" s="21">
        <v>107.92500000000001</v>
      </c>
      <c r="AJ178" s="21">
        <v>100</v>
      </c>
      <c r="AK178" s="21" t="s">
        <v>2054</v>
      </c>
      <c r="AL178" t="s">
        <v>75</v>
      </c>
      <c r="AM178" t="s">
        <v>2027</v>
      </c>
    </row>
    <row r="179" spans="1:39" ht="15" hidden="1" thickTop="1" x14ac:dyDescent="0.35">
      <c r="A179" t="s">
        <v>2802</v>
      </c>
      <c r="B179" t="s">
        <v>2800</v>
      </c>
      <c r="C179" t="s">
        <v>102</v>
      </c>
      <c r="D179" t="s">
        <v>2801</v>
      </c>
      <c r="E179" t="s">
        <v>559</v>
      </c>
      <c r="F179">
        <v>1</v>
      </c>
      <c r="G179" t="s">
        <v>2050</v>
      </c>
      <c r="H179" t="s">
        <v>2051</v>
      </c>
      <c r="I179" t="s">
        <v>53</v>
      </c>
      <c r="J179" t="s">
        <v>67</v>
      </c>
      <c r="K179" t="s">
        <v>68</v>
      </c>
      <c r="L179" t="s">
        <v>2052</v>
      </c>
      <c r="M179" t="s">
        <v>2053</v>
      </c>
      <c r="N179">
        <v>0</v>
      </c>
      <c r="O179">
        <v>0</v>
      </c>
      <c r="P179">
        <v>0</v>
      </c>
      <c r="Q179">
        <v>1440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270</v>
      </c>
      <c r="AH179" s="21" t="s">
        <v>3425</v>
      </c>
      <c r="AI179" s="21">
        <v>107.92500000000001</v>
      </c>
      <c r="AJ179" s="21">
        <v>100</v>
      </c>
      <c r="AK179" s="21" t="s">
        <v>2054</v>
      </c>
      <c r="AL179" t="s">
        <v>70</v>
      </c>
      <c r="AM179" t="s">
        <v>2030</v>
      </c>
    </row>
    <row r="180" spans="1:39" ht="15" hidden="1" thickTop="1" x14ac:dyDescent="0.35">
      <c r="A180" t="s">
        <v>2808</v>
      </c>
      <c r="B180" t="s">
        <v>2805</v>
      </c>
      <c r="C180" t="s">
        <v>92</v>
      </c>
      <c r="D180" t="s">
        <v>2806</v>
      </c>
      <c r="E180" t="s">
        <v>559</v>
      </c>
      <c r="F180">
        <v>1</v>
      </c>
      <c r="G180" t="s">
        <v>2050</v>
      </c>
      <c r="H180" t="s">
        <v>2051</v>
      </c>
      <c r="I180" t="s">
        <v>53</v>
      </c>
      <c r="J180" t="s">
        <v>67</v>
      </c>
      <c r="K180" t="s">
        <v>68</v>
      </c>
      <c r="L180" t="s">
        <v>2052</v>
      </c>
      <c r="M180" t="s">
        <v>2053</v>
      </c>
      <c r="N180">
        <v>0</v>
      </c>
      <c r="O180">
        <v>0</v>
      </c>
      <c r="P180">
        <v>0</v>
      </c>
      <c r="Q180">
        <v>1440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271</v>
      </c>
      <c r="AH180" s="21" t="s">
        <v>3425</v>
      </c>
      <c r="AI180" s="21">
        <v>107.92500000000001</v>
      </c>
      <c r="AJ180" s="21">
        <v>100</v>
      </c>
      <c r="AK180" s="21" t="s">
        <v>2054</v>
      </c>
      <c r="AL180" t="s">
        <v>70</v>
      </c>
      <c r="AM180" t="s">
        <v>2029</v>
      </c>
    </row>
    <row r="181" spans="1:39" ht="15" hidden="1" thickTop="1" x14ac:dyDescent="0.35">
      <c r="A181" t="s">
        <v>2816</v>
      </c>
      <c r="B181" t="s">
        <v>2812</v>
      </c>
      <c r="C181" t="s">
        <v>111</v>
      </c>
      <c r="D181" t="s">
        <v>2813</v>
      </c>
      <c r="E181" t="s">
        <v>112</v>
      </c>
      <c r="F181">
        <v>1</v>
      </c>
      <c r="G181" t="s">
        <v>2050</v>
      </c>
      <c r="H181" t="s">
        <v>2051</v>
      </c>
      <c r="I181" t="s">
        <v>53</v>
      </c>
      <c r="J181" t="s">
        <v>113</v>
      </c>
      <c r="K181" t="s">
        <v>68</v>
      </c>
      <c r="L181" t="s">
        <v>2052</v>
      </c>
      <c r="M181" t="s">
        <v>2053</v>
      </c>
      <c r="N181">
        <v>0</v>
      </c>
      <c r="O181">
        <v>0</v>
      </c>
      <c r="P181">
        <v>0</v>
      </c>
      <c r="Q181">
        <v>1440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 t="s">
        <v>273</v>
      </c>
      <c r="AH181" s="21" t="s">
        <v>3424</v>
      </c>
      <c r="AI181" s="21">
        <v>107.92500000000001</v>
      </c>
      <c r="AJ181" s="21">
        <v>100</v>
      </c>
      <c r="AK181" s="21" t="s">
        <v>2054</v>
      </c>
      <c r="AL181" t="s">
        <v>115</v>
      </c>
      <c r="AM181" t="s">
        <v>2029</v>
      </c>
    </row>
    <row r="182" spans="1:39" ht="15" hidden="1" thickTop="1" x14ac:dyDescent="0.35">
      <c r="A182" t="s">
        <v>2821</v>
      </c>
      <c r="B182" t="s">
        <v>2814</v>
      </c>
      <c r="C182" t="s">
        <v>102</v>
      </c>
      <c r="D182" t="s">
        <v>2815</v>
      </c>
      <c r="E182" t="s">
        <v>559</v>
      </c>
      <c r="F182">
        <v>1</v>
      </c>
      <c r="G182" t="s">
        <v>2050</v>
      </c>
      <c r="H182" t="s">
        <v>2051</v>
      </c>
      <c r="I182" t="s">
        <v>53</v>
      </c>
      <c r="J182" t="s">
        <v>67</v>
      </c>
      <c r="K182" t="s">
        <v>68</v>
      </c>
      <c r="L182" t="s">
        <v>2052</v>
      </c>
      <c r="M182" t="s">
        <v>2064</v>
      </c>
      <c r="N182">
        <v>0</v>
      </c>
      <c r="O182">
        <v>0</v>
      </c>
      <c r="P182">
        <v>0</v>
      </c>
      <c r="Q182">
        <v>900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274</v>
      </c>
      <c r="AH182" s="21" t="s">
        <v>3429</v>
      </c>
      <c r="AI182" s="21">
        <v>67.5</v>
      </c>
      <c r="AJ182" s="21">
        <v>100</v>
      </c>
      <c r="AK182" s="21" t="s">
        <v>2054</v>
      </c>
      <c r="AL182" t="s">
        <v>70</v>
      </c>
      <c r="AM182" t="s">
        <v>2027</v>
      </c>
    </row>
    <row r="183" spans="1:39" ht="15" hidden="1" thickTop="1" x14ac:dyDescent="0.35">
      <c r="A183" t="s">
        <v>2822</v>
      </c>
      <c r="B183" t="s">
        <v>2817</v>
      </c>
      <c r="C183" t="s">
        <v>820</v>
      </c>
      <c r="D183" t="s">
        <v>2818</v>
      </c>
      <c r="E183" t="s">
        <v>72</v>
      </c>
      <c r="F183">
        <v>1</v>
      </c>
      <c r="G183" t="s">
        <v>2050</v>
      </c>
      <c r="H183" t="s">
        <v>2051</v>
      </c>
      <c r="I183" t="s">
        <v>53</v>
      </c>
      <c r="J183" t="s">
        <v>424</v>
      </c>
      <c r="K183" t="s">
        <v>68</v>
      </c>
      <c r="L183" t="s">
        <v>2052</v>
      </c>
      <c r="M183" t="s">
        <v>2064</v>
      </c>
      <c r="N183">
        <v>0</v>
      </c>
      <c r="O183">
        <v>0</v>
      </c>
      <c r="P183">
        <v>0</v>
      </c>
      <c r="Q183">
        <v>900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275</v>
      </c>
      <c r="AH183" s="21" t="s">
        <v>3425</v>
      </c>
      <c r="AI183" s="21">
        <v>67.5</v>
      </c>
      <c r="AJ183" s="21">
        <v>100</v>
      </c>
      <c r="AK183" s="21" t="s">
        <v>2054</v>
      </c>
      <c r="AL183" t="s">
        <v>75</v>
      </c>
      <c r="AM183" t="s">
        <v>2029</v>
      </c>
    </row>
    <row r="184" spans="1:39" ht="15" hidden="1" thickTop="1" x14ac:dyDescent="0.35">
      <c r="A184" t="s">
        <v>2827</v>
      </c>
      <c r="B184" t="s">
        <v>2825</v>
      </c>
      <c r="C184" t="s">
        <v>92</v>
      </c>
      <c r="D184" t="s">
        <v>2826</v>
      </c>
      <c r="E184" t="s">
        <v>119</v>
      </c>
      <c r="F184">
        <v>1</v>
      </c>
      <c r="G184" t="s">
        <v>2050</v>
      </c>
      <c r="H184" t="s">
        <v>2051</v>
      </c>
      <c r="I184" t="s">
        <v>53</v>
      </c>
      <c r="J184" t="s">
        <v>67</v>
      </c>
      <c r="K184" t="s">
        <v>68</v>
      </c>
      <c r="L184" t="s">
        <v>2052</v>
      </c>
      <c r="M184" t="s">
        <v>2053</v>
      </c>
      <c r="N184">
        <v>0</v>
      </c>
      <c r="O184">
        <v>0</v>
      </c>
      <c r="P184">
        <v>0</v>
      </c>
      <c r="Q184">
        <v>1440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 t="s">
        <v>276</v>
      </c>
      <c r="AH184" s="21" t="s">
        <v>3425</v>
      </c>
      <c r="AI184" s="21">
        <v>107.92500000000001</v>
      </c>
      <c r="AJ184" s="21">
        <v>100</v>
      </c>
      <c r="AK184" s="21" t="s">
        <v>2054</v>
      </c>
      <c r="AL184" t="s">
        <v>70</v>
      </c>
      <c r="AM184" t="s">
        <v>2028</v>
      </c>
    </row>
    <row r="185" spans="1:39" ht="15" hidden="1" thickTop="1" x14ac:dyDescent="0.35">
      <c r="A185" t="s">
        <v>2832</v>
      </c>
      <c r="B185" t="s">
        <v>2828</v>
      </c>
      <c r="C185" t="s">
        <v>78</v>
      </c>
      <c r="D185" t="s">
        <v>2829</v>
      </c>
      <c r="E185" t="s">
        <v>559</v>
      </c>
      <c r="F185">
        <v>2</v>
      </c>
      <c r="G185" t="s">
        <v>2050</v>
      </c>
      <c r="H185" t="s">
        <v>2051</v>
      </c>
      <c r="I185" t="s">
        <v>53</v>
      </c>
      <c r="J185" t="s">
        <v>67</v>
      </c>
      <c r="K185" t="s">
        <v>68</v>
      </c>
      <c r="L185" t="s">
        <v>2052</v>
      </c>
      <c r="M185" t="s">
        <v>2053</v>
      </c>
      <c r="N185">
        <v>0</v>
      </c>
      <c r="O185">
        <v>0</v>
      </c>
      <c r="P185">
        <v>0</v>
      </c>
      <c r="Q185">
        <v>1440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t="s">
        <v>277</v>
      </c>
      <c r="AH185" s="21" t="s">
        <v>3424</v>
      </c>
      <c r="AI185" s="21">
        <v>107.92500000000001</v>
      </c>
      <c r="AJ185" s="21">
        <v>100</v>
      </c>
      <c r="AK185" s="21" t="s">
        <v>2054</v>
      </c>
      <c r="AL185" t="s">
        <v>70</v>
      </c>
      <c r="AM185" t="s">
        <v>2027</v>
      </c>
    </row>
    <row r="186" spans="1:39" ht="15" hidden="1" thickTop="1" x14ac:dyDescent="0.35">
      <c r="A186" t="s">
        <v>2842</v>
      </c>
      <c r="B186" t="s">
        <v>2836</v>
      </c>
      <c r="C186" t="s">
        <v>117</v>
      </c>
      <c r="D186" t="s">
        <v>2837</v>
      </c>
      <c r="E186" t="s">
        <v>559</v>
      </c>
      <c r="F186">
        <v>1</v>
      </c>
      <c r="G186" t="s">
        <v>2050</v>
      </c>
      <c r="H186" t="s">
        <v>2051</v>
      </c>
      <c r="I186" t="s">
        <v>53</v>
      </c>
      <c r="J186" t="s">
        <v>67</v>
      </c>
      <c r="K186" t="s">
        <v>68</v>
      </c>
      <c r="L186" t="s">
        <v>2052</v>
      </c>
      <c r="M186" t="s">
        <v>2053</v>
      </c>
      <c r="N186">
        <v>0</v>
      </c>
      <c r="O186">
        <v>0</v>
      </c>
      <c r="P186">
        <v>0</v>
      </c>
      <c r="Q186">
        <v>1440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278</v>
      </c>
      <c r="AH186" s="21" t="s">
        <v>3425</v>
      </c>
      <c r="AI186" s="21">
        <v>107.92500000000001</v>
      </c>
      <c r="AJ186" s="21">
        <v>100</v>
      </c>
      <c r="AK186" s="21" t="s">
        <v>2054</v>
      </c>
      <c r="AL186" t="s">
        <v>70</v>
      </c>
      <c r="AM186" t="s">
        <v>2027</v>
      </c>
    </row>
    <row r="187" spans="1:39" ht="15" hidden="1" thickTop="1" x14ac:dyDescent="0.35">
      <c r="A187" t="s">
        <v>2843</v>
      </c>
      <c r="B187" t="s">
        <v>2838</v>
      </c>
      <c r="C187" t="s">
        <v>92</v>
      </c>
      <c r="D187" t="s">
        <v>2839</v>
      </c>
      <c r="E187" t="s">
        <v>119</v>
      </c>
      <c r="F187">
        <v>1</v>
      </c>
      <c r="G187" t="s">
        <v>2050</v>
      </c>
      <c r="H187" t="s">
        <v>2051</v>
      </c>
      <c r="I187" t="s">
        <v>53</v>
      </c>
      <c r="J187" t="s">
        <v>67</v>
      </c>
      <c r="K187" t="s">
        <v>68</v>
      </c>
      <c r="L187" t="s">
        <v>2052</v>
      </c>
      <c r="M187" t="s">
        <v>2053</v>
      </c>
      <c r="N187">
        <v>0</v>
      </c>
      <c r="O187">
        <v>0</v>
      </c>
      <c r="P187">
        <v>0</v>
      </c>
      <c r="Q187">
        <v>1440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279</v>
      </c>
      <c r="AH187" s="21" t="s">
        <v>3425</v>
      </c>
      <c r="AI187" s="21">
        <v>107.92500000000001</v>
      </c>
      <c r="AJ187" s="21">
        <v>100</v>
      </c>
      <c r="AK187" s="21" t="s">
        <v>2054</v>
      </c>
      <c r="AL187" t="s">
        <v>70</v>
      </c>
      <c r="AM187" t="s">
        <v>2029</v>
      </c>
    </row>
    <row r="188" spans="1:39" ht="15" hidden="1" thickTop="1" x14ac:dyDescent="0.35">
      <c r="A188" t="s">
        <v>2845</v>
      </c>
      <c r="B188" t="s">
        <v>2840</v>
      </c>
      <c r="C188" t="s">
        <v>92</v>
      </c>
      <c r="D188" t="s">
        <v>2841</v>
      </c>
      <c r="E188" t="s">
        <v>119</v>
      </c>
      <c r="F188">
        <v>1</v>
      </c>
      <c r="G188" t="s">
        <v>2050</v>
      </c>
      <c r="H188" t="s">
        <v>2051</v>
      </c>
      <c r="I188" t="s">
        <v>53</v>
      </c>
      <c r="J188" t="s">
        <v>67</v>
      </c>
      <c r="K188" t="s">
        <v>68</v>
      </c>
      <c r="L188" t="s">
        <v>2052</v>
      </c>
      <c r="M188" t="s">
        <v>2053</v>
      </c>
      <c r="N188">
        <v>0</v>
      </c>
      <c r="O188">
        <v>0</v>
      </c>
      <c r="P188">
        <v>0</v>
      </c>
      <c r="Q188">
        <v>1440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t="s">
        <v>280</v>
      </c>
      <c r="AH188" s="21" t="s">
        <v>3425</v>
      </c>
      <c r="AI188" s="21">
        <v>107.92500000000001</v>
      </c>
      <c r="AJ188" s="21">
        <v>100</v>
      </c>
      <c r="AK188" s="21" t="s">
        <v>2054</v>
      </c>
      <c r="AL188" t="s">
        <v>70</v>
      </c>
      <c r="AM188" t="s">
        <v>2029</v>
      </c>
    </row>
    <row r="189" spans="1:39" ht="15" hidden="1" thickTop="1" x14ac:dyDescent="0.35">
      <c r="A189" t="s">
        <v>283</v>
      </c>
      <c r="B189" t="s">
        <v>2849</v>
      </c>
      <c r="C189" t="s">
        <v>100</v>
      </c>
      <c r="D189" t="s">
        <v>2850</v>
      </c>
      <c r="E189" t="s">
        <v>559</v>
      </c>
      <c r="F189">
        <v>1</v>
      </c>
      <c r="G189" t="s">
        <v>2050</v>
      </c>
      <c r="H189" t="s">
        <v>2051</v>
      </c>
      <c r="I189" t="s">
        <v>53</v>
      </c>
      <c r="J189" t="s">
        <v>67</v>
      </c>
      <c r="K189" t="s">
        <v>68</v>
      </c>
      <c r="L189" t="s">
        <v>2052</v>
      </c>
      <c r="M189" t="s">
        <v>2053</v>
      </c>
      <c r="N189">
        <v>0</v>
      </c>
      <c r="O189">
        <v>0</v>
      </c>
      <c r="P189">
        <v>0</v>
      </c>
      <c r="Q189">
        <v>1440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281</v>
      </c>
      <c r="AH189" s="21" t="s">
        <v>3425</v>
      </c>
      <c r="AI189" s="21">
        <v>107.92500000000001</v>
      </c>
      <c r="AJ189" s="21">
        <v>100</v>
      </c>
      <c r="AK189" s="21" t="s">
        <v>2054</v>
      </c>
      <c r="AL189" t="s">
        <v>70</v>
      </c>
      <c r="AM189" t="s">
        <v>2029</v>
      </c>
    </row>
    <row r="190" spans="1:39" ht="15" hidden="1" thickTop="1" x14ac:dyDescent="0.35">
      <c r="A190" t="s">
        <v>2853</v>
      </c>
      <c r="B190" t="s">
        <v>2851</v>
      </c>
      <c r="C190" t="s">
        <v>71</v>
      </c>
      <c r="D190" t="s">
        <v>2852</v>
      </c>
      <c r="E190" t="s">
        <v>72</v>
      </c>
      <c r="F190">
        <v>1</v>
      </c>
      <c r="G190" t="s">
        <v>2050</v>
      </c>
      <c r="H190" t="s">
        <v>2051</v>
      </c>
      <c r="I190" t="s">
        <v>53</v>
      </c>
      <c r="J190" t="s">
        <v>73</v>
      </c>
      <c r="K190" t="s">
        <v>68</v>
      </c>
      <c r="L190" t="s">
        <v>2052</v>
      </c>
      <c r="M190" t="s">
        <v>2053</v>
      </c>
      <c r="N190">
        <v>0</v>
      </c>
      <c r="O190">
        <v>0</v>
      </c>
      <c r="P190">
        <v>0</v>
      </c>
      <c r="Q190">
        <v>1440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284</v>
      </c>
      <c r="AH190" s="21" t="s">
        <v>3428</v>
      </c>
      <c r="AI190" s="21">
        <v>107.92500000000001</v>
      </c>
      <c r="AJ190" s="21">
        <v>100</v>
      </c>
      <c r="AK190" s="21" t="s">
        <v>2054</v>
      </c>
      <c r="AL190" t="s">
        <v>75</v>
      </c>
      <c r="AM190" t="s">
        <v>2029</v>
      </c>
    </row>
    <row r="191" spans="1:39" ht="15" hidden="1" thickTop="1" x14ac:dyDescent="0.35">
      <c r="A191" t="s">
        <v>2859</v>
      </c>
      <c r="B191" t="s">
        <v>2857</v>
      </c>
      <c r="C191" t="s">
        <v>100</v>
      </c>
      <c r="D191" t="s">
        <v>2858</v>
      </c>
      <c r="E191" t="s">
        <v>559</v>
      </c>
      <c r="F191">
        <v>1</v>
      </c>
      <c r="G191" t="s">
        <v>2050</v>
      </c>
      <c r="H191" t="s">
        <v>2051</v>
      </c>
      <c r="I191" t="s">
        <v>53</v>
      </c>
      <c r="J191" t="s">
        <v>67</v>
      </c>
      <c r="K191" t="s">
        <v>68</v>
      </c>
      <c r="L191" t="s">
        <v>2052</v>
      </c>
      <c r="M191" t="s">
        <v>2053</v>
      </c>
      <c r="N191">
        <v>0</v>
      </c>
      <c r="O191">
        <v>0</v>
      </c>
      <c r="P191">
        <v>0</v>
      </c>
      <c r="Q191">
        <v>1440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289</v>
      </c>
      <c r="AH191" s="21" t="s">
        <v>3424</v>
      </c>
      <c r="AI191" s="21">
        <v>107.92500000000001</v>
      </c>
      <c r="AJ191" s="21">
        <v>100</v>
      </c>
      <c r="AK191" s="21" t="s">
        <v>2054</v>
      </c>
      <c r="AL191" t="s">
        <v>70</v>
      </c>
      <c r="AM191" t="s">
        <v>2028</v>
      </c>
    </row>
    <row r="192" spans="1:39" ht="15" hidden="1" thickTop="1" x14ac:dyDescent="0.35">
      <c r="A192" t="s">
        <v>2864</v>
      </c>
      <c r="B192" t="s">
        <v>2862</v>
      </c>
      <c r="C192" t="s">
        <v>81</v>
      </c>
      <c r="D192" t="s">
        <v>2863</v>
      </c>
      <c r="E192" t="s">
        <v>559</v>
      </c>
      <c r="F192">
        <v>1</v>
      </c>
      <c r="G192" t="s">
        <v>2050</v>
      </c>
      <c r="H192" t="s">
        <v>2051</v>
      </c>
      <c r="I192" t="s">
        <v>53</v>
      </c>
      <c r="J192" t="s">
        <v>82</v>
      </c>
      <c r="K192" t="s">
        <v>68</v>
      </c>
      <c r="L192" t="s">
        <v>2052</v>
      </c>
      <c r="M192" t="s">
        <v>2053</v>
      </c>
      <c r="N192">
        <v>0</v>
      </c>
      <c r="O192">
        <v>0</v>
      </c>
      <c r="P192">
        <v>0</v>
      </c>
      <c r="Q192">
        <v>1440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290</v>
      </c>
      <c r="AH192" s="21" t="s">
        <v>3424</v>
      </c>
      <c r="AI192" s="21">
        <v>107.92500000000001</v>
      </c>
      <c r="AJ192" s="21">
        <v>100</v>
      </c>
      <c r="AK192" s="21" t="s">
        <v>2054</v>
      </c>
      <c r="AL192" t="s">
        <v>70</v>
      </c>
      <c r="AM192" t="s">
        <v>2030</v>
      </c>
    </row>
    <row r="193" spans="1:39" ht="15" hidden="1" thickTop="1" x14ac:dyDescent="0.35">
      <c r="A193" t="s">
        <v>2870</v>
      </c>
      <c r="B193" t="s">
        <v>2868</v>
      </c>
      <c r="C193" t="s">
        <v>78</v>
      </c>
      <c r="D193" t="s">
        <v>2869</v>
      </c>
      <c r="E193" t="s">
        <v>559</v>
      </c>
      <c r="F193">
        <v>1</v>
      </c>
      <c r="G193" t="s">
        <v>2050</v>
      </c>
      <c r="H193" t="s">
        <v>2051</v>
      </c>
      <c r="I193" t="s">
        <v>53</v>
      </c>
      <c r="J193" t="s">
        <v>67</v>
      </c>
      <c r="K193" t="s">
        <v>68</v>
      </c>
      <c r="L193" t="s">
        <v>2052</v>
      </c>
      <c r="M193" t="s">
        <v>2064</v>
      </c>
      <c r="N193">
        <v>0</v>
      </c>
      <c r="O193">
        <v>0</v>
      </c>
      <c r="P193">
        <v>0</v>
      </c>
      <c r="Q193">
        <v>900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291</v>
      </c>
      <c r="AH193" s="21" t="s">
        <v>3424</v>
      </c>
      <c r="AI193" s="21">
        <v>67.5</v>
      </c>
      <c r="AJ193" s="21">
        <v>100</v>
      </c>
      <c r="AK193" s="21" t="s">
        <v>2054</v>
      </c>
      <c r="AL193" t="s">
        <v>70</v>
      </c>
      <c r="AM193" t="s">
        <v>2028</v>
      </c>
    </row>
    <row r="194" spans="1:39" ht="15" hidden="1" thickTop="1" x14ac:dyDescent="0.35">
      <c r="A194" t="s">
        <v>2875</v>
      </c>
      <c r="B194" t="s">
        <v>2876</v>
      </c>
      <c r="C194" t="s">
        <v>100</v>
      </c>
      <c r="D194" t="s">
        <v>2877</v>
      </c>
      <c r="E194" t="s">
        <v>559</v>
      </c>
      <c r="F194">
        <v>1</v>
      </c>
      <c r="G194" t="s">
        <v>2050</v>
      </c>
      <c r="H194" t="s">
        <v>2051</v>
      </c>
      <c r="I194" t="s">
        <v>53</v>
      </c>
      <c r="J194" t="s">
        <v>67</v>
      </c>
      <c r="K194" t="s">
        <v>68</v>
      </c>
      <c r="L194" t="s">
        <v>2052</v>
      </c>
      <c r="M194" t="s">
        <v>2053</v>
      </c>
      <c r="N194">
        <v>0</v>
      </c>
      <c r="O194">
        <v>0</v>
      </c>
      <c r="P194">
        <v>0</v>
      </c>
      <c r="Q194">
        <v>1440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 t="s">
        <v>292</v>
      </c>
      <c r="AH194" s="21" t="s">
        <v>3424</v>
      </c>
      <c r="AI194" s="21">
        <v>107.92500000000001</v>
      </c>
      <c r="AJ194" s="21">
        <v>100</v>
      </c>
      <c r="AK194" s="21" t="s">
        <v>2054</v>
      </c>
      <c r="AL194" t="s">
        <v>70</v>
      </c>
      <c r="AM194" t="s">
        <v>2028</v>
      </c>
    </row>
    <row r="195" spans="1:39" ht="15" hidden="1" thickTop="1" x14ac:dyDescent="0.35">
      <c r="A195" t="s">
        <v>2882</v>
      </c>
      <c r="B195" t="s">
        <v>2883</v>
      </c>
      <c r="C195" t="s">
        <v>92</v>
      </c>
      <c r="D195" t="s">
        <v>2884</v>
      </c>
      <c r="E195" t="s">
        <v>559</v>
      </c>
      <c r="F195">
        <v>1</v>
      </c>
      <c r="G195" t="s">
        <v>2050</v>
      </c>
      <c r="H195" t="s">
        <v>2051</v>
      </c>
      <c r="I195" t="s">
        <v>53</v>
      </c>
      <c r="J195" t="s">
        <v>67</v>
      </c>
      <c r="K195" t="s">
        <v>68</v>
      </c>
      <c r="L195" t="s">
        <v>2052</v>
      </c>
      <c r="M195" t="s">
        <v>2053</v>
      </c>
      <c r="N195">
        <v>0</v>
      </c>
      <c r="O195">
        <v>0</v>
      </c>
      <c r="P195">
        <v>0</v>
      </c>
      <c r="Q195">
        <v>1440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 t="s">
        <v>293</v>
      </c>
      <c r="AH195" s="21" t="s">
        <v>3424</v>
      </c>
      <c r="AI195" s="21">
        <v>107.92500000000001</v>
      </c>
      <c r="AJ195" s="21">
        <v>100</v>
      </c>
      <c r="AK195" s="21" t="s">
        <v>2055</v>
      </c>
      <c r="AL195" t="s">
        <v>70</v>
      </c>
      <c r="AM195" t="s">
        <v>2029</v>
      </c>
    </row>
    <row r="196" spans="1:39" ht="15" hidden="1" thickTop="1" x14ac:dyDescent="0.35">
      <c r="A196" t="s">
        <v>2889</v>
      </c>
      <c r="B196" t="s">
        <v>2890</v>
      </c>
      <c r="C196" t="s">
        <v>92</v>
      </c>
      <c r="D196" t="s">
        <v>2891</v>
      </c>
      <c r="E196" t="s">
        <v>119</v>
      </c>
      <c r="F196">
        <v>1</v>
      </c>
      <c r="G196" t="s">
        <v>2050</v>
      </c>
      <c r="H196" t="s">
        <v>2051</v>
      </c>
      <c r="I196" t="s">
        <v>53</v>
      </c>
      <c r="J196" t="s">
        <v>67</v>
      </c>
      <c r="K196" t="s">
        <v>68</v>
      </c>
      <c r="L196" t="s">
        <v>2052</v>
      </c>
      <c r="M196" t="s">
        <v>2064</v>
      </c>
      <c r="N196">
        <v>0</v>
      </c>
      <c r="O196">
        <v>0</v>
      </c>
      <c r="P196">
        <v>0</v>
      </c>
      <c r="Q196">
        <v>900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294</v>
      </c>
      <c r="AH196" s="21" t="s">
        <v>3425</v>
      </c>
      <c r="AI196" s="21">
        <v>67.5</v>
      </c>
      <c r="AJ196" s="21">
        <v>100</v>
      </c>
      <c r="AK196" s="21" t="s">
        <v>2054</v>
      </c>
      <c r="AL196" t="s">
        <v>70</v>
      </c>
      <c r="AM196" t="s">
        <v>2027</v>
      </c>
    </row>
    <row r="197" spans="1:39" ht="15" hidden="1" thickTop="1" x14ac:dyDescent="0.35">
      <c r="A197" t="s">
        <v>2896</v>
      </c>
      <c r="B197" t="s">
        <v>2900</v>
      </c>
      <c r="C197" t="s">
        <v>76</v>
      </c>
      <c r="D197" t="s">
        <v>2901</v>
      </c>
      <c r="E197" t="s">
        <v>559</v>
      </c>
      <c r="F197">
        <v>1</v>
      </c>
      <c r="G197" t="s">
        <v>2050</v>
      </c>
      <c r="H197" t="s">
        <v>2051</v>
      </c>
      <c r="I197" t="s">
        <v>53</v>
      </c>
      <c r="J197" t="s">
        <v>67</v>
      </c>
      <c r="K197" t="s">
        <v>68</v>
      </c>
      <c r="L197" t="s">
        <v>2052</v>
      </c>
      <c r="M197" t="s">
        <v>2053</v>
      </c>
      <c r="N197">
        <v>0</v>
      </c>
      <c r="O197">
        <v>0</v>
      </c>
      <c r="P197">
        <v>0</v>
      </c>
      <c r="Q197">
        <v>1440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 t="s">
        <v>296</v>
      </c>
      <c r="AH197" s="21" t="s">
        <v>3427</v>
      </c>
      <c r="AI197" s="21">
        <v>107.92500000000001</v>
      </c>
      <c r="AJ197" s="21">
        <v>100</v>
      </c>
      <c r="AK197" s="21" t="s">
        <v>2055</v>
      </c>
      <c r="AL197" t="s">
        <v>70</v>
      </c>
      <c r="AM197" t="s">
        <v>2030</v>
      </c>
    </row>
    <row r="198" spans="1:39" ht="15" hidden="1" thickTop="1" x14ac:dyDescent="0.35">
      <c r="A198" t="s">
        <v>2902</v>
      </c>
      <c r="B198" t="s">
        <v>2906</v>
      </c>
      <c r="C198" t="s">
        <v>78</v>
      </c>
      <c r="D198" t="s">
        <v>2907</v>
      </c>
      <c r="E198" t="s">
        <v>559</v>
      </c>
      <c r="F198">
        <v>1</v>
      </c>
      <c r="G198" t="s">
        <v>2050</v>
      </c>
      <c r="H198" t="s">
        <v>2051</v>
      </c>
      <c r="I198" t="s">
        <v>53</v>
      </c>
      <c r="J198" t="s">
        <v>67</v>
      </c>
      <c r="K198" t="s">
        <v>68</v>
      </c>
      <c r="L198" t="s">
        <v>2052</v>
      </c>
      <c r="M198" t="s">
        <v>2053</v>
      </c>
      <c r="N198">
        <v>0</v>
      </c>
      <c r="O198">
        <v>0</v>
      </c>
      <c r="P198">
        <v>0</v>
      </c>
      <c r="Q198">
        <v>1440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t="s">
        <v>297</v>
      </c>
      <c r="AH198" s="21" t="s">
        <v>3427</v>
      </c>
      <c r="AI198" s="21">
        <v>107.92500000000001</v>
      </c>
      <c r="AJ198" s="21">
        <v>100</v>
      </c>
      <c r="AK198" s="21" t="s">
        <v>2054</v>
      </c>
      <c r="AL198" t="s">
        <v>70</v>
      </c>
      <c r="AM198" t="s">
        <v>2028</v>
      </c>
    </row>
    <row r="199" spans="1:39" ht="15" hidden="1" thickTop="1" x14ac:dyDescent="0.35">
      <c r="A199" t="s">
        <v>2909</v>
      </c>
      <c r="B199" t="s">
        <v>2913</v>
      </c>
      <c r="C199" t="s">
        <v>3376</v>
      </c>
      <c r="D199" t="s">
        <v>2914</v>
      </c>
      <c r="E199" t="s">
        <v>559</v>
      </c>
      <c r="F199">
        <v>1</v>
      </c>
      <c r="G199" t="s">
        <v>2050</v>
      </c>
      <c r="H199" t="s">
        <v>2051</v>
      </c>
      <c r="I199" t="s">
        <v>53</v>
      </c>
      <c r="J199" t="s">
        <v>67</v>
      </c>
      <c r="K199" t="s">
        <v>68</v>
      </c>
      <c r="L199" t="s">
        <v>2052</v>
      </c>
      <c r="M199" t="s">
        <v>2053</v>
      </c>
      <c r="N199">
        <v>0</v>
      </c>
      <c r="O199">
        <v>0</v>
      </c>
      <c r="P199">
        <v>0</v>
      </c>
      <c r="Q199">
        <v>1440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298</v>
      </c>
      <c r="AH199" s="21" t="s">
        <v>3427</v>
      </c>
      <c r="AI199" s="21">
        <v>107.92500000000001</v>
      </c>
      <c r="AJ199" s="21">
        <v>100</v>
      </c>
      <c r="AK199" s="21" t="s">
        <v>2054</v>
      </c>
      <c r="AL199" t="s">
        <v>70</v>
      </c>
      <c r="AM199" t="s">
        <v>2027</v>
      </c>
    </row>
    <row r="200" spans="1:39" ht="15" hidden="1" thickTop="1" x14ac:dyDescent="0.35">
      <c r="A200" t="s">
        <v>2916</v>
      </c>
      <c r="B200" t="s">
        <v>2922</v>
      </c>
      <c r="C200" t="s">
        <v>66</v>
      </c>
      <c r="D200" t="s">
        <v>2923</v>
      </c>
      <c r="E200" t="s">
        <v>559</v>
      </c>
      <c r="F200">
        <v>1</v>
      </c>
      <c r="G200" t="s">
        <v>2050</v>
      </c>
      <c r="H200" t="s">
        <v>2051</v>
      </c>
      <c r="I200" t="s">
        <v>53</v>
      </c>
      <c r="J200" t="s">
        <v>67</v>
      </c>
      <c r="K200" t="s">
        <v>68</v>
      </c>
      <c r="L200" t="s">
        <v>2052</v>
      </c>
      <c r="M200" t="s">
        <v>2053</v>
      </c>
      <c r="N200">
        <v>0</v>
      </c>
      <c r="O200">
        <v>0</v>
      </c>
      <c r="P200">
        <v>0</v>
      </c>
      <c r="Q200">
        <v>1440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299</v>
      </c>
      <c r="AH200" s="21" t="s">
        <v>3424</v>
      </c>
      <c r="AI200" s="21">
        <v>107.92500000000001</v>
      </c>
      <c r="AJ200" s="21">
        <v>100</v>
      </c>
      <c r="AK200" s="21" t="s">
        <v>2054</v>
      </c>
      <c r="AL200" t="s">
        <v>70</v>
      </c>
      <c r="AM200" t="s">
        <v>2028</v>
      </c>
    </row>
    <row r="201" spans="1:39" ht="15" hidden="1" thickTop="1" x14ac:dyDescent="0.35">
      <c r="A201" t="s">
        <v>2919</v>
      </c>
      <c r="B201" t="s">
        <v>2925</v>
      </c>
      <c r="C201" t="s">
        <v>102</v>
      </c>
      <c r="D201" t="s">
        <v>2926</v>
      </c>
      <c r="E201" t="s">
        <v>559</v>
      </c>
      <c r="F201">
        <v>1</v>
      </c>
      <c r="G201" t="s">
        <v>2050</v>
      </c>
      <c r="H201" t="s">
        <v>2051</v>
      </c>
      <c r="I201" t="s">
        <v>53</v>
      </c>
      <c r="J201" t="s">
        <v>67</v>
      </c>
      <c r="K201" t="s">
        <v>68</v>
      </c>
      <c r="L201" t="s">
        <v>2052</v>
      </c>
      <c r="M201" t="s">
        <v>2053</v>
      </c>
      <c r="N201">
        <v>0</v>
      </c>
      <c r="O201">
        <v>0</v>
      </c>
      <c r="P201">
        <v>0</v>
      </c>
      <c r="Q201">
        <v>1440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300</v>
      </c>
      <c r="AH201" s="21" t="s">
        <v>3424</v>
      </c>
      <c r="AI201" s="21">
        <v>107.92500000000001</v>
      </c>
      <c r="AJ201" s="21">
        <v>100</v>
      </c>
      <c r="AK201" s="21" t="s">
        <v>2054</v>
      </c>
      <c r="AL201" t="s">
        <v>70</v>
      </c>
      <c r="AM201" t="s">
        <v>2028</v>
      </c>
    </row>
    <row r="202" spans="1:39" ht="15" hidden="1" thickTop="1" x14ac:dyDescent="0.35">
      <c r="A202" t="s">
        <v>2928</v>
      </c>
      <c r="B202" t="s">
        <v>2935</v>
      </c>
      <c r="C202" t="s">
        <v>76</v>
      </c>
      <c r="D202" t="s">
        <v>2936</v>
      </c>
      <c r="E202" t="s">
        <v>559</v>
      </c>
      <c r="F202">
        <v>1</v>
      </c>
      <c r="G202" t="s">
        <v>2050</v>
      </c>
      <c r="H202" t="s">
        <v>2051</v>
      </c>
      <c r="I202" t="s">
        <v>53</v>
      </c>
      <c r="J202" t="s">
        <v>67</v>
      </c>
      <c r="K202" t="s">
        <v>68</v>
      </c>
      <c r="L202" t="s">
        <v>2052</v>
      </c>
      <c r="M202" t="s">
        <v>2053</v>
      </c>
      <c r="N202">
        <v>0</v>
      </c>
      <c r="O202">
        <v>0</v>
      </c>
      <c r="P202">
        <v>0</v>
      </c>
      <c r="Q202">
        <v>1440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301</v>
      </c>
      <c r="AH202" s="21" t="s">
        <v>3424</v>
      </c>
      <c r="AI202" s="21">
        <v>107.92500000000001</v>
      </c>
      <c r="AJ202" s="21">
        <v>100</v>
      </c>
      <c r="AK202" s="21" t="s">
        <v>2055</v>
      </c>
      <c r="AL202" t="s">
        <v>70</v>
      </c>
      <c r="AM202" t="s">
        <v>2028</v>
      </c>
    </row>
    <row r="203" spans="1:39" ht="15" hidden="1" thickTop="1" x14ac:dyDescent="0.35">
      <c r="A203" t="s">
        <v>2929</v>
      </c>
      <c r="B203" t="s">
        <v>2938</v>
      </c>
      <c r="C203" t="s">
        <v>76</v>
      </c>
      <c r="D203" t="s">
        <v>2939</v>
      </c>
      <c r="E203" t="s">
        <v>119</v>
      </c>
      <c r="F203">
        <v>1</v>
      </c>
      <c r="G203" t="s">
        <v>2050</v>
      </c>
      <c r="H203" t="s">
        <v>2051</v>
      </c>
      <c r="I203" t="s">
        <v>53</v>
      </c>
      <c r="J203" t="s">
        <v>67</v>
      </c>
      <c r="K203" t="s">
        <v>68</v>
      </c>
      <c r="L203" t="s">
        <v>2052</v>
      </c>
      <c r="M203" t="s">
        <v>2053</v>
      </c>
      <c r="N203">
        <v>1</v>
      </c>
      <c r="O203">
        <v>153</v>
      </c>
      <c r="P203">
        <v>10.63</v>
      </c>
      <c r="Q203">
        <v>1440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153</v>
      </c>
      <c r="Z203">
        <v>10.63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302</v>
      </c>
      <c r="AH203" s="21" t="s">
        <v>3424</v>
      </c>
      <c r="AI203" s="21">
        <v>107.92500000000001</v>
      </c>
      <c r="AJ203" s="21">
        <v>89.375</v>
      </c>
      <c r="AK203" s="21" t="s">
        <v>2055</v>
      </c>
      <c r="AL203" t="s">
        <v>70</v>
      </c>
      <c r="AM203" t="s">
        <v>2029</v>
      </c>
    </row>
    <row r="204" spans="1:39" ht="15" hidden="1" thickTop="1" x14ac:dyDescent="0.35">
      <c r="A204" t="s">
        <v>2930</v>
      </c>
      <c r="B204" t="s">
        <v>2942</v>
      </c>
      <c r="C204" t="s">
        <v>128</v>
      </c>
      <c r="D204" t="s">
        <v>2943</v>
      </c>
      <c r="E204" t="s">
        <v>112</v>
      </c>
      <c r="F204">
        <v>1</v>
      </c>
      <c r="G204" t="s">
        <v>2050</v>
      </c>
      <c r="H204" t="s">
        <v>2051</v>
      </c>
      <c r="I204" t="s">
        <v>53</v>
      </c>
      <c r="J204" t="s">
        <v>113</v>
      </c>
      <c r="K204" t="s">
        <v>68</v>
      </c>
      <c r="L204" t="s">
        <v>2052</v>
      </c>
      <c r="M204" t="s">
        <v>2053</v>
      </c>
      <c r="N204">
        <v>0</v>
      </c>
      <c r="O204">
        <v>0</v>
      </c>
      <c r="P204">
        <v>0</v>
      </c>
      <c r="Q204">
        <v>1440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t="s">
        <v>303</v>
      </c>
      <c r="AH204" s="21" t="s">
        <v>3427</v>
      </c>
      <c r="AI204" s="21">
        <v>107.92500000000001</v>
      </c>
      <c r="AJ204" s="21">
        <v>100</v>
      </c>
      <c r="AK204" s="21" t="s">
        <v>2054</v>
      </c>
      <c r="AL204" t="s">
        <v>115</v>
      </c>
      <c r="AM204" t="s">
        <v>2027</v>
      </c>
    </row>
    <row r="205" spans="1:39" ht="15" hidden="1" thickTop="1" x14ac:dyDescent="0.35">
      <c r="A205" t="s">
        <v>2934</v>
      </c>
      <c r="B205" t="s">
        <v>2944</v>
      </c>
      <c r="C205" t="s">
        <v>237</v>
      </c>
      <c r="D205" t="s">
        <v>2945</v>
      </c>
      <c r="E205" t="s">
        <v>72</v>
      </c>
      <c r="F205">
        <v>1</v>
      </c>
      <c r="G205" t="s">
        <v>2050</v>
      </c>
      <c r="H205" t="s">
        <v>2051</v>
      </c>
      <c r="I205" t="s">
        <v>53</v>
      </c>
      <c r="J205" t="s">
        <v>73</v>
      </c>
      <c r="K205" t="s">
        <v>68</v>
      </c>
      <c r="L205" t="s">
        <v>2052</v>
      </c>
      <c r="M205" t="s">
        <v>2053</v>
      </c>
      <c r="N205">
        <v>0</v>
      </c>
      <c r="O205">
        <v>0</v>
      </c>
      <c r="P205">
        <v>0</v>
      </c>
      <c r="Q205">
        <v>1440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304</v>
      </c>
      <c r="AH205" s="21" t="s">
        <v>3427</v>
      </c>
      <c r="AI205" s="21">
        <v>107.92500000000001</v>
      </c>
      <c r="AJ205" s="21">
        <v>100</v>
      </c>
      <c r="AK205" s="21" t="s">
        <v>2054</v>
      </c>
      <c r="AL205" t="s">
        <v>75</v>
      </c>
      <c r="AM205" t="s">
        <v>2027</v>
      </c>
    </row>
    <row r="206" spans="1:39" ht="15" hidden="1" thickTop="1" x14ac:dyDescent="0.35">
      <c r="A206" t="s">
        <v>2947</v>
      </c>
      <c r="B206" t="s">
        <v>2953</v>
      </c>
      <c r="C206" t="s">
        <v>81</v>
      </c>
      <c r="D206" t="s">
        <v>2954</v>
      </c>
      <c r="E206" t="s">
        <v>559</v>
      </c>
      <c r="F206">
        <v>2</v>
      </c>
      <c r="G206" t="s">
        <v>2050</v>
      </c>
      <c r="H206" t="s">
        <v>2051</v>
      </c>
      <c r="I206" t="s">
        <v>53</v>
      </c>
      <c r="J206" t="s">
        <v>82</v>
      </c>
      <c r="K206" t="s">
        <v>68</v>
      </c>
      <c r="L206" t="s">
        <v>2052</v>
      </c>
      <c r="M206" t="s">
        <v>2083</v>
      </c>
      <c r="N206">
        <v>0</v>
      </c>
      <c r="O206">
        <v>0</v>
      </c>
      <c r="P206">
        <v>0</v>
      </c>
      <c r="Q206">
        <v>960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305</v>
      </c>
      <c r="AH206" s="21" t="s">
        <v>3427</v>
      </c>
      <c r="AI206" s="21">
        <v>72.000000000000014</v>
      </c>
      <c r="AJ206" s="21">
        <v>100</v>
      </c>
      <c r="AK206" s="21" t="s">
        <v>2054</v>
      </c>
      <c r="AL206" t="s">
        <v>70</v>
      </c>
      <c r="AM206" t="s">
        <v>2029</v>
      </c>
    </row>
    <row r="207" spans="1:39" ht="15" hidden="1" thickTop="1" x14ac:dyDescent="0.35">
      <c r="A207" t="s">
        <v>2948</v>
      </c>
      <c r="B207" t="s">
        <v>2955</v>
      </c>
      <c r="C207" t="s">
        <v>92</v>
      </c>
      <c r="D207" t="s">
        <v>2956</v>
      </c>
      <c r="E207" t="s">
        <v>559</v>
      </c>
      <c r="F207">
        <v>1</v>
      </c>
      <c r="G207" t="s">
        <v>2050</v>
      </c>
      <c r="H207" t="s">
        <v>2051</v>
      </c>
      <c r="I207" t="s">
        <v>53</v>
      </c>
      <c r="J207" t="s">
        <v>67</v>
      </c>
      <c r="K207" t="s">
        <v>68</v>
      </c>
      <c r="L207" t="s">
        <v>2052</v>
      </c>
      <c r="M207" t="s">
        <v>2053</v>
      </c>
      <c r="N207">
        <v>0</v>
      </c>
      <c r="O207">
        <v>0</v>
      </c>
      <c r="P207">
        <v>0</v>
      </c>
      <c r="Q207">
        <v>1440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306</v>
      </c>
      <c r="AH207" s="21" t="s">
        <v>3424</v>
      </c>
      <c r="AI207" s="21">
        <v>107.92500000000001</v>
      </c>
      <c r="AJ207" s="21">
        <v>100</v>
      </c>
      <c r="AK207" s="21" t="s">
        <v>2054</v>
      </c>
      <c r="AL207" t="s">
        <v>70</v>
      </c>
      <c r="AM207" t="s">
        <v>2027</v>
      </c>
    </row>
    <row r="208" spans="1:39" ht="15" hidden="1" thickTop="1" x14ac:dyDescent="0.35">
      <c r="A208" t="s">
        <v>2949</v>
      </c>
      <c r="B208" t="s">
        <v>2957</v>
      </c>
      <c r="C208" t="s">
        <v>66</v>
      </c>
      <c r="D208" t="s">
        <v>2958</v>
      </c>
      <c r="E208" t="s">
        <v>559</v>
      </c>
      <c r="F208">
        <v>1</v>
      </c>
      <c r="G208" t="s">
        <v>2050</v>
      </c>
      <c r="H208" t="s">
        <v>2051</v>
      </c>
      <c r="I208" t="s">
        <v>53</v>
      </c>
      <c r="J208" t="s">
        <v>67</v>
      </c>
      <c r="K208" t="s">
        <v>68</v>
      </c>
      <c r="L208" t="s">
        <v>2052</v>
      </c>
      <c r="M208" t="s">
        <v>2053</v>
      </c>
      <c r="N208">
        <v>0</v>
      </c>
      <c r="O208">
        <v>0</v>
      </c>
      <c r="P208">
        <v>0</v>
      </c>
      <c r="Q208">
        <v>1440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307</v>
      </c>
      <c r="AH208" s="21" t="s">
        <v>3424</v>
      </c>
      <c r="AI208" s="21">
        <v>107.92500000000001</v>
      </c>
      <c r="AJ208" s="21">
        <v>100</v>
      </c>
      <c r="AK208" s="21" t="s">
        <v>2054</v>
      </c>
      <c r="AL208" t="s">
        <v>70</v>
      </c>
      <c r="AM208" t="s">
        <v>2028</v>
      </c>
    </row>
    <row r="209" spans="1:39" ht="15" hidden="1" thickTop="1" x14ac:dyDescent="0.35">
      <c r="A209" t="s">
        <v>2560</v>
      </c>
      <c r="B209" t="s">
        <v>2968</v>
      </c>
      <c r="C209" t="s">
        <v>92</v>
      </c>
      <c r="D209" t="s">
        <v>2969</v>
      </c>
      <c r="E209" t="s">
        <v>119</v>
      </c>
      <c r="F209">
        <v>1</v>
      </c>
      <c r="G209" t="s">
        <v>2050</v>
      </c>
      <c r="H209" t="s">
        <v>2051</v>
      </c>
      <c r="I209" t="s">
        <v>53</v>
      </c>
      <c r="J209" t="s">
        <v>67</v>
      </c>
      <c r="K209" t="s">
        <v>68</v>
      </c>
      <c r="L209" t="s">
        <v>2052</v>
      </c>
      <c r="M209" t="s">
        <v>2053</v>
      </c>
      <c r="N209">
        <v>0</v>
      </c>
      <c r="O209">
        <v>0</v>
      </c>
      <c r="P209">
        <v>0</v>
      </c>
      <c r="Q209">
        <v>1440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 t="s">
        <v>308</v>
      </c>
      <c r="AH209" s="21" t="s">
        <v>3424</v>
      </c>
      <c r="AI209" s="21">
        <v>107.92500000000001</v>
      </c>
      <c r="AJ209" s="21">
        <v>100</v>
      </c>
      <c r="AK209" s="21" t="s">
        <v>2054</v>
      </c>
      <c r="AL209" t="s">
        <v>70</v>
      </c>
      <c r="AM209" t="s">
        <v>2028</v>
      </c>
    </row>
    <row r="210" spans="1:39" ht="15" hidden="1" thickTop="1" x14ac:dyDescent="0.35">
      <c r="A210" t="s">
        <v>2964</v>
      </c>
      <c r="B210" t="s">
        <v>2970</v>
      </c>
      <c r="C210" t="s">
        <v>86</v>
      </c>
      <c r="D210" t="s">
        <v>2971</v>
      </c>
      <c r="E210" t="s">
        <v>72</v>
      </c>
      <c r="F210">
        <v>1</v>
      </c>
      <c r="G210" t="s">
        <v>2050</v>
      </c>
      <c r="H210" t="s">
        <v>2051</v>
      </c>
      <c r="I210" t="s">
        <v>53</v>
      </c>
      <c r="J210" t="s">
        <v>73</v>
      </c>
      <c r="K210" t="s">
        <v>68</v>
      </c>
      <c r="L210" t="s">
        <v>2052</v>
      </c>
      <c r="M210" t="s">
        <v>2053</v>
      </c>
      <c r="N210">
        <v>0</v>
      </c>
      <c r="O210">
        <v>0</v>
      </c>
      <c r="P210">
        <v>0</v>
      </c>
      <c r="Q210">
        <v>1440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309</v>
      </c>
      <c r="AH210" s="21" t="s">
        <v>3424</v>
      </c>
      <c r="AI210" s="21">
        <v>107.92500000000001</v>
      </c>
      <c r="AJ210" s="21">
        <v>100</v>
      </c>
      <c r="AK210" s="21" t="s">
        <v>2054</v>
      </c>
      <c r="AL210" t="s">
        <v>75</v>
      </c>
      <c r="AM210" t="s">
        <v>2027</v>
      </c>
    </row>
    <row r="211" spans="1:39" ht="15" hidden="1" thickTop="1" x14ac:dyDescent="0.35">
      <c r="A211" t="s">
        <v>2973</v>
      </c>
      <c r="B211" t="s">
        <v>2977</v>
      </c>
      <c r="C211" t="s">
        <v>66</v>
      </c>
      <c r="D211" t="s">
        <v>2978</v>
      </c>
      <c r="E211" t="s">
        <v>559</v>
      </c>
      <c r="F211">
        <v>1</v>
      </c>
      <c r="G211" t="s">
        <v>2050</v>
      </c>
      <c r="H211" t="s">
        <v>2051</v>
      </c>
      <c r="I211" t="s">
        <v>53</v>
      </c>
      <c r="J211" t="s">
        <v>67</v>
      </c>
      <c r="K211" t="s">
        <v>68</v>
      </c>
      <c r="L211" t="s">
        <v>2052</v>
      </c>
      <c r="M211" t="s">
        <v>2064</v>
      </c>
      <c r="N211">
        <v>0</v>
      </c>
      <c r="O211">
        <v>0</v>
      </c>
      <c r="P211">
        <v>0</v>
      </c>
      <c r="Q211">
        <v>900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t="s">
        <v>310</v>
      </c>
      <c r="AH211" s="21" t="s">
        <v>3424</v>
      </c>
      <c r="AI211" s="21">
        <v>67.5</v>
      </c>
      <c r="AJ211" s="21">
        <v>100</v>
      </c>
      <c r="AK211" s="21" t="s">
        <v>2054</v>
      </c>
      <c r="AL211" t="s">
        <v>70</v>
      </c>
      <c r="AM211" t="s">
        <v>2029</v>
      </c>
    </row>
    <row r="212" spans="1:39" ht="15" hidden="1" thickTop="1" x14ac:dyDescent="0.35">
      <c r="A212" t="s">
        <v>2980</v>
      </c>
      <c r="B212" t="s">
        <v>2984</v>
      </c>
      <c r="C212" t="s">
        <v>76</v>
      </c>
      <c r="D212" t="s">
        <v>2985</v>
      </c>
      <c r="E212" t="s">
        <v>119</v>
      </c>
      <c r="F212">
        <v>1</v>
      </c>
      <c r="G212" t="s">
        <v>2050</v>
      </c>
      <c r="H212" t="s">
        <v>2051</v>
      </c>
      <c r="I212" t="s">
        <v>53</v>
      </c>
      <c r="J212" t="s">
        <v>67</v>
      </c>
      <c r="K212" t="s">
        <v>68</v>
      </c>
      <c r="L212" t="s">
        <v>2052</v>
      </c>
      <c r="M212" t="s">
        <v>2053</v>
      </c>
      <c r="N212">
        <v>0</v>
      </c>
      <c r="O212">
        <v>0</v>
      </c>
      <c r="P212">
        <v>0</v>
      </c>
      <c r="Q212">
        <v>1440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t="s">
        <v>311</v>
      </c>
      <c r="AH212" s="21" t="s">
        <v>3429</v>
      </c>
      <c r="AI212" s="21">
        <v>107.92500000000001</v>
      </c>
      <c r="AJ212" s="21">
        <v>100</v>
      </c>
      <c r="AK212" s="21" t="s">
        <v>2054</v>
      </c>
      <c r="AL212" t="s">
        <v>70</v>
      </c>
      <c r="AM212" t="s">
        <v>2029</v>
      </c>
    </row>
    <row r="213" spans="1:39" ht="15" hidden="1" thickTop="1" x14ac:dyDescent="0.35">
      <c r="A213" t="s">
        <v>2987</v>
      </c>
      <c r="B213" t="s">
        <v>2996</v>
      </c>
      <c r="C213" t="s">
        <v>71</v>
      </c>
      <c r="D213" t="s">
        <v>2997</v>
      </c>
      <c r="E213" t="s">
        <v>72</v>
      </c>
      <c r="F213">
        <v>2</v>
      </c>
      <c r="G213" t="s">
        <v>2050</v>
      </c>
      <c r="H213" t="s">
        <v>2051</v>
      </c>
      <c r="I213" t="s">
        <v>53</v>
      </c>
      <c r="J213" t="s">
        <v>73</v>
      </c>
      <c r="K213" t="s">
        <v>68</v>
      </c>
      <c r="L213" t="s">
        <v>2052</v>
      </c>
      <c r="M213" t="s">
        <v>2053</v>
      </c>
      <c r="N213">
        <v>0</v>
      </c>
      <c r="O213">
        <v>0</v>
      </c>
      <c r="P213">
        <v>0</v>
      </c>
      <c r="Q213">
        <v>1440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t="s">
        <v>312</v>
      </c>
      <c r="AH213" s="21" t="s">
        <v>3424</v>
      </c>
      <c r="AI213" s="21">
        <v>107.92500000000001</v>
      </c>
      <c r="AJ213" s="21">
        <v>100</v>
      </c>
      <c r="AK213" s="21" t="s">
        <v>2054</v>
      </c>
      <c r="AL213" t="s">
        <v>75</v>
      </c>
      <c r="AM213" t="s">
        <v>2028</v>
      </c>
    </row>
    <row r="214" spans="1:39" ht="15" hidden="1" thickTop="1" x14ac:dyDescent="0.35">
      <c r="A214" t="s">
        <v>2988</v>
      </c>
      <c r="B214" t="s">
        <v>2999</v>
      </c>
      <c r="C214" t="s">
        <v>86</v>
      </c>
      <c r="D214" t="s">
        <v>3000</v>
      </c>
      <c r="E214" t="s">
        <v>72</v>
      </c>
      <c r="F214">
        <v>2</v>
      </c>
      <c r="G214" t="s">
        <v>2050</v>
      </c>
      <c r="H214" t="s">
        <v>2051</v>
      </c>
      <c r="I214" t="s">
        <v>53</v>
      </c>
      <c r="J214" t="s">
        <v>73</v>
      </c>
      <c r="K214" t="s">
        <v>68</v>
      </c>
      <c r="L214" t="s">
        <v>2052</v>
      </c>
      <c r="M214" t="s">
        <v>2053</v>
      </c>
      <c r="N214">
        <v>0</v>
      </c>
      <c r="O214">
        <v>0</v>
      </c>
      <c r="P214">
        <v>0</v>
      </c>
      <c r="Q214">
        <v>1440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t="s">
        <v>313</v>
      </c>
      <c r="AH214" s="21" t="s">
        <v>3427</v>
      </c>
      <c r="AI214" s="21">
        <v>107.92500000000001</v>
      </c>
      <c r="AJ214" s="21">
        <v>100</v>
      </c>
      <c r="AK214" s="21" t="s">
        <v>2055</v>
      </c>
      <c r="AL214" t="s">
        <v>75</v>
      </c>
      <c r="AM214" t="s">
        <v>2029</v>
      </c>
    </row>
    <row r="215" spans="1:39" ht="15" hidden="1" thickTop="1" x14ac:dyDescent="0.35">
      <c r="A215" t="s">
        <v>2993</v>
      </c>
      <c r="B215" t="s">
        <v>3007</v>
      </c>
      <c r="C215" t="s">
        <v>102</v>
      </c>
      <c r="D215" t="s">
        <v>3008</v>
      </c>
      <c r="E215" t="s">
        <v>559</v>
      </c>
      <c r="F215">
        <v>1</v>
      </c>
      <c r="G215" t="s">
        <v>2050</v>
      </c>
      <c r="H215" t="s">
        <v>2051</v>
      </c>
      <c r="I215" t="s">
        <v>53</v>
      </c>
      <c r="J215" t="s">
        <v>67</v>
      </c>
      <c r="K215" t="s">
        <v>68</v>
      </c>
      <c r="L215" t="s">
        <v>2052</v>
      </c>
      <c r="M215" t="s">
        <v>2064</v>
      </c>
      <c r="N215">
        <v>0</v>
      </c>
      <c r="O215">
        <v>0</v>
      </c>
      <c r="P215">
        <v>0</v>
      </c>
      <c r="Q215">
        <v>900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314</v>
      </c>
      <c r="AH215" s="21" t="s">
        <v>3424</v>
      </c>
      <c r="AI215" s="21">
        <v>67.5</v>
      </c>
      <c r="AJ215" s="21">
        <v>100</v>
      </c>
      <c r="AK215" s="21" t="s">
        <v>2055</v>
      </c>
      <c r="AL215" t="s">
        <v>70</v>
      </c>
      <c r="AM215" t="s">
        <v>2029</v>
      </c>
    </row>
    <row r="216" spans="1:39" ht="15" hidden="1" thickTop="1" x14ac:dyDescent="0.35">
      <c r="A216" t="s">
        <v>2994</v>
      </c>
      <c r="B216" t="s">
        <v>3009</v>
      </c>
      <c r="C216" t="s">
        <v>66</v>
      </c>
      <c r="D216" t="s">
        <v>3010</v>
      </c>
      <c r="E216" t="s">
        <v>559</v>
      </c>
      <c r="F216">
        <v>1</v>
      </c>
      <c r="G216" t="s">
        <v>2050</v>
      </c>
      <c r="H216" t="s">
        <v>2051</v>
      </c>
      <c r="I216" t="s">
        <v>53</v>
      </c>
      <c r="J216" t="s">
        <v>67</v>
      </c>
      <c r="K216" t="s">
        <v>68</v>
      </c>
      <c r="L216" t="s">
        <v>2052</v>
      </c>
      <c r="M216" t="s">
        <v>2053</v>
      </c>
      <c r="N216">
        <v>0</v>
      </c>
      <c r="O216">
        <v>0</v>
      </c>
      <c r="P216">
        <v>0</v>
      </c>
      <c r="Q216">
        <v>1440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315</v>
      </c>
      <c r="AH216" s="21" t="s">
        <v>3428</v>
      </c>
      <c r="AI216" s="21">
        <v>107.92500000000001</v>
      </c>
      <c r="AJ216" s="21">
        <v>100</v>
      </c>
      <c r="AK216" s="21" t="s">
        <v>2055</v>
      </c>
      <c r="AL216" t="s">
        <v>70</v>
      </c>
      <c r="AM216" t="s">
        <v>2028</v>
      </c>
    </row>
    <row r="217" spans="1:39" ht="15" hidden="1" thickTop="1" x14ac:dyDescent="0.35">
      <c r="A217" t="s">
        <v>3003</v>
      </c>
      <c r="B217" t="s">
        <v>3015</v>
      </c>
      <c r="C217" t="s">
        <v>66</v>
      </c>
      <c r="D217" t="s">
        <v>3016</v>
      </c>
      <c r="E217" t="s">
        <v>119</v>
      </c>
      <c r="F217">
        <v>1</v>
      </c>
      <c r="G217" t="s">
        <v>2050</v>
      </c>
      <c r="H217" t="s">
        <v>2051</v>
      </c>
      <c r="I217" t="s">
        <v>53</v>
      </c>
      <c r="J217" t="s">
        <v>67</v>
      </c>
      <c r="K217" t="s">
        <v>68</v>
      </c>
      <c r="L217" t="s">
        <v>2052</v>
      </c>
      <c r="M217" t="s">
        <v>2053</v>
      </c>
      <c r="N217">
        <v>0</v>
      </c>
      <c r="O217">
        <v>0</v>
      </c>
      <c r="P217">
        <v>0</v>
      </c>
      <c r="Q217">
        <v>1440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316</v>
      </c>
      <c r="AH217" s="21" t="s">
        <v>3425</v>
      </c>
      <c r="AI217" s="21">
        <v>107.92500000000001</v>
      </c>
      <c r="AJ217" s="21">
        <v>100</v>
      </c>
      <c r="AK217" s="21" t="s">
        <v>2054</v>
      </c>
      <c r="AL217" t="s">
        <v>70</v>
      </c>
      <c r="AM217" t="s">
        <v>2027</v>
      </c>
    </row>
    <row r="218" spans="1:39" ht="15" hidden="1" thickTop="1" x14ac:dyDescent="0.35">
      <c r="A218" t="s">
        <v>3011</v>
      </c>
      <c r="B218" t="s">
        <v>3020</v>
      </c>
      <c r="C218" t="s">
        <v>66</v>
      </c>
      <c r="D218" t="s">
        <v>3021</v>
      </c>
      <c r="E218" t="s">
        <v>559</v>
      </c>
      <c r="F218">
        <v>1</v>
      </c>
      <c r="G218" t="s">
        <v>2050</v>
      </c>
      <c r="H218" t="s">
        <v>2051</v>
      </c>
      <c r="I218" t="s">
        <v>53</v>
      </c>
      <c r="J218" t="s">
        <v>67</v>
      </c>
      <c r="K218" t="s">
        <v>68</v>
      </c>
      <c r="L218" t="s">
        <v>2052</v>
      </c>
      <c r="M218" t="s">
        <v>2064</v>
      </c>
      <c r="N218">
        <v>0</v>
      </c>
      <c r="O218">
        <v>0</v>
      </c>
      <c r="P218">
        <v>0</v>
      </c>
      <c r="Q218">
        <v>900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317</v>
      </c>
      <c r="AH218" s="21" t="s">
        <v>3425</v>
      </c>
      <c r="AI218" s="21">
        <v>67.5</v>
      </c>
      <c r="AJ218" s="21">
        <v>100</v>
      </c>
      <c r="AK218" s="21" t="s">
        <v>2054</v>
      </c>
      <c r="AL218" t="s">
        <v>70</v>
      </c>
      <c r="AM218" t="s">
        <v>2029</v>
      </c>
    </row>
    <row r="219" spans="1:39" ht="15" hidden="1" thickTop="1" x14ac:dyDescent="0.35">
      <c r="A219" t="s">
        <v>3018</v>
      </c>
      <c r="B219" t="s">
        <v>3030</v>
      </c>
      <c r="C219" t="s">
        <v>3376</v>
      </c>
      <c r="D219" t="s">
        <v>3031</v>
      </c>
      <c r="E219" t="s">
        <v>559</v>
      </c>
      <c r="F219">
        <v>1</v>
      </c>
      <c r="G219" t="s">
        <v>2050</v>
      </c>
      <c r="H219" t="s">
        <v>2051</v>
      </c>
      <c r="I219" t="s">
        <v>53</v>
      </c>
      <c r="J219" t="s">
        <v>67</v>
      </c>
      <c r="K219" t="s">
        <v>68</v>
      </c>
      <c r="L219" t="s">
        <v>2052</v>
      </c>
      <c r="M219" t="s">
        <v>2053</v>
      </c>
      <c r="N219">
        <v>0</v>
      </c>
      <c r="O219">
        <v>0</v>
      </c>
      <c r="P219">
        <v>0</v>
      </c>
      <c r="Q219">
        <v>1440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t="s">
        <v>318</v>
      </c>
      <c r="AH219" s="21" t="s">
        <v>3424</v>
      </c>
      <c r="AI219" s="21">
        <v>107.92500000000001</v>
      </c>
      <c r="AJ219" s="21">
        <v>100</v>
      </c>
      <c r="AK219" s="21" t="s">
        <v>2054</v>
      </c>
      <c r="AL219" t="s">
        <v>70</v>
      </c>
      <c r="AM219" t="s">
        <v>2027</v>
      </c>
    </row>
    <row r="220" spans="1:39" ht="15" hidden="1" thickTop="1" x14ac:dyDescent="0.35">
      <c r="A220" t="s">
        <v>3023</v>
      </c>
      <c r="B220" t="s">
        <v>3032</v>
      </c>
      <c r="C220" t="s">
        <v>111</v>
      </c>
      <c r="D220" t="s">
        <v>3033</v>
      </c>
      <c r="E220" t="s">
        <v>112</v>
      </c>
      <c r="F220">
        <v>1</v>
      </c>
      <c r="G220" t="s">
        <v>2050</v>
      </c>
      <c r="H220" t="s">
        <v>2051</v>
      </c>
      <c r="I220" t="s">
        <v>53</v>
      </c>
      <c r="J220" t="s">
        <v>113</v>
      </c>
      <c r="K220" t="s">
        <v>68</v>
      </c>
      <c r="L220" t="s">
        <v>2052</v>
      </c>
      <c r="M220" t="s">
        <v>2053</v>
      </c>
      <c r="N220">
        <v>0</v>
      </c>
      <c r="O220">
        <v>0</v>
      </c>
      <c r="P220">
        <v>0</v>
      </c>
      <c r="Q220">
        <v>1440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319</v>
      </c>
      <c r="AH220" s="21" t="s">
        <v>3424</v>
      </c>
      <c r="AI220" s="21">
        <v>107.92500000000001</v>
      </c>
      <c r="AJ220" s="21">
        <v>100</v>
      </c>
      <c r="AK220" s="21" t="s">
        <v>2054</v>
      </c>
      <c r="AL220" t="s">
        <v>115</v>
      </c>
      <c r="AM220" t="s">
        <v>2029</v>
      </c>
    </row>
    <row r="221" spans="1:39" ht="15" hidden="1" thickTop="1" x14ac:dyDescent="0.35">
      <c r="A221" t="s">
        <v>3026</v>
      </c>
      <c r="B221" t="s">
        <v>3034</v>
      </c>
      <c r="C221" t="s">
        <v>78</v>
      </c>
      <c r="D221" t="s">
        <v>3035</v>
      </c>
      <c r="E221" t="s">
        <v>559</v>
      </c>
      <c r="F221">
        <v>1</v>
      </c>
      <c r="G221" t="s">
        <v>2050</v>
      </c>
      <c r="H221" t="s">
        <v>2051</v>
      </c>
      <c r="I221" t="s">
        <v>53</v>
      </c>
      <c r="J221" t="s">
        <v>67</v>
      </c>
      <c r="K221" t="s">
        <v>68</v>
      </c>
      <c r="L221" t="s">
        <v>2052</v>
      </c>
      <c r="M221" t="s">
        <v>2064</v>
      </c>
      <c r="N221">
        <v>0</v>
      </c>
      <c r="O221">
        <v>0</v>
      </c>
      <c r="P221">
        <v>0</v>
      </c>
      <c r="Q221">
        <v>900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320</v>
      </c>
      <c r="AH221" s="21" t="s">
        <v>3425</v>
      </c>
      <c r="AI221" s="21">
        <v>67.5</v>
      </c>
      <c r="AJ221" s="21">
        <v>100</v>
      </c>
      <c r="AK221" s="21" t="s">
        <v>2054</v>
      </c>
      <c r="AL221" t="s">
        <v>70</v>
      </c>
      <c r="AM221" t="s">
        <v>2029</v>
      </c>
    </row>
    <row r="222" spans="1:39" ht="15" hidden="1" thickTop="1" x14ac:dyDescent="0.35">
      <c r="A222" t="s">
        <v>3037</v>
      </c>
      <c r="B222" t="s">
        <v>3046</v>
      </c>
      <c r="C222" t="s">
        <v>237</v>
      </c>
      <c r="D222" t="s">
        <v>3047</v>
      </c>
      <c r="E222" t="s">
        <v>72</v>
      </c>
      <c r="F222">
        <v>1</v>
      </c>
      <c r="G222" t="s">
        <v>2050</v>
      </c>
      <c r="H222" t="s">
        <v>2051</v>
      </c>
      <c r="I222" t="s">
        <v>53</v>
      </c>
      <c r="J222" t="s">
        <v>73</v>
      </c>
      <c r="K222" t="s">
        <v>68</v>
      </c>
      <c r="L222" t="s">
        <v>2052</v>
      </c>
      <c r="M222" t="s">
        <v>2053</v>
      </c>
      <c r="N222">
        <v>0</v>
      </c>
      <c r="O222">
        <v>0</v>
      </c>
      <c r="P222">
        <v>0</v>
      </c>
      <c r="Q222">
        <v>1440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321</v>
      </c>
      <c r="AH222" s="21" t="s">
        <v>3428</v>
      </c>
      <c r="AI222" s="21">
        <v>107.92500000000001</v>
      </c>
      <c r="AJ222" s="21">
        <v>100</v>
      </c>
      <c r="AK222" s="21" t="s">
        <v>2054</v>
      </c>
      <c r="AL222" t="s">
        <v>75</v>
      </c>
      <c r="AM222" t="s">
        <v>2029</v>
      </c>
    </row>
    <row r="223" spans="1:39" ht="15" hidden="1" thickTop="1" x14ac:dyDescent="0.35">
      <c r="A223" t="s">
        <v>3040</v>
      </c>
      <c r="B223" t="s">
        <v>3050</v>
      </c>
      <c r="C223" t="s">
        <v>71</v>
      </c>
      <c r="D223" t="s">
        <v>3051</v>
      </c>
      <c r="E223" t="s">
        <v>72</v>
      </c>
      <c r="F223">
        <v>1</v>
      </c>
      <c r="G223" t="s">
        <v>2050</v>
      </c>
      <c r="H223" t="s">
        <v>2051</v>
      </c>
      <c r="I223" t="s">
        <v>53</v>
      </c>
      <c r="J223" t="s">
        <v>73</v>
      </c>
      <c r="K223" t="s">
        <v>68</v>
      </c>
      <c r="L223" t="s">
        <v>2052</v>
      </c>
      <c r="M223" t="s">
        <v>2053</v>
      </c>
      <c r="N223">
        <v>0</v>
      </c>
      <c r="O223">
        <v>0</v>
      </c>
      <c r="P223">
        <v>0</v>
      </c>
      <c r="Q223">
        <v>1440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 t="s">
        <v>322</v>
      </c>
      <c r="AH223" s="21" t="s">
        <v>3427</v>
      </c>
      <c r="AI223" s="21">
        <v>107.92500000000001</v>
      </c>
      <c r="AJ223" s="21">
        <v>100</v>
      </c>
      <c r="AK223" s="21" t="s">
        <v>2054</v>
      </c>
      <c r="AL223" t="s">
        <v>75</v>
      </c>
      <c r="AM223" t="s">
        <v>2029</v>
      </c>
    </row>
    <row r="224" spans="1:39" ht="15" hidden="1" thickTop="1" x14ac:dyDescent="0.35">
      <c r="A224" t="s">
        <v>3043</v>
      </c>
      <c r="B224" t="s">
        <v>3052</v>
      </c>
      <c r="C224" t="s">
        <v>237</v>
      </c>
      <c r="D224" t="s">
        <v>3053</v>
      </c>
      <c r="E224" t="s">
        <v>72</v>
      </c>
      <c r="F224">
        <v>1</v>
      </c>
      <c r="G224" t="s">
        <v>2050</v>
      </c>
      <c r="H224" t="s">
        <v>2051</v>
      </c>
      <c r="I224" t="s">
        <v>53</v>
      </c>
      <c r="J224" t="s">
        <v>73</v>
      </c>
      <c r="K224" t="s">
        <v>68</v>
      </c>
      <c r="L224" t="s">
        <v>2052</v>
      </c>
      <c r="M224" t="s">
        <v>2053</v>
      </c>
      <c r="N224">
        <v>0</v>
      </c>
      <c r="O224">
        <v>0</v>
      </c>
      <c r="P224">
        <v>0</v>
      </c>
      <c r="Q224">
        <v>1440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323</v>
      </c>
      <c r="AH224" s="21" t="s">
        <v>3424</v>
      </c>
      <c r="AI224" s="21">
        <v>107.92500000000001</v>
      </c>
      <c r="AJ224" s="21">
        <v>100</v>
      </c>
      <c r="AK224" s="21" t="s">
        <v>2054</v>
      </c>
      <c r="AL224" t="s">
        <v>75</v>
      </c>
      <c r="AM224" t="s">
        <v>2029</v>
      </c>
    </row>
    <row r="225" spans="1:39" ht="15" hidden="1" thickTop="1" x14ac:dyDescent="0.35">
      <c r="A225" t="s">
        <v>3044</v>
      </c>
      <c r="B225" t="s">
        <v>3054</v>
      </c>
      <c r="C225" t="s">
        <v>71</v>
      </c>
      <c r="D225" t="s">
        <v>3055</v>
      </c>
      <c r="E225" t="s">
        <v>72</v>
      </c>
      <c r="F225">
        <v>2</v>
      </c>
      <c r="G225" t="s">
        <v>2050</v>
      </c>
      <c r="H225" t="s">
        <v>2051</v>
      </c>
      <c r="I225" t="s">
        <v>53</v>
      </c>
      <c r="J225" t="s">
        <v>73</v>
      </c>
      <c r="K225" t="s">
        <v>68</v>
      </c>
      <c r="L225" t="s">
        <v>2052</v>
      </c>
      <c r="M225" t="s">
        <v>2053</v>
      </c>
      <c r="N225">
        <v>0</v>
      </c>
      <c r="O225">
        <v>0</v>
      </c>
      <c r="P225">
        <v>0</v>
      </c>
      <c r="Q225">
        <v>1440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 t="s">
        <v>324</v>
      </c>
      <c r="AH225" s="21" t="s">
        <v>3428</v>
      </c>
      <c r="AI225" s="21">
        <v>107.92500000000001</v>
      </c>
      <c r="AJ225" s="21">
        <v>100</v>
      </c>
      <c r="AK225" s="21" t="s">
        <v>2054</v>
      </c>
      <c r="AL225" t="s">
        <v>75</v>
      </c>
      <c r="AM225" t="s">
        <v>2029</v>
      </c>
    </row>
    <row r="226" spans="1:39" ht="15" hidden="1" thickTop="1" x14ac:dyDescent="0.35">
      <c r="A226" t="s">
        <v>3057</v>
      </c>
      <c r="B226" t="s">
        <v>3061</v>
      </c>
      <c r="C226" t="s">
        <v>76</v>
      </c>
      <c r="D226" t="s">
        <v>3062</v>
      </c>
      <c r="E226" t="s">
        <v>559</v>
      </c>
      <c r="F226">
        <v>1</v>
      </c>
      <c r="G226" t="s">
        <v>2050</v>
      </c>
      <c r="H226" t="s">
        <v>2051</v>
      </c>
      <c r="I226" t="s">
        <v>53</v>
      </c>
      <c r="J226" t="s">
        <v>67</v>
      </c>
      <c r="K226" t="s">
        <v>68</v>
      </c>
      <c r="L226" t="s">
        <v>2052</v>
      </c>
      <c r="M226" t="s">
        <v>2053</v>
      </c>
      <c r="N226">
        <v>1</v>
      </c>
      <c r="O226">
        <v>46</v>
      </c>
      <c r="P226">
        <v>3.19</v>
      </c>
      <c r="Q226">
        <v>1440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46</v>
      </c>
      <c r="Z226">
        <v>3.19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 t="s">
        <v>325</v>
      </c>
      <c r="AH226" s="21" t="s">
        <v>3424</v>
      </c>
      <c r="AI226" s="21">
        <v>107.92500000000001</v>
      </c>
      <c r="AJ226" s="21">
        <v>96.805555555555557</v>
      </c>
      <c r="AK226" s="21" t="s">
        <v>2055</v>
      </c>
      <c r="AL226" t="s">
        <v>70</v>
      </c>
      <c r="AM226" t="s">
        <v>2028</v>
      </c>
    </row>
    <row r="227" spans="1:39" ht="15" hidden="1" thickTop="1" x14ac:dyDescent="0.35">
      <c r="A227" t="s">
        <v>3064</v>
      </c>
      <c r="B227" t="s">
        <v>3068</v>
      </c>
      <c r="C227" t="s">
        <v>78</v>
      </c>
      <c r="D227" t="s">
        <v>3069</v>
      </c>
      <c r="E227" t="s">
        <v>559</v>
      </c>
      <c r="F227">
        <v>1</v>
      </c>
      <c r="G227" t="s">
        <v>2050</v>
      </c>
      <c r="H227" t="s">
        <v>2051</v>
      </c>
      <c r="I227" t="s">
        <v>53</v>
      </c>
      <c r="J227" t="s">
        <v>67</v>
      </c>
      <c r="K227" t="s">
        <v>68</v>
      </c>
      <c r="L227" t="s">
        <v>2052</v>
      </c>
      <c r="M227" t="s">
        <v>2053</v>
      </c>
      <c r="N227">
        <v>0</v>
      </c>
      <c r="O227">
        <v>0</v>
      </c>
      <c r="P227">
        <v>0</v>
      </c>
      <c r="Q227">
        <v>1440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326</v>
      </c>
      <c r="AH227" s="21" t="s">
        <v>3425</v>
      </c>
      <c r="AI227" s="21">
        <v>107.92500000000001</v>
      </c>
      <c r="AJ227" s="21">
        <v>100</v>
      </c>
      <c r="AK227" s="21" t="s">
        <v>2054</v>
      </c>
      <c r="AL227" t="s">
        <v>70</v>
      </c>
      <c r="AM227" t="s">
        <v>2029</v>
      </c>
    </row>
    <row r="228" spans="1:39" ht="15" hidden="1" thickTop="1" x14ac:dyDescent="0.35">
      <c r="A228" t="s">
        <v>3071</v>
      </c>
      <c r="B228" t="s">
        <v>3086</v>
      </c>
      <c r="C228" t="s">
        <v>92</v>
      </c>
      <c r="D228" t="s">
        <v>3087</v>
      </c>
      <c r="E228" t="s">
        <v>119</v>
      </c>
      <c r="F228">
        <v>1</v>
      </c>
      <c r="G228" t="s">
        <v>2050</v>
      </c>
      <c r="H228" t="s">
        <v>2051</v>
      </c>
      <c r="I228" t="s">
        <v>53</v>
      </c>
      <c r="J228" t="s">
        <v>67</v>
      </c>
      <c r="K228" t="s">
        <v>68</v>
      </c>
      <c r="L228" t="s">
        <v>2052</v>
      </c>
      <c r="M228" t="s">
        <v>2064</v>
      </c>
      <c r="N228">
        <v>0</v>
      </c>
      <c r="O228">
        <v>0</v>
      </c>
      <c r="P228">
        <v>0</v>
      </c>
      <c r="Q228">
        <v>900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t="s">
        <v>327</v>
      </c>
      <c r="AH228" s="21" t="s">
        <v>3425</v>
      </c>
      <c r="AI228" s="21">
        <v>67.5</v>
      </c>
      <c r="AJ228" s="21">
        <v>100</v>
      </c>
      <c r="AK228" s="21" t="s">
        <v>2054</v>
      </c>
      <c r="AL228" t="s">
        <v>70</v>
      </c>
      <c r="AM228" t="s">
        <v>2029</v>
      </c>
    </row>
    <row r="229" spans="1:39" ht="15" hidden="1" thickTop="1" x14ac:dyDescent="0.35">
      <c r="A229" t="s">
        <v>3076</v>
      </c>
      <c r="B229" t="s">
        <v>3094</v>
      </c>
      <c r="C229" t="s">
        <v>76</v>
      </c>
      <c r="D229" t="s">
        <v>3095</v>
      </c>
      <c r="E229" t="s">
        <v>119</v>
      </c>
      <c r="F229">
        <v>1</v>
      </c>
      <c r="G229" t="s">
        <v>2050</v>
      </c>
      <c r="H229" t="s">
        <v>2051</v>
      </c>
      <c r="I229" t="s">
        <v>53</v>
      </c>
      <c r="J229" t="s">
        <v>67</v>
      </c>
      <c r="K229" t="s">
        <v>68</v>
      </c>
      <c r="L229" t="s">
        <v>2052</v>
      </c>
      <c r="M229" t="s">
        <v>2053</v>
      </c>
      <c r="N229">
        <v>0</v>
      </c>
      <c r="O229">
        <v>0</v>
      </c>
      <c r="P229">
        <v>0</v>
      </c>
      <c r="Q229">
        <v>1440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328</v>
      </c>
      <c r="AH229" s="21" t="s">
        <v>3425</v>
      </c>
      <c r="AI229" s="21">
        <v>107.92500000000001</v>
      </c>
      <c r="AJ229" s="21">
        <v>100</v>
      </c>
      <c r="AK229" s="21" t="s">
        <v>2054</v>
      </c>
      <c r="AL229" t="s">
        <v>70</v>
      </c>
      <c r="AM229" t="s">
        <v>2028</v>
      </c>
    </row>
    <row r="230" spans="1:39" ht="15" hidden="1" thickTop="1" x14ac:dyDescent="0.35">
      <c r="A230" t="s">
        <v>3080</v>
      </c>
      <c r="B230" t="s">
        <v>3100</v>
      </c>
      <c r="C230" t="s">
        <v>100</v>
      </c>
      <c r="D230" t="s">
        <v>3101</v>
      </c>
      <c r="E230" t="s">
        <v>559</v>
      </c>
      <c r="F230">
        <v>1</v>
      </c>
      <c r="G230" t="s">
        <v>2050</v>
      </c>
      <c r="H230" t="s">
        <v>2051</v>
      </c>
      <c r="I230" t="s">
        <v>53</v>
      </c>
      <c r="J230" t="s">
        <v>67</v>
      </c>
      <c r="K230" t="s">
        <v>68</v>
      </c>
      <c r="L230" t="s">
        <v>2052</v>
      </c>
      <c r="M230" t="s">
        <v>2053</v>
      </c>
      <c r="N230">
        <v>0</v>
      </c>
      <c r="O230">
        <v>0</v>
      </c>
      <c r="P230">
        <v>0</v>
      </c>
      <c r="Q230">
        <v>1440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t="s">
        <v>329</v>
      </c>
      <c r="AH230" s="21" t="s">
        <v>3427</v>
      </c>
      <c r="AI230" s="21">
        <v>107.92500000000001</v>
      </c>
      <c r="AJ230" s="21">
        <v>100</v>
      </c>
      <c r="AK230" s="21" t="s">
        <v>2054</v>
      </c>
      <c r="AL230" t="s">
        <v>70</v>
      </c>
      <c r="AM230" t="s">
        <v>2030</v>
      </c>
    </row>
    <row r="231" spans="1:39" ht="15" hidden="1" thickTop="1" x14ac:dyDescent="0.35">
      <c r="A231" t="s">
        <v>3084</v>
      </c>
      <c r="B231" t="s">
        <v>3106</v>
      </c>
      <c r="C231" t="s">
        <v>66</v>
      </c>
      <c r="D231" t="s">
        <v>3107</v>
      </c>
      <c r="E231" t="s">
        <v>559</v>
      </c>
      <c r="F231">
        <v>1</v>
      </c>
      <c r="G231" t="s">
        <v>2050</v>
      </c>
      <c r="H231" t="s">
        <v>2051</v>
      </c>
      <c r="I231" t="s">
        <v>53</v>
      </c>
      <c r="J231" t="s">
        <v>67</v>
      </c>
      <c r="K231" t="s">
        <v>68</v>
      </c>
      <c r="L231" t="s">
        <v>2052</v>
      </c>
      <c r="M231" t="s">
        <v>2053</v>
      </c>
      <c r="N231">
        <v>0</v>
      </c>
      <c r="O231">
        <v>0</v>
      </c>
      <c r="P231">
        <v>0</v>
      </c>
      <c r="Q231">
        <v>1440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330</v>
      </c>
      <c r="AH231" s="21" t="s">
        <v>3424</v>
      </c>
      <c r="AI231" s="21">
        <v>107.92500000000001</v>
      </c>
      <c r="AJ231" s="21">
        <v>100</v>
      </c>
      <c r="AK231" s="21" t="s">
        <v>2054</v>
      </c>
      <c r="AL231" t="s">
        <v>70</v>
      </c>
      <c r="AM231" t="s">
        <v>2028</v>
      </c>
    </row>
    <row r="232" spans="1:39" ht="15" hidden="1" thickTop="1" x14ac:dyDescent="0.35">
      <c r="A232" t="s">
        <v>3085</v>
      </c>
      <c r="B232" t="s">
        <v>3109</v>
      </c>
      <c r="C232" t="s">
        <v>100</v>
      </c>
      <c r="D232" t="s">
        <v>3110</v>
      </c>
      <c r="E232" t="s">
        <v>559</v>
      </c>
      <c r="F232">
        <v>1</v>
      </c>
      <c r="G232" t="s">
        <v>2050</v>
      </c>
      <c r="H232" t="s">
        <v>2051</v>
      </c>
      <c r="I232" t="s">
        <v>53</v>
      </c>
      <c r="J232" t="s">
        <v>67</v>
      </c>
      <c r="K232" t="s">
        <v>68</v>
      </c>
      <c r="L232" t="s">
        <v>2052</v>
      </c>
      <c r="M232" t="s">
        <v>2053</v>
      </c>
      <c r="N232">
        <v>0</v>
      </c>
      <c r="O232">
        <v>0</v>
      </c>
      <c r="P232">
        <v>0</v>
      </c>
      <c r="Q232">
        <v>1440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331</v>
      </c>
      <c r="AH232" s="21" t="s">
        <v>3424</v>
      </c>
      <c r="AI232" s="21">
        <v>107.92500000000001</v>
      </c>
      <c r="AJ232" s="21">
        <v>100</v>
      </c>
      <c r="AK232" s="21" t="s">
        <v>2054</v>
      </c>
      <c r="AL232" t="s">
        <v>70</v>
      </c>
      <c r="AM232" t="s">
        <v>2029</v>
      </c>
    </row>
    <row r="233" spans="1:39" ht="15" hidden="1" thickTop="1" x14ac:dyDescent="0.35">
      <c r="A233" t="s">
        <v>3088</v>
      </c>
      <c r="B233" t="s">
        <v>3112</v>
      </c>
      <c r="C233" t="s">
        <v>66</v>
      </c>
      <c r="D233" t="s">
        <v>3113</v>
      </c>
      <c r="E233" t="s">
        <v>559</v>
      </c>
      <c r="F233">
        <v>1</v>
      </c>
      <c r="G233" t="s">
        <v>2050</v>
      </c>
      <c r="H233" t="s">
        <v>2051</v>
      </c>
      <c r="I233" t="s">
        <v>53</v>
      </c>
      <c r="J233" t="s">
        <v>67</v>
      </c>
      <c r="K233" t="s">
        <v>68</v>
      </c>
      <c r="L233" t="s">
        <v>2052</v>
      </c>
      <c r="M233" t="s">
        <v>2053</v>
      </c>
      <c r="N233">
        <v>0</v>
      </c>
      <c r="O233">
        <v>0</v>
      </c>
      <c r="P233">
        <v>0</v>
      </c>
      <c r="Q233">
        <v>1440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t="s">
        <v>332</v>
      </c>
      <c r="AH233" s="21" t="s">
        <v>3424</v>
      </c>
      <c r="AI233" s="21">
        <v>107.92500000000001</v>
      </c>
      <c r="AJ233" s="21">
        <v>100</v>
      </c>
      <c r="AK233" s="21" t="s">
        <v>2054</v>
      </c>
      <c r="AL233" t="s">
        <v>70</v>
      </c>
      <c r="AM233" t="s">
        <v>2029</v>
      </c>
    </row>
    <row r="234" spans="1:39" ht="15" hidden="1" thickTop="1" x14ac:dyDescent="0.35">
      <c r="A234" t="s">
        <v>3089</v>
      </c>
      <c r="B234" t="s">
        <v>3114</v>
      </c>
      <c r="C234" t="s">
        <v>76</v>
      </c>
      <c r="D234" t="s">
        <v>3115</v>
      </c>
      <c r="E234" t="s">
        <v>559</v>
      </c>
      <c r="F234">
        <v>1</v>
      </c>
      <c r="G234" t="s">
        <v>2050</v>
      </c>
      <c r="H234" t="s">
        <v>2051</v>
      </c>
      <c r="I234" t="s">
        <v>53</v>
      </c>
      <c r="J234" t="s">
        <v>67</v>
      </c>
      <c r="K234" t="s">
        <v>68</v>
      </c>
      <c r="L234" t="s">
        <v>2052</v>
      </c>
      <c r="M234" t="s">
        <v>2053</v>
      </c>
      <c r="N234">
        <v>0</v>
      </c>
      <c r="O234">
        <v>0</v>
      </c>
      <c r="P234">
        <v>0</v>
      </c>
      <c r="Q234">
        <v>1440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333</v>
      </c>
      <c r="AH234" s="21" t="s">
        <v>3429</v>
      </c>
      <c r="AI234" s="21">
        <v>107.92500000000001</v>
      </c>
      <c r="AJ234" s="21">
        <v>100</v>
      </c>
      <c r="AK234" s="21" t="s">
        <v>2054</v>
      </c>
      <c r="AL234" t="s">
        <v>70</v>
      </c>
      <c r="AM234" t="s">
        <v>2027</v>
      </c>
    </row>
    <row r="235" spans="1:39" ht="15" hidden="1" thickTop="1" x14ac:dyDescent="0.35">
      <c r="A235" t="s">
        <v>3091</v>
      </c>
      <c r="B235" t="s">
        <v>3116</v>
      </c>
      <c r="C235" t="s">
        <v>66</v>
      </c>
      <c r="D235" t="s">
        <v>3117</v>
      </c>
      <c r="E235" t="s">
        <v>559</v>
      </c>
      <c r="F235">
        <v>1</v>
      </c>
      <c r="G235" t="s">
        <v>2050</v>
      </c>
      <c r="H235" t="s">
        <v>2051</v>
      </c>
      <c r="I235" t="s">
        <v>53</v>
      </c>
      <c r="J235" t="s">
        <v>67</v>
      </c>
      <c r="K235" t="s">
        <v>68</v>
      </c>
      <c r="L235" t="s">
        <v>2052</v>
      </c>
      <c r="M235" t="s">
        <v>2053</v>
      </c>
      <c r="N235">
        <v>0</v>
      </c>
      <c r="O235">
        <v>0</v>
      </c>
      <c r="P235">
        <v>0</v>
      </c>
      <c r="Q235">
        <v>1440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334</v>
      </c>
      <c r="AH235" s="21" t="s">
        <v>3424</v>
      </c>
      <c r="AI235" s="21">
        <v>107.92500000000001</v>
      </c>
      <c r="AJ235" s="21">
        <v>100</v>
      </c>
      <c r="AK235" s="21" t="s">
        <v>2054</v>
      </c>
      <c r="AL235" t="s">
        <v>70</v>
      </c>
      <c r="AM235" t="s">
        <v>2029</v>
      </c>
    </row>
    <row r="236" spans="1:39" ht="15" hidden="1" thickTop="1" x14ac:dyDescent="0.35">
      <c r="A236" t="s">
        <v>3097</v>
      </c>
      <c r="B236" t="s">
        <v>3119</v>
      </c>
      <c r="C236" t="s">
        <v>102</v>
      </c>
      <c r="D236" t="s">
        <v>3120</v>
      </c>
      <c r="E236" t="s">
        <v>559</v>
      </c>
      <c r="F236">
        <v>1</v>
      </c>
      <c r="G236" t="s">
        <v>2050</v>
      </c>
      <c r="H236" t="s">
        <v>2051</v>
      </c>
      <c r="I236" t="s">
        <v>53</v>
      </c>
      <c r="J236" t="s">
        <v>67</v>
      </c>
      <c r="K236" t="s">
        <v>68</v>
      </c>
      <c r="L236" t="s">
        <v>2052</v>
      </c>
      <c r="M236" t="s">
        <v>2053</v>
      </c>
      <c r="N236">
        <v>0</v>
      </c>
      <c r="O236">
        <v>0</v>
      </c>
      <c r="P236">
        <v>0</v>
      </c>
      <c r="Q236">
        <v>1440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335</v>
      </c>
      <c r="AH236" s="21" t="s">
        <v>3424</v>
      </c>
      <c r="AI236" s="21">
        <v>107.92500000000001</v>
      </c>
      <c r="AJ236" s="21">
        <v>100</v>
      </c>
      <c r="AK236" s="21" t="s">
        <v>2054</v>
      </c>
      <c r="AL236" t="s">
        <v>70</v>
      </c>
      <c r="AM236" t="s">
        <v>2028</v>
      </c>
    </row>
    <row r="237" spans="1:39" ht="15" hidden="1" thickTop="1" x14ac:dyDescent="0.35">
      <c r="A237" t="s">
        <v>3098</v>
      </c>
      <c r="B237" t="s">
        <v>3122</v>
      </c>
      <c r="C237" t="s">
        <v>100</v>
      </c>
      <c r="D237" t="s">
        <v>3123</v>
      </c>
      <c r="E237" t="s">
        <v>559</v>
      </c>
      <c r="F237">
        <v>1</v>
      </c>
      <c r="G237" t="s">
        <v>2050</v>
      </c>
      <c r="H237" t="s">
        <v>2051</v>
      </c>
      <c r="I237" t="s">
        <v>53</v>
      </c>
      <c r="J237" t="s">
        <v>67</v>
      </c>
      <c r="K237" t="s">
        <v>68</v>
      </c>
      <c r="L237" t="s">
        <v>2052</v>
      </c>
      <c r="M237" t="s">
        <v>2064</v>
      </c>
      <c r="N237">
        <v>0</v>
      </c>
      <c r="O237">
        <v>0</v>
      </c>
      <c r="P237">
        <v>0</v>
      </c>
      <c r="Q237">
        <v>900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336</v>
      </c>
      <c r="AH237" s="21" t="s">
        <v>3424</v>
      </c>
      <c r="AI237" s="21">
        <v>67.5</v>
      </c>
      <c r="AJ237" s="21">
        <v>100</v>
      </c>
      <c r="AK237" s="21" t="s">
        <v>2054</v>
      </c>
      <c r="AL237" t="s">
        <v>70</v>
      </c>
      <c r="AM237" t="s">
        <v>2027</v>
      </c>
    </row>
    <row r="238" spans="1:39" ht="15" hidden="1" thickTop="1" x14ac:dyDescent="0.35">
      <c r="A238" t="s">
        <v>3104</v>
      </c>
      <c r="B238" t="s">
        <v>3128</v>
      </c>
      <c r="C238" t="s">
        <v>92</v>
      </c>
      <c r="D238" t="s">
        <v>3129</v>
      </c>
      <c r="E238" t="s">
        <v>119</v>
      </c>
      <c r="F238">
        <v>1</v>
      </c>
      <c r="G238" t="s">
        <v>2050</v>
      </c>
      <c r="H238" t="s">
        <v>2051</v>
      </c>
      <c r="I238" t="s">
        <v>53</v>
      </c>
      <c r="J238" t="s">
        <v>67</v>
      </c>
      <c r="K238" t="s">
        <v>68</v>
      </c>
      <c r="L238" t="s">
        <v>2052</v>
      </c>
      <c r="M238" t="s">
        <v>2064</v>
      </c>
      <c r="N238">
        <v>0</v>
      </c>
      <c r="O238">
        <v>0</v>
      </c>
      <c r="P238">
        <v>0</v>
      </c>
      <c r="Q238">
        <v>900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337</v>
      </c>
      <c r="AH238" s="21" t="s">
        <v>3425</v>
      </c>
      <c r="AI238" s="21">
        <v>67.5</v>
      </c>
      <c r="AJ238" s="21">
        <v>100</v>
      </c>
      <c r="AK238" s="21" t="s">
        <v>2054</v>
      </c>
      <c r="AL238" t="s">
        <v>70</v>
      </c>
      <c r="AM238" t="s">
        <v>2029</v>
      </c>
    </row>
    <row r="239" spans="1:39" ht="15" hidden="1" thickTop="1" x14ac:dyDescent="0.35">
      <c r="A239" t="s">
        <v>3121</v>
      </c>
      <c r="B239" t="s">
        <v>3131</v>
      </c>
      <c r="C239" t="s">
        <v>71</v>
      </c>
      <c r="D239" t="s">
        <v>3132</v>
      </c>
      <c r="E239" t="s">
        <v>72</v>
      </c>
      <c r="F239">
        <v>1</v>
      </c>
      <c r="G239" t="s">
        <v>2050</v>
      </c>
      <c r="H239" t="s">
        <v>2051</v>
      </c>
      <c r="I239" t="s">
        <v>53</v>
      </c>
      <c r="J239" t="s">
        <v>73</v>
      </c>
      <c r="K239" t="s">
        <v>68</v>
      </c>
      <c r="L239" t="s">
        <v>2052</v>
      </c>
      <c r="M239" t="s">
        <v>2082</v>
      </c>
      <c r="N239">
        <v>0</v>
      </c>
      <c r="O239">
        <v>0</v>
      </c>
      <c r="P239">
        <v>0</v>
      </c>
      <c r="Q239">
        <v>780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t="s">
        <v>339</v>
      </c>
      <c r="AH239" s="21" t="s">
        <v>3424</v>
      </c>
      <c r="AI239" s="21">
        <v>58.500000000000014</v>
      </c>
      <c r="AJ239" s="21">
        <v>100</v>
      </c>
      <c r="AK239" s="21" t="s">
        <v>2054</v>
      </c>
      <c r="AL239" t="s">
        <v>75</v>
      </c>
      <c r="AM239" t="s">
        <v>2027</v>
      </c>
    </row>
    <row r="240" spans="1:39" ht="15" hidden="1" thickTop="1" x14ac:dyDescent="0.35">
      <c r="A240" t="s">
        <v>3124</v>
      </c>
      <c r="B240" t="s">
        <v>3133</v>
      </c>
      <c r="C240" t="s">
        <v>135</v>
      </c>
      <c r="D240" t="s">
        <v>3134</v>
      </c>
      <c r="E240" t="s">
        <v>136</v>
      </c>
      <c r="F240">
        <v>4</v>
      </c>
      <c r="G240" t="s">
        <v>2050</v>
      </c>
      <c r="H240" t="s">
        <v>2051</v>
      </c>
      <c r="I240" t="s">
        <v>53</v>
      </c>
      <c r="J240" t="s">
        <v>137</v>
      </c>
      <c r="K240" t="s">
        <v>68</v>
      </c>
      <c r="L240" t="s">
        <v>2052</v>
      </c>
      <c r="M240" t="s">
        <v>2053</v>
      </c>
      <c r="N240">
        <v>0</v>
      </c>
      <c r="O240">
        <v>0</v>
      </c>
      <c r="P240">
        <v>0</v>
      </c>
      <c r="Q240">
        <v>1440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t="s">
        <v>340</v>
      </c>
      <c r="AH240" s="21" t="s">
        <v>3430</v>
      </c>
      <c r="AI240" s="21">
        <v>107.92500000000001</v>
      </c>
      <c r="AJ240" s="21">
        <v>100</v>
      </c>
      <c r="AK240" s="21" t="s">
        <v>2055</v>
      </c>
      <c r="AL240" t="s">
        <v>115</v>
      </c>
      <c r="AM240" t="s">
        <v>2029</v>
      </c>
    </row>
    <row r="241" spans="1:39" ht="15" hidden="1" thickTop="1" x14ac:dyDescent="0.35">
      <c r="A241" t="s">
        <v>3125</v>
      </c>
      <c r="B241" t="s">
        <v>3135</v>
      </c>
      <c r="C241" t="s">
        <v>820</v>
      </c>
      <c r="D241" t="s">
        <v>3136</v>
      </c>
      <c r="E241" t="s">
        <v>72</v>
      </c>
      <c r="F241">
        <v>1</v>
      </c>
      <c r="G241" t="s">
        <v>2050</v>
      </c>
      <c r="H241" t="s">
        <v>2051</v>
      </c>
      <c r="I241" t="s">
        <v>53</v>
      </c>
      <c r="J241" t="s">
        <v>424</v>
      </c>
      <c r="K241" t="s">
        <v>68</v>
      </c>
      <c r="L241" t="s">
        <v>2052</v>
      </c>
      <c r="M241" t="s">
        <v>2053</v>
      </c>
      <c r="N241">
        <v>0</v>
      </c>
      <c r="O241">
        <v>0</v>
      </c>
      <c r="P241">
        <v>0</v>
      </c>
      <c r="Q241">
        <v>1440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341</v>
      </c>
      <c r="AH241" s="21" t="s">
        <v>3427</v>
      </c>
      <c r="AI241" s="21">
        <v>107.92500000000001</v>
      </c>
      <c r="AJ241" s="21">
        <v>100</v>
      </c>
      <c r="AK241" s="21" t="s">
        <v>2054</v>
      </c>
      <c r="AL241" t="s">
        <v>75</v>
      </c>
      <c r="AM241" t="s">
        <v>2027</v>
      </c>
    </row>
    <row r="242" spans="1:39" ht="15" hidden="1" thickTop="1" x14ac:dyDescent="0.35">
      <c r="A242" t="s">
        <v>3138</v>
      </c>
      <c r="B242" t="s">
        <v>3145</v>
      </c>
      <c r="C242" t="s">
        <v>117</v>
      </c>
      <c r="D242" t="s">
        <v>3146</v>
      </c>
      <c r="E242" t="s">
        <v>559</v>
      </c>
      <c r="F242">
        <v>1</v>
      </c>
      <c r="G242" t="s">
        <v>2050</v>
      </c>
      <c r="H242" t="s">
        <v>2051</v>
      </c>
      <c r="I242" t="s">
        <v>53</v>
      </c>
      <c r="J242" t="s">
        <v>67</v>
      </c>
      <c r="K242" t="s">
        <v>68</v>
      </c>
      <c r="L242" t="s">
        <v>2052</v>
      </c>
      <c r="M242" t="s">
        <v>2053</v>
      </c>
      <c r="N242">
        <v>0</v>
      </c>
      <c r="O242">
        <v>0</v>
      </c>
      <c r="P242">
        <v>0</v>
      </c>
      <c r="Q242">
        <v>1440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t="s">
        <v>342</v>
      </c>
      <c r="AH242" s="21" t="s">
        <v>3424</v>
      </c>
      <c r="AI242" s="21">
        <v>107.92500000000001</v>
      </c>
      <c r="AJ242" s="21">
        <v>100</v>
      </c>
      <c r="AK242" s="21" t="s">
        <v>2054</v>
      </c>
      <c r="AL242" t="s">
        <v>70</v>
      </c>
      <c r="AM242" t="s">
        <v>2029</v>
      </c>
    </row>
    <row r="243" spans="1:39" ht="15" hidden="1" thickTop="1" x14ac:dyDescent="0.35">
      <c r="A243" t="s">
        <v>3141</v>
      </c>
      <c r="B243" t="s">
        <v>3147</v>
      </c>
      <c r="C243" t="s">
        <v>102</v>
      </c>
      <c r="D243" t="s">
        <v>3148</v>
      </c>
      <c r="E243" t="s">
        <v>559</v>
      </c>
      <c r="F243">
        <v>1</v>
      </c>
      <c r="G243" t="s">
        <v>2050</v>
      </c>
      <c r="H243" t="s">
        <v>2051</v>
      </c>
      <c r="I243" t="s">
        <v>53</v>
      </c>
      <c r="J243" t="s">
        <v>67</v>
      </c>
      <c r="K243" t="s">
        <v>68</v>
      </c>
      <c r="L243" t="s">
        <v>2052</v>
      </c>
      <c r="M243" t="s">
        <v>2053</v>
      </c>
      <c r="N243">
        <v>0</v>
      </c>
      <c r="O243">
        <v>0</v>
      </c>
      <c r="P243">
        <v>0</v>
      </c>
      <c r="Q243">
        <v>1440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t="s">
        <v>343</v>
      </c>
      <c r="AH243" s="21" t="s">
        <v>3424</v>
      </c>
      <c r="AI243" s="21">
        <v>107.92500000000001</v>
      </c>
      <c r="AJ243" s="21">
        <v>100</v>
      </c>
      <c r="AK243" s="21" t="s">
        <v>2055</v>
      </c>
      <c r="AL243" t="s">
        <v>70</v>
      </c>
      <c r="AM243" t="s">
        <v>2027</v>
      </c>
    </row>
    <row r="244" spans="1:39" ht="15" hidden="1" thickTop="1" x14ac:dyDescent="0.35">
      <c r="A244" t="s">
        <v>3149</v>
      </c>
      <c r="B244" t="s">
        <v>3151</v>
      </c>
      <c r="C244" t="s">
        <v>76</v>
      </c>
      <c r="D244" t="s">
        <v>3152</v>
      </c>
      <c r="E244" t="s">
        <v>559</v>
      </c>
      <c r="F244">
        <v>1</v>
      </c>
      <c r="G244" t="s">
        <v>2050</v>
      </c>
      <c r="H244" t="s">
        <v>2051</v>
      </c>
      <c r="I244" t="s">
        <v>53</v>
      </c>
      <c r="J244" t="s">
        <v>67</v>
      </c>
      <c r="K244" t="s">
        <v>68</v>
      </c>
      <c r="L244" t="s">
        <v>2052</v>
      </c>
      <c r="M244" t="s">
        <v>2053</v>
      </c>
      <c r="N244">
        <v>0</v>
      </c>
      <c r="O244">
        <v>0</v>
      </c>
      <c r="P244">
        <v>0</v>
      </c>
      <c r="Q244">
        <v>1440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344</v>
      </c>
      <c r="AH244" s="21" t="s">
        <v>3427</v>
      </c>
      <c r="AI244" s="21">
        <v>107.92500000000001</v>
      </c>
      <c r="AJ244" s="21">
        <v>100</v>
      </c>
      <c r="AK244" s="21" t="s">
        <v>2054</v>
      </c>
      <c r="AL244" t="s">
        <v>70</v>
      </c>
      <c r="AM244" t="s">
        <v>2028</v>
      </c>
    </row>
    <row r="245" spans="1:39" ht="15" hidden="1" thickTop="1" x14ac:dyDescent="0.35">
      <c r="A245" t="s">
        <v>3154</v>
      </c>
      <c r="B245" t="s">
        <v>3165</v>
      </c>
      <c r="C245" t="s">
        <v>117</v>
      </c>
      <c r="D245" t="s">
        <v>3166</v>
      </c>
      <c r="E245" t="s">
        <v>559</v>
      </c>
      <c r="F245">
        <v>1</v>
      </c>
      <c r="G245" t="s">
        <v>2050</v>
      </c>
      <c r="H245" t="s">
        <v>2051</v>
      </c>
      <c r="I245" t="s">
        <v>53</v>
      </c>
      <c r="J245" t="s">
        <v>67</v>
      </c>
      <c r="K245" t="s">
        <v>68</v>
      </c>
      <c r="L245" t="s">
        <v>2052</v>
      </c>
      <c r="M245" t="s">
        <v>2053</v>
      </c>
      <c r="N245">
        <v>1</v>
      </c>
      <c r="O245">
        <v>57</v>
      </c>
      <c r="P245">
        <v>3.96</v>
      </c>
      <c r="Q245">
        <v>1440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57</v>
      </c>
      <c r="Z245">
        <v>3.96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345</v>
      </c>
      <c r="AH245" s="21" t="s">
        <v>3427</v>
      </c>
      <c r="AI245" s="21">
        <v>107.92500000000001</v>
      </c>
      <c r="AJ245" s="21">
        <v>96.041666666666671</v>
      </c>
      <c r="AK245" s="21" t="s">
        <v>2054</v>
      </c>
      <c r="AL245" t="s">
        <v>70</v>
      </c>
      <c r="AM245" t="s">
        <v>2029</v>
      </c>
    </row>
    <row r="246" spans="1:39" ht="15" hidden="1" thickTop="1" x14ac:dyDescent="0.35">
      <c r="A246" t="s">
        <v>2079</v>
      </c>
      <c r="B246" t="s">
        <v>3171</v>
      </c>
      <c r="C246" t="s">
        <v>66</v>
      </c>
      <c r="D246" t="s">
        <v>3010</v>
      </c>
      <c r="E246" t="s">
        <v>559</v>
      </c>
      <c r="F246">
        <v>1</v>
      </c>
      <c r="G246" t="s">
        <v>2050</v>
      </c>
      <c r="H246" t="s">
        <v>2051</v>
      </c>
      <c r="I246" t="s">
        <v>53</v>
      </c>
      <c r="J246" t="s">
        <v>67</v>
      </c>
      <c r="K246" t="s">
        <v>68</v>
      </c>
      <c r="L246" t="s">
        <v>2052</v>
      </c>
      <c r="M246" t="s">
        <v>2053</v>
      </c>
      <c r="N246">
        <v>0</v>
      </c>
      <c r="O246">
        <v>0</v>
      </c>
      <c r="P246">
        <v>0</v>
      </c>
      <c r="Q246">
        <v>1440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346</v>
      </c>
      <c r="AH246" s="21" t="s">
        <v>3428</v>
      </c>
      <c r="AI246" s="21">
        <v>107.92500000000001</v>
      </c>
      <c r="AJ246" s="21">
        <v>100</v>
      </c>
      <c r="AK246" s="21" t="s">
        <v>2055</v>
      </c>
      <c r="AL246" t="s">
        <v>70</v>
      </c>
      <c r="AM246" t="s">
        <v>2030</v>
      </c>
    </row>
    <row r="247" spans="1:39" ht="15" hidden="1" thickTop="1" x14ac:dyDescent="0.35">
      <c r="A247" t="s">
        <v>2589</v>
      </c>
      <c r="B247" t="s">
        <v>3172</v>
      </c>
      <c r="C247" t="s">
        <v>66</v>
      </c>
      <c r="D247" t="s">
        <v>3173</v>
      </c>
      <c r="E247" t="s">
        <v>559</v>
      </c>
      <c r="F247">
        <v>1</v>
      </c>
      <c r="G247" t="s">
        <v>2050</v>
      </c>
      <c r="H247" t="s">
        <v>2051</v>
      </c>
      <c r="I247" t="s">
        <v>53</v>
      </c>
      <c r="J247" t="s">
        <v>67</v>
      </c>
      <c r="K247" t="s">
        <v>68</v>
      </c>
      <c r="L247" t="s">
        <v>2052</v>
      </c>
      <c r="M247" t="s">
        <v>2053</v>
      </c>
      <c r="N247">
        <v>0</v>
      </c>
      <c r="O247">
        <v>0</v>
      </c>
      <c r="P247">
        <v>0</v>
      </c>
      <c r="Q247">
        <v>1440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347</v>
      </c>
      <c r="AH247" s="21" t="s">
        <v>3427</v>
      </c>
      <c r="AI247" s="21">
        <v>107.92500000000001</v>
      </c>
      <c r="AJ247" s="21">
        <v>100</v>
      </c>
      <c r="AK247" s="21" t="s">
        <v>2055</v>
      </c>
      <c r="AL247" t="s">
        <v>70</v>
      </c>
      <c r="AM247" t="s">
        <v>2030</v>
      </c>
    </row>
    <row r="248" spans="1:39" ht="15" hidden="1" thickTop="1" x14ac:dyDescent="0.35">
      <c r="A248" t="s">
        <v>3168</v>
      </c>
      <c r="B248" t="s">
        <v>3174</v>
      </c>
      <c r="C248" t="s">
        <v>117</v>
      </c>
      <c r="D248" t="s">
        <v>3175</v>
      </c>
      <c r="E248" t="s">
        <v>559</v>
      </c>
      <c r="F248">
        <v>1</v>
      </c>
      <c r="G248" t="s">
        <v>2050</v>
      </c>
      <c r="H248" t="s">
        <v>2051</v>
      </c>
      <c r="I248" t="s">
        <v>53</v>
      </c>
      <c r="J248" t="s">
        <v>67</v>
      </c>
      <c r="K248" t="s">
        <v>68</v>
      </c>
      <c r="L248" t="s">
        <v>2052</v>
      </c>
      <c r="M248" t="s">
        <v>2053</v>
      </c>
      <c r="N248">
        <v>0</v>
      </c>
      <c r="O248">
        <v>0</v>
      </c>
      <c r="P248">
        <v>0</v>
      </c>
      <c r="Q248">
        <v>1440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348</v>
      </c>
      <c r="AH248" s="21" t="s">
        <v>3430</v>
      </c>
      <c r="AI248" s="21">
        <v>107.92500000000001</v>
      </c>
      <c r="AJ248" s="21">
        <v>100</v>
      </c>
      <c r="AK248" s="21" t="s">
        <v>2054</v>
      </c>
      <c r="AL248" t="s">
        <v>70</v>
      </c>
      <c r="AM248" t="s">
        <v>2030</v>
      </c>
    </row>
    <row r="249" spans="1:39" ht="15" hidden="1" thickTop="1" x14ac:dyDescent="0.35">
      <c r="A249" t="s">
        <v>3177</v>
      </c>
      <c r="B249" t="s">
        <v>3186</v>
      </c>
      <c r="C249" t="s">
        <v>117</v>
      </c>
      <c r="D249" t="s">
        <v>3187</v>
      </c>
      <c r="E249" t="s">
        <v>559</v>
      </c>
      <c r="F249">
        <v>1</v>
      </c>
      <c r="G249" t="s">
        <v>2050</v>
      </c>
      <c r="H249" t="s">
        <v>2051</v>
      </c>
      <c r="I249" t="s">
        <v>53</v>
      </c>
      <c r="J249" t="s">
        <v>67</v>
      </c>
      <c r="K249" t="s">
        <v>68</v>
      </c>
      <c r="L249" t="s">
        <v>2052</v>
      </c>
      <c r="M249" t="s">
        <v>2053</v>
      </c>
      <c r="N249">
        <v>1</v>
      </c>
      <c r="O249">
        <v>21</v>
      </c>
      <c r="P249">
        <v>1.46</v>
      </c>
      <c r="Q249">
        <v>1440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21</v>
      </c>
      <c r="Z249">
        <v>1.46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349</v>
      </c>
      <c r="AH249" s="21" t="s">
        <v>3427</v>
      </c>
      <c r="AI249" s="21">
        <v>107.92500000000001</v>
      </c>
      <c r="AJ249" s="21">
        <v>98.541666666666671</v>
      </c>
      <c r="AK249" s="21" t="s">
        <v>2054</v>
      </c>
      <c r="AL249" t="s">
        <v>70</v>
      </c>
      <c r="AM249" t="s">
        <v>2029</v>
      </c>
    </row>
    <row r="250" spans="1:39" ht="15" hidden="1" thickTop="1" x14ac:dyDescent="0.35">
      <c r="A250" t="s">
        <v>3178</v>
      </c>
      <c r="B250" t="s">
        <v>3188</v>
      </c>
      <c r="C250" t="s">
        <v>92</v>
      </c>
      <c r="D250" t="s">
        <v>3189</v>
      </c>
      <c r="E250" t="s">
        <v>119</v>
      </c>
      <c r="F250">
        <v>1</v>
      </c>
      <c r="G250" t="s">
        <v>2050</v>
      </c>
      <c r="H250" t="s">
        <v>2051</v>
      </c>
      <c r="I250" t="s">
        <v>53</v>
      </c>
      <c r="J250" t="s">
        <v>67</v>
      </c>
      <c r="K250" t="s">
        <v>68</v>
      </c>
      <c r="L250" t="s">
        <v>2052</v>
      </c>
      <c r="M250" t="s">
        <v>2053</v>
      </c>
      <c r="N250">
        <v>0</v>
      </c>
      <c r="O250">
        <v>0</v>
      </c>
      <c r="P250">
        <v>0</v>
      </c>
      <c r="Q250">
        <v>1440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350</v>
      </c>
      <c r="AH250" s="21" t="s">
        <v>3427</v>
      </c>
      <c r="AI250" s="21">
        <v>107.92500000000001</v>
      </c>
      <c r="AJ250" s="21">
        <v>100</v>
      </c>
      <c r="AK250" s="21" t="s">
        <v>2054</v>
      </c>
      <c r="AL250" t="s">
        <v>70</v>
      </c>
      <c r="AM250" t="s">
        <v>2027</v>
      </c>
    </row>
    <row r="251" spans="1:39" ht="15" hidden="1" thickTop="1" x14ac:dyDescent="0.35">
      <c r="A251" t="s">
        <v>3183</v>
      </c>
      <c r="B251" t="s">
        <v>3190</v>
      </c>
      <c r="C251" t="s">
        <v>71</v>
      </c>
      <c r="D251" t="s">
        <v>3191</v>
      </c>
      <c r="E251" t="s">
        <v>72</v>
      </c>
      <c r="F251">
        <v>1</v>
      </c>
      <c r="G251" t="s">
        <v>2050</v>
      </c>
      <c r="H251" t="s">
        <v>2051</v>
      </c>
      <c r="I251" t="s">
        <v>53</v>
      </c>
      <c r="J251" t="s">
        <v>73</v>
      </c>
      <c r="K251" t="s">
        <v>68</v>
      </c>
      <c r="L251" t="s">
        <v>2052</v>
      </c>
      <c r="M251" t="s">
        <v>2053</v>
      </c>
      <c r="N251">
        <v>0</v>
      </c>
      <c r="O251">
        <v>0</v>
      </c>
      <c r="P251">
        <v>0</v>
      </c>
      <c r="Q251">
        <v>1440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351</v>
      </c>
      <c r="AH251" s="21" t="s">
        <v>3427</v>
      </c>
      <c r="AI251" s="21">
        <v>107.92500000000001</v>
      </c>
      <c r="AJ251" s="21">
        <v>100</v>
      </c>
      <c r="AK251" s="21" t="s">
        <v>2054</v>
      </c>
      <c r="AL251" t="s">
        <v>75</v>
      </c>
      <c r="AM251" t="s">
        <v>2030</v>
      </c>
    </row>
    <row r="252" spans="1:39" ht="15" hidden="1" thickTop="1" x14ac:dyDescent="0.35">
      <c r="A252" t="s">
        <v>3192</v>
      </c>
      <c r="B252" t="s">
        <v>3201</v>
      </c>
      <c r="C252" t="s">
        <v>76</v>
      </c>
      <c r="D252" t="s">
        <v>3202</v>
      </c>
      <c r="E252" t="s">
        <v>559</v>
      </c>
      <c r="F252">
        <v>1</v>
      </c>
      <c r="G252" t="s">
        <v>2050</v>
      </c>
      <c r="H252" t="s">
        <v>2051</v>
      </c>
      <c r="I252" t="s">
        <v>53</v>
      </c>
      <c r="J252" t="s">
        <v>67</v>
      </c>
      <c r="K252" t="s">
        <v>68</v>
      </c>
      <c r="L252" t="s">
        <v>2052</v>
      </c>
      <c r="M252" t="s">
        <v>2064</v>
      </c>
      <c r="N252">
        <v>0</v>
      </c>
      <c r="O252">
        <v>0</v>
      </c>
      <c r="P252">
        <v>0</v>
      </c>
      <c r="Q252">
        <v>900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353</v>
      </c>
      <c r="AH252" s="21" t="s">
        <v>3425</v>
      </c>
      <c r="AI252" s="21">
        <v>67.5</v>
      </c>
      <c r="AJ252" s="21">
        <v>100</v>
      </c>
      <c r="AK252" s="21" t="s">
        <v>2054</v>
      </c>
      <c r="AL252" t="s">
        <v>70</v>
      </c>
      <c r="AM252" t="s">
        <v>2028</v>
      </c>
    </row>
    <row r="253" spans="1:39" ht="15" hidden="1" thickTop="1" x14ac:dyDescent="0.35">
      <c r="A253" t="s">
        <v>3193</v>
      </c>
      <c r="B253" t="s">
        <v>3204</v>
      </c>
      <c r="C253" t="s">
        <v>102</v>
      </c>
      <c r="D253" t="s">
        <v>3205</v>
      </c>
      <c r="E253" t="s">
        <v>559</v>
      </c>
      <c r="F253">
        <v>1</v>
      </c>
      <c r="G253" t="s">
        <v>2050</v>
      </c>
      <c r="H253" t="s">
        <v>2051</v>
      </c>
      <c r="I253" t="s">
        <v>53</v>
      </c>
      <c r="J253" t="s">
        <v>67</v>
      </c>
      <c r="K253" t="s">
        <v>68</v>
      </c>
      <c r="L253" t="s">
        <v>2052</v>
      </c>
      <c r="M253" t="s">
        <v>2053</v>
      </c>
      <c r="N253">
        <v>0</v>
      </c>
      <c r="O253">
        <v>0</v>
      </c>
      <c r="P253">
        <v>0</v>
      </c>
      <c r="Q253">
        <v>1440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t="s">
        <v>354</v>
      </c>
      <c r="AH253" s="21" t="s">
        <v>3425</v>
      </c>
      <c r="AI253" s="21">
        <v>107.92500000000001</v>
      </c>
      <c r="AJ253" s="21">
        <v>100</v>
      </c>
      <c r="AK253" s="21" t="s">
        <v>2054</v>
      </c>
      <c r="AL253" t="s">
        <v>70</v>
      </c>
      <c r="AM253" t="s">
        <v>2027</v>
      </c>
    </row>
    <row r="254" spans="1:39" ht="15" hidden="1" thickTop="1" x14ac:dyDescent="0.35">
      <c r="A254" t="s">
        <v>3197</v>
      </c>
      <c r="B254" t="s">
        <v>3216</v>
      </c>
      <c r="C254" t="s">
        <v>111</v>
      </c>
      <c r="D254" t="s">
        <v>3217</v>
      </c>
      <c r="E254" t="s">
        <v>112</v>
      </c>
      <c r="F254">
        <v>1</v>
      </c>
      <c r="G254" t="s">
        <v>2050</v>
      </c>
      <c r="H254" t="s">
        <v>2051</v>
      </c>
      <c r="I254" t="s">
        <v>53</v>
      </c>
      <c r="J254" t="s">
        <v>113</v>
      </c>
      <c r="K254" t="s">
        <v>68</v>
      </c>
      <c r="L254" t="s">
        <v>2052</v>
      </c>
      <c r="M254" t="s">
        <v>2053</v>
      </c>
      <c r="N254">
        <v>0</v>
      </c>
      <c r="O254">
        <v>0</v>
      </c>
      <c r="P254">
        <v>0</v>
      </c>
      <c r="Q254">
        <v>1440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355</v>
      </c>
      <c r="AH254" s="21" t="s">
        <v>3424</v>
      </c>
      <c r="AI254" s="21">
        <v>107.92500000000001</v>
      </c>
      <c r="AJ254" s="21">
        <v>100</v>
      </c>
      <c r="AK254" s="21" t="s">
        <v>2054</v>
      </c>
      <c r="AL254" t="s">
        <v>115</v>
      </c>
      <c r="AM254" t="s">
        <v>2029</v>
      </c>
    </row>
    <row r="255" spans="1:39" ht="15" hidden="1" thickTop="1" x14ac:dyDescent="0.35">
      <c r="A255" t="s">
        <v>3206</v>
      </c>
      <c r="B255" t="s">
        <v>3219</v>
      </c>
      <c r="C255" t="s">
        <v>92</v>
      </c>
      <c r="D255" t="s">
        <v>3220</v>
      </c>
      <c r="E255" t="s">
        <v>119</v>
      </c>
      <c r="F255">
        <v>1</v>
      </c>
      <c r="G255" t="s">
        <v>2050</v>
      </c>
      <c r="H255" t="s">
        <v>2051</v>
      </c>
      <c r="I255" t="s">
        <v>53</v>
      </c>
      <c r="J255" t="s">
        <v>67</v>
      </c>
      <c r="K255" t="s">
        <v>68</v>
      </c>
      <c r="L255" t="s">
        <v>2052</v>
      </c>
      <c r="M255" t="s">
        <v>2082</v>
      </c>
      <c r="N255">
        <v>0</v>
      </c>
      <c r="O255">
        <v>0</v>
      </c>
      <c r="P255">
        <v>0</v>
      </c>
      <c r="Q255">
        <v>780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t="s">
        <v>356</v>
      </c>
      <c r="AH255" s="21" t="s">
        <v>3424</v>
      </c>
      <c r="AI255" s="21">
        <v>58.500000000000014</v>
      </c>
      <c r="AJ255" s="21">
        <v>100</v>
      </c>
      <c r="AK255" s="21" t="s">
        <v>2054</v>
      </c>
      <c r="AL255" t="s">
        <v>70</v>
      </c>
      <c r="AM255" t="s">
        <v>2027</v>
      </c>
    </row>
    <row r="256" spans="1:39" ht="15" hidden="1" thickTop="1" x14ac:dyDescent="0.35">
      <c r="A256" t="s">
        <v>3210</v>
      </c>
      <c r="B256" t="s">
        <v>3230</v>
      </c>
      <c r="C256" t="s">
        <v>100</v>
      </c>
      <c r="D256" t="s">
        <v>3231</v>
      </c>
      <c r="E256" t="s">
        <v>559</v>
      </c>
      <c r="F256">
        <v>1</v>
      </c>
      <c r="G256" t="s">
        <v>2050</v>
      </c>
      <c r="H256" t="s">
        <v>2051</v>
      </c>
      <c r="I256" t="s">
        <v>53</v>
      </c>
      <c r="J256" t="s">
        <v>67</v>
      </c>
      <c r="K256" t="s">
        <v>68</v>
      </c>
      <c r="L256" t="s">
        <v>2052</v>
      </c>
      <c r="M256" t="s">
        <v>2064</v>
      </c>
      <c r="N256">
        <v>0</v>
      </c>
      <c r="O256">
        <v>0</v>
      </c>
      <c r="P256">
        <v>0</v>
      </c>
      <c r="Q256">
        <v>900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t="s">
        <v>358</v>
      </c>
      <c r="AH256" s="21" t="s">
        <v>3424</v>
      </c>
      <c r="AI256" s="21">
        <v>67.5</v>
      </c>
      <c r="AJ256" s="21">
        <v>100</v>
      </c>
      <c r="AK256" s="21" t="s">
        <v>2054</v>
      </c>
      <c r="AL256" t="s">
        <v>70</v>
      </c>
      <c r="AM256" t="s">
        <v>2028</v>
      </c>
    </row>
    <row r="257" spans="1:39" ht="15" hidden="1" thickTop="1" x14ac:dyDescent="0.35">
      <c r="A257" t="s">
        <v>3212</v>
      </c>
      <c r="B257" t="s">
        <v>3234</v>
      </c>
      <c r="C257" t="s">
        <v>102</v>
      </c>
      <c r="D257" t="s">
        <v>3235</v>
      </c>
      <c r="E257" t="s">
        <v>559</v>
      </c>
      <c r="F257">
        <v>1</v>
      </c>
      <c r="G257" t="s">
        <v>2050</v>
      </c>
      <c r="H257" t="s">
        <v>2051</v>
      </c>
      <c r="I257" t="s">
        <v>53</v>
      </c>
      <c r="J257" t="s">
        <v>67</v>
      </c>
      <c r="K257" t="s">
        <v>68</v>
      </c>
      <c r="L257" t="s">
        <v>2052</v>
      </c>
      <c r="M257" t="s">
        <v>2053</v>
      </c>
      <c r="N257">
        <v>0</v>
      </c>
      <c r="O257">
        <v>0</v>
      </c>
      <c r="P257">
        <v>0</v>
      </c>
      <c r="Q257">
        <v>1440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 t="s">
        <v>359</v>
      </c>
      <c r="AH257" s="21" t="s">
        <v>3424</v>
      </c>
      <c r="AI257" s="21">
        <v>107.92500000000001</v>
      </c>
      <c r="AJ257" s="21">
        <v>100</v>
      </c>
      <c r="AK257" s="21" t="s">
        <v>2054</v>
      </c>
      <c r="AL257" t="s">
        <v>70</v>
      </c>
      <c r="AM257" t="s">
        <v>2029</v>
      </c>
    </row>
    <row r="258" spans="1:39" ht="15" hidden="1" thickTop="1" x14ac:dyDescent="0.35">
      <c r="A258" t="s">
        <v>3221</v>
      </c>
      <c r="B258" t="s">
        <v>3243</v>
      </c>
      <c r="C258" t="s">
        <v>81</v>
      </c>
      <c r="D258" t="s">
        <v>3244</v>
      </c>
      <c r="E258" t="s">
        <v>559</v>
      </c>
      <c r="F258">
        <v>2</v>
      </c>
      <c r="G258" t="s">
        <v>2050</v>
      </c>
      <c r="H258" t="s">
        <v>2051</v>
      </c>
      <c r="I258" t="s">
        <v>53</v>
      </c>
      <c r="J258" t="s">
        <v>82</v>
      </c>
      <c r="K258" t="s">
        <v>68</v>
      </c>
      <c r="L258" t="s">
        <v>2052</v>
      </c>
      <c r="M258" t="s">
        <v>2078</v>
      </c>
      <c r="N258">
        <v>0</v>
      </c>
      <c r="O258">
        <v>0</v>
      </c>
      <c r="P258">
        <v>0</v>
      </c>
      <c r="Q258">
        <v>960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 t="s">
        <v>360</v>
      </c>
      <c r="AH258" s="21" t="s">
        <v>3424</v>
      </c>
      <c r="AI258" s="21">
        <v>72</v>
      </c>
      <c r="AJ258" s="21">
        <v>100</v>
      </c>
      <c r="AK258" s="21" t="s">
        <v>2054</v>
      </c>
      <c r="AL258" t="s">
        <v>70</v>
      </c>
      <c r="AM258" t="s">
        <v>2030</v>
      </c>
    </row>
    <row r="259" spans="1:39" ht="15" hidden="1" thickTop="1" x14ac:dyDescent="0.35">
      <c r="A259" t="s">
        <v>3223</v>
      </c>
      <c r="B259" t="s">
        <v>3247</v>
      </c>
      <c r="C259" t="s">
        <v>78</v>
      </c>
      <c r="D259" t="s">
        <v>3248</v>
      </c>
      <c r="E259" t="s">
        <v>559</v>
      </c>
      <c r="F259">
        <v>1</v>
      </c>
      <c r="G259" t="s">
        <v>2050</v>
      </c>
      <c r="H259" t="s">
        <v>2051</v>
      </c>
      <c r="I259" t="s">
        <v>53</v>
      </c>
      <c r="J259" t="s">
        <v>67</v>
      </c>
      <c r="K259" t="s">
        <v>68</v>
      </c>
      <c r="L259" t="s">
        <v>2052</v>
      </c>
      <c r="M259" t="s">
        <v>2053</v>
      </c>
      <c r="N259">
        <v>0</v>
      </c>
      <c r="O259">
        <v>0</v>
      </c>
      <c r="P259">
        <v>0</v>
      </c>
      <c r="Q259">
        <v>1440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361</v>
      </c>
      <c r="AH259" s="21" t="s">
        <v>3429</v>
      </c>
      <c r="AI259" s="21">
        <v>107.92500000000001</v>
      </c>
      <c r="AJ259" s="21">
        <v>100</v>
      </c>
      <c r="AK259" s="21" t="s">
        <v>2054</v>
      </c>
      <c r="AL259" t="s">
        <v>70</v>
      </c>
      <c r="AM259" t="s">
        <v>2029</v>
      </c>
    </row>
    <row r="260" spans="1:39" ht="15" hidden="1" thickTop="1" x14ac:dyDescent="0.35">
      <c r="A260" t="s">
        <v>3225</v>
      </c>
      <c r="B260" t="s">
        <v>3251</v>
      </c>
      <c r="C260" t="s">
        <v>66</v>
      </c>
      <c r="D260" t="s">
        <v>3252</v>
      </c>
      <c r="E260" t="s">
        <v>559</v>
      </c>
      <c r="F260">
        <v>1</v>
      </c>
      <c r="G260" t="s">
        <v>2050</v>
      </c>
      <c r="H260" t="s">
        <v>2051</v>
      </c>
      <c r="I260" t="s">
        <v>53</v>
      </c>
      <c r="J260" t="s">
        <v>67</v>
      </c>
      <c r="K260" t="s">
        <v>68</v>
      </c>
      <c r="L260" t="s">
        <v>2052</v>
      </c>
      <c r="M260" t="s">
        <v>2064</v>
      </c>
      <c r="N260">
        <v>0</v>
      </c>
      <c r="O260">
        <v>0</v>
      </c>
      <c r="P260">
        <v>0</v>
      </c>
      <c r="Q260">
        <v>900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362</v>
      </c>
      <c r="AH260" s="21" t="s">
        <v>3425</v>
      </c>
      <c r="AI260" s="21">
        <v>67.5</v>
      </c>
      <c r="AJ260" s="21">
        <v>100</v>
      </c>
      <c r="AK260" s="21" t="s">
        <v>2054</v>
      </c>
      <c r="AL260" t="s">
        <v>70</v>
      </c>
      <c r="AM260" t="s">
        <v>2031</v>
      </c>
    </row>
    <row r="261" spans="1:39" ht="15" hidden="1" thickTop="1" x14ac:dyDescent="0.35">
      <c r="A261" t="s">
        <v>3227</v>
      </c>
      <c r="B261" t="s">
        <v>3256</v>
      </c>
      <c r="C261" t="s">
        <v>3376</v>
      </c>
      <c r="D261" t="s">
        <v>3257</v>
      </c>
      <c r="E261" t="s">
        <v>559</v>
      </c>
      <c r="F261">
        <v>1</v>
      </c>
      <c r="G261" t="s">
        <v>2050</v>
      </c>
      <c r="H261" t="s">
        <v>2051</v>
      </c>
      <c r="I261" t="s">
        <v>53</v>
      </c>
      <c r="J261" t="s">
        <v>67</v>
      </c>
      <c r="K261" t="s">
        <v>68</v>
      </c>
      <c r="L261" t="s">
        <v>2052</v>
      </c>
      <c r="M261" t="s">
        <v>2053</v>
      </c>
      <c r="N261">
        <v>0</v>
      </c>
      <c r="O261">
        <v>0</v>
      </c>
      <c r="P261">
        <v>0</v>
      </c>
      <c r="Q261">
        <v>1440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363</v>
      </c>
      <c r="AH261" s="21" t="s">
        <v>3424</v>
      </c>
      <c r="AI261" s="21">
        <v>107.92500000000001</v>
      </c>
      <c r="AJ261" s="21">
        <v>100</v>
      </c>
      <c r="AK261" s="21" t="s">
        <v>2054</v>
      </c>
      <c r="AL261" t="s">
        <v>70</v>
      </c>
      <c r="AM261" t="s">
        <v>2027</v>
      </c>
    </row>
    <row r="262" spans="1:39" ht="15" hidden="1" thickTop="1" x14ac:dyDescent="0.35">
      <c r="A262" t="s">
        <v>3229</v>
      </c>
      <c r="B262" t="s">
        <v>3260</v>
      </c>
      <c r="C262" t="s">
        <v>92</v>
      </c>
      <c r="D262" t="s">
        <v>3261</v>
      </c>
      <c r="E262" t="s">
        <v>119</v>
      </c>
      <c r="F262">
        <v>1</v>
      </c>
      <c r="G262" t="s">
        <v>2050</v>
      </c>
      <c r="H262" t="s">
        <v>2051</v>
      </c>
      <c r="I262" t="s">
        <v>53</v>
      </c>
      <c r="J262" t="s">
        <v>67</v>
      </c>
      <c r="K262" t="s">
        <v>68</v>
      </c>
      <c r="L262" t="s">
        <v>2052</v>
      </c>
      <c r="M262" t="s">
        <v>2053</v>
      </c>
      <c r="N262">
        <v>0</v>
      </c>
      <c r="O262">
        <v>0</v>
      </c>
      <c r="P262">
        <v>0</v>
      </c>
      <c r="Q262">
        <v>1440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364</v>
      </c>
      <c r="AH262" s="21" t="s">
        <v>3425</v>
      </c>
      <c r="AI262" s="21">
        <v>107.92500000000001</v>
      </c>
      <c r="AJ262" s="21">
        <v>100</v>
      </c>
      <c r="AK262" s="21" t="s">
        <v>2054</v>
      </c>
      <c r="AL262" t="s">
        <v>70</v>
      </c>
      <c r="AM262" t="s">
        <v>2028</v>
      </c>
    </row>
    <row r="263" spans="1:39" ht="15" hidden="1" thickTop="1" x14ac:dyDescent="0.35">
      <c r="A263" t="s">
        <v>3232</v>
      </c>
      <c r="B263" t="s">
        <v>3263</v>
      </c>
      <c r="C263" t="s">
        <v>128</v>
      </c>
      <c r="D263" t="s">
        <v>3264</v>
      </c>
      <c r="E263" t="s">
        <v>112</v>
      </c>
      <c r="F263">
        <v>1</v>
      </c>
      <c r="G263" t="s">
        <v>2050</v>
      </c>
      <c r="H263" t="s">
        <v>2051</v>
      </c>
      <c r="I263" t="s">
        <v>53</v>
      </c>
      <c r="J263" t="s">
        <v>113</v>
      </c>
      <c r="K263" t="s">
        <v>68</v>
      </c>
      <c r="L263" t="s">
        <v>2052</v>
      </c>
      <c r="M263" t="s">
        <v>2053</v>
      </c>
      <c r="N263">
        <v>0</v>
      </c>
      <c r="O263">
        <v>0</v>
      </c>
      <c r="P263">
        <v>0</v>
      </c>
      <c r="Q263">
        <v>1440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365</v>
      </c>
      <c r="AH263" s="21" t="s">
        <v>3427</v>
      </c>
      <c r="AI263" s="21">
        <v>107.92500000000001</v>
      </c>
      <c r="AJ263" s="21">
        <v>100</v>
      </c>
      <c r="AK263" s="21" t="s">
        <v>2054</v>
      </c>
      <c r="AL263" t="s">
        <v>115</v>
      </c>
      <c r="AM263" t="s">
        <v>2029</v>
      </c>
    </row>
    <row r="264" spans="1:39" ht="15" hidden="1" thickTop="1" x14ac:dyDescent="0.35">
      <c r="A264" t="s">
        <v>3239</v>
      </c>
      <c r="B264" t="s">
        <v>3270</v>
      </c>
      <c r="C264" t="s">
        <v>76</v>
      </c>
      <c r="D264" t="s">
        <v>3271</v>
      </c>
      <c r="E264" t="s">
        <v>559</v>
      </c>
      <c r="F264">
        <v>1</v>
      </c>
      <c r="G264" t="s">
        <v>2050</v>
      </c>
      <c r="H264" t="s">
        <v>2051</v>
      </c>
      <c r="I264" t="s">
        <v>53</v>
      </c>
      <c r="J264" t="s">
        <v>67</v>
      </c>
      <c r="K264" t="s">
        <v>68</v>
      </c>
      <c r="L264" t="s">
        <v>2052</v>
      </c>
      <c r="M264" t="s">
        <v>2053</v>
      </c>
      <c r="N264">
        <v>0</v>
      </c>
      <c r="O264">
        <v>0</v>
      </c>
      <c r="P264">
        <v>0</v>
      </c>
      <c r="Q264">
        <v>1440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366</v>
      </c>
      <c r="AH264" s="21" t="s">
        <v>3424</v>
      </c>
      <c r="AI264" s="21">
        <v>107.92500000000001</v>
      </c>
      <c r="AJ264" s="21">
        <v>100</v>
      </c>
      <c r="AK264" s="21" t="s">
        <v>2054</v>
      </c>
      <c r="AL264" t="s">
        <v>70</v>
      </c>
      <c r="AM264" t="s">
        <v>2029</v>
      </c>
    </row>
    <row r="265" spans="1:39" ht="15" hidden="1" thickTop="1" x14ac:dyDescent="0.35">
      <c r="A265" t="s">
        <v>3246</v>
      </c>
      <c r="B265" t="s">
        <v>3277</v>
      </c>
      <c r="C265" t="s">
        <v>76</v>
      </c>
      <c r="D265" t="s">
        <v>3278</v>
      </c>
      <c r="E265" t="s">
        <v>559</v>
      </c>
      <c r="F265">
        <v>1</v>
      </c>
      <c r="G265" t="s">
        <v>2050</v>
      </c>
      <c r="H265" t="s">
        <v>2051</v>
      </c>
      <c r="I265" t="s">
        <v>53</v>
      </c>
      <c r="J265" t="s">
        <v>67</v>
      </c>
      <c r="K265" t="s">
        <v>68</v>
      </c>
      <c r="L265" t="s">
        <v>2052</v>
      </c>
      <c r="M265" t="s">
        <v>2064</v>
      </c>
      <c r="N265">
        <v>0</v>
      </c>
      <c r="O265">
        <v>0</v>
      </c>
      <c r="P265">
        <v>0</v>
      </c>
      <c r="Q265">
        <v>900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367</v>
      </c>
      <c r="AH265" s="21" t="s">
        <v>3427</v>
      </c>
      <c r="AI265" s="21">
        <v>67.5</v>
      </c>
      <c r="AJ265" s="21">
        <v>100</v>
      </c>
      <c r="AK265" s="21" t="s">
        <v>2055</v>
      </c>
      <c r="AL265" t="s">
        <v>70</v>
      </c>
      <c r="AM265" t="s">
        <v>2030</v>
      </c>
    </row>
    <row r="266" spans="1:39" ht="15" hidden="1" thickTop="1" x14ac:dyDescent="0.35">
      <c r="A266" t="s">
        <v>3254</v>
      </c>
      <c r="B266" t="s">
        <v>3283</v>
      </c>
      <c r="C266" t="s">
        <v>78</v>
      </c>
      <c r="D266" t="s">
        <v>3284</v>
      </c>
      <c r="E266" t="s">
        <v>559</v>
      </c>
      <c r="F266">
        <v>1</v>
      </c>
      <c r="G266" t="s">
        <v>2050</v>
      </c>
      <c r="H266" t="s">
        <v>2051</v>
      </c>
      <c r="I266" t="s">
        <v>53</v>
      </c>
      <c r="J266" t="s">
        <v>67</v>
      </c>
      <c r="K266" t="s">
        <v>68</v>
      </c>
      <c r="L266" t="s">
        <v>2052</v>
      </c>
      <c r="M266" t="s">
        <v>2053</v>
      </c>
      <c r="N266">
        <v>0</v>
      </c>
      <c r="O266">
        <v>0</v>
      </c>
      <c r="P266">
        <v>0</v>
      </c>
      <c r="Q266">
        <v>1440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368</v>
      </c>
      <c r="AH266" s="21" t="s">
        <v>3427</v>
      </c>
      <c r="AI266" s="21">
        <v>107.92500000000001</v>
      </c>
      <c r="AJ266" s="21">
        <v>100</v>
      </c>
      <c r="AK266" s="21" t="s">
        <v>2055</v>
      </c>
      <c r="AL266" t="s">
        <v>70</v>
      </c>
      <c r="AM266" t="s">
        <v>2031</v>
      </c>
    </row>
    <row r="267" spans="1:39" ht="15" hidden="1" thickTop="1" x14ac:dyDescent="0.35">
      <c r="A267" t="s">
        <v>3255</v>
      </c>
      <c r="B267" t="s">
        <v>3286</v>
      </c>
      <c r="C267" t="s">
        <v>66</v>
      </c>
      <c r="D267" t="s">
        <v>3287</v>
      </c>
      <c r="E267" t="s">
        <v>559</v>
      </c>
      <c r="F267">
        <v>1</v>
      </c>
      <c r="G267" t="s">
        <v>2050</v>
      </c>
      <c r="H267" t="s">
        <v>2051</v>
      </c>
      <c r="I267" t="s">
        <v>53</v>
      </c>
      <c r="J267" t="s">
        <v>67</v>
      </c>
      <c r="K267" t="s">
        <v>68</v>
      </c>
      <c r="L267" t="s">
        <v>2052</v>
      </c>
      <c r="M267" t="s">
        <v>2064</v>
      </c>
      <c r="N267">
        <v>1</v>
      </c>
      <c r="O267">
        <v>33</v>
      </c>
      <c r="P267">
        <v>3.67</v>
      </c>
      <c r="Q267">
        <v>900</v>
      </c>
      <c r="R267">
        <v>1</v>
      </c>
      <c r="S267">
        <v>33</v>
      </c>
      <c r="T267">
        <v>3.67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 t="s">
        <v>369</v>
      </c>
      <c r="AH267" s="21" t="s">
        <v>3424</v>
      </c>
      <c r="AI267" s="21">
        <v>67.5</v>
      </c>
      <c r="AJ267" s="21">
        <v>96.333333333333329</v>
      </c>
      <c r="AK267" s="21" t="s">
        <v>2055</v>
      </c>
      <c r="AL267" t="s">
        <v>70</v>
      </c>
      <c r="AM267" t="s">
        <v>2029</v>
      </c>
    </row>
    <row r="268" spans="1:39" ht="15" hidden="1" thickTop="1" x14ac:dyDescent="0.35">
      <c r="A268" t="s">
        <v>3259</v>
      </c>
      <c r="B268" t="s">
        <v>3290</v>
      </c>
      <c r="C268" t="s">
        <v>92</v>
      </c>
      <c r="D268" t="s">
        <v>3291</v>
      </c>
      <c r="E268" t="s">
        <v>119</v>
      </c>
      <c r="F268">
        <v>1</v>
      </c>
      <c r="G268" t="s">
        <v>2050</v>
      </c>
      <c r="H268" t="s">
        <v>2051</v>
      </c>
      <c r="I268" t="s">
        <v>53</v>
      </c>
      <c r="J268" t="s">
        <v>67</v>
      </c>
      <c r="K268" t="s">
        <v>68</v>
      </c>
      <c r="L268" t="s">
        <v>2052</v>
      </c>
      <c r="M268" t="s">
        <v>2063</v>
      </c>
      <c r="N268">
        <v>0</v>
      </c>
      <c r="O268">
        <v>0</v>
      </c>
      <c r="P268">
        <v>0</v>
      </c>
      <c r="Q268">
        <v>1020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370</v>
      </c>
      <c r="AH268" s="21" t="s">
        <v>3424</v>
      </c>
      <c r="AI268" s="21">
        <v>76.500000000000014</v>
      </c>
      <c r="AJ268" s="21">
        <v>100</v>
      </c>
      <c r="AK268" s="21" t="s">
        <v>2054</v>
      </c>
      <c r="AL268" t="s">
        <v>70</v>
      </c>
      <c r="AM268" t="s">
        <v>2027</v>
      </c>
    </row>
    <row r="269" spans="1:39" ht="15" hidden="1" thickTop="1" x14ac:dyDescent="0.35">
      <c r="A269" t="s">
        <v>3265</v>
      </c>
      <c r="B269" t="s">
        <v>3292</v>
      </c>
      <c r="C269" t="s">
        <v>86</v>
      </c>
      <c r="D269" t="s">
        <v>3293</v>
      </c>
      <c r="E269" t="s">
        <v>72</v>
      </c>
      <c r="F269">
        <v>1</v>
      </c>
      <c r="G269" t="s">
        <v>2050</v>
      </c>
      <c r="H269" t="s">
        <v>2051</v>
      </c>
      <c r="I269" t="s">
        <v>53</v>
      </c>
      <c r="J269" t="s">
        <v>73</v>
      </c>
      <c r="K269" t="s">
        <v>68</v>
      </c>
      <c r="L269" t="s">
        <v>2052</v>
      </c>
      <c r="M269" t="s">
        <v>2083</v>
      </c>
      <c r="N269">
        <v>0</v>
      </c>
      <c r="O269">
        <v>0</v>
      </c>
      <c r="P269">
        <v>0</v>
      </c>
      <c r="Q269">
        <v>960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t="s">
        <v>371</v>
      </c>
      <c r="AH269" s="21" t="s">
        <v>3424</v>
      </c>
      <c r="AI269" s="21">
        <v>72.000000000000014</v>
      </c>
      <c r="AJ269" s="21">
        <v>100</v>
      </c>
      <c r="AK269" s="21" t="s">
        <v>2054</v>
      </c>
      <c r="AL269" t="s">
        <v>75</v>
      </c>
      <c r="AM269" t="s">
        <v>2029</v>
      </c>
    </row>
    <row r="270" spans="1:39" ht="15" hidden="1" thickTop="1" x14ac:dyDescent="0.35">
      <c r="A270" t="s">
        <v>3266</v>
      </c>
      <c r="B270" t="s">
        <v>3294</v>
      </c>
      <c r="C270" t="s">
        <v>66</v>
      </c>
      <c r="D270" t="s">
        <v>3295</v>
      </c>
      <c r="E270" t="s">
        <v>559</v>
      </c>
      <c r="F270">
        <v>1</v>
      </c>
      <c r="G270" t="s">
        <v>2050</v>
      </c>
      <c r="H270" t="s">
        <v>2051</v>
      </c>
      <c r="I270" t="s">
        <v>53</v>
      </c>
      <c r="J270" t="s">
        <v>67</v>
      </c>
      <c r="K270" t="s">
        <v>68</v>
      </c>
      <c r="L270" t="s">
        <v>2052</v>
      </c>
      <c r="M270" t="s">
        <v>2064</v>
      </c>
      <c r="N270">
        <v>0</v>
      </c>
      <c r="O270">
        <v>0</v>
      </c>
      <c r="P270">
        <v>0</v>
      </c>
      <c r="Q270">
        <v>900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t="s">
        <v>372</v>
      </c>
      <c r="AH270" s="21" t="s">
        <v>3424</v>
      </c>
      <c r="AI270" s="21">
        <v>67.5</v>
      </c>
      <c r="AJ270" s="21">
        <v>100</v>
      </c>
      <c r="AK270" s="21" t="s">
        <v>2054</v>
      </c>
      <c r="AL270" t="s">
        <v>70</v>
      </c>
      <c r="AM270" t="s">
        <v>2030</v>
      </c>
    </row>
    <row r="271" spans="1:39" ht="15" hidden="1" thickTop="1" x14ac:dyDescent="0.35">
      <c r="A271" t="s">
        <v>3273</v>
      </c>
      <c r="B271" t="s">
        <v>3303</v>
      </c>
      <c r="C271" t="s">
        <v>92</v>
      </c>
      <c r="D271" t="s">
        <v>3304</v>
      </c>
      <c r="E271" t="s">
        <v>559</v>
      </c>
      <c r="F271">
        <v>1</v>
      </c>
      <c r="G271" t="s">
        <v>2050</v>
      </c>
      <c r="H271" t="s">
        <v>2051</v>
      </c>
      <c r="I271" t="s">
        <v>53</v>
      </c>
      <c r="J271" t="s">
        <v>67</v>
      </c>
      <c r="K271" t="s">
        <v>68</v>
      </c>
      <c r="L271" t="s">
        <v>2052</v>
      </c>
      <c r="M271" t="s">
        <v>2053</v>
      </c>
      <c r="N271">
        <v>0</v>
      </c>
      <c r="O271">
        <v>0</v>
      </c>
      <c r="P271">
        <v>0</v>
      </c>
      <c r="Q271">
        <v>1440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373</v>
      </c>
      <c r="AH271" s="21" t="s">
        <v>3424</v>
      </c>
      <c r="AI271" s="21">
        <v>107.92500000000001</v>
      </c>
      <c r="AJ271" s="21">
        <v>100</v>
      </c>
      <c r="AK271" s="21" t="s">
        <v>2054</v>
      </c>
      <c r="AL271" t="s">
        <v>70</v>
      </c>
      <c r="AM271" t="s">
        <v>2031</v>
      </c>
    </row>
    <row r="272" spans="1:39" ht="15" hidden="1" thickTop="1" x14ac:dyDescent="0.35">
      <c r="A272" t="s">
        <v>3276</v>
      </c>
      <c r="B272" t="s">
        <v>3308</v>
      </c>
      <c r="C272" t="s">
        <v>78</v>
      </c>
      <c r="D272" t="s">
        <v>3309</v>
      </c>
      <c r="E272" t="s">
        <v>559</v>
      </c>
      <c r="F272">
        <v>1</v>
      </c>
      <c r="G272" t="s">
        <v>2050</v>
      </c>
      <c r="H272" t="s">
        <v>2051</v>
      </c>
      <c r="I272" t="s">
        <v>53</v>
      </c>
      <c r="J272" t="s">
        <v>67</v>
      </c>
      <c r="K272" t="s">
        <v>68</v>
      </c>
      <c r="L272" t="s">
        <v>2052</v>
      </c>
      <c r="M272" t="s">
        <v>2053</v>
      </c>
      <c r="N272">
        <v>0</v>
      </c>
      <c r="O272">
        <v>0</v>
      </c>
      <c r="P272">
        <v>0</v>
      </c>
      <c r="Q272">
        <v>1440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374</v>
      </c>
      <c r="AH272" s="21" t="s">
        <v>3427</v>
      </c>
      <c r="AI272" s="21">
        <v>107.92500000000001</v>
      </c>
      <c r="AJ272" s="21">
        <v>100</v>
      </c>
      <c r="AK272" s="21" t="s">
        <v>2055</v>
      </c>
      <c r="AL272" t="s">
        <v>70</v>
      </c>
      <c r="AM272" t="s">
        <v>2028</v>
      </c>
    </row>
    <row r="273" spans="1:39" ht="15" hidden="1" thickTop="1" x14ac:dyDescent="0.35">
      <c r="A273" t="s">
        <v>3282</v>
      </c>
      <c r="B273" t="s">
        <v>3314</v>
      </c>
      <c r="C273" t="s">
        <v>76</v>
      </c>
      <c r="D273" t="s">
        <v>3315</v>
      </c>
      <c r="E273" t="s">
        <v>119</v>
      </c>
      <c r="F273">
        <v>1</v>
      </c>
      <c r="G273" t="s">
        <v>2050</v>
      </c>
      <c r="H273" t="s">
        <v>2051</v>
      </c>
      <c r="I273" t="s">
        <v>53</v>
      </c>
      <c r="J273" t="s">
        <v>67</v>
      </c>
      <c r="K273" t="s">
        <v>68</v>
      </c>
      <c r="L273" t="s">
        <v>2052</v>
      </c>
      <c r="M273" t="s">
        <v>2064</v>
      </c>
      <c r="N273">
        <v>1</v>
      </c>
      <c r="O273">
        <v>32</v>
      </c>
      <c r="P273">
        <v>3.56</v>
      </c>
      <c r="Q273">
        <v>900</v>
      </c>
      <c r="R273">
        <v>1</v>
      </c>
      <c r="S273">
        <v>32</v>
      </c>
      <c r="T273">
        <v>3.56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375</v>
      </c>
      <c r="AH273" s="21" t="s">
        <v>3427</v>
      </c>
      <c r="AI273" s="21">
        <v>67.5</v>
      </c>
      <c r="AJ273" s="21">
        <v>96.444444444444443</v>
      </c>
      <c r="AK273" s="21" t="s">
        <v>2054</v>
      </c>
      <c r="AL273" t="s">
        <v>70</v>
      </c>
      <c r="AM273" t="s">
        <v>2028</v>
      </c>
    </row>
    <row r="274" spans="1:39" ht="15" hidden="1" thickTop="1" x14ac:dyDescent="0.35">
      <c r="A274" t="s">
        <v>3297</v>
      </c>
      <c r="B274" t="s">
        <v>3324</v>
      </c>
      <c r="C274" t="s">
        <v>76</v>
      </c>
      <c r="D274" t="s">
        <v>3325</v>
      </c>
      <c r="E274" t="s">
        <v>559</v>
      </c>
      <c r="F274">
        <v>1</v>
      </c>
      <c r="G274" t="s">
        <v>2050</v>
      </c>
      <c r="H274" t="s">
        <v>2051</v>
      </c>
      <c r="I274" t="s">
        <v>53</v>
      </c>
      <c r="J274" t="s">
        <v>67</v>
      </c>
      <c r="K274" t="s">
        <v>68</v>
      </c>
      <c r="L274" t="s">
        <v>2052</v>
      </c>
      <c r="M274" t="s">
        <v>2053</v>
      </c>
      <c r="N274">
        <v>0</v>
      </c>
      <c r="O274">
        <v>0</v>
      </c>
      <c r="P274">
        <v>0</v>
      </c>
      <c r="Q274">
        <v>1440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376</v>
      </c>
      <c r="AH274" s="21" t="s">
        <v>3425</v>
      </c>
      <c r="AI274" s="21">
        <v>107.92500000000001</v>
      </c>
      <c r="AJ274" s="21">
        <v>100</v>
      </c>
      <c r="AK274" s="21" t="s">
        <v>2054</v>
      </c>
      <c r="AL274" t="s">
        <v>70</v>
      </c>
      <c r="AM274" t="s">
        <v>2028</v>
      </c>
    </row>
    <row r="275" spans="1:39" ht="15" hidden="1" thickTop="1" x14ac:dyDescent="0.35">
      <c r="A275" t="s">
        <v>3298</v>
      </c>
      <c r="B275" t="s">
        <v>3326</v>
      </c>
      <c r="C275" t="s">
        <v>86</v>
      </c>
      <c r="D275" t="s">
        <v>3327</v>
      </c>
      <c r="E275" t="s">
        <v>72</v>
      </c>
      <c r="F275">
        <v>2</v>
      </c>
      <c r="G275" t="s">
        <v>2050</v>
      </c>
      <c r="H275" t="s">
        <v>2051</v>
      </c>
      <c r="I275" t="s">
        <v>53</v>
      </c>
      <c r="J275" t="s">
        <v>73</v>
      </c>
      <c r="K275" t="s">
        <v>68</v>
      </c>
      <c r="L275" t="s">
        <v>2052</v>
      </c>
      <c r="M275" t="s">
        <v>2053</v>
      </c>
      <c r="N275">
        <v>0</v>
      </c>
      <c r="O275">
        <v>0</v>
      </c>
      <c r="P275">
        <v>0</v>
      </c>
      <c r="Q275">
        <v>1440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377</v>
      </c>
      <c r="AH275" s="21" t="s">
        <v>3424</v>
      </c>
      <c r="AI275" s="21">
        <v>107.92500000000001</v>
      </c>
      <c r="AJ275" s="21">
        <v>100</v>
      </c>
      <c r="AK275" s="21" t="s">
        <v>2054</v>
      </c>
      <c r="AL275" t="s">
        <v>75</v>
      </c>
      <c r="AM275" t="s">
        <v>2029</v>
      </c>
    </row>
    <row r="276" spans="1:39" ht="15" hidden="1" thickTop="1" x14ac:dyDescent="0.35">
      <c r="A276" t="s">
        <v>3305</v>
      </c>
      <c r="B276" t="s">
        <v>3336</v>
      </c>
      <c r="C276" t="s">
        <v>76</v>
      </c>
      <c r="D276" t="s">
        <v>3337</v>
      </c>
      <c r="E276" t="s">
        <v>559</v>
      </c>
      <c r="F276">
        <v>1</v>
      </c>
      <c r="G276" t="s">
        <v>2050</v>
      </c>
      <c r="H276" t="s">
        <v>2051</v>
      </c>
      <c r="I276" t="s">
        <v>53</v>
      </c>
      <c r="J276" t="s">
        <v>67</v>
      </c>
      <c r="K276" t="s">
        <v>68</v>
      </c>
      <c r="L276" t="s">
        <v>2052</v>
      </c>
      <c r="M276" t="s">
        <v>2053</v>
      </c>
      <c r="N276">
        <v>1</v>
      </c>
      <c r="O276">
        <v>63</v>
      </c>
      <c r="P276">
        <v>4.38</v>
      </c>
      <c r="Q276">
        <v>1440</v>
      </c>
      <c r="R276">
        <v>1</v>
      </c>
      <c r="S276">
        <v>63</v>
      </c>
      <c r="T276">
        <v>4.38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378</v>
      </c>
      <c r="AH276" s="21" t="s">
        <v>3424</v>
      </c>
      <c r="AI276" s="21">
        <v>107.92500000000001</v>
      </c>
      <c r="AJ276" s="21">
        <v>95.625</v>
      </c>
      <c r="AK276" s="21" t="s">
        <v>2054</v>
      </c>
      <c r="AL276" t="s">
        <v>70</v>
      </c>
      <c r="AM276" t="s">
        <v>2029</v>
      </c>
    </row>
    <row r="277" spans="1:39" ht="15" hidden="1" thickTop="1" x14ac:dyDescent="0.35">
      <c r="A277" t="s">
        <v>3312</v>
      </c>
      <c r="B277" t="s">
        <v>3338</v>
      </c>
      <c r="C277" t="s">
        <v>102</v>
      </c>
      <c r="D277" t="s">
        <v>3339</v>
      </c>
      <c r="E277" t="s">
        <v>559</v>
      </c>
      <c r="F277">
        <v>1</v>
      </c>
      <c r="G277" t="s">
        <v>2050</v>
      </c>
      <c r="H277" t="s">
        <v>2051</v>
      </c>
      <c r="I277" t="s">
        <v>53</v>
      </c>
      <c r="J277" t="s">
        <v>67</v>
      </c>
      <c r="K277" t="s">
        <v>68</v>
      </c>
      <c r="L277" t="s">
        <v>2052</v>
      </c>
      <c r="M277" t="s">
        <v>2053</v>
      </c>
      <c r="N277">
        <v>0</v>
      </c>
      <c r="O277">
        <v>0</v>
      </c>
      <c r="P277">
        <v>0</v>
      </c>
      <c r="Q277">
        <v>1440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379</v>
      </c>
      <c r="AH277" s="21" t="s">
        <v>3424</v>
      </c>
      <c r="AI277" s="21">
        <v>107.92500000000001</v>
      </c>
      <c r="AJ277" s="21">
        <v>100</v>
      </c>
      <c r="AK277" s="21" t="s">
        <v>2054</v>
      </c>
      <c r="AL277" t="s">
        <v>70</v>
      </c>
      <c r="AM277" t="s">
        <v>2027</v>
      </c>
    </row>
    <row r="278" spans="1:39" ht="15" hidden="1" thickTop="1" x14ac:dyDescent="0.35">
      <c r="A278" t="s">
        <v>3313</v>
      </c>
      <c r="B278" t="s">
        <v>3340</v>
      </c>
      <c r="C278" t="s">
        <v>102</v>
      </c>
      <c r="D278" t="s">
        <v>3341</v>
      </c>
      <c r="E278" t="s">
        <v>559</v>
      </c>
      <c r="F278">
        <v>1</v>
      </c>
      <c r="G278" t="s">
        <v>2050</v>
      </c>
      <c r="H278" t="s">
        <v>2051</v>
      </c>
      <c r="I278" t="s">
        <v>53</v>
      </c>
      <c r="J278" t="s">
        <v>67</v>
      </c>
      <c r="K278" t="s">
        <v>68</v>
      </c>
      <c r="L278" t="s">
        <v>2052</v>
      </c>
      <c r="M278" t="s">
        <v>2053</v>
      </c>
      <c r="N278">
        <v>0</v>
      </c>
      <c r="O278">
        <v>0</v>
      </c>
      <c r="P278">
        <v>0</v>
      </c>
      <c r="Q278">
        <v>1440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380</v>
      </c>
      <c r="AH278" s="21" t="s">
        <v>3425</v>
      </c>
      <c r="AI278" s="21">
        <v>107.92500000000001</v>
      </c>
      <c r="AJ278" s="21">
        <v>100</v>
      </c>
      <c r="AK278" s="21" t="s">
        <v>2054</v>
      </c>
      <c r="AL278" t="s">
        <v>70</v>
      </c>
      <c r="AM278" t="s">
        <v>2028</v>
      </c>
    </row>
    <row r="279" spans="1:39" ht="15" hidden="1" thickTop="1" x14ac:dyDescent="0.35">
      <c r="A279" t="s">
        <v>3316</v>
      </c>
      <c r="B279" t="s">
        <v>3342</v>
      </c>
      <c r="C279" t="s">
        <v>66</v>
      </c>
      <c r="D279" t="s">
        <v>3343</v>
      </c>
      <c r="E279" t="s">
        <v>559</v>
      </c>
      <c r="F279">
        <v>2</v>
      </c>
      <c r="G279" t="s">
        <v>2050</v>
      </c>
      <c r="H279" t="s">
        <v>2051</v>
      </c>
      <c r="I279" t="s">
        <v>53</v>
      </c>
      <c r="J279" t="s">
        <v>67</v>
      </c>
      <c r="K279" t="s">
        <v>68</v>
      </c>
      <c r="L279" t="s">
        <v>2052</v>
      </c>
      <c r="M279" t="s">
        <v>2053</v>
      </c>
      <c r="N279">
        <v>0</v>
      </c>
      <c r="O279">
        <v>0</v>
      </c>
      <c r="P279">
        <v>0</v>
      </c>
      <c r="Q279">
        <v>1440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381</v>
      </c>
      <c r="AH279" s="21" t="s">
        <v>3425</v>
      </c>
      <c r="AI279" s="21">
        <v>107.92500000000001</v>
      </c>
      <c r="AJ279" s="21">
        <v>100</v>
      </c>
      <c r="AK279" s="21" t="s">
        <v>2054</v>
      </c>
      <c r="AL279" t="s">
        <v>70</v>
      </c>
      <c r="AM279" t="s">
        <v>2028</v>
      </c>
    </row>
    <row r="280" spans="1:39" ht="15" hidden="1" thickTop="1" x14ac:dyDescent="0.35">
      <c r="A280" t="s">
        <v>3317</v>
      </c>
      <c r="B280" t="s">
        <v>3344</v>
      </c>
      <c r="C280" t="s">
        <v>78</v>
      </c>
      <c r="D280" t="s">
        <v>3345</v>
      </c>
      <c r="E280" t="s">
        <v>559</v>
      </c>
      <c r="F280">
        <v>1</v>
      </c>
      <c r="G280" t="s">
        <v>2050</v>
      </c>
      <c r="H280" t="s">
        <v>2051</v>
      </c>
      <c r="I280" t="s">
        <v>53</v>
      </c>
      <c r="J280" t="s">
        <v>67</v>
      </c>
      <c r="K280" t="s">
        <v>68</v>
      </c>
      <c r="L280" t="s">
        <v>2052</v>
      </c>
      <c r="M280" t="s">
        <v>2064</v>
      </c>
      <c r="N280">
        <v>0</v>
      </c>
      <c r="O280">
        <v>0</v>
      </c>
      <c r="P280">
        <v>0</v>
      </c>
      <c r="Q280">
        <v>900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382</v>
      </c>
      <c r="AH280" s="21" t="s">
        <v>3424</v>
      </c>
      <c r="AI280" s="21">
        <v>67.5</v>
      </c>
      <c r="AJ280" s="21">
        <v>100</v>
      </c>
      <c r="AK280" s="21" t="s">
        <v>2054</v>
      </c>
      <c r="AL280" t="s">
        <v>70</v>
      </c>
      <c r="AM280" t="s">
        <v>2028</v>
      </c>
    </row>
    <row r="281" spans="1:39" ht="15" hidden="1" thickTop="1" x14ac:dyDescent="0.35">
      <c r="A281" t="s">
        <v>3318</v>
      </c>
      <c r="B281" t="s">
        <v>3347</v>
      </c>
      <c r="C281" t="s">
        <v>78</v>
      </c>
      <c r="D281" t="s">
        <v>3348</v>
      </c>
      <c r="E281" t="s">
        <v>559</v>
      </c>
      <c r="F281">
        <v>2</v>
      </c>
      <c r="G281" t="s">
        <v>2050</v>
      </c>
      <c r="H281" t="s">
        <v>2051</v>
      </c>
      <c r="I281" t="s">
        <v>53</v>
      </c>
      <c r="J281" t="s">
        <v>67</v>
      </c>
      <c r="K281" t="s">
        <v>68</v>
      </c>
      <c r="L281" t="s">
        <v>2052</v>
      </c>
      <c r="M281" t="s">
        <v>2053</v>
      </c>
      <c r="N281">
        <v>1</v>
      </c>
      <c r="O281">
        <v>43</v>
      </c>
      <c r="P281">
        <v>2.99</v>
      </c>
      <c r="Q281">
        <v>1440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1</v>
      </c>
      <c r="Y281">
        <v>43</v>
      </c>
      <c r="Z281">
        <v>2.99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383</v>
      </c>
      <c r="AH281" s="21" t="s">
        <v>3425</v>
      </c>
      <c r="AI281" s="21">
        <v>107.92500000000001</v>
      </c>
      <c r="AJ281" s="21">
        <v>97.013888888888886</v>
      </c>
      <c r="AK281" s="21" t="s">
        <v>2054</v>
      </c>
      <c r="AL281" t="s">
        <v>70</v>
      </c>
      <c r="AM281" t="s">
        <v>2028</v>
      </c>
    </row>
    <row r="282" spans="1:39" ht="15" hidden="1" thickTop="1" x14ac:dyDescent="0.35">
      <c r="A282" t="s">
        <v>3321</v>
      </c>
      <c r="B282" t="s">
        <v>3352</v>
      </c>
      <c r="C282" t="s">
        <v>100</v>
      </c>
      <c r="D282" t="s">
        <v>3353</v>
      </c>
      <c r="E282" t="s">
        <v>559</v>
      </c>
      <c r="F282">
        <v>1</v>
      </c>
      <c r="G282" t="s">
        <v>2050</v>
      </c>
      <c r="H282" t="s">
        <v>2051</v>
      </c>
      <c r="I282" t="s">
        <v>53</v>
      </c>
      <c r="J282" t="s">
        <v>67</v>
      </c>
      <c r="K282" t="s">
        <v>68</v>
      </c>
      <c r="L282" t="s">
        <v>2052</v>
      </c>
      <c r="M282" t="s">
        <v>2053</v>
      </c>
      <c r="N282">
        <v>0</v>
      </c>
      <c r="O282">
        <v>0</v>
      </c>
      <c r="P282">
        <v>0</v>
      </c>
      <c r="Q282">
        <v>1440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384</v>
      </c>
      <c r="AH282" s="21" t="s">
        <v>3425</v>
      </c>
      <c r="AI282" s="21">
        <v>107.92500000000001</v>
      </c>
      <c r="AJ282" s="21">
        <v>100</v>
      </c>
      <c r="AK282" s="21" t="s">
        <v>2054</v>
      </c>
      <c r="AL282" t="s">
        <v>70</v>
      </c>
      <c r="AM282" t="s">
        <v>2031</v>
      </c>
    </row>
    <row r="283" spans="1:39" ht="15" hidden="1" thickTop="1" x14ac:dyDescent="0.35">
      <c r="A283" t="s">
        <v>3322</v>
      </c>
      <c r="B283" t="s">
        <v>3354</v>
      </c>
      <c r="C283" t="s">
        <v>86</v>
      </c>
      <c r="D283" t="s">
        <v>3355</v>
      </c>
      <c r="E283" t="s">
        <v>72</v>
      </c>
      <c r="F283">
        <v>1</v>
      </c>
      <c r="G283" t="s">
        <v>2050</v>
      </c>
      <c r="H283" t="s">
        <v>2051</v>
      </c>
      <c r="I283" t="s">
        <v>53</v>
      </c>
      <c r="J283" t="s">
        <v>73</v>
      </c>
      <c r="K283" t="s">
        <v>68</v>
      </c>
      <c r="L283" t="s">
        <v>2052</v>
      </c>
      <c r="M283" t="s">
        <v>2053</v>
      </c>
      <c r="N283">
        <v>0</v>
      </c>
      <c r="O283">
        <v>0</v>
      </c>
      <c r="P283">
        <v>0</v>
      </c>
      <c r="Q283">
        <v>1440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t="s">
        <v>385</v>
      </c>
      <c r="AH283" s="21" t="s">
        <v>3427</v>
      </c>
      <c r="AI283" s="21">
        <v>107.92500000000001</v>
      </c>
      <c r="AJ283" s="21">
        <v>100</v>
      </c>
      <c r="AK283" s="21" t="s">
        <v>2054</v>
      </c>
      <c r="AL283" t="s">
        <v>75</v>
      </c>
      <c r="AM283" t="s">
        <v>2027</v>
      </c>
    </row>
    <row r="284" spans="1:39" ht="15" hidden="1" thickTop="1" x14ac:dyDescent="0.35">
      <c r="A284" t="s">
        <v>3323</v>
      </c>
      <c r="B284" t="s">
        <v>3356</v>
      </c>
      <c r="C284" t="s">
        <v>71</v>
      </c>
      <c r="D284" t="s">
        <v>3357</v>
      </c>
      <c r="E284" t="s">
        <v>72</v>
      </c>
      <c r="F284">
        <v>1</v>
      </c>
      <c r="G284" t="s">
        <v>2050</v>
      </c>
      <c r="H284" t="s">
        <v>2051</v>
      </c>
      <c r="I284" t="s">
        <v>53</v>
      </c>
      <c r="J284" t="s">
        <v>73</v>
      </c>
      <c r="K284" t="s">
        <v>68</v>
      </c>
      <c r="L284" t="s">
        <v>2052</v>
      </c>
      <c r="M284" t="s">
        <v>2053</v>
      </c>
      <c r="N284">
        <v>0</v>
      </c>
      <c r="O284">
        <v>0</v>
      </c>
      <c r="P284">
        <v>0</v>
      </c>
      <c r="Q284">
        <v>1440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t="s">
        <v>386</v>
      </c>
      <c r="AH284" s="21" t="s">
        <v>3424</v>
      </c>
      <c r="AI284" s="21">
        <v>107.92500000000001</v>
      </c>
      <c r="AJ284" s="21">
        <v>100</v>
      </c>
      <c r="AK284" s="21" t="s">
        <v>2054</v>
      </c>
      <c r="AL284" t="s">
        <v>75</v>
      </c>
      <c r="AM284" t="s">
        <v>2028</v>
      </c>
    </row>
    <row r="285" spans="1:39" ht="15" hidden="1" thickTop="1" x14ac:dyDescent="0.35">
      <c r="A285" t="s">
        <v>2623</v>
      </c>
      <c r="B285" t="s">
        <v>3358</v>
      </c>
      <c r="C285" t="s">
        <v>66</v>
      </c>
      <c r="D285" t="s">
        <v>3359</v>
      </c>
      <c r="E285" t="s">
        <v>559</v>
      </c>
      <c r="F285">
        <v>1</v>
      </c>
      <c r="G285" t="s">
        <v>2050</v>
      </c>
      <c r="H285" t="s">
        <v>2051</v>
      </c>
      <c r="I285" t="s">
        <v>53</v>
      </c>
      <c r="J285" t="s">
        <v>67</v>
      </c>
      <c r="K285" t="s">
        <v>68</v>
      </c>
      <c r="L285" t="s">
        <v>2052</v>
      </c>
      <c r="M285" t="s">
        <v>2053</v>
      </c>
      <c r="N285">
        <v>0</v>
      </c>
      <c r="O285">
        <v>0</v>
      </c>
      <c r="P285">
        <v>0</v>
      </c>
      <c r="Q285">
        <v>1440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387</v>
      </c>
      <c r="AH285" s="21" t="s">
        <v>3425</v>
      </c>
      <c r="AI285" s="21">
        <v>107.92500000000001</v>
      </c>
      <c r="AJ285" s="21">
        <v>100</v>
      </c>
      <c r="AK285" s="21" t="s">
        <v>2054</v>
      </c>
      <c r="AL285" t="s">
        <v>70</v>
      </c>
      <c r="AM285" t="s">
        <v>2028</v>
      </c>
    </row>
    <row r="286" spans="1:39" ht="15" hidden="1" thickTop="1" x14ac:dyDescent="0.35">
      <c r="A286" t="s">
        <v>3332</v>
      </c>
      <c r="B286" t="s">
        <v>3361</v>
      </c>
      <c r="C286" t="s">
        <v>76</v>
      </c>
      <c r="D286" t="s">
        <v>3362</v>
      </c>
      <c r="E286" t="s">
        <v>559</v>
      </c>
      <c r="F286">
        <v>2</v>
      </c>
      <c r="G286" t="s">
        <v>2050</v>
      </c>
      <c r="H286" t="s">
        <v>2051</v>
      </c>
      <c r="I286" t="s">
        <v>53</v>
      </c>
      <c r="J286" t="s">
        <v>67</v>
      </c>
      <c r="K286" t="s">
        <v>68</v>
      </c>
      <c r="L286" t="s">
        <v>2052</v>
      </c>
      <c r="M286" t="s">
        <v>2064</v>
      </c>
      <c r="N286">
        <v>0</v>
      </c>
      <c r="O286">
        <v>0</v>
      </c>
      <c r="P286">
        <v>0</v>
      </c>
      <c r="Q286">
        <v>900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t="s">
        <v>388</v>
      </c>
      <c r="AH286" s="21" t="s">
        <v>3424</v>
      </c>
      <c r="AI286" s="21">
        <v>67.5</v>
      </c>
      <c r="AJ286" s="21">
        <v>100</v>
      </c>
      <c r="AK286" s="21" t="s">
        <v>2055</v>
      </c>
      <c r="AL286" t="s">
        <v>70</v>
      </c>
      <c r="AM286" t="s">
        <v>2029</v>
      </c>
    </row>
    <row r="287" spans="1:39" ht="15" hidden="1" thickTop="1" x14ac:dyDescent="0.35">
      <c r="A287" t="s">
        <v>2625</v>
      </c>
      <c r="B287" t="s">
        <v>3369</v>
      </c>
      <c r="C287" t="s">
        <v>100</v>
      </c>
      <c r="D287" t="s">
        <v>3370</v>
      </c>
      <c r="E287" t="s">
        <v>559</v>
      </c>
      <c r="F287">
        <v>1</v>
      </c>
      <c r="G287" t="s">
        <v>2050</v>
      </c>
      <c r="H287" t="s">
        <v>2051</v>
      </c>
      <c r="I287" t="s">
        <v>53</v>
      </c>
      <c r="J287" t="s">
        <v>67</v>
      </c>
      <c r="K287" t="s">
        <v>68</v>
      </c>
      <c r="L287" t="s">
        <v>2052</v>
      </c>
      <c r="M287" t="s">
        <v>2053</v>
      </c>
      <c r="N287">
        <v>1</v>
      </c>
      <c r="O287">
        <v>20</v>
      </c>
      <c r="P287">
        <v>1.39</v>
      </c>
      <c r="Q287">
        <v>1440</v>
      </c>
      <c r="R287">
        <v>1</v>
      </c>
      <c r="S287">
        <v>20</v>
      </c>
      <c r="T287">
        <v>1.39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389</v>
      </c>
      <c r="AH287" s="21" t="s">
        <v>3427</v>
      </c>
      <c r="AI287" s="21">
        <v>107.92500000000001</v>
      </c>
      <c r="AJ287" s="21">
        <v>98.611111111111114</v>
      </c>
      <c r="AK287" s="21" t="s">
        <v>2054</v>
      </c>
      <c r="AL287" t="s">
        <v>70</v>
      </c>
      <c r="AM287" t="s">
        <v>2031</v>
      </c>
    </row>
    <row r="288" spans="1:39" ht="15" hidden="1" thickTop="1" x14ac:dyDescent="0.35">
      <c r="A288" t="s">
        <v>3364</v>
      </c>
      <c r="B288" t="s">
        <v>3371</v>
      </c>
      <c r="C288" t="s">
        <v>100</v>
      </c>
      <c r="D288" t="s">
        <v>3372</v>
      </c>
      <c r="E288" t="s">
        <v>559</v>
      </c>
      <c r="F288">
        <v>1</v>
      </c>
      <c r="G288" t="s">
        <v>2050</v>
      </c>
      <c r="H288" t="s">
        <v>2051</v>
      </c>
      <c r="I288" t="s">
        <v>53</v>
      </c>
      <c r="J288" t="s">
        <v>67</v>
      </c>
      <c r="K288" t="s">
        <v>68</v>
      </c>
      <c r="L288" t="s">
        <v>2052</v>
      </c>
      <c r="M288" t="s">
        <v>2064</v>
      </c>
      <c r="N288">
        <v>0</v>
      </c>
      <c r="O288">
        <v>0</v>
      </c>
      <c r="P288">
        <v>0</v>
      </c>
      <c r="Q288">
        <v>900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390</v>
      </c>
      <c r="AH288" s="21" t="s">
        <v>3424</v>
      </c>
      <c r="AI288" s="21">
        <v>67.5</v>
      </c>
      <c r="AJ288" s="21">
        <v>100</v>
      </c>
      <c r="AK288" s="21" t="s">
        <v>2054</v>
      </c>
      <c r="AL288" t="s">
        <v>70</v>
      </c>
      <c r="AM288" t="s">
        <v>2028</v>
      </c>
    </row>
    <row r="289" spans="1:39" ht="15" hidden="1" thickTop="1" x14ac:dyDescent="0.35">
      <c r="A289" t="s">
        <v>3365</v>
      </c>
      <c r="B289" t="s">
        <v>3373</v>
      </c>
      <c r="C289" t="s">
        <v>92</v>
      </c>
      <c r="D289" t="s">
        <v>3374</v>
      </c>
      <c r="E289" t="s">
        <v>119</v>
      </c>
      <c r="F289">
        <v>1</v>
      </c>
      <c r="G289" t="s">
        <v>2050</v>
      </c>
      <c r="H289" t="s">
        <v>2051</v>
      </c>
      <c r="I289" t="s">
        <v>53</v>
      </c>
      <c r="J289" t="s">
        <v>67</v>
      </c>
      <c r="K289" t="s">
        <v>68</v>
      </c>
      <c r="L289" t="s">
        <v>2052</v>
      </c>
      <c r="M289" t="s">
        <v>2064</v>
      </c>
      <c r="N289">
        <v>0</v>
      </c>
      <c r="O289">
        <v>0</v>
      </c>
      <c r="P289">
        <v>0</v>
      </c>
      <c r="Q289">
        <v>900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391</v>
      </c>
      <c r="AH289" s="21" t="s">
        <v>3425</v>
      </c>
      <c r="AI289" s="21">
        <v>67.5</v>
      </c>
      <c r="AJ289" s="21">
        <v>100</v>
      </c>
      <c r="AK289" s="21" t="s">
        <v>2054</v>
      </c>
      <c r="AL289" t="s">
        <v>70</v>
      </c>
      <c r="AM289" t="s">
        <v>2030</v>
      </c>
    </row>
    <row r="290" spans="1:39" ht="15" thickTop="1" x14ac:dyDescent="0.35">
      <c r="AH290" s="21"/>
      <c r="AI290" s="21"/>
      <c r="AJ290" s="21"/>
      <c r="AK290" s="21"/>
    </row>
    <row r="291" spans="1:39" x14ac:dyDescent="0.35">
      <c r="AH291" s="21"/>
      <c r="AI291" s="21"/>
      <c r="AJ291" s="21"/>
      <c r="AK291" s="21"/>
    </row>
    <row r="292" spans="1:39" x14ac:dyDescent="0.35">
      <c r="AH292" s="21"/>
      <c r="AI292" s="21"/>
      <c r="AJ292" s="21"/>
      <c r="AK292" s="21"/>
    </row>
    <row r="293" spans="1:39" x14ac:dyDescent="0.35">
      <c r="AH293" s="21"/>
      <c r="AI293" s="21"/>
      <c r="AJ293" s="21"/>
      <c r="AK293" s="21"/>
    </row>
    <row r="294" spans="1:39" x14ac:dyDescent="0.35">
      <c r="AH294" s="21"/>
      <c r="AI294" s="21"/>
      <c r="AJ294" s="21"/>
      <c r="AK294" s="21"/>
    </row>
    <row r="295" spans="1:39" x14ac:dyDescent="0.35">
      <c r="AH295" s="21"/>
      <c r="AI295" s="21"/>
      <c r="AJ295" s="21"/>
      <c r="AK295" s="21"/>
    </row>
    <row r="296" spans="1:39" x14ac:dyDescent="0.35">
      <c r="AH296" s="21"/>
      <c r="AI296" s="21"/>
      <c r="AJ296" s="21"/>
      <c r="AK296" s="21"/>
    </row>
    <row r="297" spans="1:39" x14ac:dyDescent="0.35">
      <c r="AH297" s="21"/>
      <c r="AI297" s="21"/>
      <c r="AJ297" s="21"/>
      <c r="AK297" s="21"/>
    </row>
    <row r="298" spans="1:39" x14ac:dyDescent="0.35">
      <c r="AH298" s="21"/>
      <c r="AI298" s="21"/>
      <c r="AJ298" s="21"/>
      <c r="AK298" s="21"/>
    </row>
    <row r="299" spans="1:39" x14ac:dyDescent="0.35">
      <c r="AH299" s="21"/>
      <c r="AI299" s="21"/>
      <c r="AJ299" s="21"/>
      <c r="AK299" s="21"/>
    </row>
    <row r="300" spans="1:39" x14ac:dyDescent="0.35">
      <c r="AH300" s="21"/>
      <c r="AI300" s="21"/>
      <c r="AJ300" s="21"/>
      <c r="AK300" s="21"/>
    </row>
    <row r="301" spans="1:39" x14ac:dyDescent="0.35">
      <c r="AH301" s="21"/>
      <c r="AI301" s="21"/>
      <c r="AJ301" s="21"/>
      <c r="AK301" s="21"/>
    </row>
    <row r="302" spans="1:39" x14ac:dyDescent="0.35">
      <c r="AH302" s="21"/>
      <c r="AI302" s="21"/>
      <c r="AJ302" s="21"/>
      <c r="AK302" s="21"/>
    </row>
    <row r="303" spans="1:39" x14ac:dyDescent="0.35">
      <c r="AH303" s="21"/>
      <c r="AI303" s="21"/>
      <c r="AJ303" s="21"/>
      <c r="AK303" s="21"/>
    </row>
    <row r="304" spans="1:39" x14ac:dyDescent="0.35">
      <c r="AH304" s="21"/>
      <c r="AI304" s="21"/>
      <c r="AJ304" s="21"/>
      <c r="AK304" s="21"/>
    </row>
    <row r="305" spans="34:37" x14ac:dyDescent="0.35">
      <c r="AH305" s="21"/>
      <c r="AI305" s="21"/>
      <c r="AJ305" s="21"/>
      <c r="AK305" s="21"/>
    </row>
    <row r="306" spans="34:37" x14ac:dyDescent="0.35">
      <c r="AH306" s="21"/>
      <c r="AI306" s="21"/>
      <c r="AJ306" s="21"/>
      <c r="AK306" s="21"/>
    </row>
    <row r="307" spans="34:37" x14ac:dyDescent="0.35">
      <c r="AH307" s="21"/>
      <c r="AI307" s="21"/>
      <c r="AJ307" s="21"/>
      <c r="AK307" s="21"/>
    </row>
    <row r="308" spans="34:37" x14ac:dyDescent="0.35">
      <c r="AH308" s="21"/>
      <c r="AI308" s="21"/>
      <c r="AJ308" s="21"/>
      <c r="AK308" s="21"/>
    </row>
    <row r="309" spans="34:37" x14ac:dyDescent="0.35">
      <c r="AH309" s="21"/>
      <c r="AI309" s="21"/>
      <c r="AJ309" s="21"/>
      <c r="AK309" s="21"/>
    </row>
    <row r="310" spans="34:37" x14ac:dyDescent="0.35">
      <c r="AH310" s="21"/>
      <c r="AI310" s="21"/>
      <c r="AJ310" s="21"/>
      <c r="AK310" s="21"/>
    </row>
    <row r="311" spans="34:37" x14ac:dyDescent="0.35">
      <c r="AH311" s="21"/>
      <c r="AI311" s="21"/>
      <c r="AJ311" s="21"/>
      <c r="AK311" s="21"/>
    </row>
    <row r="312" spans="34:37" x14ac:dyDescent="0.35">
      <c r="AH312" s="21"/>
      <c r="AI312" s="21"/>
      <c r="AJ312" s="21"/>
      <c r="AK312" s="21"/>
    </row>
    <row r="313" spans="34:37" x14ac:dyDescent="0.35">
      <c r="AH313" s="21"/>
      <c r="AI313" s="21"/>
      <c r="AJ313" s="21"/>
      <c r="AK313" s="21"/>
    </row>
    <row r="314" spans="34:37" x14ac:dyDescent="0.35">
      <c r="AH314" s="21"/>
      <c r="AI314" s="21"/>
      <c r="AJ314" s="21"/>
      <c r="AK314" s="21"/>
    </row>
    <row r="315" spans="34:37" x14ac:dyDescent="0.35">
      <c r="AH315" s="21"/>
      <c r="AI315" s="21"/>
      <c r="AJ315" s="21"/>
      <c r="AK315" s="21"/>
    </row>
    <row r="316" spans="34:37" x14ac:dyDescent="0.35">
      <c r="AH316" s="21"/>
      <c r="AI316" s="21"/>
      <c r="AJ316" s="21"/>
      <c r="AK316" s="21"/>
    </row>
    <row r="317" spans="34:37" x14ac:dyDescent="0.35">
      <c r="AH317" s="21"/>
      <c r="AI317" s="21"/>
      <c r="AJ317" s="21"/>
      <c r="AK317" s="21"/>
    </row>
    <row r="318" spans="34:37" x14ac:dyDescent="0.35">
      <c r="AH318" s="21"/>
      <c r="AI318" s="21"/>
      <c r="AJ318" s="21"/>
      <c r="AK318" s="21"/>
    </row>
    <row r="319" spans="34:37" x14ac:dyDescent="0.35">
      <c r="AH319" s="21"/>
      <c r="AI319" s="21"/>
      <c r="AJ319" s="21"/>
      <c r="AK319" s="21"/>
    </row>
    <row r="320" spans="34:37" x14ac:dyDescent="0.35">
      <c r="AH320" s="21"/>
      <c r="AI320" s="21"/>
      <c r="AJ320" s="21"/>
      <c r="AK320" s="21"/>
    </row>
    <row r="321" spans="34:37" x14ac:dyDescent="0.35">
      <c r="AH321" s="21"/>
      <c r="AI321" s="21"/>
      <c r="AJ321" s="21"/>
      <c r="AK321" s="21"/>
    </row>
    <row r="322" spans="34:37" x14ac:dyDescent="0.35">
      <c r="AH322" s="21"/>
      <c r="AI322" s="21"/>
      <c r="AJ322" s="21"/>
      <c r="AK322" s="21"/>
    </row>
    <row r="323" spans="34:37" x14ac:dyDescent="0.35">
      <c r="AH323" s="21"/>
      <c r="AI323" s="21"/>
      <c r="AJ323" s="21"/>
      <c r="AK323" s="21"/>
    </row>
    <row r="324" spans="34:37" x14ac:dyDescent="0.35">
      <c r="AH324" s="21"/>
      <c r="AI324" s="21"/>
      <c r="AJ324" s="21"/>
      <c r="AK324" s="21"/>
    </row>
    <row r="325" spans="34:37" x14ac:dyDescent="0.35">
      <c r="AH325" s="21"/>
      <c r="AI325" s="21"/>
      <c r="AJ325" s="21"/>
      <c r="AK325" s="21"/>
    </row>
    <row r="326" spans="34:37" x14ac:dyDescent="0.35">
      <c r="AH326" s="21"/>
      <c r="AI326" s="21"/>
      <c r="AJ326" s="21"/>
      <c r="AK326" s="21"/>
    </row>
    <row r="327" spans="34:37" x14ac:dyDescent="0.35">
      <c r="AH327" s="21"/>
      <c r="AI327" s="21"/>
      <c r="AJ327" s="21"/>
      <c r="AK327" s="21"/>
    </row>
    <row r="328" spans="34:37" x14ac:dyDescent="0.35">
      <c r="AH328" s="21"/>
      <c r="AI328" s="21"/>
      <c r="AJ328" s="21"/>
      <c r="AK328" s="21"/>
    </row>
    <row r="329" spans="34:37" x14ac:dyDescent="0.35">
      <c r="AH329" s="21"/>
      <c r="AI329" s="21"/>
      <c r="AJ329" s="21"/>
      <c r="AK329" s="21"/>
    </row>
    <row r="330" spans="34:37" x14ac:dyDescent="0.35">
      <c r="AH330" s="21"/>
      <c r="AI330" s="21"/>
      <c r="AJ330" s="21"/>
      <c r="AK330" s="21"/>
    </row>
    <row r="331" spans="34:37" x14ac:dyDescent="0.35">
      <c r="AH331" s="21"/>
      <c r="AI331" s="21"/>
      <c r="AJ331" s="21"/>
      <c r="AK331" s="21"/>
    </row>
    <row r="332" spans="34:37" x14ac:dyDescent="0.35">
      <c r="AH332" s="21"/>
      <c r="AI332" s="21"/>
      <c r="AJ332" s="21"/>
      <c r="AK332" s="21"/>
    </row>
    <row r="333" spans="34:37" x14ac:dyDescent="0.35">
      <c r="AH333" s="21"/>
      <c r="AI333" s="21"/>
      <c r="AJ333" s="21"/>
      <c r="AK333" s="21"/>
    </row>
    <row r="334" spans="34:37" x14ac:dyDescent="0.35">
      <c r="AH334" s="21"/>
      <c r="AI334" s="21"/>
      <c r="AJ334" s="21"/>
      <c r="AK334" s="21"/>
    </row>
    <row r="335" spans="34:37" x14ac:dyDescent="0.35">
      <c r="AH335" s="21"/>
      <c r="AI335" s="21"/>
      <c r="AJ335" s="21"/>
      <c r="AK335" s="21"/>
    </row>
    <row r="336" spans="34:37" x14ac:dyDescent="0.35">
      <c r="AH336" s="21"/>
      <c r="AI336" s="21"/>
      <c r="AJ336" s="21"/>
      <c r="AK336" s="21"/>
    </row>
    <row r="337" spans="34:37" x14ac:dyDescent="0.35">
      <c r="AH337" s="21"/>
      <c r="AI337" s="21"/>
      <c r="AJ337" s="21"/>
      <c r="AK337" s="21"/>
    </row>
    <row r="338" spans="34:37" x14ac:dyDescent="0.35">
      <c r="AH338" s="21"/>
      <c r="AI338" s="21"/>
      <c r="AJ338" s="21"/>
      <c r="AK338" s="21"/>
    </row>
    <row r="339" spans="34:37" x14ac:dyDescent="0.35">
      <c r="AH339" s="21"/>
      <c r="AI339" s="21"/>
      <c r="AJ339" s="21"/>
      <c r="AK339" s="21"/>
    </row>
    <row r="340" spans="34:37" x14ac:dyDescent="0.35">
      <c r="AH340" s="21"/>
      <c r="AI340" s="21"/>
      <c r="AJ340" s="21"/>
      <c r="AK340" s="21"/>
    </row>
    <row r="341" spans="34:37" x14ac:dyDescent="0.35">
      <c r="AH341" s="21"/>
      <c r="AI341" s="21"/>
      <c r="AJ341" s="21"/>
      <c r="AK341" s="21"/>
    </row>
    <row r="342" spans="34:37" x14ac:dyDescent="0.35">
      <c r="AH342" s="21"/>
      <c r="AI342" s="21"/>
      <c r="AJ342" s="21"/>
      <c r="AK342" s="21"/>
    </row>
    <row r="343" spans="34:37" x14ac:dyDescent="0.35">
      <c r="AH343" s="21"/>
      <c r="AI343" s="21"/>
      <c r="AJ343" s="21"/>
      <c r="AK343" s="21"/>
    </row>
    <row r="344" spans="34:37" x14ac:dyDescent="0.35">
      <c r="AH344" s="21"/>
      <c r="AI344" s="21"/>
      <c r="AJ344" s="21"/>
      <c r="AK344" s="21"/>
    </row>
    <row r="345" spans="34:37" x14ac:dyDescent="0.35">
      <c r="AH345" s="21"/>
      <c r="AI345" s="21"/>
      <c r="AJ345" s="21"/>
      <c r="AK345" s="21"/>
    </row>
    <row r="346" spans="34:37" x14ac:dyDescent="0.35">
      <c r="AH346" s="21"/>
      <c r="AI346" s="21"/>
      <c r="AJ346" s="21"/>
      <c r="AK346" s="21"/>
    </row>
    <row r="347" spans="34:37" x14ac:dyDescent="0.35">
      <c r="AH347" s="21"/>
      <c r="AI347" s="21"/>
      <c r="AJ347" s="21"/>
      <c r="AK347" s="21"/>
    </row>
    <row r="348" spans="34:37" x14ac:dyDescent="0.35">
      <c r="AH348" s="21"/>
      <c r="AI348" s="21"/>
      <c r="AJ348" s="21"/>
      <c r="AK348" s="21"/>
    </row>
    <row r="349" spans="34:37" x14ac:dyDescent="0.35">
      <c r="AH349" s="21"/>
      <c r="AI349" s="21"/>
      <c r="AJ349" s="21"/>
      <c r="AK349" s="21"/>
    </row>
    <row r="350" spans="34:37" x14ac:dyDescent="0.35">
      <c r="AH350" s="21"/>
      <c r="AI350" s="21"/>
      <c r="AJ350" s="21"/>
      <c r="AK350" s="21"/>
    </row>
    <row r="351" spans="34:37" x14ac:dyDescent="0.35">
      <c r="AH351" s="21"/>
      <c r="AI351" s="21"/>
      <c r="AJ351" s="21"/>
      <c r="AK351" s="21"/>
    </row>
    <row r="352" spans="34:37" x14ac:dyDescent="0.35">
      <c r="AH352" s="21"/>
      <c r="AI352" s="21"/>
      <c r="AJ352" s="21"/>
      <c r="AK352" s="21"/>
    </row>
    <row r="353" spans="34:37" x14ac:dyDescent="0.35">
      <c r="AH353" s="21"/>
      <c r="AI353" s="21"/>
      <c r="AJ353" s="21"/>
      <c r="AK353" s="21"/>
    </row>
    <row r="354" spans="34:37" x14ac:dyDescent="0.35">
      <c r="AH354" s="21"/>
      <c r="AI354" s="21"/>
      <c r="AJ354" s="21"/>
      <c r="AK354" s="21"/>
    </row>
    <row r="355" spans="34:37" x14ac:dyDescent="0.35">
      <c r="AH355" s="21"/>
      <c r="AI355" s="21"/>
      <c r="AJ355" s="21"/>
      <c r="AK355" s="21"/>
    </row>
    <row r="356" spans="34:37" x14ac:dyDescent="0.35">
      <c r="AH356" s="21"/>
      <c r="AI356" s="21"/>
      <c r="AJ356" s="21"/>
      <c r="AK356" s="21"/>
    </row>
    <row r="357" spans="34:37" x14ac:dyDescent="0.35">
      <c r="AH357" s="21"/>
      <c r="AI357" s="21"/>
      <c r="AJ357" s="21"/>
      <c r="AK357" s="21"/>
    </row>
    <row r="358" spans="34:37" x14ac:dyDescent="0.35">
      <c r="AH358" s="21"/>
      <c r="AI358" s="21"/>
      <c r="AJ358" s="21"/>
      <c r="AK358" s="21"/>
    </row>
    <row r="359" spans="34:37" x14ac:dyDescent="0.35">
      <c r="AH359" s="21"/>
      <c r="AI359" s="21"/>
      <c r="AJ359" s="21"/>
      <c r="AK359" s="21"/>
    </row>
    <row r="360" spans="34:37" x14ac:dyDescent="0.35">
      <c r="AH360" s="21"/>
      <c r="AI360" s="21"/>
      <c r="AJ360" s="21"/>
      <c r="AK360" s="21"/>
    </row>
    <row r="361" spans="34:37" x14ac:dyDescent="0.35">
      <c r="AH361" s="21"/>
      <c r="AI361" s="21"/>
      <c r="AJ361" s="21"/>
      <c r="AK361" s="21"/>
    </row>
    <row r="362" spans="34:37" x14ac:dyDescent="0.35">
      <c r="AH362" s="21"/>
      <c r="AI362" s="21"/>
      <c r="AJ362" s="21"/>
      <c r="AK362" s="21"/>
    </row>
    <row r="363" spans="34:37" x14ac:dyDescent="0.35">
      <c r="AH363" s="21"/>
      <c r="AI363" s="21"/>
      <c r="AJ363" s="21"/>
      <c r="AK363" s="21"/>
    </row>
    <row r="364" spans="34:37" x14ac:dyDescent="0.35">
      <c r="AH364" s="21"/>
      <c r="AI364" s="21"/>
      <c r="AJ364" s="21"/>
      <c r="AK364" s="21"/>
    </row>
    <row r="365" spans="34:37" x14ac:dyDescent="0.35">
      <c r="AH365" s="21"/>
      <c r="AI365" s="21"/>
      <c r="AJ365" s="21"/>
      <c r="AK365" s="21"/>
    </row>
    <row r="366" spans="34:37" x14ac:dyDescent="0.35">
      <c r="AH366" s="21"/>
      <c r="AI366" s="21"/>
      <c r="AJ366" s="21"/>
      <c r="AK366" s="21"/>
    </row>
    <row r="367" spans="34:37" x14ac:dyDescent="0.35">
      <c r="AH367" s="21"/>
      <c r="AI367" s="21"/>
      <c r="AJ367" s="21"/>
      <c r="AK367" s="21"/>
    </row>
    <row r="368" spans="34:37" x14ac:dyDescent="0.35">
      <c r="AH368" s="21"/>
      <c r="AI368" s="21"/>
      <c r="AJ368" s="21"/>
      <c r="AK368" s="21"/>
    </row>
    <row r="369" spans="34:37" x14ac:dyDescent="0.35">
      <c r="AH369" s="21"/>
      <c r="AI369" s="21"/>
      <c r="AJ369" s="21"/>
      <c r="AK369" s="21"/>
    </row>
    <row r="370" spans="34:37" x14ac:dyDescent="0.35">
      <c r="AH370" s="21"/>
      <c r="AI370" s="21"/>
      <c r="AJ370" s="21"/>
      <c r="AK370" s="21"/>
    </row>
    <row r="371" spans="34:37" x14ac:dyDescent="0.35">
      <c r="AH371" s="21"/>
      <c r="AI371" s="21"/>
      <c r="AJ371" s="21"/>
      <c r="AK371" s="21"/>
    </row>
    <row r="372" spans="34:37" x14ac:dyDescent="0.35">
      <c r="AH372" s="21"/>
      <c r="AI372" s="21"/>
      <c r="AJ372" s="21"/>
      <c r="AK372" s="21"/>
    </row>
    <row r="373" spans="34:37" x14ac:dyDescent="0.35">
      <c r="AH373" s="21"/>
      <c r="AI373" s="21"/>
      <c r="AJ373" s="21"/>
      <c r="AK373" s="21"/>
    </row>
    <row r="374" spans="34:37" x14ac:dyDescent="0.35">
      <c r="AH374" s="21"/>
      <c r="AI374" s="21"/>
      <c r="AJ374" s="21"/>
      <c r="AK374" s="21"/>
    </row>
    <row r="375" spans="34:37" x14ac:dyDescent="0.35">
      <c r="AH375" s="21"/>
      <c r="AI375" s="21"/>
      <c r="AJ375" s="21"/>
      <c r="AK375" s="21"/>
    </row>
    <row r="376" spans="34:37" x14ac:dyDescent="0.35">
      <c r="AH376" s="21"/>
      <c r="AI376" s="21"/>
      <c r="AJ376" s="21"/>
      <c r="AK376" s="21"/>
    </row>
    <row r="377" spans="34:37" x14ac:dyDescent="0.35">
      <c r="AH377" s="21"/>
      <c r="AI377" s="21"/>
      <c r="AJ377" s="21"/>
      <c r="AK377" s="21"/>
    </row>
    <row r="378" spans="34:37" x14ac:dyDescent="0.35">
      <c r="AH378" s="21"/>
      <c r="AI378" s="21"/>
      <c r="AJ378" s="21"/>
      <c r="AK378" s="21"/>
    </row>
    <row r="379" spans="34:37" x14ac:dyDescent="0.35">
      <c r="AH379" s="21"/>
      <c r="AI379" s="21"/>
      <c r="AJ379" s="21"/>
      <c r="AK379" s="21"/>
    </row>
    <row r="380" spans="34:37" x14ac:dyDescent="0.35">
      <c r="AH380" s="21"/>
      <c r="AI380" s="21"/>
      <c r="AJ380" s="21"/>
      <c r="AK380" s="21"/>
    </row>
    <row r="381" spans="34:37" x14ac:dyDescent="0.35">
      <c r="AH381" s="21"/>
      <c r="AI381" s="21"/>
      <c r="AJ381" s="21"/>
      <c r="AK381" s="21"/>
    </row>
    <row r="382" spans="34:37" x14ac:dyDescent="0.35">
      <c r="AH382" s="21"/>
      <c r="AI382" s="21"/>
      <c r="AJ382" s="21"/>
      <c r="AK382" s="21"/>
    </row>
    <row r="383" spans="34:37" x14ac:dyDescent="0.35">
      <c r="AH383" s="21"/>
      <c r="AI383" s="21"/>
      <c r="AJ383" s="21"/>
      <c r="AK383" s="21"/>
    </row>
    <row r="384" spans="34:37" x14ac:dyDescent="0.35">
      <c r="AH384" s="21"/>
      <c r="AI384" s="21"/>
      <c r="AJ384" s="21"/>
      <c r="AK384" s="21"/>
    </row>
    <row r="385" spans="34:37" x14ac:dyDescent="0.35">
      <c r="AH385" s="21"/>
      <c r="AI385" s="21"/>
      <c r="AJ385" s="21"/>
      <c r="AK385" s="21"/>
    </row>
    <row r="386" spans="34:37" x14ac:dyDescent="0.35">
      <c r="AH386" s="21"/>
      <c r="AI386" s="21"/>
      <c r="AJ386" s="21"/>
      <c r="AK386" s="21"/>
    </row>
    <row r="387" spans="34:37" x14ac:dyDescent="0.35">
      <c r="AH387" s="21"/>
      <c r="AI387" s="21"/>
      <c r="AJ387" s="21"/>
      <c r="AK387" s="21"/>
    </row>
    <row r="388" spans="34:37" x14ac:dyDescent="0.35">
      <c r="AH388" s="21"/>
      <c r="AI388" s="21"/>
      <c r="AJ388" s="21"/>
      <c r="AK388" s="21"/>
    </row>
    <row r="389" spans="34:37" x14ac:dyDescent="0.35">
      <c r="AH389" s="21"/>
      <c r="AI389" s="21"/>
      <c r="AJ389" s="21"/>
      <c r="AK389" s="21"/>
    </row>
    <row r="390" spans="34:37" x14ac:dyDescent="0.35">
      <c r="AH390" s="21"/>
      <c r="AI390" s="21"/>
      <c r="AJ390" s="21"/>
      <c r="AK390" s="21"/>
    </row>
    <row r="391" spans="34:37" x14ac:dyDescent="0.35">
      <c r="AH391" s="21"/>
      <c r="AI391" s="21"/>
      <c r="AJ391" s="21"/>
      <c r="AK391" s="21"/>
    </row>
    <row r="392" spans="34:37" x14ac:dyDescent="0.35">
      <c r="AH392" s="21"/>
      <c r="AI392" s="21"/>
      <c r="AJ392" s="21"/>
      <c r="AK392" s="21"/>
    </row>
    <row r="393" spans="34:37" x14ac:dyDescent="0.35">
      <c r="AH393" s="21"/>
      <c r="AI393" s="21"/>
      <c r="AJ393" s="21"/>
      <c r="AK393" s="21"/>
    </row>
    <row r="394" spans="34:37" x14ac:dyDescent="0.35">
      <c r="AH394" s="21"/>
      <c r="AI394" s="21"/>
      <c r="AJ394" s="21"/>
      <c r="AK394" s="21"/>
    </row>
    <row r="395" spans="34:37" x14ac:dyDescent="0.35">
      <c r="AH395" s="21"/>
      <c r="AI395" s="21"/>
      <c r="AJ395" s="21"/>
      <c r="AK395" s="21"/>
    </row>
    <row r="396" spans="34:37" x14ac:dyDescent="0.35">
      <c r="AH396" s="21"/>
      <c r="AI396" s="21"/>
      <c r="AJ396" s="21"/>
      <c r="AK396" s="21"/>
    </row>
    <row r="397" spans="34:37" x14ac:dyDescent="0.35">
      <c r="AH397" s="21"/>
      <c r="AI397" s="21"/>
      <c r="AJ397" s="21"/>
      <c r="AK397" s="21"/>
    </row>
    <row r="398" spans="34:37" x14ac:dyDescent="0.35">
      <c r="AH398" s="21"/>
      <c r="AI398" s="21"/>
      <c r="AJ398" s="21"/>
      <c r="AK398" s="21"/>
    </row>
    <row r="399" spans="34:37" x14ac:dyDescent="0.35">
      <c r="AH399" s="21"/>
      <c r="AI399" s="21"/>
      <c r="AJ399" s="21"/>
      <c r="AK399" s="21"/>
    </row>
    <row r="400" spans="34:37" x14ac:dyDescent="0.35">
      <c r="AH400" s="21"/>
      <c r="AI400" s="21"/>
      <c r="AJ400" s="21"/>
      <c r="AK400" s="21"/>
    </row>
    <row r="401" spans="34:37" x14ac:dyDescent="0.35">
      <c r="AH401" s="21"/>
      <c r="AI401" s="21"/>
      <c r="AJ401" s="21"/>
      <c r="AK401" s="21"/>
    </row>
    <row r="402" spans="34:37" x14ac:dyDescent="0.35">
      <c r="AH402" s="21"/>
      <c r="AI402" s="21"/>
      <c r="AJ402" s="21"/>
      <c r="AK402" s="21"/>
    </row>
    <row r="403" spans="34:37" x14ac:dyDescent="0.35">
      <c r="AH403" s="21"/>
      <c r="AI403" s="21"/>
      <c r="AJ403" s="21"/>
      <c r="AK403" s="21"/>
    </row>
    <row r="404" spans="34:37" x14ac:dyDescent="0.35">
      <c r="AH404" s="21"/>
      <c r="AI404" s="21"/>
      <c r="AJ404" s="21"/>
      <c r="AK404" s="21"/>
    </row>
    <row r="405" spans="34:37" x14ac:dyDescent="0.35">
      <c r="AH405" s="21"/>
      <c r="AI405" s="21"/>
      <c r="AJ405" s="21"/>
      <c r="AK405" s="21"/>
    </row>
    <row r="406" spans="34:37" x14ac:dyDescent="0.35">
      <c r="AH406" s="21"/>
      <c r="AI406" s="21"/>
      <c r="AJ406" s="21"/>
      <c r="AK406" s="21"/>
    </row>
    <row r="407" spans="34:37" x14ac:dyDescent="0.35">
      <c r="AH407" s="21"/>
      <c r="AI407" s="21"/>
      <c r="AJ407" s="21"/>
      <c r="AK407" s="21"/>
    </row>
    <row r="408" spans="34:37" x14ac:dyDescent="0.35">
      <c r="AH408" s="21"/>
      <c r="AI408" s="21"/>
      <c r="AJ408" s="21"/>
      <c r="AK408" s="21"/>
    </row>
    <row r="409" spans="34:37" x14ac:dyDescent="0.35">
      <c r="AH409" s="21"/>
      <c r="AI409" s="21"/>
      <c r="AJ409" s="21"/>
      <c r="AK409" s="21"/>
    </row>
    <row r="410" spans="34:37" x14ac:dyDescent="0.35">
      <c r="AH410" s="21"/>
      <c r="AI410" s="21"/>
      <c r="AJ410" s="21"/>
      <c r="AK410" s="21"/>
    </row>
    <row r="411" spans="34:37" x14ac:dyDescent="0.35">
      <c r="AH411" s="21"/>
      <c r="AI411" s="21"/>
      <c r="AJ411" s="21"/>
      <c r="AK411" s="21"/>
    </row>
    <row r="412" spans="34:37" x14ac:dyDescent="0.35">
      <c r="AH412" s="21"/>
      <c r="AI412" s="21"/>
      <c r="AJ412" s="21"/>
      <c r="AK412" s="21"/>
    </row>
    <row r="413" spans="34:37" x14ac:dyDescent="0.35">
      <c r="AH413" s="21"/>
      <c r="AI413" s="21"/>
      <c r="AJ413" s="21"/>
      <c r="AK413" s="21"/>
    </row>
    <row r="414" spans="34:37" x14ac:dyDescent="0.35">
      <c r="AH414" s="21"/>
      <c r="AI414" s="21"/>
      <c r="AJ414" s="21"/>
      <c r="AK414" s="21"/>
    </row>
    <row r="415" spans="34:37" x14ac:dyDescent="0.35">
      <c r="AH415" s="21"/>
      <c r="AI415" s="21"/>
      <c r="AJ415" s="21"/>
      <c r="AK415" s="21"/>
    </row>
    <row r="416" spans="34:37" x14ac:dyDescent="0.35">
      <c r="AH416" s="21"/>
      <c r="AI416" s="21"/>
      <c r="AJ416" s="21"/>
      <c r="AK416" s="21"/>
    </row>
    <row r="417" spans="34:37" x14ac:dyDescent="0.35">
      <c r="AH417" s="21"/>
      <c r="AI417" s="21"/>
      <c r="AJ417" s="21"/>
      <c r="AK417" s="21"/>
    </row>
    <row r="418" spans="34:37" x14ac:dyDescent="0.35">
      <c r="AH418" s="21"/>
      <c r="AI418" s="21"/>
      <c r="AJ418" s="21"/>
      <c r="AK418" s="21"/>
    </row>
    <row r="419" spans="34:37" x14ac:dyDescent="0.35">
      <c r="AH419" s="21"/>
      <c r="AI419" s="21"/>
      <c r="AJ419" s="21"/>
      <c r="AK419" s="21"/>
    </row>
    <row r="420" spans="34:37" x14ac:dyDescent="0.35">
      <c r="AH420" s="21"/>
      <c r="AI420" s="21"/>
      <c r="AJ420" s="21"/>
      <c r="AK420" s="21"/>
    </row>
    <row r="421" spans="34:37" x14ac:dyDescent="0.35">
      <c r="AH421" s="21"/>
      <c r="AI421" s="21"/>
      <c r="AJ421" s="21"/>
      <c r="AK421" s="21"/>
    </row>
    <row r="422" spans="34:37" x14ac:dyDescent="0.35">
      <c r="AH422" s="21"/>
      <c r="AI422" s="21"/>
      <c r="AJ422" s="21"/>
      <c r="AK422" s="21"/>
    </row>
    <row r="423" spans="34:37" x14ac:dyDescent="0.35">
      <c r="AH423" s="21"/>
      <c r="AI423" s="21"/>
      <c r="AJ423" s="21"/>
      <c r="AK423" s="21"/>
    </row>
    <row r="424" spans="34:37" x14ac:dyDescent="0.35">
      <c r="AH424" s="21"/>
      <c r="AI424" s="21"/>
      <c r="AJ424" s="21"/>
      <c r="AK424" s="21"/>
    </row>
    <row r="425" spans="34:37" x14ac:dyDescent="0.35">
      <c r="AH425" s="21"/>
      <c r="AI425" s="21"/>
      <c r="AJ425" s="21"/>
      <c r="AK425" s="21"/>
    </row>
    <row r="426" spans="34:37" x14ac:dyDescent="0.35">
      <c r="AH426" s="21"/>
      <c r="AI426" s="21"/>
      <c r="AJ426" s="21"/>
      <c r="AK426" s="21"/>
    </row>
    <row r="427" spans="34:37" x14ac:dyDescent="0.35">
      <c r="AH427" s="21"/>
      <c r="AI427" s="21"/>
      <c r="AJ427" s="21"/>
      <c r="AK427" s="21"/>
    </row>
    <row r="428" spans="34:37" x14ac:dyDescent="0.35">
      <c r="AH428" s="21"/>
      <c r="AI428" s="21"/>
      <c r="AJ428" s="21"/>
      <c r="AK428" s="21"/>
    </row>
    <row r="429" spans="34:37" x14ac:dyDescent="0.35">
      <c r="AH429" s="21"/>
      <c r="AI429" s="21"/>
      <c r="AJ429" s="21"/>
      <c r="AK429" s="21"/>
    </row>
    <row r="430" spans="34:37" x14ac:dyDescent="0.35">
      <c r="AH430" s="21"/>
      <c r="AI430" s="21"/>
      <c r="AJ430" s="21"/>
      <c r="AK430" s="21"/>
    </row>
    <row r="431" spans="34:37" x14ac:dyDescent="0.35">
      <c r="AH431" s="21"/>
      <c r="AI431" s="21"/>
      <c r="AJ431" s="21"/>
      <c r="AK431" s="21"/>
    </row>
    <row r="432" spans="34:37" x14ac:dyDescent="0.35">
      <c r="AH432" s="21"/>
      <c r="AI432" s="21"/>
      <c r="AJ432" s="21"/>
      <c r="AK432" s="21"/>
    </row>
    <row r="433" spans="34:37" x14ac:dyDescent="0.35">
      <c r="AH433" s="21"/>
      <c r="AI433" s="21"/>
      <c r="AJ433" s="21"/>
      <c r="AK433" s="21"/>
    </row>
    <row r="434" spans="34:37" x14ac:dyDescent="0.35">
      <c r="AH434" s="21"/>
      <c r="AI434" s="21"/>
      <c r="AJ434" s="21"/>
      <c r="AK434" s="21"/>
    </row>
    <row r="435" spans="34:37" x14ac:dyDescent="0.35">
      <c r="AH435" s="21"/>
      <c r="AI435" s="21"/>
      <c r="AJ435" s="21"/>
      <c r="AK435" s="21"/>
    </row>
    <row r="436" spans="34:37" x14ac:dyDescent="0.35">
      <c r="AH436" s="21"/>
      <c r="AI436" s="21"/>
      <c r="AJ436" s="21"/>
      <c r="AK436" s="21"/>
    </row>
    <row r="437" spans="34:37" x14ac:dyDescent="0.35">
      <c r="AH437" s="21"/>
      <c r="AI437" s="21"/>
      <c r="AJ437" s="21"/>
      <c r="AK437" s="21"/>
    </row>
    <row r="438" spans="34:37" x14ac:dyDescent="0.35">
      <c r="AH438" s="21"/>
      <c r="AI438" s="21"/>
      <c r="AJ438" s="21"/>
      <c r="AK438" s="21"/>
    </row>
    <row r="439" spans="34:37" x14ac:dyDescent="0.35">
      <c r="AH439" s="21"/>
      <c r="AI439" s="21"/>
      <c r="AJ439" s="21"/>
      <c r="AK439" s="21"/>
    </row>
    <row r="440" spans="34:37" x14ac:dyDescent="0.35">
      <c r="AH440" s="21"/>
      <c r="AI440" s="21"/>
      <c r="AJ440" s="21"/>
      <c r="AK440" s="21"/>
    </row>
    <row r="441" spans="34:37" x14ac:dyDescent="0.35">
      <c r="AH441" s="21"/>
      <c r="AI441" s="21"/>
      <c r="AJ441" s="21"/>
      <c r="AK441" s="21"/>
    </row>
    <row r="442" spans="34:37" x14ac:dyDescent="0.35">
      <c r="AH442" s="21"/>
      <c r="AI442" s="21"/>
      <c r="AJ442" s="21"/>
      <c r="AK442" s="21"/>
    </row>
    <row r="443" spans="34:37" x14ac:dyDescent="0.35">
      <c r="AH443" s="21"/>
      <c r="AI443" s="21"/>
      <c r="AJ443" s="21"/>
      <c r="AK443" s="21"/>
    </row>
    <row r="444" spans="34:37" x14ac:dyDescent="0.35">
      <c r="AH444" s="21"/>
      <c r="AI444" s="21"/>
      <c r="AJ444" s="21"/>
      <c r="AK444" s="21"/>
    </row>
    <row r="445" spans="34:37" x14ac:dyDescent="0.35">
      <c r="AH445" s="21"/>
      <c r="AI445" s="21"/>
      <c r="AJ445" s="21"/>
      <c r="AK445" s="21"/>
    </row>
    <row r="446" spans="34:37" x14ac:dyDescent="0.35">
      <c r="AH446" s="21"/>
      <c r="AI446" s="21"/>
      <c r="AJ446" s="21"/>
      <c r="AK446" s="21"/>
    </row>
    <row r="447" spans="34:37" x14ac:dyDescent="0.35">
      <c r="AH447" s="21"/>
      <c r="AI447" s="21"/>
      <c r="AJ447" s="21"/>
      <c r="AK447" s="21"/>
    </row>
    <row r="448" spans="34:37" x14ac:dyDescent="0.35">
      <c r="AH448" s="21"/>
      <c r="AI448" s="21"/>
      <c r="AJ448" s="21"/>
      <c r="AK448" s="21"/>
    </row>
    <row r="449" spans="34:37" x14ac:dyDescent="0.35">
      <c r="AH449" s="21"/>
      <c r="AI449" s="21"/>
      <c r="AJ449" s="21"/>
      <c r="AK449" s="21"/>
    </row>
    <row r="450" spans="34:37" x14ac:dyDescent="0.35">
      <c r="AH450" s="21"/>
      <c r="AI450" s="21"/>
      <c r="AJ450" s="21"/>
      <c r="AK450" s="21"/>
    </row>
    <row r="451" spans="34:37" x14ac:dyDescent="0.35">
      <c r="AH451" s="21"/>
      <c r="AI451" s="21"/>
      <c r="AJ451" s="21"/>
      <c r="AK451" s="21"/>
    </row>
  </sheetData>
  <autoFilter ref="A6:AM451" xr:uid="{821BEC7D-49E4-4583-BFB0-DF6CA96118A4}">
    <filterColumn colId="8">
      <filters>
        <filter val="CRM"/>
      </filters>
    </filterColumn>
  </autoFilter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92026-77E9-43EC-861F-6835B76FE5A0}">
  <sheetPr filterMode="1"/>
  <dimension ref="A1:AM451"/>
  <sheetViews>
    <sheetView workbookViewId="0">
      <selection activeCell="A290" sqref="A290:AM451"/>
    </sheetView>
  </sheetViews>
  <sheetFormatPr defaultRowHeight="14.5" x14ac:dyDescent="0.35"/>
  <sheetData>
    <row r="1" spans="1:39" ht="20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x14ac:dyDescent="0.35">
      <c r="B2" s="7" t="s">
        <v>50</v>
      </c>
      <c r="C2" t="s">
        <v>3438</v>
      </c>
      <c r="D2" s="8" t="s">
        <v>51</v>
      </c>
      <c r="G2" t="s">
        <v>3438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B=283,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hidden="1" thickTop="1" x14ac:dyDescent="0.35">
      <c r="A7" t="s">
        <v>2087</v>
      </c>
      <c r="B7" t="s">
        <v>2088</v>
      </c>
      <c r="C7" t="s">
        <v>66</v>
      </c>
      <c r="D7" t="s">
        <v>2089</v>
      </c>
      <c r="E7" t="s">
        <v>559</v>
      </c>
      <c r="F7">
        <v>1</v>
      </c>
      <c r="G7" t="s">
        <v>2050</v>
      </c>
      <c r="H7" t="s">
        <v>2051</v>
      </c>
      <c r="I7" t="s">
        <v>53</v>
      </c>
      <c r="J7" t="s">
        <v>67</v>
      </c>
      <c r="K7" t="s">
        <v>68</v>
      </c>
      <c r="L7" t="s">
        <v>2052</v>
      </c>
      <c r="M7" t="s">
        <v>2064</v>
      </c>
      <c r="N7">
        <v>0</v>
      </c>
      <c r="O7">
        <v>0</v>
      </c>
      <c r="P7">
        <v>0</v>
      </c>
      <c r="Q7">
        <v>900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69</v>
      </c>
      <c r="AH7" s="21" t="s">
        <v>3424</v>
      </c>
      <c r="AI7" s="21">
        <v>67.5</v>
      </c>
      <c r="AJ7" s="21">
        <v>100</v>
      </c>
      <c r="AK7" s="21" t="s">
        <v>2054</v>
      </c>
      <c r="AL7" t="s">
        <v>70</v>
      </c>
      <c r="AM7" t="s">
        <v>2029</v>
      </c>
    </row>
    <row r="8" spans="1:39" ht="15" hidden="1" thickTop="1" x14ac:dyDescent="0.35">
      <c r="A8" t="s">
        <v>2090</v>
      </c>
      <c r="B8" t="s">
        <v>2091</v>
      </c>
      <c r="C8" t="s">
        <v>71</v>
      </c>
      <c r="D8" t="s">
        <v>2092</v>
      </c>
      <c r="E8" t="s">
        <v>72</v>
      </c>
      <c r="F8">
        <v>2</v>
      </c>
      <c r="G8" t="s">
        <v>2050</v>
      </c>
      <c r="H8" t="s">
        <v>2051</v>
      </c>
      <c r="I8" t="s">
        <v>53</v>
      </c>
      <c r="J8" t="s">
        <v>73</v>
      </c>
      <c r="K8" t="s">
        <v>68</v>
      </c>
      <c r="L8" t="s">
        <v>2052</v>
      </c>
      <c r="M8" t="s">
        <v>2093</v>
      </c>
      <c r="N8">
        <v>0</v>
      </c>
      <c r="O8">
        <v>0</v>
      </c>
      <c r="P8">
        <v>0</v>
      </c>
      <c r="Q8">
        <v>840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74</v>
      </c>
      <c r="AH8" s="21" t="s">
        <v>3424</v>
      </c>
      <c r="AI8" s="21">
        <v>63</v>
      </c>
      <c r="AJ8" s="21">
        <v>100</v>
      </c>
      <c r="AK8" s="21" t="s">
        <v>2055</v>
      </c>
      <c r="AL8" t="s">
        <v>75</v>
      </c>
      <c r="AM8" t="s">
        <v>2027</v>
      </c>
    </row>
    <row r="9" spans="1:39" ht="15" hidden="1" thickTop="1" x14ac:dyDescent="0.35">
      <c r="A9" t="s">
        <v>2056</v>
      </c>
      <c r="B9" t="s">
        <v>2095</v>
      </c>
      <c r="C9" t="s">
        <v>76</v>
      </c>
      <c r="D9" t="s">
        <v>2096</v>
      </c>
      <c r="E9" t="s">
        <v>559</v>
      </c>
      <c r="F9">
        <v>3</v>
      </c>
      <c r="G9" t="s">
        <v>2050</v>
      </c>
      <c r="H9" t="s">
        <v>2051</v>
      </c>
      <c r="I9" t="s">
        <v>53</v>
      </c>
      <c r="J9" t="s">
        <v>67</v>
      </c>
      <c r="K9" t="s">
        <v>68</v>
      </c>
      <c r="L9" t="s">
        <v>2052</v>
      </c>
      <c r="M9" t="s">
        <v>2064</v>
      </c>
      <c r="N9">
        <v>0</v>
      </c>
      <c r="O9">
        <v>0</v>
      </c>
      <c r="P9">
        <v>0</v>
      </c>
      <c r="Q9">
        <v>900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77</v>
      </c>
      <c r="AH9" s="21" t="s">
        <v>3424</v>
      </c>
      <c r="AI9" s="21">
        <v>67.5</v>
      </c>
      <c r="AJ9" s="21">
        <v>100</v>
      </c>
      <c r="AK9" s="21" t="s">
        <v>2055</v>
      </c>
      <c r="AL9" t="s">
        <v>70</v>
      </c>
      <c r="AM9" t="s">
        <v>2028</v>
      </c>
    </row>
    <row r="10" spans="1:39" ht="15" hidden="1" thickTop="1" x14ac:dyDescent="0.35">
      <c r="A10" t="s">
        <v>2057</v>
      </c>
      <c r="B10" t="s">
        <v>2098</v>
      </c>
      <c r="C10" t="s">
        <v>78</v>
      </c>
      <c r="D10" t="s">
        <v>2099</v>
      </c>
      <c r="E10" t="s">
        <v>559</v>
      </c>
      <c r="F10">
        <v>2</v>
      </c>
      <c r="G10" t="s">
        <v>2050</v>
      </c>
      <c r="H10" t="s">
        <v>2051</v>
      </c>
      <c r="I10" t="s">
        <v>53</v>
      </c>
      <c r="J10" t="s">
        <v>67</v>
      </c>
      <c r="K10" t="s">
        <v>68</v>
      </c>
      <c r="L10" t="s">
        <v>2052</v>
      </c>
      <c r="M10" t="s">
        <v>2064</v>
      </c>
      <c r="N10">
        <v>0</v>
      </c>
      <c r="O10">
        <v>0</v>
      </c>
      <c r="P10">
        <v>0</v>
      </c>
      <c r="Q10">
        <v>900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80</v>
      </c>
      <c r="AH10" s="21" t="s">
        <v>3424</v>
      </c>
      <c r="AI10" s="21">
        <v>67.5</v>
      </c>
      <c r="AJ10" s="21">
        <v>100</v>
      </c>
      <c r="AK10" s="21" t="s">
        <v>2055</v>
      </c>
      <c r="AL10" t="s">
        <v>70</v>
      </c>
      <c r="AM10" t="s">
        <v>2029</v>
      </c>
    </row>
    <row r="11" spans="1:39" ht="15" hidden="1" thickTop="1" x14ac:dyDescent="0.35">
      <c r="A11" t="s">
        <v>2058</v>
      </c>
      <c r="B11" t="s">
        <v>2101</v>
      </c>
      <c r="C11" t="s">
        <v>565</v>
      </c>
      <c r="D11" t="s">
        <v>2102</v>
      </c>
      <c r="E11" t="s">
        <v>559</v>
      </c>
      <c r="F11">
        <v>1</v>
      </c>
      <c r="G11" t="s">
        <v>2050</v>
      </c>
      <c r="H11" t="s">
        <v>2051</v>
      </c>
      <c r="I11" t="s">
        <v>53</v>
      </c>
      <c r="J11" t="s">
        <v>427</v>
      </c>
      <c r="K11" t="s">
        <v>68</v>
      </c>
      <c r="L11" t="s">
        <v>2052</v>
      </c>
      <c r="M11" t="s">
        <v>2053</v>
      </c>
      <c r="N11">
        <v>0</v>
      </c>
      <c r="O11">
        <v>0</v>
      </c>
      <c r="P11">
        <v>0</v>
      </c>
      <c r="Q11">
        <v>1440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83</v>
      </c>
      <c r="AH11" s="21" t="s">
        <v>3425</v>
      </c>
      <c r="AI11" s="21">
        <v>107.92500000000001</v>
      </c>
      <c r="AJ11" s="21">
        <v>100</v>
      </c>
      <c r="AK11" s="21" t="s">
        <v>2054</v>
      </c>
      <c r="AL11" t="s">
        <v>70</v>
      </c>
      <c r="AM11" t="s">
        <v>2029</v>
      </c>
    </row>
    <row r="12" spans="1:39" ht="15" hidden="1" thickTop="1" x14ac:dyDescent="0.35">
      <c r="A12" t="s">
        <v>2059</v>
      </c>
      <c r="B12" t="s">
        <v>2103</v>
      </c>
      <c r="C12" t="s">
        <v>565</v>
      </c>
      <c r="D12" t="s">
        <v>2104</v>
      </c>
      <c r="E12" t="s">
        <v>559</v>
      </c>
      <c r="F12">
        <v>2</v>
      </c>
      <c r="G12" t="s">
        <v>2050</v>
      </c>
      <c r="H12" t="s">
        <v>2051</v>
      </c>
      <c r="I12" t="s">
        <v>53</v>
      </c>
      <c r="J12" t="s">
        <v>427</v>
      </c>
      <c r="K12" t="s">
        <v>68</v>
      </c>
      <c r="L12" t="s">
        <v>2052</v>
      </c>
      <c r="M12" t="s">
        <v>2063</v>
      </c>
      <c r="N12">
        <v>0</v>
      </c>
      <c r="O12">
        <v>0</v>
      </c>
      <c r="P12">
        <v>0</v>
      </c>
      <c r="Q12">
        <v>1020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84</v>
      </c>
      <c r="AH12" s="21" t="s">
        <v>3425</v>
      </c>
      <c r="AI12" s="21">
        <v>76.500000000000014</v>
      </c>
      <c r="AJ12" s="21">
        <v>100</v>
      </c>
      <c r="AK12" s="21" t="s">
        <v>2054</v>
      </c>
      <c r="AL12" t="s">
        <v>70</v>
      </c>
      <c r="AM12" t="s">
        <v>2027</v>
      </c>
    </row>
    <row r="13" spans="1:39" ht="15" hidden="1" thickTop="1" x14ac:dyDescent="0.35">
      <c r="A13" t="s">
        <v>2105</v>
      </c>
      <c r="B13" t="s">
        <v>2107</v>
      </c>
      <c r="C13" t="s">
        <v>81</v>
      </c>
      <c r="D13" t="s">
        <v>2108</v>
      </c>
      <c r="E13" t="s">
        <v>559</v>
      </c>
      <c r="F13">
        <v>1</v>
      </c>
      <c r="G13" t="s">
        <v>2050</v>
      </c>
      <c r="H13" t="s">
        <v>2051</v>
      </c>
      <c r="I13" t="s">
        <v>53</v>
      </c>
      <c r="J13" t="s">
        <v>82</v>
      </c>
      <c r="K13" t="s">
        <v>68</v>
      </c>
      <c r="L13" t="s">
        <v>2052</v>
      </c>
      <c r="M13" t="s">
        <v>2100</v>
      </c>
      <c r="N13">
        <v>0</v>
      </c>
      <c r="O13">
        <v>0</v>
      </c>
      <c r="P13">
        <v>0</v>
      </c>
      <c r="Q13">
        <v>840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85</v>
      </c>
      <c r="AH13" s="21" t="s">
        <v>3425</v>
      </c>
      <c r="AI13" s="21">
        <v>62.999999999999986</v>
      </c>
      <c r="AJ13" s="21">
        <v>100</v>
      </c>
      <c r="AK13" s="21" t="s">
        <v>2055</v>
      </c>
      <c r="AL13" t="s">
        <v>70</v>
      </c>
      <c r="AM13" t="s">
        <v>2030</v>
      </c>
    </row>
    <row r="14" spans="1:39" ht="15" hidden="1" thickTop="1" x14ac:dyDescent="0.35">
      <c r="A14" t="s">
        <v>2106</v>
      </c>
      <c r="B14" t="s">
        <v>2109</v>
      </c>
      <c r="C14" t="s">
        <v>820</v>
      </c>
      <c r="D14" t="s">
        <v>2110</v>
      </c>
      <c r="E14" t="s">
        <v>72</v>
      </c>
      <c r="F14">
        <v>2</v>
      </c>
      <c r="G14" t="s">
        <v>2050</v>
      </c>
      <c r="H14" t="s">
        <v>2051</v>
      </c>
      <c r="I14" t="s">
        <v>53</v>
      </c>
      <c r="J14" t="s">
        <v>424</v>
      </c>
      <c r="K14" t="s">
        <v>68</v>
      </c>
      <c r="L14" t="s">
        <v>2052</v>
      </c>
      <c r="M14" t="s">
        <v>2053</v>
      </c>
      <c r="N14">
        <v>0</v>
      </c>
      <c r="O14">
        <v>0</v>
      </c>
      <c r="P14">
        <v>0</v>
      </c>
      <c r="Q14">
        <v>1440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87</v>
      </c>
      <c r="AH14" s="21" t="s">
        <v>3425</v>
      </c>
      <c r="AI14" s="21">
        <v>107.92500000000001</v>
      </c>
      <c r="AJ14" s="21">
        <v>100</v>
      </c>
      <c r="AK14" s="21" t="s">
        <v>2054</v>
      </c>
      <c r="AL14" t="s">
        <v>75</v>
      </c>
      <c r="AM14" t="s">
        <v>2027</v>
      </c>
    </row>
    <row r="15" spans="1:39" ht="15" hidden="1" thickTop="1" x14ac:dyDescent="0.35">
      <c r="A15" t="s">
        <v>2111</v>
      </c>
      <c r="B15" t="s">
        <v>2112</v>
      </c>
      <c r="C15" t="s">
        <v>78</v>
      </c>
      <c r="D15" t="s">
        <v>2113</v>
      </c>
      <c r="E15" t="s">
        <v>559</v>
      </c>
      <c r="F15">
        <v>1</v>
      </c>
      <c r="G15" t="s">
        <v>2050</v>
      </c>
      <c r="H15" t="s">
        <v>2051</v>
      </c>
      <c r="I15" t="s">
        <v>53</v>
      </c>
      <c r="J15" t="s">
        <v>67</v>
      </c>
      <c r="K15" t="s">
        <v>68</v>
      </c>
      <c r="L15" t="s">
        <v>2052</v>
      </c>
      <c r="M15" t="s">
        <v>2053</v>
      </c>
      <c r="N15">
        <v>0</v>
      </c>
      <c r="O15">
        <v>0</v>
      </c>
      <c r="P15">
        <v>0</v>
      </c>
      <c r="Q15">
        <v>1440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89</v>
      </c>
      <c r="AH15" s="21" t="s">
        <v>3425</v>
      </c>
      <c r="AI15" s="21">
        <v>107.92500000000001</v>
      </c>
      <c r="AJ15" s="21">
        <v>100</v>
      </c>
      <c r="AK15" s="21" t="s">
        <v>2054</v>
      </c>
      <c r="AL15" t="s">
        <v>70</v>
      </c>
      <c r="AM15" t="s">
        <v>2030</v>
      </c>
    </row>
    <row r="16" spans="1:39" ht="15" hidden="1" thickTop="1" x14ac:dyDescent="0.35">
      <c r="A16" t="s">
        <v>2114</v>
      </c>
      <c r="B16" t="s">
        <v>2116</v>
      </c>
      <c r="C16" t="s">
        <v>71</v>
      </c>
      <c r="D16" t="s">
        <v>2117</v>
      </c>
      <c r="E16" t="s">
        <v>72</v>
      </c>
      <c r="F16">
        <v>1</v>
      </c>
      <c r="G16" t="s">
        <v>2050</v>
      </c>
      <c r="H16" t="s">
        <v>2051</v>
      </c>
      <c r="I16" t="s">
        <v>53</v>
      </c>
      <c r="J16" t="s">
        <v>73</v>
      </c>
      <c r="K16" t="s">
        <v>68</v>
      </c>
      <c r="L16" t="s">
        <v>2052</v>
      </c>
      <c r="M16" t="s">
        <v>2053</v>
      </c>
      <c r="N16">
        <v>0</v>
      </c>
      <c r="O16">
        <v>0</v>
      </c>
      <c r="P16">
        <v>0</v>
      </c>
      <c r="Q16">
        <v>1440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90</v>
      </c>
      <c r="AH16" s="21" t="s">
        <v>3426</v>
      </c>
      <c r="AI16" s="21">
        <v>107.92500000000001</v>
      </c>
      <c r="AJ16" s="21">
        <v>100</v>
      </c>
      <c r="AK16" s="21" t="s">
        <v>2055</v>
      </c>
      <c r="AL16" t="s">
        <v>75</v>
      </c>
      <c r="AM16" t="s">
        <v>2028</v>
      </c>
    </row>
    <row r="17" spans="1:39" ht="15" hidden="1" thickTop="1" x14ac:dyDescent="0.35">
      <c r="A17" t="s">
        <v>2115</v>
      </c>
      <c r="B17" t="s">
        <v>2118</v>
      </c>
      <c r="C17" t="s">
        <v>66</v>
      </c>
      <c r="D17" t="s">
        <v>2119</v>
      </c>
      <c r="E17" t="s">
        <v>559</v>
      </c>
      <c r="F17">
        <v>2</v>
      </c>
      <c r="G17" t="s">
        <v>2050</v>
      </c>
      <c r="H17" t="s">
        <v>2051</v>
      </c>
      <c r="I17" t="s">
        <v>53</v>
      </c>
      <c r="J17" t="s">
        <v>67</v>
      </c>
      <c r="K17" t="s">
        <v>68</v>
      </c>
      <c r="L17" t="s">
        <v>2052</v>
      </c>
      <c r="M17" t="s">
        <v>2064</v>
      </c>
      <c r="N17">
        <v>0</v>
      </c>
      <c r="O17">
        <v>0</v>
      </c>
      <c r="P17">
        <v>0</v>
      </c>
      <c r="Q17">
        <v>900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91</v>
      </c>
      <c r="AH17" s="21" t="s">
        <v>3427</v>
      </c>
      <c r="AI17" s="21">
        <v>67.5</v>
      </c>
      <c r="AJ17" s="21">
        <v>100</v>
      </c>
      <c r="AK17" s="21" t="s">
        <v>2055</v>
      </c>
      <c r="AL17" t="s">
        <v>70</v>
      </c>
      <c r="AM17" t="s">
        <v>2029</v>
      </c>
    </row>
    <row r="18" spans="1:39" ht="15" hidden="1" thickTop="1" x14ac:dyDescent="0.35">
      <c r="A18" t="s">
        <v>2120</v>
      </c>
      <c r="B18" t="s">
        <v>2123</v>
      </c>
      <c r="C18" t="s">
        <v>66</v>
      </c>
      <c r="D18" t="s">
        <v>2124</v>
      </c>
      <c r="E18" t="s">
        <v>559</v>
      </c>
      <c r="F18">
        <v>1</v>
      </c>
      <c r="G18" t="s">
        <v>2050</v>
      </c>
      <c r="H18" t="s">
        <v>2051</v>
      </c>
      <c r="I18" t="s">
        <v>53</v>
      </c>
      <c r="J18" t="s">
        <v>67</v>
      </c>
      <c r="K18" t="s">
        <v>68</v>
      </c>
      <c r="L18" t="s">
        <v>2052</v>
      </c>
      <c r="M18" t="s">
        <v>2053</v>
      </c>
      <c r="N18">
        <v>0</v>
      </c>
      <c r="O18">
        <v>0</v>
      </c>
      <c r="P18">
        <v>0</v>
      </c>
      <c r="Q18">
        <v>1440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93</v>
      </c>
      <c r="AH18" s="21" t="s">
        <v>3427</v>
      </c>
      <c r="AI18" s="21">
        <v>107.92500000000001</v>
      </c>
      <c r="AJ18" s="21">
        <v>100</v>
      </c>
      <c r="AK18" s="21" t="s">
        <v>2054</v>
      </c>
      <c r="AL18" t="s">
        <v>70</v>
      </c>
      <c r="AM18" t="s">
        <v>2031</v>
      </c>
    </row>
    <row r="19" spans="1:39" ht="15" hidden="1" thickTop="1" x14ac:dyDescent="0.35">
      <c r="A19" t="s">
        <v>2121</v>
      </c>
      <c r="B19" t="s">
        <v>2125</v>
      </c>
      <c r="C19" t="s">
        <v>1515</v>
      </c>
      <c r="D19" t="s">
        <v>2126</v>
      </c>
      <c r="E19" t="s">
        <v>95</v>
      </c>
      <c r="F19">
        <v>1</v>
      </c>
      <c r="G19" t="s">
        <v>2050</v>
      </c>
      <c r="H19" t="s">
        <v>2051</v>
      </c>
      <c r="I19" t="s">
        <v>53</v>
      </c>
      <c r="J19" t="s">
        <v>1516</v>
      </c>
      <c r="K19" t="s">
        <v>68</v>
      </c>
      <c r="L19" t="s">
        <v>2052</v>
      </c>
      <c r="M19" t="s">
        <v>2053</v>
      </c>
      <c r="N19">
        <v>0</v>
      </c>
      <c r="O19">
        <v>0</v>
      </c>
      <c r="P19">
        <v>0</v>
      </c>
      <c r="Q19">
        <v>1440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97</v>
      </c>
      <c r="AH19" s="21" t="s">
        <v>3427</v>
      </c>
      <c r="AI19" s="21">
        <v>107.92500000000001</v>
      </c>
      <c r="AJ19" s="21">
        <v>100</v>
      </c>
      <c r="AK19" s="21" t="s">
        <v>2055</v>
      </c>
      <c r="AL19" t="s">
        <v>75</v>
      </c>
      <c r="AM19" t="s">
        <v>2027</v>
      </c>
    </row>
    <row r="20" spans="1:39" ht="15" hidden="1" thickTop="1" x14ac:dyDescent="0.35">
      <c r="A20" t="s">
        <v>2122</v>
      </c>
      <c r="B20" t="s">
        <v>2127</v>
      </c>
      <c r="C20" t="s">
        <v>71</v>
      </c>
      <c r="D20" t="s">
        <v>2128</v>
      </c>
      <c r="E20" t="s">
        <v>72</v>
      </c>
      <c r="F20">
        <v>1</v>
      </c>
      <c r="G20" t="s">
        <v>2050</v>
      </c>
      <c r="H20" t="s">
        <v>2051</v>
      </c>
      <c r="I20" t="s">
        <v>53</v>
      </c>
      <c r="J20" t="s">
        <v>73</v>
      </c>
      <c r="K20" t="s">
        <v>68</v>
      </c>
      <c r="L20" t="s">
        <v>2052</v>
      </c>
      <c r="M20" t="s">
        <v>2053</v>
      </c>
      <c r="N20">
        <v>0</v>
      </c>
      <c r="O20">
        <v>0</v>
      </c>
      <c r="P20">
        <v>0</v>
      </c>
      <c r="Q20">
        <v>1440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98</v>
      </c>
      <c r="AH20" s="21" t="s">
        <v>3427</v>
      </c>
      <c r="AI20" s="21">
        <v>107.92500000000001</v>
      </c>
      <c r="AJ20" s="21">
        <v>100</v>
      </c>
      <c r="AK20" s="21" t="s">
        <v>2054</v>
      </c>
      <c r="AL20" t="s">
        <v>75</v>
      </c>
      <c r="AM20" t="s">
        <v>2028</v>
      </c>
    </row>
    <row r="21" spans="1:39" ht="15" hidden="1" thickTop="1" x14ac:dyDescent="0.35">
      <c r="A21" t="s">
        <v>2129</v>
      </c>
      <c r="B21" t="s">
        <v>2132</v>
      </c>
      <c r="C21" t="s">
        <v>78</v>
      </c>
      <c r="D21" t="s">
        <v>2133</v>
      </c>
      <c r="E21" t="s">
        <v>559</v>
      </c>
      <c r="F21">
        <v>1</v>
      </c>
      <c r="G21" t="s">
        <v>2050</v>
      </c>
      <c r="H21" t="s">
        <v>2051</v>
      </c>
      <c r="I21" t="s">
        <v>53</v>
      </c>
      <c r="J21" t="s">
        <v>67</v>
      </c>
      <c r="K21" t="s">
        <v>68</v>
      </c>
      <c r="L21" t="s">
        <v>2052</v>
      </c>
      <c r="M21" t="s">
        <v>2053</v>
      </c>
      <c r="N21">
        <v>0</v>
      </c>
      <c r="O21">
        <v>0</v>
      </c>
      <c r="P21">
        <v>0</v>
      </c>
      <c r="Q21">
        <v>1440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99</v>
      </c>
      <c r="AH21" s="21" t="s">
        <v>3427</v>
      </c>
      <c r="AI21" s="21">
        <v>107.92500000000001</v>
      </c>
      <c r="AJ21" s="21">
        <v>100</v>
      </c>
      <c r="AK21" s="21" t="s">
        <v>2054</v>
      </c>
      <c r="AL21" t="s">
        <v>70</v>
      </c>
      <c r="AM21" t="s">
        <v>2027</v>
      </c>
    </row>
    <row r="22" spans="1:39" ht="15" hidden="1" thickTop="1" x14ac:dyDescent="0.35">
      <c r="A22" t="s">
        <v>2130</v>
      </c>
      <c r="B22" t="s">
        <v>2134</v>
      </c>
      <c r="C22" t="s">
        <v>100</v>
      </c>
      <c r="D22" t="s">
        <v>2135</v>
      </c>
      <c r="E22" t="s">
        <v>559</v>
      </c>
      <c r="F22">
        <v>1</v>
      </c>
      <c r="G22" t="s">
        <v>2050</v>
      </c>
      <c r="H22" t="s">
        <v>2051</v>
      </c>
      <c r="I22" t="s">
        <v>53</v>
      </c>
      <c r="J22" t="s">
        <v>67</v>
      </c>
      <c r="K22" t="s">
        <v>68</v>
      </c>
      <c r="L22" t="s">
        <v>2052</v>
      </c>
      <c r="M22" t="s">
        <v>2053</v>
      </c>
      <c r="N22">
        <v>0</v>
      </c>
      <c r="O22">
        <v>0</v>
      </c>
      <c r="P22">
        <v>0</v>
      </c>
      <c r="Q22">
        <v>1440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101</v>
      </c>
      <c r="AH22" s="21" t="s">
        <v>3424</v>
      </c>
      <c r="AI22" s="21">
        <v>107.92500000000001</v>
      </c>
      <c r="AJ22" s="21">
        <v>100</v>
      </c>
      <c r="AK22" s="21" t="s">
        <v>2054</v>
      </c>
      <c r="AL22" t="s">
        <v>70</v>
      </c>
      <c r="AM22" t="s">
        <v>2028</v>
      </c>
    </row>
    <row r="23" spans="1:39" ht="15" hidden="1" thickTop="1" x14ac:dyDescent="0.35">
      <c r="A23" t="s">
        <v>2131</v>
      </c>
      <c r="B23" t="s">
        <v>2136</v>
      </c>
      <c r="C23" t="s">
        <v>102</v>
      </c>
      <c r="D23" t="s">
        <v>2137</v>
      </c>
      <c r="E23" t="s">
        <v>559</v>
      </c>
      <c r="F23">
        <v>1</v>
      </c>
      <c r="G23" t="s">
        <v>2050</v>
      </c>
      <c r="H23" t="s">
        <v>2051</v>
      </c>
      <c r="I23" t="s">
        <v>53</v>
      </c>
      <c r="J23" t="s">
        <v>67</v>
      </c>
      <c r="K23" t="s">
        <v>68</v>
      </c>
      <c r="L23" t="s">
        <v>2052</v>
      </c>
      <c r="M23" t="s">
        <v>2053</v>
      </c>
      <c r="N23">
        <v>0</v>
      </c>
      <c r="O23">
        <v>0</v>
      </c>
      <c r="P23">
        <v>0</v>
      </c>
      <c r="Q23">
        <v>1440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103</v>
      </c>
      <c r="AH23" s="21" t="s">
        <v>3425</v>
      </c>
      <c r="AI23" s="21">
        <v>107.92500000000001</v>
      </c>
      <c r="AJ23" s="21">
        <v>100</v>
      </c>
      <c r="AK23" s="21" t="s">
        <v>2054</v>
      </c>
      <c r="AL23" t="s">
        <v>70</v>
      </c>
      <c r="AM23" t="s">
        <v>2027</v>
      </c>
    </row>
    <row r="24" spans="1:39" ht="15" hidden="1" thickTop="1" x14ac:dyDescent="0.35">
      <c r="A24" t="s">
        <v>2138</v>
      </c>
      <c r="B24" t="s">
        <v>2140</v>
      </c>
      <c r="C24" t="s">
        <v>66</v>
      </c>
      <c r="D24" t="s">
        <v>2141</v>
      </c>
      <c r="E24" t="s">
        <v>559</v>
      </c>
      <c r="F24">
        <v>2</v>
      </c>
      <c r="G24" t="s">
        <v>2050</v>
      </c>
      <c r="H24" t="s">
        <v>2051</v>
      </c>
      <c r="I24" t="s">
        <v>53</v>
      </c>
      <c r="J24" t="s">
        <v>67</v>
      </c>
      <c r="K24" t="s">
        <v>68</v>
      </c>
      <c r="L24" t="s">
        <v>2052</v>
      </c>
      <c r="M24" t="s">
        <v>2053</v>
      </c>
      <c r="N24">
        <v>0</v>
      </c>
      <c r="O24">
        <v>0</v>
      </c>
      <c r="P24">
        <v>0</v>
      </c>
      <c r="Q24">
        <v>1440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104</v>
      </c>
      <c r="AH24" s="21" t="s">
        <v>3428</v>
      </c>
      <c r="AI24" s="21">
        <v>107.92500000000001</v>
      </c>
      <c r="AJ24" s="21">
        <v>100</v>
      </c>
      <c r="AK24" s="21" t="s">
        <v>2054</v>
      </c>
      <c r="AL24" t="s">
        <v>70</v>
      </c>
      <c r="AM24" t="s">
        <v>2028</v>
      </c>
    </row>
    <row r="25" spans="1:39" ht="15" hidden="1" thickTop="1" x14ac:dyDescent="0.35">
      <c r="A25" t="s">
        <v>2060</v>
      </c>
      <c r="B25" t="s">
        <v>2147</v>
      </c>
      <c r="C25" t="s">
        <v>76</v>
      </c>
      <c r="D25" t="s">
        <v>2148</v>
      </c>
      <c r="E25" t="s">
        <v>559</v>
      </c>
      <c r="F25">
        <v>1</v>
      </c>
      <c r="G25" t="s">
        <v>2050</v>
      </c>
      <c r="H25" t="s">
        <v>2051</v>
      </c>
      <c r="I25" t="s">
        <v>53</v>
      </c>
      <c r="J25" t="s">
        <v>67</v>
      </c>
      <c r="K25" t="s">
        <v>68</v>
      </c>
      <c r="L25" t="s">
        <v>2052</v>
      </c>
      <c r="M25" t="s">
        <v>2064</v>
      </c>
      <c r="N25">
        <v>0</v>
      </c>
      <c r="O25">
        <v>0</v>
      </c>
      <c r="P25">
        <v>0</v>
      </c>
      <c r="Q25">
        <v>900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105</v>
      </c>
      <c r="AH25" s="21" t="s">
        <v>3425</v>
      </c>
      <c r="AI25" s="21">
        <v>67.5</v>
      </c>
      <c r="AJ25" s="21">
        <v>100</v>
      </c>
      <c r="AK25" s="21" t="s">
        <v>2054</v>
      </c>
      <c r="AL25" t="s">
        <v>70</v>
      </c>
      <c r="AM25" t="s">
        <v>2029</v>
      </c>
    </row>
    <row r="26" spans="1:39" ht="15" hidden="1" thickTop="1" x14ac:dyDescent="0.35">
      <c r="A26" t="s">
        <v>2142</v>
      </c>
      <c r="B26" t="s">
        <v>2149</v>
      </c>
      <c r="C26" t="s">
        <v>76</v>
      </c>
      <c r="D26" t="s">
        <v>2150</v>
      </c>
      <c r="E26" t="s">
        <v>559</v>
      </c>
      <c r="F26">
        <v>1</v>
      </c>
      <c r="G26" t="s">
        <v>2050</v>
      </c>
      <c r="H26" t="s">
        <v>2051</v>
      </c>
      <c r="I26" t="s">
        <v>53</v>
      </c>
      <c r="J26" t="s">
        <v>67</v>
      </c>
      <c r="K26" t="s">
        <v>68</v>
      </c>
      <c r="L26" t="s">
        <v>2052</v>
      </c>
      <c r="M26" t="s">
        <v>2064</v>
      </c>
      <c r="N26">
        <v>0</v>
      </c>
      <c r="O26">
        <v>0</v>
      </c>
      <c r="P26">
        <v>0</v>
      </c>
      <c r="Q26">
        <v>900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106</v>
      </c>
      <c r="AH26" s="21" t="s">
        <v>3424</v>
      </c>
      <c r="AI26" s="21">
        <v>67.5</v>
      </c>
      <c r="AJ26" s="21">
        <v>100</v>
      </c>
      <c r="AK26" s="21" t="s">
        <v>2054</v>
      </c>
      <c r="AL26" t="s">
        <v>70</v>
      </c>
      <c r="AM26" t="s">
        <v>2028</v>
      </c>
    </row>
    <row r="27" spans="1:39" ht="15" hidden="1" thickTop="1" x14ac:dyDescent="0.35">
      <c r="A27" t="s">
        <v>2143</v>
      </c>
      <c r="B27" t="s">
        <v>2151</v>
      </c>
      <c r="C27" t="s">
        <v>86</v>
      </c>
      <c r="D27" t="s">
        <v>2152</v>
      </c>
      <c r="E27" t="s">
        <v>72</v>
      </c>
      <c r="F27">
        <v>1</v>
      </c>
      <c r="G27" t="s">
        <v>2050</v>
      </c>
      <c r="H27" t="s">
        <v>2051</v>
      </c>
      <c r="I27" t="s">
        <v>53</v>
      </c>
      <c r="J27" t="s">
        <v>73</v>
      </c>
      <c r="K27" t="s">
        <v>68</v>
      </c>
      <c r="L27" t="s">
        <v>2052</v>
      </c>
      <c r="M27" t="s">
        <v>2064</v>
      </c>
      <c r="N27">
        <v>0</v>
      </c>
      <c r="O27">
        <v>0</v>
      </c>
      <c r="P27">
        <v>0</v>
      </c>
      <c r="Q27">
        <v>900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107</v>
      </c>
      <c r="AH27" s="21" t="s">
        <v>3424</v>
      </c>
      <c r="AI27" s="21">
        <v>67.5</v>
      </c>
      <c r="AJ27" s="21">
        <v>100</v>
      </c>
      <c r="AK27" s="21" t="s">
        <v>2054</v>
      </c>
      <c r="AL27" t="s">
        <v>75</v>
      </c>
      <c r="AM27" t="s">
        <v>2029</v>
      </c>
    </row>
    <row r="28" spans="1:39" ht="15" hidden="1" thickTop="1" x14ac:dyDescent="0.35">
      <c r="A28" t="s">
        <v>2145</v>
      </c>
      <c r="B28" t="s">
        <v>2156</v>
      </c>
      <c r="C28" t="s">
        <v>102</v>
      </c>
      <c r="D28" t="s">
        <v>2157</v>
      </c>
      <c r="E28" t="s">
        <v>559</v>
      </c>
      <c r="F28">
        <v>1</v>
      </c>
      <c r="G28" t="s">
        <v>2050</v>
      </c>
      <c r="H28" t="s">
        <v>2051</v>
      </c>
      <c r="I28" t="s">
        <v>53</v>
      </c>
      <c r="J28" t="s">
        <v>67</v>
      </c>
      <c r="K28" t="s">
        <v>68</v>
      </c>
      <c r="L28" t="s">
        <v>2052</v>
      </c>
      <c r="M28" t="s">
        <v>2053</v>
      </c>
      <c r="N28">
        <v>0</v>
      </c>
      <c r="O28">
        <v>0</v>
      </c>
      <c r="P28">
        <v>0</v>
      </c>
      <c r="Q28">
        <v>1440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108</v>
      </c>
      <c r="AH28" s="21" t="s">
        <v>3425</v>
      </c>
      <c r="AI28" s="21">
        <v>107.92500000000001</v>
      </c>
      <c r="AJ28" s="21">
        <v>100</v>
      </c>
      <c r="AK28" s="21" t="s">
        <v>2054</v>
      </c>
      <c r="AL28" t="s">
        <v>70</v>
      </c>
      <c r="AM28" t="s">
        <v>2027</v>
      </c>
    </row>
    <row r="29" spans="1:39" ht="15" hidden="1" thickTop="1" x14ac:dyDescent="0.35">
      <c r="A29" t="s">
        <v>2153</v>
      </c>
      <c r="B29" t="s">
        <v>2160</v>
      </c>
      <c r="C29" t="s">
        <v>102</v>
      </c>
      <c r="D29" t="s">
        <v>2161</v>
      </c>
      <c r="E29" t="s">
        <v>559</v>
      </c>
      <c r="F29">
        <v>1</v>
      </c>
      <c r="G29" t="s">
        <v>2050</v>
      </c>
      <c r="H29" t="s">
        <v>2051</v>
      </c>
      <c r="I29" t="s">
        <v>53</v>
      </c>
      <c r="J29" t="s">
        <v>67</v>
      </c>
      <c r="K29" t="s">
        <v>68</v>
      </c>
      <c r="L29" t="s">
        <v>2052</v>
      </c>
      <c r="M29" t="s">
        <v>2053</v>
      </c>
      <c r="N29">
        <v>0</v>
      </c>
      <c r="O29">
        <v>0</v>
      </c>
      <c r="P29">
        <v>0</v>
      </c>
      <c r="Q29">
        <v>1440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109</v>
      </c>
      <c r="AH29" s="21" t="s">
        <v>3429</v>
      </c>
      <c r="AI29" s="21">
        <v>107.92500000000001</v>
      </c>
      <c r="AJ29" s="21">
        <v>100</v>
      </c>
      <c r="AK29" s="21" t="s">
        <v>2055</v>
      </c>
      <c r="AL29" t="s">
        <v>70</v>
      </c>
      <c r="AM29" t="s">
        <v>2028</v>
      </c>
    </row>
    <row r="30" spans="1:39" ht="15" hidden="1" thickTop="1" x14ac:dyDescent="0.35">
      <c r="A30" t="s">
        <v>2154</v>
      </c>
      <c r="B30" t="s">
        <v>2162</v>
      </c>
      <c r="C30" t="s">
        <v>78</v>
      </c>
      <c r="D30" t="s">
        <v>2163</v>
      </c>
      <c r="E30" t="s">
        <v>559</v>
      </c>
      <c r="F30">
        <v>1</v>
      </c>
      <c r="G30" t="s">
        <v>2050</v>
      </c>
      <c r="H30" t="s">
        <v>2051</v>
      </c>
      <c r="I30" t="s">
        <v>53</v>
      </c>
      <c r="J30" t="s">
        <v>67</v>
      </c>
      <c r="K30" t="s">
        <v>68</v>
      </c>
      <c r="L30" t="s">
        <v>2052</v>
      </c>
      <c r="M30" t="s">
        <v>2053</v>
      </c>
      <c r="N30">
        <v>0</v>
      </c>
      <c r="O30">
        <v>0</v>
      </c>
      <c r="P30">
        <v>0</v>
      </c>
      <c r="Q30">
        <v>1440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110</v>
      </c>
      <c r="AH30" s="21" t="s">
        <v>3424</v>
      </c>
      <c r="AI30" s="21">
        <v>107.92500000000001</v>
      </c>
      <c r="AJ30" s="21">
        <v>100</v>
      </c>
      <c r="AK30" s="21" t="s">
        <v>2054</v>
      </c>
      <c r="AL30" t="s">
        <v>70</v>
      </c>
      <c r="AM30" t="s">
        <v>2029</v>
      </c>
    </row>
    <row r="31" spans="1:39" ht="15" hidden="1" thickTop="1" x14ac:dyDescent="0.35">
      <c r="A31" t="s">
        <v>2158</v>
      </c>
      <c r="B31" t="s">
        <v>2164</v>
      </c>
      <c r="C31" t="s">
        <v>111</v>
      </c>
      <c r="D31" t="s">
        <v>2165</v>
      </c>
      <c r="E31" t="s">
        <v>112</v>
      </c>
      <c r="F31">
        <v>1</v>
      </c>
      <c r="G31" t="s">
        <v>2050</v>
      </c>
      <c r="H31" t="s">
        <v>2051</v>
      </c>
      <c r="I31" t="s">
        <v>53</v>
      </c>
      <c r="J31" t="s">
        <v>113</v>
      </c>
      <c r="K31" t="s">
        <v>68</v>
      </c>
      <c r="L31" t="s">
        <v>2052</v>
      </c>
      <c r="M31" t="s">
        <v>2053</v>
      </c>
      <c r="N31">
        <v>0</v>
      </c>
      <c r="O31">
        <v>0</v>
      </c>
      <c r="P31">
        <v>0</v>
      </c>
      <c r="Q31">
        <v>1440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114</v>
      </c>
      <c r="AH31" s="21" t="s">
        <v>3424</v>
      </c>
      <c r="AI31" s="21">
        <v>107.92500000000001</v>
      </c>
      <c r="AJ31" s="21">
        <v>100</v>
      </c>
      <c r="AK31" s="21" t="s">
        <v>2054</v>
      </c>
      <c r="AL31" t="s">
        <v>115</v>
      </c>
      <c r="AM31" t="s">
        <v>2027</v>
      </c>
    </row>
    <row r="32" spans="1:39" ht="15" hidden="1" thickTop="1" x14ac:dyDescent="0.35">
      <c r="A32" t="s">
        <v>2166</v>
      </c>
      <c r="B32" t="s">
        <v>2171</v>
      </c>
      <c r="C32" t="s">
        <v>117</v>
      </c>
      <c r="D32" t="s">
        <v>2172</v>
      </c>
      <c r="E32" t="s">
        <v>559</v>
      </c>
      <c r="F32">
        <v>1</v>
      </c>
      <c r="G32" t="s">
        <v>2050</v>
      </c>
      <c r="H32" t="s">
        <v>2051</v>
      </c>
      <c r="I32" t="s">
        <v>53</v>
      </c>
      <c r="J32" t="s">
        <v>67</v>
      </c>
      <c r="K32" t="s">
        <v>68</v>
      </c>
      <c r="L32" t="s">
        <v>2052</v>
      </c>
      <c r="M32" t="s">
        <v>2066</v>
      </c>
      <c r="N32">
        <v>0</v>
      </c>
      <c r="O32">
        <v>0</v>
      </c>
      <c r="P32">
        <v>0</v>
      </c>
      <c r="Q32">
        <v>780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118</v>
      </c>
      <c r="AH32" s="21" t="s">
        <v>3425</v>
      </c>
      <c r="AI32" s="21">
        <v>58.5</v>
      </c>
      <c r="AJ32" s="21">
        <v>100</v>
      </c>
      <c r="AK32" s="21" t="s">
        <v>2054</v>
      </c>
      <c r="AL32" t="s">
        <v>70</v>
      </c>
      <c r="AM32" t="s">
        <v>2029</v>
      </c>
    </row>
    <row r="33" spans="1:39" ht="15" hidden="1" thickTop="1" x14ac:dyDescent="0.35">
      <c r="A33" t="s">
        <v>2168</v>
      </c>
      <c r="B33" t="s">
        <v>2173</v>
      </c>
      <c r="C33" t="s">
        <v>76</v>
      </c>
      <c r="D33" t="s">
        <v>2174</v>
      </c>
      <c r="E33" t="s">
        <v>119</v>
      </c>
      <c r="F33">
        <v>1</v>
      </c>
      <c r="G33" t="s">
        <v>2050</v>
      </c>
      <c r="H33" t="s">
        <v>2051</v>
      </c>
      <c r="I33" t="s">
        <v>53</v>
      </c>
      <c r="J33" t="s">
        <v>67</v>
      </c>
      <c r="K33" t="s">
        <v>68</v>
      </c>
      <c r="L33" t="s">
        <v>2052</v>
      </c>
      <c r="M33" t="s">
        <v>2053</v>
      </c>
      <c r="N33">
        <v>0</v>
      </c>
      <c r="O33">
        <v>0</v>
      </c>
      <c r="P33">
        <v>0</v>
      </c>
      <c r="Q33">
        <v>1440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120</v>
      </c>
      <c r="AH33" s="21" t="s">
        <v>3425</v>
      </c>
      <c r="AI33" s="21">
        <v>107.92500000000001</v>
      </c>
      <c r="AJ33" s="21">
        <v>100</v>
      </c>
      <c r="AK33" s="21" t="s">
        <v>2054</v>
      </c>
      <c r="AL33" t="s">
        <v>70</v>
      </c>
      <c r="AM33" t="s">
        <v>2028</v>
      </c>
    </row>
    <row r="34" spans="1:39" ht="15" hidden="1" thickTop="1" x14ac:dyDescent="0.35">
      <c r="A34" t="s">
        <v>2169</v>
      </c>
      <c r="B34" t="s">
        <v>2175</v>
      </c>
      <c r="C34" t="s">
        <v>76</v>
      </c>
      <c r="D34" t="s">
        <v>2176</v>
      </c>
      <c r="E34" t="s">
        <v>559</v>
      </c>
      <c r="F34">
        <v>2</v>
      </c>
      <c r="G34" t="s">
        <v>2050</v>
      </c>
      <c r="H34" t="s">
        <v>2051</v>
      </c>
      <c r="I34" t="s">
        <v>53</v>
      </c>
      <c r="J34" t="s">
        <v>67</v>
      </c>
      <c r="K34" t="s">
        <v>68</v>
      </c>
      <c r="L34" t="s">
        <v>2052</v>
      </c>
      <c r="M34" t="s">
        <v>2053</v>
      </c>
      <c r="N34">
        <v>0</v>
      </c>
      <c r="O34">
        <v>0</v>
      </c>
      <c r="P34">
        <v>0</v>
      </c>
      <c r="Q34">
        <v>1440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121</v>
      </c>
      <c r="AH34" s="21" t="s">
        <v>3425</v>
      </c>
      <c r="AI34" s="21">
        <v>107.92500000000001</v>
      </c>
      <c r="AJ34" s="21">
        <v>100</v>
      </c>
      <c r="AK34" s="21" t="s">
        <v>2055</v>
      </c>
      <c r="AL34" t="s">
        <v>70</v>
      </c>
      <c r="AM34" t="s">
        <v>2030</v>
      </c>
    </row>
    <row r="35" spans="1:39" ht="15" hidden="1" thickTop="1" x14ac:dyDescent="0.35">
      <c r="A35" t="s">
        <v>2177</v>
      </c>
      <c r="B35" t="s">
        <v>2183</v>
      </c>
      <c r="C35" t="s">
        <v>76</v>
      </c>
      <c r="D35" t="s">
        <v>2184</v>
      </c>
      <c r="E35" t="s">
        <v>559</v>
      </c>
      <c r="F35">
        <v>2</v>
      </c>
      <c r="G35" t="s">
        <v>2050</v>
      </c>
      <c r="H35" t="s">
        <v>2051</v>
      </c>
      <c r="I35" t="s">
        <v>53</v>
      </c>
      <c r="J35" t="s">
        <v>67</v>
      </c>
      <c r="K35" t="s">
        <v>68</v>
      </c>
      <c r="L35" t="s">
        <v>2052</v>
      </c>
      <c r="M35" t="s">
        <v>2064</v>
      </c>
      <c r="N35">
        <v>0</v>
      </c>
      <c r="O35">
        <v>0</v>
      </c>
      <c r="P35">
        <v>0</v>
      </c>
      <c r="Q35">
        <v>900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122</v>
      </c>
      <c r="AH35" s="21" t="s">
        <v>3424</v>
      </c>
      <c r="AI35" s="21">
        <v>67.5</v>
      </c>
      <c r="AJ35" s="21">
        <v>100</v>
      </c>
      <c r="AK35" s="21" t="s">
        <v>2054</v>
      </c>
      <c r="AL35" t="s">
        <v>70</v>
      </c>
      <c r="AM35" t="s">
        <v>2029</v>
      </c>
    </row>
    <row r="36" spans="1:39" ht="15" hidden="1" thickTop="1" x14ac:dyDescent="0.35">
      <c r="A36" t="s">
        <v>2178</v>
      </c>
      <c r="B36" t="s">
        <v>2185</v>
      </c>
      <c r="C36" t="s">
        <v>81</v>
      </c>
      <c r="D36" t="s">
        <v>2186</v>
      </c>
      <c r="E36" t="s">
        <v>559</v>
      </c>
      <c r="F36">
        <v>2</v>
      </c>
      <c r="G36" t="s">
        <v>2050</v>
      </c>
      <c r="H36" t="s">
        <v>2051</v>
      </c>
      <c r="I36" t="s">
        <v>53</v>
      </c>
      <c r="J36" t="s">
        <v>82</v>
      </c>
      <c r="K36" t="s">
        <v>68</v>
      </c>
      <c r="L36" t="s">
        <v>2052</v>
      </c>
      <c r="M36" t="s">
        <v>2053</v>
      </c>
      <c r="N36">
        <v>0</v>
      </c>
      <c r="O36">
        <v>0</v>
      </c>
      <c r="P36">
        <v>0</v>
      </c>
      <c r="Q36">
        <v>1440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123</v>
      </c>
      <c r="AH36" s="21" t="s">
        <v>3425</v>
      </c>
      <c r="AI36" s="21">
        <v>107.92500000000001</v>
      </c>
      <c r="AJ36" s="21">
        <v>100</v>
      </c>
      <c r="AK36" s="21" t="s">
        <v>2054</v>
      </c>
      <c r="AL36" t="s">
        <v>70</v>
      </c>
      <c r="AM36" t="s">
        <v>2027</v>
      </c>
    </row>
    <row r="37" spans="1:39" ht="15" hidden="1" thickTop="1" x14ac:dyDescent="0.35">
      <c r="A37" t="s">
        <v>2179</v>
      </c>
      <c r="B37" t="s">
        <v>2187</v>
      </c>
      <c r="C37" t="s">
        <v>100</v>
      </c>
      <c r="D37" t="s">
        <v>2188</v>
      </c>
      <c r="E37" t="s">
        <v>559</v>
      </c>
      <c r="F37">
        <v>1</v>
      </c>
      <c r="G37" t="s">
        <v>2050</v>
      </c>
      <c r="H37" t="s">
        <v>2051</v>
      </c>
      <c r="I37" t="s">
        <v>53</v>
      </c>
      <c r="J37" t="s">
        <v>67</v>
      </c>
      <c r="K37" t="s">
        <v>68</v>
      </c>
      <c r="L37" t="s">
        <v>2052</v>
      </c>
      <c r="M37" t="s">
        <v>2053</v>
      </c>
      <c r="N37">
        <v>0</v>
      </c>
      <c r="O37">
        <v>0</v>
      </c>
      <c r="P37">
        <v>0</v>
      </c>
      <c r="Q37">
        <v>1440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124</v>
      </c>
      <c r="AH37" s="21" t="s">
        <v>3424</v>
      </c>
      <c r="AI37" s="21">
        <v>107.92500000000001</v>
      </c>
      <c r="AJ37" s="21">
        <v>100</v>
      </c>
      <c r="AK37" s="21" t="s">
        <v>2054</v>
      </c>
      <c r="AL37" t="s">
        <v>70</v>
      </c>
      <c r="AM37" t="s">
        <v>2031</v>
      </c>
    </row>
    <row r="38" spans="1:39" ht="15" hidden="1" thickTop="1" x14ac:dyDescent="0.35">
      <c r="A38" t="s">
        <v>2181</v>
      </c>
      <c r="B38" t="s">
        <v>2189</v>
      </c>
      <c r="C38" t="s">
        <v>76</v>
      </c>
      <c r="D38" t="s">
        <v>2190</v>
      </c>
      <c r="E38" t="s">
        <v>559</v>
      </c>
      <c r="F38">
        <v>2</v>
      </c>
      <c r="G38" t="s">
        <v>2050</v>
      </c>
      <c r="H38" t="s">
        <v>2051</v>
      </c>
      <c r="I38" t="s">
        <v>53</v>
      </c>
      <c r="J38" t="s">
        <v>67</v>
      </c>
      <c r="K38" t="s">
        <v>68</v>
      </c>
      <c r="L38" t="s">
        <v>2052</v>
      </c>
      <c r="M38" t="s">
        <v>2084</v>
      </c>
      <c r="N38">
        <v>0</v>
      </c>
      <c r="O38">
        <v>0</v>
      </c>
      <c r="P38">
        <v>0</v>
      </c>
      <c r="Q38">
        <v>840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125</v>
      </c>
      <c r="AH38" s="21" t="s">
        <v>3424</v>
      </c>
      <c r="AI38" s="21">
        <v>62.999999999999986</v>
      </c>
      <c r="AJ38" s="21">
        <v>100</v>
      </c>
      <c r="AK38" s="21" t="s">
        <v>2055</v>
      </c>
      <c r="AL38" t="s">
        <v>70</v>
      </c>
      <c r="AM38" t="s">
        <v>2027</v>
      </c>
    </row>
    <row r="39" spans="1:39" ht="15" hidden="1" thickTop="1" x14ac:dyDescent="0.35">
      <c r="A39" t="s">
        <v>2191</v>
      </c>
      <c r="B39" t="s">
        <v>2195</v>
      </c>
      <c r="C39" t="s">
        <v>565</v>
      </c>
      <c r="D39" t="s">
        <v>2196</v>
      </c>
      <c r="E39" t="s">
        <v>559</v>
      </c>
      <c r="F39">
        <v>2</v>
      </c>
      <c r="G39" t="s">
        <v>2050</v>
      </c>
      <c r="H39" t="s">
        <v>2051</v>
      </c>
      <c r="I39" t="s">
        <v>53</v>
      </c>
      <c r="J39" t="s">
        <v>427</v>
      </c>
      <c r="K39" t="s">
        <v>68</v>
      </c>
      <c r="L39" t="s">
        <v>2052</v>
      </c>
      <c r="M39" t="s">
        <v>2053</v>
      </c>
      <c r="N39">
        <v>0</v>
      </c>
      <c r="O39">
        <v>0</v>
      </c>
      <c r="P39">
        <v>0</v>
      </c>
      <c r="Q39">
        <v>1440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127</v>
      </c>
      <c r="AH39" s="21" t="s">
        <v>3425</v>
      </c>
      <c r="AI39" s="21">
        <v>107.92500000000001</v>
      </c>
      <c r="AJ39" s="21">
        <v>100</v>
      </c>
      <c r="AK39" s="21" t="s">
        <v>2055</v>
      </c>
      <c r="AL39" t="s">
        <v>70</v>
      </c>
      <c r="AM39" t="s">
        <v>2029</v>
      </c>
    </row>
    <row r="40" spans="1:39" ht="15" hidden="1" thickTop="1" x14ac:dyDescent="0.35">
      <c r="A40" t="s">
        <v>2193</v>
      </c>
      <c r="B40" t="s">
        <v>2197</v>
      </c>
      <c r="C40" t="s">
        <v>128</v>
      </c>
      <c r="D40" t="s">
        <v>2198</v>
      </c>
      <c r="E40" t="s">
        <v>112</v>
      </c>
      <c r="F40">
        <v>1</v>
      </c>
      <c r="G40" t="s">
        <v>2050</v>
      </c>
      <c r="H40" t="s">
        <v>2051</v>
      </c>
      <c r="I40" t="s">
        <v>53</v>
      </c>
      <c r="J40" t="s">
        <v>113</v>
      </c>
      <c r="K40" t="s">
        <v>68</v>
      </c>
      <c r="L40" t="s">
        <v>2052</v>
      </c>
      <c r="M40" t="s">
        <v>2053</v>
      </c>
      <c r="N40">
        <v>0</v>
      </c>
      <c r="O40">
        <v>0</v>
      </c>
      <c r="P40">
        <v>0</v>
      </c>
      <c r="Q40">
        <v>1440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129</v>
      </c>
      <c r="AH40" s="21" t="s">
        <v>3425</v>
      </c>
      <c r="AI40" s="21">
        <v>107.92500000000001</v>
      </c>
      <c r="AJ40" s="21">
        <v>100</v>
      </c>
      <c r="AK40" s="21" t="s">
        <v>2055</v>
      </c>
      <c r="AL40" t="s">
        <v>115</v>
      </c>
      <c r="AM40" t="s">
        <v>2027</v>
      </c>
    </row>
    <row r="41" spans="1:39" ht="15" hidden="1" thickTop="1" x14ac:dyDescent="0.35">
      <c r="A41" t="s">
        <v>2061</v>
      </c>
      <c r="B41" t="s">
        <v>2200</v>
      </c>
      <c r="C41" t="s">
        <v>117</v>
      </c>
      <c r="D41" t="s">
        <v>2201</v>
      </c>
      <c r="E41" t="s">
        <v>559</v>
      </c>
      <c r="F41">
        <v>1</v>
      </c>
      <c r="G41" t="s">
        <v>2050</v>
      </c>
      <c r="H41" t="s">
        <v>2051</v>
      </c>
      <c r="I41" t="s">
        <v>53</v>
      </c>
      <c r="J41" t="s">
        <v>67</v>
      </c>
      <c r="K41" t="s">
        <v>68</v>
      </c>
      <c r="L41" t="s">
        <v>2052</v>
      </c>
      <c r="M41" t="s">
        <v>2053</v>
      </c>
      <c r="N41">
        <v>0</v>
      </c>
      <c r="O41">
        <v>0</v>
      </c>
      <c r="P41">
        <v>0</v>
      </c>
      <c r="Q41">
        <v>1440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130</v>
      </c>
      <c r="AH41" s="21" t="s">
        <v>3424</v>
      </c>
      <c r="AI41" s="21">
        <v>107.92500000000001</v>
      </c>
      <c r="AJ41" s="21">
        <v>100</v>
      </c>
      <c r="AK41" s="21" t="s">
        <v>2054</v>
      </c>
      <c r="AL41" t="s">
        <v>70</v>
      </c>
      <c r="AM41" t="s">
        <v>2029</v>
      </c>
    </row>
    <row r="42" spans="1:39" ht="15" hidden="1" thickTop="1" x14ac:dyDescent="0.35">
      <c r="A42" t="s">
        <v>2202</v>
      </c>
      <c r="B42" t="s">
        <v>2207</v>
      </c>
      <c r="C42" t="s">
        <v>86</v>
      </c>
      <c r="D42" t="s">
        <v>2208</v>
      </c>
      <c r="E42" t="s">
        <v>72</v>
      </c>
      <c r="F42">
        <v>1</v>
      </c>
      <c r="G42" t="s">
        <v>2050</v>
      </c>
      <c r="H42" t="s">
        <v>2051</v>
      </c>
      <c r="I42" t="s">
        <v>53</v>
      </c>
      <c r="J42" t="s">
        <v>73</v>
      </c>
      <c r="K42" t="s">
        <v>68</v>
      </c>
      <c r="L42" t="s">
        <v>2052</v>
      </c>
      <c r="M42" t="s">
        <v>2063</v>
      </c>
      <c r="N42">
        <v>0</v>
      </c>
      <c r="O42">
        <v>0</v>
      </c>
      <c r="P42">
        <v>0</v>
      </c>
      <c r="Q42">
        <v>1020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131</v>
      </c>
      <c r="AH42" s="21" t="s">
        <v>3430</v>
      </c>
      <c r="AI42" s="21">
        <v>76.500000000000014</v>
      </c>
      <c r="AJ42" s="21">
        <v>100</v>
      </c>
      <c r="AK42" s="21" t="s">
        <v>2054</v>
      </c>
      <c r="AL42" t="s">
        <v>75</v>
      </c>
      <c r="AM42" t="s">
        <v>2027</v>
      </c>
    </row>
    <row r="43" spans="1:39" ht="15" hidden="1" thickTop="1" x14ac:dyDescent="0.35">
      <c r="A43" t="s">
        <v>2062</v>
      </c>
      <c r="B43" t="s">
        <v>2213</v>
      </c>
      <c r="C43" t="s">
        <v>820</v>
      </c>
      <c r="D43" t="s">
        <v>2214</v>
      </c>
      <c r="E43" t="s">
        <v>72</v>
      </c>
      <c r="F43">
        <v>1</v>
      </c>
      <c r="G43" t="s">
        <v>2050</v>
      </c>
      <c r="H43" t="s">
        <v>2051</v>
      </c>
      <c r="I43" t="s">
        <v>53</v>
      </c>
      <c r="J43" t="s">
        <v>424</v>
      </c>
      <c r="K43" t="s">
        <v>68</v>
      </c>
      <c r="L43" t="s">
        <v>2052</v>
      </c>
      <c r="M43" t="s">
        <v>2053</v>
      </c>
      <c r="N43">
        <v>0</v>
      </c>
      <c r="O43">
        <v>0</v>
      </c>
      <c r="P43">
        <v>0</v>
      </c>
      <c r="Q43">
        <v>1440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133</v>
      </c>
      <c r="AH43" s="21" t="s">
        <v>3425</v>
      </c>
      <c r="AI43" s="21">
        <v>107.92500000000001</v>
      </c>
      <c r="AJ43" s="21">
        <v>100</v>
      </c>
      <c r="AK43" s="21" t="s">
        <v>2054</v>
      </c>
      <c r="AL43" t="s">
        <v>75</v>
      </c>
      <c r="AM43" t="s">
        <v>2027</v>
      </c>
    </row>
    <row r="44" spans="1:39" ht="15" hidden="1" thickTop="1" x14ac:dyDescent="0.35">
      <c r="A44" t="s">
        <v>2205</v>
      </c>
      <c r="B44" t="s">
        <v>2215</v>
      </c>
      <c r="C44" t="s">
        <v>3376</v>
      </c>
      <c r="D44" t="s">
        <v>2216</v>
      </c>
      <c r="E44" t="s">
        <v>559</v>
      </c>
      <c r="F44">
        <v>1</v>
      </c>
      <c r="G44" t="s">
        <v>2050</v>
      </c>
      <c r="H44" t="s">
        <v>2051</v>
      </c>
      <c r="I44" t="s">
        <v>53</v>
      </c>
      <c r="J44" t="s">
        <v>67</v>
      </c>
      <c r="K44" t="s">
        <v>68</v>
      </c>
      <c r="L44" t="s">
        <v>2052</v>
      </c>
      <c r="M44" t="s">
        <v>2053</v>
      </c>
      <c r="N44">
        <v>0</v>
      </c>
      <c r="O44">
        <v>0</v>
      </c>
      <c r="P44">
        <v>0</v>
      </c>
      <c r="Q44">
        <v>1440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134</v>
      </c>
      <c r="AH44" s="21" t="s">
        <v>3425</v>
      </c>
      <c r="AI44" s="21">
        <v>107.92500000000001</v>
      </c>
      <c r="AJ44" s="21">
        <v>100</v>
      </c>
      <c r="AK44" s="21" t="s">
        <v>2054</v>
      </c>
      <c r="AL44" t="s">
        <v>70</v>
      </c>
      <c r="AM44" t="s">
        <v>2027</v>
      </c>
    </row>
    <row r="45" spans="1:39" ht="15" hidden="1" thickTop="1" x14ac:dyDescent="0.35">
      <c r="A45" t="s">
        <v>2209</v>
      </c>
      <c r="B45" t="s">
        <v>2220</v>
      </c>
      <c r="C45" t="s">
        <v>135</v>
      </c>
      <c r="D45" t="s">
        <v>2221</v>
      </c>
      <c r="E45" t="s">
        <v>136</v>
      </c>
      <c r="F45">
        <v>1</v>
      </c>
      <c r="G45" t="s">
        <v>2050</v>
      </c>
      <c r="H45" t="s">
        <v>2051</v>
      </c>
      <c r="I45" t="s">
        <v>53</v>
      </c>
      <c r="J45" t="s">
        <v>137</v>
      </c>
      <c r="K45" t="s">
        <v>68</v>
      </c>
      <c r="L45" t="s">
        <v>2052</v>
      </c>
      <c r="M45" t="s">
        <v>2053</v>
      </c>
      <c r="N45">
        <v>0</v>
      </c>
      <c r="O45">
        <v>0</v>
      </c>
      <c r="P45">
        <v>0</v>
      </c>
      <c r="Q45">
        <v>1440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138</v>
      </c>
      <c r="AH45" s="21" t="s">
        <v>3425</v>
      </c>
      <c r="AI45" s="21">
        <v>107.92500000000001</v>
      </c>
      <c r="AJ45" s="21">
        <v>100</v>
      </c>
      <c r="AK45" s="21" t="s">
        <v>2054</v>
      </c>
      <c r="AL45" t="s">
        <v>115</v>
      </c>
      <c r="AM45" t="s">
        <v>2027</v>
      </c>
    </row>
    <row r="46" spans="1:39" ht="15" hidden="1" thickTop="1" x14ac:dyDescent="0.35">
      <c r="A46" t="s">
        <v>2211</v>
      </c>
      <c r="B46" t="s">
        <v>2222</v>
      </c>
      <c r="C46" t="s">
        <v>3376</v>
      </c>
      <c r="D46" t="s">
        <v>2223</v>
      </c>
      <c r="E46" t="s">
        <v>559</v>
      </c>
      <c r="F46">
        <v>1</v>
      </c>
      <c r="G46" t="s">
        <v>2050</v>
      </c>
      <c r="H46" t="s">
        <v>2051</v>
      </c>
      <c r="I46" t="s">
        <v>53</v>
      </c>
      <c r="J46" t="s">
        <v>67</v>
      </c>
      <c r="K46" t="s">
        <v>68</v>
      </c>
      <c r="L46" t="s">
        <v>2052</v>
      </c>
      <c r="M46" t="s">
        <v>2053</v>
      </c>
      <c r="N46">
        <v>0</v>
      </c>
      <c r="O46">
        <v>0</v>
      </c>
      <c r="P46">
        <v>0</v>
      </c>
      <c r="Q46">
        <v>1440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139</v>
      </c>
      <c r="AH46" s="21" t="s">
        <v>3425</v>
      </c>
      <c r="AI46" s="21">
        <v>107.92500000000001</v>
      </c>
      <c r="AJ46" s="21">
        <v>100</v>
      </c>
      <c r="AK46" s="21" t="s">
        <v>2054</v>
      </c>
      <c r="AL46" t="s">
        <v>70</v>
      </c>
      <c r="AM46" t="s">
        <v>2027</v>
      </c>
    </row>
    <row r="47" spans="1:39" ht="15" hidden="1" thickTop="1" x14ac:dyDescent="0.35">
      <c r="A47" t="s">
        <v>2217</v>
      </c>
      <c r="B47" t="s">
        <v>2230</v>
      </c>
      <c r="C47" t="s">
        <v>78</v>
      </c>
      <c r="D47" t="s">
        <v>2231</v>
      </c>
      <c r="E47" t="s">
        <v>559</v>
      </c>
      <c r="F47">
        <v>1</v>
      </c>
      <c r="G47" t="s">
        <v>2050</v>
      </c>
      <c r="H47" t="s">
        <v>2051</v>
      </c>
      <c r="I47" t="s">
        <v>53</v>
      </c>
      <c r="J47" t="s">
        <v>67</v>
      </c>
      <c r="K47" t="s">
        <v>68</v>
      </c>
      <c r="L47" t="s">
        <v>2052</v>
      </c>
      <c r="M47" t="s">
        <v>2053</v>
      </c>
      <c r="N47">
        <v>0</v>
      </c>
      <c r="O47">
        <v>0</v>
      </c>
      <c r="P47">
        <v>0</v>
      </c>
      <c r="Q47">
        <v>1440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140</v>
      </c>
      <c r="AH47" s="21" t="s">
        <v>3425</v>
      </c>
      <c r="AI47" s="21">
        <v>107.92500000000001</v>
      </c>
      <c r="AJ47" s="21">
        <v>100</v>
      </c>
      <c r="AK47" s="21" t="s">
        <v>2054</v>
      </c>
      <c r="AL47" t="s">
        <v>70</v>
      </c>
      <c r="AM47" t="s">
        <v>2029</v>
      </c>
    </row>
    <row r="48" spans="1:39" ht="15" hidden="1" thickTop="1" x14ac:dyDescent="0.35">
      <c r="A48" t="s">
        <v>2218</v>
      </c>
      <c r="B48" t="s">
        <v>2232</v>
      </c>
      <c r="C48" t="s">
        <v>92</v>
      </c>
      <c r="D48" t="s">
        <v>2233</v>
      </c>
      <c r="E48" t="s">
        <v>119</v>
      </c>
      <c r="F48">
        <v>1</v>
      </c>
      <c r="G48" t="s">
        <v>2050</v>
      </c>
      <c r="H48" t="s">
        <v>2051</v>
      </c>
      <c r="I48" t="s">
        <v>53</v>
      </c>
      <c r="J48" t="s">
        <v>67</v>
      </c>
      <c r="K48" t="s">
        <v>68</v>
      </c>
      <c r="L48" t="s">
        <v>2052</v>
      </c>
      <c r="M48" t="s">
        <v>2053</v>
      </c>
      <c r="N48">
        <v>0</v>
      </c>
      <c r="O48">
        <v>0</v>
      </c>
      <c r="P48">
        <v>0</v>
      </c>
      <c r="Q48">
        <v>1440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141</v>
      </c>
      <c r="AH48" s="21" t="s">
        <v>3427</v>
      </c>
      <c r="AI48" s="21">
        <v>107.92500000000001</v>
      </c>
      <c r="AJ48" s="21">
        <v>100</v>
      </c>
      <c r="AK48" s="21" t="s">
        <v>2054</v>
      </c>
      <c r="AL48" t="s">
        <v>70</v>
      </c>
      <c r="AM48" t="s">
        <v>2027</v>
      </c>
    </row>
    <row r="49" spans="1:39" ht="15" hidden="1" thickTop="1" x14ac:dyDescent="0.35">
      <c r="A49" t="s">
        <v>2224</v>
      </c>
      <c r="B49" t="s">
        <v>2238</v>
      </c>
      <c r="C49" t="s">
        <v>81</v>
      </c>
      <c r="D49" t="s">
        <v>2239</v>
      </c>
      <c r="E49" t="s">
        <v>559</v>
      </c>
      <c r="F49">
        <v>1</v>
      </c>
      <c r="G49" t="s">
        <v>2050</v>
      </c>
      <c r="H49" t="s">
        <v>2051</v>
      </c>
      <c r="I49" t="s">
        <v>53</v>
      </c>
      <c r="J49" t="s">
        <v>82</v>
      </c>
      <c r="K49" t="s">
        <v>68</v>
      </c>
      <c r="L49" t="s">
        <v>2052</v>
      </c>
      <c r="M49" t="s">
        <v>2053</v>
      </c>
      <c r="N49">
        <v>0</v>
      </c>
      <c r="O49">
        <v>0</v>
      </c>
      <c r="P49">
        <v>0</v>
      </c>
      <c r="Q49">
        <v>1440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142</v>
      </c>
      <c r="AH49" s="21" t="s">
        <v>3425</v>
      </c>
      <c r="AI49" s="21">
        <v>107.92500000000001</v>
      </c>
      <c r="AJ49" s="21">
        <v>100</v>
      </c>
      <c r="AK49" s="21" t="s">
        <v>2054</v>
      </c>
      <c r="AL49" t="s">
        <v>70</v>
      </c>
      <c r="AM49" t="s">
        <v>2029</v>
      </c>
    </row>
    <row r="50" spans="1:39" ht="15" hidden="1" thickTop="1" x14ac:dyDescent="0.35">
      <c r="A50" t="s">
        <v>2225</v>
      </c>
      <c r="B50" t="s">
        <v>2240</v>
      </c>
      <c r="C50" t="s">
        <v>76</v>
      </c>
      <c r="D50" t="s">
        <v>2241</v>
      </c>
      <c r="E50" t="s">
        <v>119</v>
      </c>
      <c r="F50">
        <v>1</v>
      </c>
      <c r="G50" t="s">
        <v>2050</v>
      </c>
      <c r="H50" t="s">
        <v>2051</v>
      </c>
      <c r="I50" t="s">
        <v>53</v>
      </c>
      <c r="J50" t="s">
        <v>67</v>
      </c>
      <c r="K50" t="s">
        <v>68</v>
      </c>
      <c r="L50" t="s">
        <v>2052</v>
      </c>
      <c r="M50" t="s">
        <v>2053</v>
      </c>
      <c r="N50">
        <v>0</v>
      </c>
      <c r="O50">
        <v>0</v>
      </c>
      <c r="P50">
        <v>0</v>
      </c>
      <c r="Q50">
        <v>1440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143</v>
      </c>
      <c r="AH50" s="21" t="s">
        <v>3424</v>
      </c>
      <c r="AI50" s="21">
        <v>107.92500000000001</v>
      </c>
      <c r="AJ50" s="21">
        <v>100</v>
      </c>
      <c r="AK50" s="21" t="s">
        <v>2054</v>
      </c>
      <c r="AL50" t="s">
        <v>70</v>
      </c>
      <c r="AM50" t="s">
        <v>2029</v>
      </c>
    </row>
    <row r="51" spans="1:39" ht="15" hidden="1" thickTop="1" x14ac:dyDescent="0.35">
      <c r="A51" t="s">
        <v>2227</v>
      </c>
      <c r="B51" t="s">
        <v>2244</v>
      </c>
      <c r="C51" t="s">
        <v>78</v>
      </c>
      <c r="D51" t="s">
        <v>2245</v>
      </c>
      <c r="E51" t="s">
        <v>559</v>
      </c>
      <c r="F51">
        <v>1</v>
      </c>
      <c r="G51" t="s">
        <v>2050</v>
      </c>
      <c r="H51" t="s">
        <v>2051</v>
      </c>
      <c r="I51" t="s">
        <v>53</v>
      </c>
      <c r="J51" t="s">
        <v>67</v>
      </c>
      <c r="K51" t="s">
        <v>68</v>
      </c>
      <c r="L51" t="s">
        <v>2052</v>
      </c>
      <c r="M51" t="s">
        <v>2053</v>
      </c>
      <c r="N51">
        <v>0</v>
      </c>
      <c r="O51">
        <v>0</v>
      </c>
      <c r="P51">
        <v>0</v>
      </c>
      <c r="Q51">
        <v>1440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144</v>
      </c>
      <c r="AH51" s="21" t="s">
        <v>3425</v>
      </c>
      <c r="AI51" s="21">
        <v>107.92500000000001</v>
      </c>
      <c r="AJ51" s="21">
        <v>100</v>
      </c>
      <c r="AK51" s="21" t="s">
        <v>2054</v>
      </c>
      <c r="AL51" t="s">
        <v>70</v>
      </c>
      <c r="AM51" t="s">
        <v>2030</v>
      </c>
    </row>
    <row r="52" spans="1:39" ht="15" hidden="1" thickTop="1" x14ac:dyDescent="0.35">
      <c r="A52" t="s">
        <v>2228</v>
      </c>
      <c r="B52" t="s">
        <v>2247</v>
      </c>
      <c r="C52" t="s">
        <v>66</v>
      </c>
      <c r="D52" t="s">
        <v>2248</v>
      </c>
      <c r="E52" t="s">
        <v>559</v>
      </c>
      <c r="F52">
        <v>1</v>
      </c>
      <c r="G52" t="s">
        <v>2050</v>
      </c>
      <c r="H52" t="s">
        <v>2051</v>
      </c>
      <c r="I52" t="s">
        <v>53</v>
      </c>
      <c r="J52" t="s">
        <v>67</v>
      </c>
      <c r="K52" t="s">
        <v>68</v>
      </c>
      <c r="L52" t="s">
        <v>2052</v>
      </c>
      <c r="M52" t="s">
        <v>2084</v>
      </c>
      <c r="N52">
        <v>0</v>
      </c>
      <c r="O52">
        <v>0</v>
      </c>
      <c r="P52">
        <v>0</v>
      </c>
      <c r="Q52">
        <v>840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145</v>
      </c>
      <c r="AH52" s="21" t="s">
        <v>3427</v>
      </c>
      <c r="AI52" s="21">
        <v>62.999999999999986</v>
      </c>
      <c r="AJ52" s="21">
        <v>100</v>
      </c>
      <c r="AK52" s="21" t="s">
        <v>2055</v>
      </c>
      <c r="AL52" t="s">
        <v>70</v>
      </c>
      <c r="AM52" t="s">
        <v>2028</v>
      </c>
    </row>
    <row r="53" spans="1:39" ht="15" hidden="1" thickTop="1" x14ac:dyDescent="0.35">
      <c r="A53" t="s">
        <v>2234</v>
      </c>
      <c r="B53" t="s">
        <v>2251</v>
      </c>
      <c r="C53" t="s">
        <v>92</v>
      </c>
      <c r="D53" t="s">
        <v>2252</v>
      </c>
      <c r="E53" t="s">
        <v>119</v>
      </c>
      <c r="F53">
        <v>1</v>
      </c>
      <c r="G53" t="s">
        <v>2050</v>
      </c>
      <c r="H53" t="s">
        <v>2051</v>
      </c>
      <c r="I53" t="s">
        <v>53</v>
      </c>
      <c r="J53" t="s">
        <v>67</v>
      </c>
      <c r="K53" t="s">
        <v>68</v>
      </c>
      <c r="L53" t="s">
        <v>2052</v>
      </c>
      <c r="M53" t="s">
        <v>2053</v>
      </c>
      <c r="N53">
        <v>0</v>
      </c>
      <c r="O53">
        <v>0</v>
      </c>
      <c r="P53">
        <v>0</v>
      </c>
      <c r="Q53">
        <v>1440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147</v>
      </c>
      <c r="AH53" s="21" t="s">
        <v>3424</v>
      </c>
      <c r="AI53" s="21">
        <v>107.92500000000001</v>
      </c>
      <c r="AJ53" s="21">
        <v>100</v>
      </c>
      <c r="AK53" s="21" t="s">
        <v>2054</v>
      </c>
      <c r="AL53" t="s">
        <v>70</v>
      </c>
      <c r="AM53" t="s">
        <v>2029</v>
      </c>
    </row>
    <row r="54" spans="1:39" ht="15" hidden="1" thickTop="1" x14ac:dyDescent="0.35">
      <c r="A54" t="s">
        <v>2236</v>
      </c>
      <c r="B54" t="s">
        <v>2256</v>
      </c>
      <c r="C54" t="s">
        <v>102</v>
      </c>
      <c r="D54" t="s">
        <v>2257</v>
      </c>
      <c r="E54" t="s">
        <v>559</v>
      </c>
      <c r="F54">
        <v>1</v>
      </c>
      <c r="G54" t="s">
        <v>2050</v>
      </c>
      <c r="H54" t="s">
        <v>2051</v>
      </c>
      <c r="I54" t="s">
        <v>53</v>
      </c>
      <c r="J54" t="s">
        <v>67</v>
      </c>
      <c r="K54" t="s">
        <v>68</v>
      </c>
      <c r="L54" t="s">
        <v>2052</v>
      </c>
      <c r="M54" t="s">
        <v>2053</v>
      </c>
      <c r="N54">
        <v>0</v>
      </c>
      <c r="O54">
        <v>0</v>
      </c>
      <c r="P54">
        <v>0</v>
      </c>
      <c r="Q54">
        <v>1440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148</v>
      </c>
      <c r="AH54" s="21" t="s">
        <v>3425</v>
      </c>
      <c r="AI54" s="21">
        <v>107.92500000000001</v>
      </c>
      <c r="AJ54" s="21">
        <v>100</v>
      </c>
      <c r="AK54" s="21" t="s">
        <v>2054</v>
      </c>
      <c r="AL54" t="s">
        <v>70</v>
      </c>
      <c r="AM54" t="s">
        <v>2029</v>
      </c>
    </row>
    <row r="55" spans="1:39" ht="15" hidden="1" thickTop="1" x14ac:dyDescent="0.35">
      <c r="A55" t="s">
        <v>2242</v>
      </c>
      <c r="B55" t="s">
        <v>2262</v>
      </c>
      <c r="C55" t="s">
        <v>66</v>
      </c>
      <c r="D55" t="s">
        <v>2263</v>
      </c>
      <c r="E55" t="s">
        <v>559</v>
      </c>
      <c r="F55">
        <v>1</v>
      </c>
      <c r="G55" t="s">
        <v>2050</v>
      </c>
      <c r="H55" t="s">
        <v>2051</v>
      </c>
      <c r="I55" t="s">
        <v>53</v>
      </c>
      <c r="J55" t="s">
        <v>67</v>
      </c>
      <c r="K55" t="s">
        <v>68</v>
      </c>
      <c r="L55" t="s">
        <v>2052</v>
      </c>
      <c r="M55" t="s">
        <v>2063</v>
      </c>
      <c r="N55">
        <v>0</v>
      </c>
      <c r="O55">
        <v>0</v>
      </c>
      <c r="P55">
        <v>0</v>
      </c>
      <c r="Q55">
        <v>1020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150</v>
      </c>
      <c r="AH55" s="21" t="s">
        <v>3427</v>
      </c>
      <c r="AI55" s="21">
        <v>76.500000000000014</v>
      </c>
      <c r="AJ55" s="21">
        <v>100</v>
      </c>
      <c r="AK55" s="21" t="s">
        <v>2054</v>
      </c>
      <c r="AL55" t="s">
        <v>70</v>
      </c>
      <c r="AM55" t="s">
        <v>2029</v>
      </c>
    </row>
    <row r="56" spans="1:39" ht="15" hidden="1" thickTop="1" x14ac:dyDescent="0.35">
      <c r="A56" t="s">
        <v>2243</v>
      </c>
      <c r="B56" t="s">
        <v>2265</v>
      </c>
      <c r="C56" t="s">
        <v>66</v>
      </c>
      <c r="D56" t="s">
        <v>2266</v>
      </c>
      <c r="E56" t="s">
        <v>559</v>
      </c>
      <c r="F56">
        <v>1</v>
      </c>
      <c r="G56" t="s">
        <v>2050</v>
      </c>
      <c r="H56" t="s">
        <v>2051</v>
      </c>
      <c r="I56" t="s">
        <v>53</v>
      </c>
      <c r="J56" t="s">
        <v>67</v>
      </c>
      <c r="K56" t="s">
        <v>68</v>
      </c>
      <c r="L56" t="s">
        <v>2052</v>
      </c>
      <c r="M56" t="s">
        <v>2064</v>
      </c>
      <c r="N56">
        <v>0</v>
      </c>
      <c r="O56">
        <v>0</v>
      </c>
      <c r="P56">
        <v>0</v>
      </c>
      <c r="Q56">
        <v>900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151</v>
      </c>
      <c r="AH56" s="21" t="s">
        <v>3427</v>
      </c>
      <c r="AI56" s="21">
        <v>67.5</v>
      </c>
      <c r="AJ56" s="21">
        <v>100</v>
      </c>
      <c r="AK56" s="21" t="s">
        <v>2054</v>
      </c>
      <c r="AL56" t="s">
        <v>70</v>
      </c>
      <c r="AM56" t="s">
        <v>2029</v>
      </c>
    </row>
    <row r="57" spans="1:39" ht="15" hidden="1" thickTop="1" x14ac:dyDescent="0.35">
      <c r="A57" t="s">
        <v>2249</v>
      </c>
      <c r="B57" t="s">
        <v>2269</v>
      </c>
      <c r="C57" t="s">
        <v>565</v>
      </c>
      <c r="D57" t="s">
        <v>2270</v>
      </c>
      <c r="E57" t="s">
        <v>559</v>
      </c>
      <c r="F57">
        <v>1</v>
      </c>
      <c r="G57" t="s">
        <v>2050</v>
      </c>
      <c r="H57" t="s">
        <v>2051</v>
      </c>
      <c r="I57" t="s">
        <v>53</v>
      </c>
      <c r="J57" t="s">
        <v>427</v>
      </c>
      <c r="K57" t="s">
        <v>68</v>
      </c>
      <c r="L57" t="s">
        <v>2052</v>
      </c>
      <c r="M57" t="s">
        <v>2053</v>
      </c>
      <c r="N57">
        <v>0</v>
      </c>
      <c r="O57">
        <v>0</v>
      </c>
      <c r="P57">
        <v>0</v>
      </c>
      <c r="Q57">
        <v>1440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152</v>
      </c>
      <c r="AH57" s="21" t="s">
        <v>3425</v>
      </c>
      <c r="AI57" s="21">
        <v>107.92500000000001</v>
      </c>
      <c r="AJ57" s="21">
        <v>100</v>
      </c>
      <c r="AK57" s="21" t="s">
        <v>2054</v>
      </c>
      <c r="AL57" t="s">
        <v>70</v>
      </c>
      <c r="AM57" t="s">
        <v>2028</v>
      </c>
    </row>
    <row r="58" spans="1:39" ht="15" hidden="1" thickTop="1" x14ac:dyDescent="0.35">
      <c r="A58" t="s">
        <v>2253</v>
      </c>
      <c r="B58" t="s">
        <v>2273</v>
      </c>
      <c r="C58" t="s">
        <v>100</v>
      </c>
      <c r="D58" t="s">
        <v>2274</v>
      </c>
      <c r="E58" t="s">
        <v>559</v>
      </c>
      <c r="F58">
        <v>1</v>
      </c>
      <c r="G58" t="s">
        <v>2050</v>
      </c>
      <c r="H58" t="s">
        <v>2051</v>
      </c>
      <c r="I58" t="s">
        <v>53</v>
      </c>
      <c r="J58" t="s">
        <v>67</v>
      </c>
      <c r="K58" t="s">
        <v>68</v>
      </c>
      <c r="L58" t="s">
        <v>2052</v>
      </c>
      <c r="M58" t="s">
        <v>2053</v>
      </c>
      <c r="N58">
        <v>0</v>
      </c>
      <c r="O58">
        <v>0</v>
      </c>
      <c r="P58">
        <v>0</v>
      </c>
      <c r="Q58">
        <v>1440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153</v>
      </c>
      <c r="AH58" s="21" t="s">
        <v>3425</v>
      </c>
      <c r="AI58" s="21">
        <v>107.92500000000001</v>
      </c>
      <c r="AJ58" s="21">
        <v>100</v>
      </c>
      <c r="AK58" s="21" t="s">
        <v>2054</v>
      </c>
      <c r="AL58" t="s">
        <v>70</v>
      </c>
      <c r="AM58" t="s">
        <v>2028</v>
      </c>
    </row>
    <row r="59" spans="1:39" ht="15" hidden="1" thickTop="1" x14ac:dyDescent="0.35">
      <c r="A59" t="s">
        <v>2254</v>
      </c>
      <c r="B59" t="s">
        <v>2275</v>
      </c>
      <c r="C59" t="s">
        <v>66</v>
      </c>
      <c r="D59" t="s">
        <v>2276</v>
      </c>
      <c r="E59" t="s">
        <v>559</v>
      </c>
      <c r="F59">
        <v>1</v>
      </c>
      <c r="G59" t="s">
        <v>2050</v>
      </c>
      <c r="H59" t="s">
        <v>2051</v>
      </c>
      <c r="I59" t="s">
        <v>53</v>
      </c>
      <c r="J59" t="s">
        <v>67</v>
      </c>
      <c r="K59" t="s">
        <v>68</v>
      </c>
      <c r="L59" t="s">
        <v>2052</v>
      </c>
      <c r="M59" t="s">
        <v>2053</v>
      </c>
      <c r="N59">
        <v>0</v>
      </c>
      <c r="O59">
        <v>0</v>
      </c>
      <c r="P59">
        <v>0</v>
      </c>
      <c r="Q59">
        <v>1440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154</v>
      </c>
      <c r="AH59" s="21" t="s">
        <v>3424</v>
      </c>
      <c r="AI59" s="21">
        <v>107.92500000000001</v>
      </c>
      <c r="AJ59" s="21">
        <v>100</v>
      </c>
      <c r="AK59" s="21" t="s">
        <v>2054</v>
      </c>
      <c r="AL59" t="s">
        <v>70</v>
      </c>
      <c r="AM59" t="s">
        <v>2030</v>
      </c>
    </row>
    <row r="60" spans="1:39" ht="15" hidden="1" thickTop="1" x14ac:dyDescent="0.35">
      <c r="A60" t="s">
        <v>2258</v>
      </c>
      <c r="B60" t="s">
        <v>2277</v>
      </c>
      <c r="C60" t="s">
        <v>81</v>
      </c>
      <c r="D60" t="s">
        <v>2278</v>
      </c>
      <c r="E60" t="s">
        <v>559</v>
      </c>
      <c r="F60">
        <v>1</v>
      </c>
      <c r="G60" t="s">
        <v>2050</v>
      </c>
      <c r="H60" t="s">
        <v>2051</v>
      </c>
      <c r="I60" t="s">
        <v>53</v>
      </c>
      <c r="J60" t="s">
        <v>82</v>
      </c>
      <c r="K60" t="s">
        <v>68</v>
      </c>
      <c r="L60" t="s">
        <v>2052</v>
      </c>
      <c r="M60" t="s">
        <v>2053</v>
      </c>
      <c r="N60">
        <v>0</v>
      </c>
      <c r="O60">
        <v>0</v>
      </c>
      <c r="P60">
        <v>0</v>
      </c>
      <c r="Q60">
        <v>1440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155</v>
      </c>
      <c r="AH60" s="21" t="s">
        <v>3427</v>
      </c>
      <c r="AI60" s="21">
        <v>107.92500000000001</v>
      </c>
      <c r="AJ60" s="21">
        <v>100</v>
      </c>
      <c r="AK60" s="21" t="s">
        <v>2054</v>
      </c>
      <c r="AL60" t="s">
        <v>70</v>
      </c>
      <c r="AM60" t="s">
        <v>2030</v>
      </c>
    </row>
    <row r="61" spans="1:39" ht="15" hidden="1" thickTop="1" x14ac:dyDescent="0.35">
      <c r="A61" t="s">
        <v>2260</v>
      </c>
      <c r="B61" t="s">
        <v>2279</v>
      </c>
      <c r="C61" t="s">
        <v>102</v>
      </c>
      <c r="D61" t="s">
        <v>2280</v>
      </c>
      <c r="E61" t="s">
        <v>559</v>
      </c>
      <c r="F61">
        <v>1</v>
      </c>
      <c r="G61" t="s">
        <v>2050</v>
      </c>
      <c r="H61" t="s">
        <v>2051</v>
      </c>
      <c r="I61" t="s">
        <v>53</v>
      </c>
      <c r="J61" t="s">
        <v>67</v>
      </c>
      <c r="K61" t="s">
        <v>68</v>
      </c>
      <c r="L61" t="s">
        <v>2052</v>
      </c>
      <c r="M61" t="s">
        <v>2053</v>
      </c>
      <c r="N61">
        <v>0</v>
      </c>
      <c r="O61">
        <v>0</v>
      </c>
      <c r="P61">
        <v>0</v>
      </c>
      <c r="Q61">
        <v>1440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156</v>
      </c>
      <c r="AH61" s="21" t="s">
        <v>3427</v>
      </c>
      <c r="AI61" s="21">
        <v>107.92500000000001</v>
      </c>
      <c r="AJ61" s="21">
        <v>100</v>
      </c>
      <c r="AK61" s="21" t="s">
        <v>2055</v>
      </c>
      <c r="AL61" t="s">
        <v>70</v>
      </c>
      <c r="AM61" t="s">
        <v>2030</v>
      </c>
    </row>
    <row r="62" spans="1:39" ht="15" hidden="1" thickTop="1" x14ac:dyDescent="0.35">
      <c r="A62" t="s">
        <v>2261</v>
      </c>
      <c r="B62" t="s">
        <v>2281</v>
      </c>
      <c r="C62" t="s">
        <v>76</v>
      </c>
      <c r="D62" t="s">
        <v>2282</v>
      </c>
      <c r="E62" t="s">
        <v>559</v>
      </c>
      <c r="F62">
        <v>1</v>
      </c>
      <c r="G62" t="s">
        <v>2050</v>
      </c>
      <c r="H62" t="s">
        <v>2051</v>
      </c>
      <c r="I62" t="s">
        <v>53</v>
      </c>
      <c r="J62" t="s">
        <v>67</v>
      </c>
      <c r="K62" t="s">
        <v>68</v>
      </c>
      <c r="L62" t="s">
        <v>2052</v>
      </c>
      <c r="M62" t="s">
        <v>2053</v>
      </c>
      <c r="N62">
        <v>0</v>
      </c>
      <c r="O62">
        <v>0</v>
      </c>
      <c r="P62">
        <v>0</v>
      </c>
      <c r="Q62">
        <v>1440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157</v>
      </c>
      <c r="AH62" s="21" t="s">
        <v>3427</v>
      </c>
      <c r="AI62" s="21">
        <v>107.92500000000001</v>
      </c>
      <c r="AJ62" s="21">
        <v>100</v>
      </c>
      <c r="AK62" s="21" t="s">
        <v>2054</v>
      </c>
      <c r="AL62" t="s">
        <v>70</v>
      </c>
      <c r="AM62" t="s">
        <v>2029</v>
      </c>
    </row>
    <row r="63" spans="1:39" ht="15" hidden="1" thickTop="1" x14ac:dyDescent="0.35">
      <c r="A63" t="s">
        <v>2267</v>
      </c>
      <c r="B63" t="s">
        <v>2283</v>
      </c>
      <c r="C63" t="s">
        <v>3376</v>
      </c>
      <c r="D63" t="s">
        <v>2284</v>
      </c>
      <c r="E63" t="s">
        <v>559</v>
      </c>
      <c r="F63">
        <v>1</v>
      </c>
      <c r="G63" t="s">
        <v>2050</v>
      </c>
      <c r="H63" t="s">
        <v>2051</v>
      </c>
      <c r="I63" t="s">
        <v>53</v>
      </c>
      <c r="J63" t="s">
        <v>67</v>
      </c>
      <c r="K63" t="s">
        <v>68</v>
      </c>
      <c r="L63" t="s">
        <v>2052</v>
      </c>
      <c r="M63" t="s">
        <v>2053</v>
      </c>
      <c r="N63">
        <v>0</v>
      </c>
      <c r="O63">
        <v>0</v>
      </c>
      <c r="P63">
        <v>0</v>
      </c>
      <c r="Q63">
        <v>1440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158</v>
      </c>
      <c r="AH63" s="21" t="s">
        <v>3424</v>
      </c>
      <c r="AI63" s="21">
        <v>107.92500000000001</v>
      </c>
      <c r="AJ63" s="21">
        <v>100</v>
      </c>
      <c r="AK63" s="21" t="s">
        <v>2054</v>
      </c>
      <c r="AL63" t="s">
        <v>70</v>
      </c>
      <c r="AM63" t="s">
        <v>2029</v>
      </c>
    </row>
    <row r="64" spans="1:39" ht="15" hidden="1" thickTop="1" x14ac:dyDescent="0.35">
      <c r="A64" t="s">
        <v>2271</v>
      </c>
      <c r="B64" t="s">
        <v>2285</v>
      </c>
      <c r="C64" t="s">
        <v>117</v>
      </c>
      <c r="D64" t="s">
        <v>2286</v>
      </c>
      <c r="E64" t="s">
        <v>559</v>
      </c>
      <c r="F64">
        <v>1</v>
      </c>
      <c r="G64" t="s">
        <v>2050</v>
      </c>
      <c r="H64" t="s">
        <v>2051</v>
      </c>
      <c r="I64" t="s">
        <v>53</v>
      </c>
      <c r="J64" t="s">
        <v>67</v>
      </c>
      <c r="K64" t="s">
        <v>68</v>
      </c>
      <c r="L64" t="s">
        <v>2052</v>
      </c>
      <c r="M64" t="s">
        <v>2053</v>
      </c>
      <c r="N64">
        <v>0</v>
      </c>
      <c r="O64">
        <v>0</v>
      </c>
      <c r="P64">
        <v>0</v>
      </c>
      <c r="Q64">
        <v>1440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159</v>
      </c>
      <c r="AH64" s="21" t="s">
        <v>3424</v>
      </c>
      <c r="AI64" s="21">
        <v>107.92500000000001</v>
      </c>
      <c r="AJ64" s="21">
        <v>100</v>
      </c>
      <c r="AK64" s="21" t="s">
        <v>2055</v>
      </c>
      <c r="AL64" t="s">
        <v>70</v>
      </c>
      <c r="AM64" t="s">
        <v>2030</v>
      </c>
    </row>
    <row r="65" spans="1:39" ht="15" hidden="1" thickTop="1" x14ac:dyDescent="0.35">
      <c r="A65" t="s">
        <v>2287</v>
      </c>
      <c r="B65" t="s">
        <v>2291</v>
      </c>
      <c r="C65" t="s">
        <v>66</v>
      </c>
      <c r="D65" t="s">
        <v>2292</v>
      </c>
      <c r="E65" t="s">
        <v>559</v>
      </c>
      <c r="F65">
        <v>2</v>
      </c>
      <c r="G65" t="s">
        <v>2050</v>
      </c>
      <c r="H65" t="s">
        <v>2051</v>
      </c>
      <c r="I65" t="s">
        <v>53</v>
      </c>
      <c r="J65" t="s">
        <v>67</v>
      </c>
      <c r="K65" t="s">
        <v>68</v>
      </c>
      <c r="L65" t="s">
        <v>2052</v>
      </c>
      <c r="M65" t="s">
        <v>2053</v>
      </c>
      <c r="N65">
        <v>0</v>
      </c>
      <c r="O65">
        <v>0</v>
      </c>
      <c r="P65">
        <v>0</v>
      </c>
      <c r="Q65">
        <v>1440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160</v>
      </c>
      <c r="AH65" s="21" t="s">
        <v>3424</v>
      </c>
      <c r="AI65" s="21">
        <v>107.92500000000001</v>
      </c>
      <c r="AJ65" s="21">
        <v>100</v>
      </c>
      <c r="AK65" s="21" t="s">
        <v>2054</v>
      </c>
      <c r="AL65" t="s">
        <v>70</v>
      </c>
      <c r="AM65" t="s">
        <v>2029</v>
      </c>
    </row>
    <row r="66" spans="1:39" ht="15" hidden="1" thickTop="1" x14ac:dyDescent="0.35">
      <c r="A66" t="s">
        <v>2289</v>
      </c>
      <c r="B66" t="s">
        <v>2294</v>
      </c>
      <c r="C66" t="s">
        <v>66</v>
      </c>
      <c r="D66" t="s">
        <v>2295</v>
      </c>
      <c r="E66" t="s">
        <v>559</v>
      </c>
      <c r="F66">
        <v>1</v>
      </c>
      <c r="G66" t="s">
        <v>2050</v>
      </c>
      <c r="H66" t="s">
        <v>2051</v>
      </c>
      <c r="I66" t="s">
        <v>53</v>
      </c>
      <c r="J66" t="s">
        <v>67</v>
      </c>
      <c r="K66" t="s">
        <v>68</v>
      </c>
      <c r="L66" t="s">
        <v>2052</v>
      </c>
      <c r="M66" t="s">
        <v>2053</v>
      </c>
      <c r="N66">
        <v>0</v>
      </c>
      <c r="O66">
        <v>0</v>
      </c>
      <c r="P66">
        <v>0</v>
      </c>
      <c r="Q66">
        <v>1440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161</v>
      </c>
      <c r="AH66" s="21" t="s">
        <v>3424</v>
      </c>
      <c r="AI66" s="21">
        <v>107.92500000000001</v>
      </c>
      <c r="AJ66" s="21">
        <v>100</v>
      </c>
      <c r="AK66" s="21" t="s">
        <v>2054</v>
      </c>
      <c r="AL66" t="s">
        <v>70</v>
      </c>
      <c r="AM66" t="s">
        <v>2028</v>
      </c>
    </row>
    <row r="67" spans="1:39" ht="15" hidden="1" thickTop="1" x14ac:dyDescent="0.35">
      <c r="A67" t="s">
        <v>2290</v>
      </c>
      <c r="B67" t="s">
        <v>2296</v>
      </c>
      <c r="C67" t="s">
        <v>78</v>
      </c>
      <c r="D67" t="s">
        <v>2297</v>
      </c>
      <c r="E67" t="s">
        <v>559</v>
      </c>
      <c r="F67">
        <v>1</v>
      </c>
      <c r="G67" t="s">
        <v>2050</v>
      </c>
      <c r="H67" t="s">
        <v>2051</v>
      </c>
      <c r="I67" t="s">
        <v>53</v>
      </c>
      <c r="J67" t="s">
        <v>67</v>
      </c>
      <c r="K67" t="s">
        <v>68</v>
      </c>
      <c r="L67" t="s">
        <v>2052</v>
      </c>
      <c r="M67" t="s">
        <v>2053</v>
      </c>
      <c r="N67">
        <v>0</v>
      </c>
      <c r="O67">
        <v>0</v>
      </c>
      <c r="P67">
        <v>0</v>
      </c>
      <c r="Q67">
        <v>1440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162</v>
      </c>
      <c r="AH67" s="21" t="s">
        <v>3424</v>
      </c>
      <c r="AI67" s="21">
        <v>107.92500000000001</v>
      </c>
      <c r="AJ67" s="21">
        <v>100</v>
      </c>
      <c r="AK67" s="21" t="s">
        <v>2054</v>
      </c>
      <c r="AL67" t="s">
        <v>70</v>
      </c>
      <c r="AM67" t="s">
        <v>2028</v>
      </c>
    </row>
    <row r="68" spans="1:39" ht="15" hidden="1" thickTop="1" x14ac:dyDescent="0.35">
      <c r="A68" t="s">
        <v>2298</v>
      </c>
      <c r="B68" t="s">
        <v>2300</v>
      </c>
      <c r="C68" t="s">
        <v>78</v>
      </c>
      <c r="D68" t="s">
        <v>2301</v>
      </c>
      <c r="E68" t="s">
        <v>559</v>
      </c>
      <c r="F68">
        <v>1</v>
      </c>
      <c r="G68" t="s">
        <v>2050</v>
      </c>
      <c r="H68" t="s">
        <v>2051</v>
      </c>
      <c r="I68" t="s">
        <v>53</v>
      </c>
      <c r="J68" t="s">
        <v>67</v>
      </c>
      <c r="K68" t="s">
        <v>68</v>
      </c>
      <c r="L68" t="s">
        <v>2052</v>
      </c>
      <c r="M68" t="s">
        <v>2064</v>
      </c>
      <c r="N68">
        <v>0</v>
      </c>
      <c r="O68">
        <v>0</v>
      </c>
      <c r="P68">
        <v>0</v>
      </c>
      <c r="Q68">
        <v>900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163</v>
      </c>
      <c r="AH68" s="21" t="s">
        <v>3425</v>
      </c>
      <c r="AI68" s="21">
        <v>67.5</v>
      </c>
      <c r="AJ68" s="21">
        <v>100</v>
      </c>
      <c r="AK68" s="21" t="s">
        <v>2054</v>
      </c>
      <c r="AL68" t="s">
        <v>70</v>
      </c>
      <c r="AM68" t="s">
        <v>2029</v>
      </c>
    </row>
    <row r="69" spans="1:39" ht="15" hidden="1" thickTop="1" x14ac:dyDescent="0.35">
      <c r="A69" t="s">
        <v>2302</v>
      </c>
      <c r="B69" t="s">
        <v>2309</v>
      </c>
      <c r="C69" t="s">
        <v>117</v>
      </c>
      <c r="D69" t="s">
        <v>2310</v>
      </c>
      <c r="E69" t="s">
        <v>559</v>
      </c>
      <c r="F69">
        <v>1</v>
      </c>
      <c r="G69" t="s">
        <v>2050</v>
      </c>
      <c r="H69" t="s">
        <v>2051</v>
      </c>
      <c r="I69" t="s">
        <v>53</v>
      </c>
      <c r="J69" t="s">
        <v>67</v>
      </c>
      <c r="K69" t="s">
        <v>68</v>
      </c>
      <c r="L69" t="s">
        <v>2052</v>
      </c>
      <c r="M69" t="s">
        <v>2063</v>
      </c>
      <c r="N69">
        <v>0</v>
      </c>
      <c r="O69">
        <v>0</v>
      </c>
      <c r="P69">
        <v>0</v>
      </c>
      <c r="Q69">
        <v>1020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164</v>
      </c>
      <c r="AH69" s="21" t="s">
        <v>3425</v>
      </c>
      <c r="AI69" s="21">
        <v>76.500000000000014</v>
      </c>
      <c r="AJ69" s="21">
        <v>100</v>
      </c>
      <c r="AK69" s="21" t="s">
        <v>2054</v>
      </c>
      <c r="AL69" t="s">
        <v>70</v>
      </c>
      <c r="AM69" t="s">
        <v>2027</v>
      </c>
    </row>
    <row r="70" spans="1:39" ht="15" hidden="1" thickTop="1" x14ac:dyDescent="0.35">
      <c r="A70" t="s">
        <v>2304</v>
      </c>
      <c r="B70" t="s">
        <v>2311</v>
      </c>
      <c r="C70" t="s">
        <v>76</v>
      </c>
      <c r="D70" t="s">
        <v>2312</v>
      </c>
      <c r="E70" t="s">
        <v>559</v>
      </c>
      <c r="F70">
        <v>1</v>
      </c>
      <c r="G70" t="s">
        <v>2050</v>
      </c>
      <c r="H70" t="s">
        <v>2051</v>
      </c>
      <c r="I70" t="s">
        <v>53</v>
      </c>
      <c r="J70" t="s">
        <v>67</v>
      </c>
      <c r="K70" t="s">
        <v>68</v>
      </c>
      <c r="L70" t="s">
        <v>2052</v>
      </c>
      <c r="M70" t="s">
        <v>2068</v>
      </c>
      <c r="N70">
        <v>0</v>
      </c>
      <c r="O70">
        <v>0</v>
      </c>
      <c r="P70">
        <v>0</v>
      </c>
      <c r="Q70">
        <v>720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561</v>
      </c>
      <c r="AH70" s="21" t="s">
        <v>3425</v>
      </c>
      <c r="AI70" s="21">
        <v>54</v>
      </c>
      <c r="AJ70" s="21">
        <v>100</v>
      </c>
      <c r="AK70" s="21" t="s">
        <v>2054</v>
      </c>
      <c r="AL70" t="s">
        <v>70</v>
      </c>
      <c r="AM70" t="s">
        <v>2027</v>
      </c>
    </row>
    <row r="71" spans="1:39" ht="15" hidden="1" thickTop="1" x14ac:dyDescent="0.35">
      <c r="A71" t="s">
        <v>2305</v>
      </c>
      <c r="B71" t="s">
        <v>2313</v>
      </c>
      <c r="C71" t="s">
        <v>100</v>
      </c>
      <c r="D71" t="s">
        <v>2314</v>
      </c>
      <c r="E71" t="s">
        <v>559</v>
      </c>
      <c r="F71">
        <v>1</v>
      </c>
      <c r="G71" t="s">
        <v>2050</v>
      </c>
      <c r="H71" t="s">
        <v>2051</v>
      </c>
      <c r="I71" t="s">
        <v>53</v>
      </c>
      <c r="J71" t="s">
        <v>67</v>
      </c>
      <c r="K71" t="s">
        <v>68</v>
      </c>
      <c r="L71" t="s">
        <v>2052</v>
      </c>
      <c r="M71" t="s">
        <v>2053</v>
      </c>
      <c r="N71">
        <v>0</v>
      </c>
      <c r="O71">
        <v>0</v>
      </c>
      <c r="P71">
        <v>0</v>
      </c>
      <c r="Q71">
        <v>1440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165</v>
      </c>
      <c r="AH71" s="21" t="s">
        <v>3425</v>
      </c>
      <c r="AI71" s="21">
        <v>107.92500000000001</v>
      </c>
      <c r="AJ71" s="21">
        <v>100</v>
      </c>
      <c r="AK71" s="21" t="s">
        <v>2054</v>
      </c>
      <c r="AL71" t="s">
        <v>70</v>
      </c>
      <c r="AM71" t="s">
        <v>2029</v>
      </c>
    </row>
    <row r="72" spans="1:39" ht="15" hidden="1" thickTop="1" x14ac:dyDescent="0.35">
      <c r="A72" t="s">
        <v>2307</v>
      </c>
      <c r="B72" t="s">
        <v>2315</v>
      </c>
      <c r="C72" t="s">
        <v>78</v>
      </c>
      <c r="D72" t="s">
        <v>2316</v>
      </c>
      <c r="E72" t="s">
        <v>559</v>
      </c>
      <c r="F72">
        <v>1</v>
      </c>
      <c r="G72" t="s">
        <v>2050</v>
      </c>
      <c r="H72" t="s">
        <v>2051</v>
      </c>
      <c r="I72" t="s">
        <v>53</v>
      </c>
      <c r="J72" t="s">
        <v>67</v>
      </c>
      <c r="K72" t="s">
        <v>68</v>
      </c>
      <c r="L72" t="s">
        <v>2052</v>
      </c>
      <c r="M72" t="s">
        <v>2053</v>
      </c>
      <c r="N72">
        <v>0</v>
      </c>
      <c r="O72">
        <v>0</v>
      </c>
      <c r="P72">
        <v>0</v>
      </c>
      <c r="Q72">
        <v>1440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1514</v>
      </c>
      <c r="AH72" s="21" t="s">
        <v>3425</v>
      </c>
      <c r="AI72" s="21">
        <v>107.92500000000001</v>
      </c>
      <c r="AJ72" s="21">
        <v>100</v>
      </c>
      <c r="AK72" s="21" t="s">
        <v>2055</v>
      </c>
      <c r="AL72" t="s">
        <v>70</v>
      </c>
      <c r="AM72" t="s">
        <v>2029</v>
      </c>
    </row>
    <row r="73" spans="1:39" ht="15" hidden="1" thickTop="1" x14ac:dyDescent="0.35">
      <c r="A73" t="s">
        <v>2318</v>
      </c>
      <c r="B73" t="s">
        <v>2330</v>
      </c>
      <c r="C73" t="s">
        <v>102</v>
      </c>
      <c r="D73" t="s">
        <v>2331</v>
      </c>
      <c r="E73" t="s">
        <v>559</v>
      </c>
      <c r="F73">
        <v>1</v>
      </c>
      <c r="G73" t="s">
        <v>2050</v>
      </c>
      <c r="H73" t="s">
        <v>2051</v>
      </c>
      <c r="I73" t="s">
        <v>53</v>
      </c>
      <c r="J73" t="s">
        <v>67</v>
      </c>
      <c r="K73" t="s">
        <v>68</v>
      </c>
      <c r="L73" t="s">
        <v>2052</v>
      </c>
      <c r="M73" t="s">
        <v>2053</v>
      </c>
      <c r="N73">
        <v>0</v>
      </c>
      <c r="O73">
        <v>0</v>
      </c>
      <c r="P73">
        <v>0</v>
      </c>
      <c r="Q73">
        <v>1440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166</v>
      </c>
      <c r="AH73" s="21" t="s">
        <v>3430</v>
      </c>
      <c r="AI73" s="21">
        <v>107.92500000000001</v>
      </c>
      <c r="AJ73" s="21">
        <v>100</v>
      </c>
      <c r="AK73" s="21" t="s">
        <v>2054</v>
      </c>
      <c r="AL73" t="s">
        <v>70</v>
      </c>
      <c r="AM73" t="s">
        <v>2027</v>
      </c>
    </row>
    <row r="74" spans="1:39" ht="15" hidden="1" thickTop="1" x14ac:dyDescent="0.35">
      <c r="A74" t="s">
        <v>2320</v>
      </c>
      <c r="B74" t="s">
        <v>2332</v>
      </c>
      <c r="C74" t="s">
        <v>117</v>
      </c>
      <c r="D74" t="s">
        <v>2333</v>
      </c>
      <c r="E74" t="s">
        <v>559</v>
      </c>
      <c r="F74">
        <v>1</v>
      </c>
      <c r="G74" t="s">
        <v>2050</v>
      </c>
      <c r="H74" t="s">
        <v>2051</v>
      </c>
      <c r="I74" t="s">
        <v>53</v>
      </c>
      <c r="J74" t="s">
        <v>67</v>
      </c>
      <c r="K74" t="s">
        <v>68</v>
      </c>
      <c r="L74" t="s">
        <v>2052</v>
      </c>
      <c r="M74" t="s">
        <v>2053</v>
      </c>
      <c r="N74">
        <v>0</v>
      </c>
      <c r="O74">
        <v>0</v>
      </c>
      <c r="P74">
        <v>0</v>
      </c>
      <c r="Q74">
        <v>1440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167</v>
      </c>
      <c r="AH74" s="21" t="s">
        <v>3425</v>
      </c>
      <c r="AI74" s="21">
        <v>107.92500000000001</v>
      </c>
      <c r="AJ74" s="21">
        <v>100</v>
      </c>
      <c r="AK74" s="21" t="s">
        <v>2054</v>
      </c>
      <c r="AL74" t="s">
        <v>70</v>
      </c>
      <c r="AM74" t="s">
        <v>2027</v>
      </c>
    </row>
    <row r="75" spans="1:39" ht="15" hidden="1" thickTop="1" x14ac:dyDescent="0.35">
      <c r="A75" t="s">
        <v>2322</v>
      </c>
      <c r="B75" t="s">
        <v>2335</v>
      </c>
      <c r="C75" t="s">
        <v>100</v>
      </c>
      <c r="D75" t="s">
        <v>2336</v>
      </c>
      <c r="E75" t="s">
        <v>119</v>
      </c>
      <c r="F75">
        <v>1</v>
      </c>
      <c r="G75" t="s">
        <v>2050</v>
      </c>
      <c r="H75" t="s">
        <v>2051</v>
      </c>
      <c r="I75" t="s">
        <v>53</v>
      </c>
      <c r="J75" t="s">
        <v>67</v>
      </c>
      <c r="K75" t="s">
        <v>68</v>
      </c>
      <c r="L75" t="s">
        <v>2052</v>
      </c>
      <c r="M75" t="s">
        <v>2064</v>
      </c>
      <c r="N75">
        <v>0</v>
      </c>
      <c r="O75">
        <v>0</v>
      </c>
      <c r="P75">
        <v>0</v>
      </c>
      <c r="Q75">
        <v>900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168</v>
      </c>
      <c r="AH75" s="21" t="s">
        <v>3424</v>
      </c>
      <c r="AI75" s="21">
        <v>67.5</v>
      </c>
      <c r="AJ75" s="21">
        <v>100</v>
      </c>
      <c r="AK75" s="21" t="s">
        <v>2054</v>
      </c>
      <c r="AL75" t="s">
        <v>70</v>
      </c>
      <c r="AM75" t="s">
        <v>2029</v>
      </c>
    </row>
    <row r="76" spans="1:39" ht="15" hidden="1" thickTop="1" x14ac:dyDescent="0.35">
      <c r="A76" t="s">
        <v>2323</v>
      </c>
      <c r="B76" t="s">
        <v>2338</v>
      </c>
      <c r="C76" t="s">
        <v>76</v>
      </c>
      <c r="D76" t="s">
        <v>2339</v>
      </c>
      <c r="E76" t="s">
        <v>559</v>
      </c>
      <c r="F76">
        <v>1</v>
      </c>
      <c r="G76" t="s">
        <v>2050</v>
      </c>
      <c r="H76" t="s">
        <v>2051</v>
      </c>
      <c r="I76" t="s">
        <v>53</v>
      </c>
      <c r="J76" t="s">
        <v>67</v>
      </c>
      <c r="K76" t="s">
        <v>68</v>
      </c>
      <c r="L76" t="s">
        <v>2052</v>
      </c>
      <c r="M76" t="s">
        <v>2053</v>
      </c>
      <c r="N76">
        <v>0</v>
      </c>
      <c r="O76">
        <v>0</v>
      </c>
      <c r="P76">
        <v>0</v>
      </c>
      <c r="Q76">
        <v>1440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169</v>
      </c>
      <c r="AH76" s="21" t="s">
        <v>3425</v>
      </c>
      <c r="AI76" s="21">
        <v>107.92500000000001</v>
      </c>
      <c r="AJ76" s="21">
        <v>100</v>
      </c>
      <c r="AK76" s="21" t="s">
        <v>2054</v>
      </c>
      <c r="AL76" t="s">
        <v>70</v>
      </c>
      <c r="AM76" t="s">
        <v>2028</v>
      </c>
    </row>
    <row r="77" spans="1:39" ht="15" hidden="1" thickTop="1" x14ac:dyDescent="0.35">
      <c r="A77" t="s">
        <v>2065</v>
      </c>
      <c r="B77" t="s">
        <v>2340</v>
      </c>
      <c r="C77" t="s">
        <v>565</v>
      </c>
      <c r="D77" t="s">
        <v>2341</v>
      </c>
      <c r="E77" t="s">
        <v>559</v>
      </c>
      <c r="F77">
        <v>1</v>
      </c>
      <c r="G77" t="s">
        <v>2050</v>
      </c>
      <c r="H77" t="s">
        <v>2051</v>
      </c>
      <c r="I77" t="s">
        <v>53</v>
      </c>
      <c r="J77" t="s">
        <v>427</v>
      </c>
      <c r="K77" t="s">
        <v>68</v>
      </c>
      <c r="L77" t="s">
        <v>2052</v>
      </c>
      <c r="M77" t="s">
        <v>2053</v>
      </c>
      <c r="N77">
        <v>0</v>
      </c>
      <c r="O77">
        <v>0</v>
      </c>
      <c r="P77">
        <v>0</v>
      </c>
      <c r="Q77">
        <v>1440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170</v>
      </c>
      <c r="AH77" s="21" t="s">
        <v>3424</v>
      </c>
      <c r="AI77" s="21">
        <v>107.92500000000001</v>
      </c>
      <c r="AJ77" s="21">
        <v>100</v>
      </c>
      <c r="AK77" s="21" t="s">
        <v>2054</v>
      </c>
      <c r="AL77" t="s">
        <v>70</v>
      </c>
      <c r="AM77" t="s">
        <v>2029</v>
      </c>
    </row>
    <row r="78" spans="1:39" ht="15" hidden="1" thickTop="1" x14ac:dyDescent="0.35">
      <c r="A78" t="s">
        <v>2326</v>
      </c>
      <c r="B78" t="s">
        <v>2344</v>
      </c>
      <c r="C78" t="s">
        <v>100</v>
      </c>
      <c r="D78" t="s">
        <v>2345</v>
      </c>
      <c r="E78" t="s">
        <v>559</v>
      </c>
      <c r="F78">
        <v>1</v>
      </c>
      <c r="G78" t="s">
        <v>2050</v>
      </c>
      <c r="H78" t="s">
        <v>2051</v>
      </c>
      <c r="I78" t="s">
        <v>53</v>
      </c>
      <c r="J78" t="s">
        <v>67</v>
      </c>
      <c r="K78" t="s">
        <v>68</v>
      </c>
      <c r="L78" t="s">
        <v>2052</v>
      </c>
      <c r="M78" t="s">
        <v>2053</v>
      </c>
      <c r="N78">
        <v>0</v>
      </c>
      <c r="O78">
        <v>0</v>
      </c>
      <c r="P78">
        <v>0</v>
      </c>
      <c r="Q78">
        <v>1440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173</v>
      </c>
      <c r="AH78" s="21" t="s">
        <v>3425</v>
      </c>
      <c r="AI78" s="21">
        <v>107.92500000000001</v>
      </c>
      <c r="AJ78" s="21">
        <v>100</v>
      </c>
      <c r="AK78" s="21" t="s">
        <v>2054</v>
      </c>
      <c r="AL78" t="s">
        <v>70</v>
      </c>
      <c r="AM78" t="s">
        <v>2028</v>
      </c>
    </row>
    <row r="79" spans="1:39" ht="15" hidden="1" thickTop="1" x14ac:dyDescent="0.35">
      <c r="A79" t="s">
        <v>2327</v>
      </c>
      <c r="B79" t="s">
        <v>2346</v>
      </c>
      <c r="C79" t="s">
        <v>78</v>
      </c>
      <c r="D79" t="s">
        <v>2347</v>
      </c>
      <c r="E79" t="s">
        <v>559</v>
      </c>
      <c r="F79">
        <v>1</v>
      </c>
      <c r="G79" t="s">
        <v>2050</v>
      </c>
      <c r="H79" t="s">
        <v>2051</v>
      </c>
      <c r="I79" t="s">
        <v>53</v>
      </c>
      <c r="J79" t="s">
        <v>67</v>
      </c>
      <c r="K79" t="s">
        <v>68</v>
      </c>
      <c r="L79" t="s">
        <v>2052</v>
      </c>
      <c r="M79" t="s">
        <v>2064</v>
      </c>
      <c r="N79">
        <v>0</v>
      </c>
      <c r="O79">
        <v>0</v>
      </c>
      <c r="P79">
        <v>0</v>
      </c>
      <c r="Q79">
        <v>900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174</v>
      </c>
      <c r="AH79" s="21" t="s">
        <v>3425</v>
      </c>
      <c r="AI79" s="21">
        <v>67.5</v>
      </c>
      <c r="AJ79" s="21">
        <v>100</v>
      </c>
      <c r="AK79" s="21" t="s">
        <v>2054</v>
      </c>
      <c r="AL79" t="s">
        <v>70</v>
      </c>
      <c r="AM79" t="s">
        <v>2028</v>
      </c>
    </row>
    <row r="80" spans="1:39" ht="15" hidden="1" thickTop="1" x14ac:dyDescent="0.35">
      <c r="A80" t="s">
        <v>2328</v>
      </c>
      <c r="B80" t="s">
        <v>2348</v>
      </c>
      <c r="C80" t="s">
        <v>100</v>
      </c>
      <c r="D80" t="s">
        <v>2349</v>
      </c>
      <c r="E80" t="s">
        <v>559</v>
      </c>
      <c r="F80">
        <v>1</v>
      </c>
      <c r="G80" t="s">
        <v>2050</v>
      </c>
      <c r="H80" t="s">
        <v>2051</v>
      </c>
      <c r="I80" t="s">
        <v>53</v>
      </c>
      <c r="J80" t="s">
        <v>67</v>
      </c>
      <c r="K80" t="s">
        <v>68</v>
      </c>
      <c r="L80" t="s">
        <v>2052</v>
      </c>
      <c r="M80" t="s">
        <v>2053</v>
      </c>
      <c r="N80">
        <v>0</v>
      </c>
      <c r="O80">
        <v>0</v>
      </c>
      <c r="P80">
        <v>0</v>
      </c>
      <c r="Q80">
        <v>1440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175</v>
      </c>
      <c r="AH80" s="21" t="s">
        <v>3425</v>
      </c>
      <c r="AI80" s="21">
        <v>107.92500000000001</v>
      </c>
      <c r="AJ80" s="21">
        <v>100</v>
      </c>
      <c r="AK80" s="21" t="s">
        <v>2054</v>
      </c>
      <c r="AL80" t="s">
        <v>70</v>
      </c>
      <c r="AM80" t="s">
        <v>2030</v>
      </c>
    </row>
    <row r="81" spans="1:39" ht="15" hidden="1" thickTop="1" x14ac:dyDescent="0.35">
      <c r="A81" t="s">
        <v>2334</v>
      </c>
      <c r="B81" t="s">
        <v>2350</v>
      </c>
      <c r="C81" t="s">
        <v>565</v>
      </c>
      <c r="D81" t="s">
        <v>2351</v>
      </c>
      <c r="E81" t="s">
        <v>559</v>
      </c>
      <c r="F81">
        <v>2</v>
      </c>
      <c r="G81" t="s">
        <v>2050</v>
      </c>
      <c r="H81" t="s">
        <v>2051</v>
      </c>
      <c r="I81" t="s">
        <v>53</v>
      </c>
      <c r="J81" t="s">
        <v>427</v>
      </c>
      <c r="K81" t="s">
        <v>68</v>
      </c>
      <c r="L81" t="s">
        <v>2052</v>
      </c>
      <c r="M81" t="s">
        <v>2053</v>
      </c>
      <c r="N81">
        <v>0</v>
      </c>
      <c r="O81">
        <v>0</v>
      </c>
      <c r="P81">
        <v>0</v>
      </c>
      <c r="Q81">
        <v>1440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176</v>
      </c>
      <c r="AH81" s="21" t="s">
        <v>3428</v>
      </c>
      <c r="AI81" s="21">
        <v>107.92500000000001</v>
      </c>
      <c r="AJ81" s="21">
        <v>100</v>
      </c>
      <c r="AK81" s="21" t="s">
        <v>2054</v>
      </c>
      <c r="AL81" t="s">
        <v>70</v>
      </c>
      <c r="AM81" t="s">
        <v>2029</v>
      </c>
    </row>
    <row r="82" spans="1:39" ht="15" hidden="1" thickTop="1" x14ac:dyDescent="0.35">
      <c r="A82" t="s">
        <v>2342</v>
      </c>
      <c r="B82" t="s">
        <v>2352</v>
      </c>
      <c r="C82" t="s">
        <v>76</v>
      </c>
      <c r="D82" t="s">
        <v>2353</v>
      </c>
      <c r="E82" t="s">
        <v>559</v>
      </c>
      <c r="F82">
        <v>1</v>
      </c>
      <c r="G82" t="s">
        <v>2050</v>
      </c>
      <c r="H82" t="s">
        <v>2051</v>
      </c>
      <c r="I82" t="s">
        <v>53</v>
      </c>
      <c r="J82" t="s">
        <v>67</v>
      </c>
      <c r="K82" t="s">
        <v>68</v>
      </c>
      <c r="L82" t="s">
        <v>2052</v>
      </c>
      <c r="M82" t="s">
        <v>2064</v>
      </c>
      <c r="N82">
        <v>0</v>
      </c>
      <c r="O82">
        <v>0</v>
      </c>
      <c r="P82">
        <v>0</v>
      </c>
      <c r="Q82">
        <v>900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177</v>
      </c>
      <c r="AH82" s="21" t="s">
        <v>3424</v>
      </c>
      <c r="AI82" s="21">
        <v>67.5</v>
      </c>
      <c r="AJ82" s="21">
        <v>100</v>
      </c>
      <c r="AK82" s="21" t="s">
        <v>2054</v>
      </c>
      <c r="AL82" t="s">
        <v>70</v>
      </c>
      <c r="AM82" t="s">
        <v>2029</v>
      </c>
    </row>
    <row r="83" spans="1:39" ht="15" hidden="1" thickTop="1" x14ac:dyDescent="0.35">
      <c r="A83" t="s">
        <v>2354</v>
      </c>
      <c r="B83" t="s">
        <v>2358</v>
      </c>
      <c r="C83" t="s">
        <v>81</v>
      </c>
      <c r="D83" t="s">
        <v>2359</v>
      </c>
      <c r="E83" t="s">
        <v>559</v>
      </c>
      <c r="F83">
        <v>2</v>
      </c>
      <c r="G83" t="s">
        <v>2050</v>
      </c>
      <c r="H83" t="s">
        <v>2051</v>
      </c>
      <c r="I83" t="s">
        <v>53</v>
      </c>
      <c r="J83" t="s">
        <v>82</v>
      </c>
      <c r="K83" t="s">
        <v>68</v>
      </c>
      <c r="L83" t="s">
        <v>2052</v>
      </c>
      <c r="M83" t="s">
        <v>2053</v>
      </c>
      <c r="N83">
        <v>0</v>
      </c>
      <c r="O83">
        <v>0</v>
      </c>
      <c r="P83">
        <v>0</v>
      </c>
      <c r="Q83">
        <v>1440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272</v>
      </c>
      <c r="AH83" s="21" t="s">
        <v>3424</v>
      </c>
      <c r="AI83" s="21">
        <v>107.92500000000001</v>
      </c>
      <c r="AJ83" s="21">
        <v>100</v>
      </c>
      <c r="AK83" s="21" t="s">
        <v>2054</v>
      </c>
      <c r="AL83" t="s">
        <v>70</v>
      </c>
      <c r="AM83" t="s">
        <v>2029</v>
      </c>
    </row>
    <row r="84" spans="1:39" ht="15" hidden="1" thickTop="1" x14ac:dyDescent="0.35">
      <c r="A84" t="s">
        <v>2356</v>
      </c>
      <c r="B84" t="s">
        <v>2360</v>
      </c>
      <c r="C84" t="s">
        <v>92</v>
      </c>
      <c r="D84" t="s">
        <v>2361</v>
      </c>
      <c r="E84" t="s">
        <v>119</v>
      </c>
      <c r="F84">
        <v>1</v>
      </c>
      <c r="G84" t="s">
        <v>2050</v>
      </c>
      <c r="H84" t="s">
        <v>2051</v>
      </c>
      <c r="I84" t="s">
        <v>53</v>
      </c>
      <c r="J84" t="s">
        <v>67</v>
      </c>
      <c r="K84" t="s">
        <v>68</v>
      </c>
      <c r="L84" t="s">
        <v>2052</v>
      </c>
      <c r="M84" t="s">
        <v>2053</v>
      </c>
      <c r="N84">
        <v>0</v>
      </c>
      <c r="O84">
        <v>0</v>
      </c>
      <c r="P84">
        <v>0</v>
      </c>
      <c r="Q84">
        <v>1440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221</v>
      </c>
      <c r="AH84" s="21" t="s">
        <v>3424</v>
      </c>
      <c r="AI84" s="21">
        <v>107.92500000000001</v>
      </c>
      <c r="AJ84" s="21">
        <v>100</v>
      </c>
      <c r="AK84" s="21" t="s">
        <v>2055</v>
      </c>
      <c r="AL84" t="s">
        <v>70</v>
      </c>
      <c r="AM84" t="s">
        <v>2029</v>
      </c>
    </row>
    <row r="85" spans="1:39" ht="15" hidden="1" thickTop="1" x14ac:dyDescent="0.35">
      <c r="A85" t="s">
        <v>2362</v>
      </c>
      <c r="B85" t="s">
        <v>2365</v>
      </c>
      <c r="C85" t="s">
        <v>66</v>
      </c>
      <c r="D85" t="s">
        <v>2366</v>
      </c>
      <c r="E85" t="s">
        <v>559</v>
      </c>
      <c r="F85">
        <v>1</v>
      </c>
      <c r="G85" t="s">
        <v>2050</v>
      </c>
      <c r="H85" t="s">
        <v>2051</v>
      </c>
      <c r="I85" t="s">
        <v>53</v>
      </c>
      <c r="J85" t="s">
        <v>67</v>
      </c>
      <c r="K85" t="s">
        <v>68</v>
      </c>
      <c r="L85" t="s">
        <v>2052</v>
      </c>
      <c r="M85" t="s">
        <v>2053</v>
      </c>
      <c r="N85">
        <v>0</v>
      </c>
      <c r="O85">
        <v>0</v>
      </c>
      <c r="P85">
        <v>0</v>
      </c>
      <c r="Q85">
        <v>1440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267</v>
      </c>
      <c r="AH85" s="21" t="s">
        <v>3424</v>
      </c>
      <c r="AI85" s="21">
        <v>107.92500000000001</v>
      </c>
      <c r="AJ85" s="21">
        <v>100</v>
      </c>
      <c r="AK85" s="21" t="s">
        <v>2055</v>
      </c>
      <c r="AL85" t="s">
        <v>70</v>
      </c>
      <c r="AM85" t="s">
        <v>2028</v>
      </c>
    </row>
    <row r="86" spans="1:39" ht="15" hidden="1" thickTop="1" x14ac:dyDescent="0.35">
      <c r="A86" t="s">
        <v>2363</v>
      </c>
      <c r="B86" t="s">
        <v>2367</v>
      </c>
      <c r="C86" t="s">
        <v>76</v>
      </c>
      <c r="D86" t="s">
        <v>2368</v>
      </c>
      <c r="E86" t="s">
        <v>559</v>
      </c>
      <c r="F86">
        <v>2</v>
      </c>
      <c r="G86" t="s">
        <v>2050</v>
      </c>
      <c r="H86" t="s">
        <v>2051</v>
      </c>
      <c r="I86" t="s">
        <v>53</v>
      </c>
      <c r="J86" t="s">
        <v>67</v>
      </c>
      <c r="K86" t="s">
        <v>68</v>
      </c>
      <c r="L86" t="s">
        <v>2052</v>
      </c>
      <c r="M86" t="s">
        <v>2053</v>
      </c>
      <c r="N86">
        <v>0</v>
      </c>
      <c r="O86">
        <v>0</v>
      </c>
      <c r="P86">
        <v>0</v>
      </c>
      <c r="Q86">
        <v>1440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352</v>
      </c>
      <c r="AH86" s="21" t="s">
        <v>3424</v>
      </c>
      <c r="AI86" s="21">
        <v>107.92500000000001</v>
      </c>
      <c r="AJ86" s="21">
        <v>100</v>
      </c>
      <c r="AK86" s="21" t="s">
        <v>2055</v>
      </c>
      <c r="AL86" t="s">
        <v>70</v>
      </c>
      <c r="AM86" t="s">
        <v>2030</v>
      </c>
    </row>
    <row r="87" spans="1:39" ht="15" hidden="1" thickTop="1" x14ac:dyDescent="0.35">
      <c r="A87" t="s">
        <v>2369</v>
      </c>
      <c r="B87" t="s">
        <v>2375</v>
      </c>
      <c r="C87" t="s">
        <v>92</v>
      </c>
      <c r="D87" t="s">
        <v>2376</v>
      </c>
      <c r="E87" t="s">
        <v>119</v>
      </c>
      <c r="F87">
        <v>1</v>
      </c>
      <c r="G87" t="s">
        <v>2050</v>
      </c>
      <c r="H87" t="s">
        <v>2051</v>
      </c>
      <c r="I87" t="s">
        <v>53</v>
      </c>
      <c r="J87" t="s">
        <v>67</v>
      </c>
      <c r="K87" t="s">
        <v>68</v>
      </c>
      <c r="L87" t="s">
        <v>2052</v>
      </c>
      <c r="M87" t="s">
        <v>2053</v>
      </c>
      <c r="N87">
        <v>0</v>
      </c>
      <c r="O87">
        <v>0</v>
      </c>
      <c r="P87">
        <v>0</v>
      </c>
      <c r="Q87">
        <v>1440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183</v>
      </c>
      <c r="AH87" s="21" t="s">
        <v>3425</v>
      </c>
      <c r="AI87" s="21">
        <v>107.92500000000001</v>
      </c>
      <c r="AJ87" s="21">
        <v>100</v>
      </c>
      <c r="AK87" s="21" t="s">
        <v>2054</v>
      </c>
      <c r="AL87" t="s">
        <v>70</v>
      </c>
      <c r="AM87" t="s">
        <v>2027</v>
      </c>
    </row>
    <row r="88" spans="1:39" ht="15" hidden="1" thickTop="1" x14ac:dyDescent="0.35">
      <c r="A88" t="s">
        <v>2371</v>
      </c>
      <c r="B88" t="s">
        <v>2377</v>
      </c>
      <c r="C88" t="s">
        <v>102</v>
      </c>
      <c r="D88" t="s">
        <v>2378</v>
      </c>
      <c r="E88" t="s">
        <v>559</v>
      </c>
      <c r="F88">
        <v>1</v>
      </c>
      <c r="G88" t="s">
        <v>2050</v>
      </c>
      <c r="H88" t="s">
        <v>2051</v>
      </c>
      <c r="I88" t="s">
        <v>53</v>
      </c>
      <c r="J88" t="s">
        <v>67</v>
      </c>
      <c r="K88" t="s">
        <v>68</v>
      </c>
      <c r="L88" t="s">
        <v>2052</v>
      </c>
      <c r="M88" t="s">
        <v>2053</v>
      </c>
      <c r="N88">
        <v>0</v>
      </c>
      <c r="O88">
        <v>0</v>
      </c>
      <c r="P88">
        <v>0</v>
      </c>
      <c r="Q88">
        <v>1440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195</v>
      </c>
      <c r="AH88" s="21" t="s">
        <v>3429</v>
      </c>
      <c r="AI88" s="21">
        <v>107.92500000000001</v>
      </c>
      <c r="AJ88" s="21">
        <v>100</v>
      </c>
      <c r="AK88" s="21" t="s">
        <v>2054</v>
      </c>
      <c r="AL88" t="s">
        <v>70</v>
      </c>
      <c r="AM88" t="s">
        <v>2027</v>
      </c>
    </row>
    <row r="89" spans="1:39" ht="15" hidden="1" thickTop="1" x14ac:dyDescent="0.35">
      <c r="A89" t="s">
        <v>2373</v>
      </c>
      <c r="B89" t="s">
        <v>2379</v>
      </c>
      <c r="C89" t="s">
        <v>100</v>
      </c>
      <c r="D89" t="s">
        <v>2380</v>
      </c>
      <c r="E89" t="s">
        <v>559</v>
      </c>
      <c r="F89">
        <v>1</v>
      </c>
      <c r="G89" t="s">
        <v>2050</v>
      </c>
      <c r="H89" t="s">
        <v>2051</v>
      </c>
      <c r="I89" t="s">
        <v>53</v>
      </c>
      <c r="J89" t="s">
        <v>67</v>
      </c>
      <c r="K89" t="s">
        <v>68</v>
      </c>
      <c r="L89" t="s">
        <v>2052</v>
      </c>
      <c r="M89" t="s">
        <v>2053</v>
      </c>
      <c r="N89">
        <v>0</v>
      </c>
      <c r="O89">
        <v>0</v>
      </c>
      <c r="P89">
        <v>0</v>
      </c>
      <c r="Q89">
        <v>1440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171</v>
      </c>
      <c r="AH89" s="21" t="s">
        <v>3424</v>
      </c>
      <c r="AI89" s="21">
        <v>107.92500000000001</v>
      </c>
      <c r="AJ89" s="21">
        <v>100</v>
      </c>
      <c r="AK89" s="21" t="s">
        <v>2055</v>
      </c>
      <c r="AL89" t="s">
        <v>70</v>
      </c>
      <c r="AM89" t="s">
        <v>2030</v>
      </c>
    </row>
    <row r="90" spans="1:39" ht="15" hidden="1" thickTop="1" x14ac:dyDescent="0.35">
      <c r="A90" t="s">
        <v>2381</v>
      </c>
      <c r="B90" t="s">
        <v>2386</v>
      </c>
      <c r="C90" t="s">
        <v>92</v>
      </c>
      <c r="D90" t="s">
        <v>2387</v>
      </c>
      <c r="E90" t="s">
        <v>559</v>
      </c>
      <c r="F90">
        <v>1</v>
      </c>
      <c r="G90" t="s">
        <v>2050</v>
      </c>
      <c r="H90" t="s">
        <v>2051</v>
      </c>
      <c r="I90" t="s">
        <v>53</v>
      </c>
      <c r="J90" t="s">
        <v>67</v>
      </c>
      <c r="K90" t="s">
        <v>68</v>
      </c>
      <c r="L90" t="s">
        <v>2052</v>
      </c>
      <c r="M90" t="s">
        <v>2064</v>
      </c>
      <c r="N90">
        <v>0</v>
      </c>
      <c r="O90">
        <v>0</v>
      </c>
      <c r="P90">
        <v>0</v>
      </c>
      <c r="Q90">
        <v>900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338</v>
      </c>
      <c r="AH90" s="21" t="s">
        <v>3424</v>
      </c>
      <c r="AI90" s="21">
        <v>67.5</v>
      </c>
      <c r="AJ90" s="21">
        <v>100</v>
      </c>
      <c r="AK90" s="21" t="s">
        <v>2054</v>
      </c>
      <c r="AL90" t="s">
        <v>70</v>
      </c>
      <c r="AM90" t="s">
        <v>2029</v>
      </c>
    </row>
    <row r="91" spans="1:39" ht="15" hidden="1" thickTop="1" x14ac:dyDescent="0.35">
      <c r="A91" t="s">
        <v>2067</v>
      </c>
      <c r="B91" t="s">
        <v>2388</v>
      </c>
      <c r="C91" t="s">
        <v>100</v>
      </c>
      <c r="D91" t="s">
        <v>2389</v>
      </c>
      <c r="E91" t="s">
        <v>119</v>
      </c>
      <c r="F91">
        <v>1</v>
      </c>
      <c r="G91" t="s">
        <v>2050</v>
      </c>
      <c r="H91" t="s">
        <v>2051</v>
      </c>
      <c r="I91" t="s">
        <v>53</v>
      </c>
      <c r="J91" t="s">
        <v>67</v>
      </c>
      <c r="K91" t="s">
        <v>68</v>
      </c>
      <c r="L91" t="s">
        <v>2052</v>
      </c>
      <c r="M91" t="s">
        <v>2064</v>
      </c>
      <c r="N91">
        <v>0</v>
      </c>
      <c r="O91">
        <v>0</v>
      </c>
      <c r="P91">
        <v>0</v>
      </c>
      <c r="Q91">
        <v>900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357</v>
      </c>
      <c r="AH91" s="21" t="s">
        <v>3425</v>
      </c>
      <c r="AI91" s="21">
        <v>67.5</v>
      </c>
      <c r="AJ91" s="21">
        <v>100</v>
      </c>
      <c r="AK91" s="21" t="s">
        <v>2054</v>
      </c>
      <c r="AL91" t="s">
        <v>70</v>
      </c>
      <c r="AM91" t="s">
        <v>2028</v>
      </c>
    </row>
    <row r="92" spans="1:39" ht="15" hidden="1" thickTop="1" x14ac:dyDescent="0.35">
      <c r="A92" t="s">
        <v>2384</v>
      </c>
      <c r="B92" t="s">
        <v>3409</v>
      </c>
      <c r="C92" t="s">
        <v>71</v>
      </c>
      <c r="D92" t="s">
        <v>3410</v>
      </c>
      <c r="E92" t="s">
        <v>72</v>
      </c>
      <c r="F92">
        <v>1</v>
      </c>
      <c r="G92" t="s">
        <v>2050</v>
      </c>
      <c r="H92" t="s">
        <v>2051</v>
      </c>
      <c r="I92" t="s">
        <v>53</v>
      </c>
      <c r="J92" t="s">
        <v>73</v>
      </c>
      <c r="K92" t="s">
        <v>68</v>
      </c>
      <c r="L92" t="s">
        <v>2052</v>
      </c>
      <c r="M92" t="s">
        <v>2053</v>
      </c>
      <c r="N92">
        <v>0</v>
      </c>
      <c r="O92">
        <v>0</v>
      </c>
      <c r="P92">
        <v>0</v>
      </c>
      <c r="Q92">
        <v>1440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295</v>
      </c>
      <c r="AH92" s="21" t="s">
        <v>3427</v>
      </c>
      <c r="AI92" s="21">
        <v>107.92500000000001</v>
      </c>
      <c r="AJ92" s="21">
        <v>100</v>
      </c>
      <c r="AK92" s="21" t="s">
        <v>2054</v>
      </c>
      <c r="AL92" t="s">
        <v>75</v>
      </c>
      <c r="AM92" t="s">
        <v>2032</v>
      </c>
    </row>
    <row r="93" spans="1:39" ht="15" hidden="1" thickTop="1" x14ac:dyDescent="0.35">
      <c r="A93" t="s">
        <v>2390</v>
      </c>
      <c r="B93" t="s">
        <v>3402</v>
      </c>
      <c r="C93" t="s">
        <v>66</v>
      </c>
      <c r="D93" t="s">
        <v>3403</v>
      </c>
      <c r="E93" t="s">
        <v>559</v>
      </c>
      <c r="F93">
        <v>1</v>
      </c>
      <c r="G93" t="s">
        <v>2050</v>
      </c>
      <c r="H93" t="s">
        <v>2051</v>
      </c>
      <c r="I93" t="s">
        <v>53</v>
      </c>
      <c r="J93" t="s">
        <v>67</v>
      </c>
      <c r="K93" t="s">
        <v>68</v>
      </c>
      <c r="L93" t="s">
        <v>2052</v>
      </c>
      <c r="M93" t="s">
        <v>2064</v>
      </c>
      <c r="N93">
        <v>0</v>
      </c>
      <c r="O93">
        <v>0</v>
      </c>
      <c r="P93">
        <v>0</v>
      </c>
      <c r="Q93">
        <v>900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172</v>
      </c>
      <c r="AH93" s="21" t="s">
        <v>3425</v>
      </c>
      <c r="AI93" s="21">
        <v>67.5</v>
      </c>
      <c r="AJ93" s="21">
        <v>100</v>
      </c>
      <c r="AK93" s="21" t="s">
        <v>2054</v>
      </c>
      <c r="AL93" t="s">
        <v>70</v>
      </c>
      <c r="AM93" t="s">
        <v>2032</v>
      </c>
    </row>
    <row r="94" spans="1:39" ht="15" hidden="1" thickTop="1" x14ac:dyDescent="0.35">
      <c r="A94" t="s">
        <v>2408</v>
      </c>
      <c r="B94" t="s">
        <v>2392</v>
      </c>
      <c r="C94" t="s">
        <v>78</v>
      </c>
      <c r="D94" t="s">
        <v>2393</v>
      </c>
      <c r="E94" t="s">
        <v>559</v>
      </c>
      <c r="F94">
        <v>1</v>
      </c>
      <c r="G94" t="s">
        <v>2050</v>
      </c>
      <c r="H94" t="s">
        <v>2051</v>
      </c>
      <c r="I94" t="s">
        <v>53</v>
      </c>
      <c r="J94" t="s">
        <v>67</v>
      </c>
      <c r="K94" t="s">
        <v>68</v>
      </c>
      <c r="L94" t="s">
        <v>2052</v>
      </c>
      <c r="M94" t="s">
        <v>2053</v>
      </c>
      <c r="N94">
        <v>0</v>
      </c>
      <c r="O94">
        <v>0</v>
      </c>
      <c r="P94">
        <v>0</v>
      </c>
      <c r="Q94">
        <v>1440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178</v>
      </c>
      <c r="AH94" s="21" t="s">
        <v>3425</v>
      </c>
      <c r="AI94" s="21">
        <v>107.92500000000001</v>
      </c>
      <c r="AJ94" s="21">
        <v>100</v>
      </c>
      <c r="AK94" s="21" t="s">
        <v>2055</v>
      </c>
      <c r="AL94" t="s">
        <v>70</v>
      </c>
      <c r="AM94" t="s">
        <v>2030</v>
      </c>
    </row>
    <row r="95" spans="1:39" ht="15" hidden="1" thickTop="1" x14ac:dyDescent="0.35">
      <c r="A95" t="s">
        <v>2409</v>
      </c>
      <c r="B95" t="s">
        <v>2394</v>
      </c>
      <c r="C95" t="s">
        <v>92</v>
      </c>
      <c r="D95" t="s">
        <v>2395</v>
      </c>
      <c r="E95" t="s">
        <v>559</v>
      </c>
      <c r="F95">
        <v>1</v>
      </c>
      <c r="G95" t="s">
        <v>2050</v>
      </c>
      <c r="H95" t="s">
        <v>2051</v>
      </c>
      <c r="I95" t="s">
        <v>53</v>
      </c>
      <c r="J95" t="s">
        <v>67</v>
      </c>
      <c r="K95" t="s">
        <v>68</v>
      </c>
      <c r="L95" t="s">
        <v>2052</v>
      </c>
      <c r="M95" t="s">
        <v>2053</v>
      </c>
      <c r="N95">
        <v>0</v>
      </c>
      <c r="O95">
        <v>0</v>
      </c>
      <c r="P95">
        <v>0</v>
      </c>
      <c r="Q95">
        <v>1440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179</v>
      </c>
      <c r="AH95" s="21" t="s">
        <v>3424</v>
      </c>
      <c r="AI95" s="21">
        <v>107.92500000000001</v>
      </c>
      <c r="AJ95" s="21">
        <v>100</v>
      </c>
      <c r="AK95" s="21" t="s">
        <v>2054</v>
      </c>
      <c r="AL95" t="s">
        <v>70</v>
      </c>
      <c r="AM95" t="s">
        <v>2027</v>
      </c>
    </row>
    <row r="96" spans="1:39" ht="15" hidden="1" thickTop="1" x14ac:dyDescent="0.35">
      <c r="A96" t="s">
        <v>2410</v>
      </c>
      <c r="B96" t="s">
        <v>2396</v>
      </c>
      <c r="C96" t="s">
        <v>117</v>
      </c>
      <c r="D96" t="s">
        <v>2397</v>
      </c>
      <c r="E96" t="s">
        <v>559</v>
      </c>
      <c r="F96">
        <v>1</v>
      </c>
      <c r="G96" t="s">
        <v>2050</v>
      </c>
      <c r="H96" t="s">
        <v>2051</v>
      </c>
      <c r="I96" t="s">
        <v>53</v>
      </c>
      <c r="J96" t="s">
        <v>67</v>
      </c>
      <c r="K96" t="s">
        <v>68</v>
      </c>
      <c r="L96" t="s">
        <v>2052</v>
      </c>
      <c r="M96" t="s">
        <v>2053</v>
      </c>
      <c r="N96">
        <v>0</v>
      </c>
      <c r="O96">
        <v>0</v>
      </c>
      <c r="P96">
        <v>0</v>
      </c>
      <c r="Q96">
        <v>1440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180</v>
      </c>
      <c r="AH96" s="21" t="s">
        <v>3424</v>
      </c>
      <c r="AI96" s="21">
        <v>107.92500000000001</v>
      </c>
      <c r="AJ96" s="21">
        <v>100</v>
      </c>
      <c r="AK96" s="21" t="s">
        <v>2054</v>
      </c>
      <c r="AL96" t="s">
        <v>70</v>
      </c>
      <c r="AM96" t="s">
        <v>2027</v>
      </c>
    </row>
    <row r="97" spans="1:39" ht="15" hidden="1" thickTop="1" x14ac:dyDescent="0.35">
      <c r="A97" t="s">
        <v>2411</v>
      </c>
      <c r="B97" t="s">
        <v>2398</v>
      </c>
      <c r="C97" t="s">
        <v>66</v>
      </c>
      <c r="D97" t="s">
        <v>2399</v>
      </c>
      <c r="E97" t="s">
        <v>559</v>
      </c>
      <c r="F97">
        <v>1</v>
      </c>
      <c r="G97" t="s">
        <v>2050</v>
      </c>
      <c r="H97" t="s">
        <v>2051</v>
      </c>
      <c r="I97" t="s">
        <v>53</v>
      </c>
      <c r="J97" t="s">
        <v>67</v>
      </c>
      <c r="K97" t="s">
        <v>68</v>
      </c>
      <c r="L97" t="s">
        <v>2052</v>
      </c>
      <c r="M97" t="s">
        <v>2053</v>
      </c>
      <c r="N97">
        <v>0</v>
      </c>
      <c r="O97">
        <v>0</v>
      </c>
      <c r="P97">
        <v>0</v>
      </c>
      <c r="Q97">
        <v>1440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181</v>
      </c>
      <c r="AH97" s="21" t="s">
        <v>3429</v>
      </c>
      <c r="AI97" s="21">
        <v>107.92500000000001</v>
      </c>
      <c r="AJ97" s="21">
        <v>100</v>
      </c>
      <c r="AK97" s="21" t="s">
        <v>2055</v>
      </c>
      <c r="AL97" t="s">
        <v>70</v>
      </c>
      <c r="AM97" t="s">
        <v>2027</v>
      </c>
    </row>
    <row r="98" spans="1:39" ht="15" hidden="1" thickTop="1" x14ac:dyDescent="0.35">
      <c r="A98" t="s">
        <v>2412</v>
      </c>
      <c r="B98" t="s">
        <v>2400</v>
      </c>
      <c r="C98" t="s">
        <v>3376</v>
      </c>
      <c r="D98" t="s">
        <v>2401</v>
      </c>
      <c r="E98" t="s">
        <v>559</v>
      </c>
      <c r="F98">
        <v>1</v>
      </c>
      <c r="G98" t="s">
        <v>2050</v>
      </c>
      <c r="H98" t="s">
        <v>2051</v>
      </c>
      <c r="I98" t="s">
        <v>53</v>
      </c>
      <c r="J98" t="s">
        <v>67</v>
      </c>
      <c r="K98" t="s">
        <v>68</v>
      </c>
      <c r="L98" t="s">
        <v>2052</v>
      </c>
      <c r="M98" t="s">
        <v>2053</v>
      </c>
      <c r="N98">
        <v>0</v>
      </c>
      <c r="O98">
        <v>0</v>
      </c>
      <c r="P98">
        <v>0</v>
      </c>
      <c r="Q98">
        <v>1440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182</v>
      </c>
      <c r="AH98" s="21" t="s">
        <v>3424</v>
      </c>
      <c r="AI98" s="21">
        <v>107.92500000000001</v>
      </c>
      <c r="AJ98" s="21">
        <v>100</v>
      </c>
      <c r="AK98" s="21" t="s">
        <v>2054</v>
      </c>
      <c r="AL98" t="s">
        <v>70</v>
      </c>
      <c r="AM98" t="s">
        <v>2029</v>
      </c>
    </row>
    <row r="99" spans="1:39" ht="15" hidden="1" thickTop="1" x14ac:dyDescent="0.35">
      <c r="A99" t="s">
        <v>2416</v>
      </c>
      <c r="B99" t="s">
        <v>2402</v>
      </c>
      <c r="C99" t="s">
        <v>111</v>
      </c>
      <c r="D99" t="s">
        <v>2403</v>
      </c>
      <c r="E99" t="s">
        <v>112</v>
      </c>
      <c r="F99">
        <v>1</v>
      </c>
      <c r="G99" t="s">
        <v>2050</v>
      </c>
      <c r="H99" t="s">
        <v>2051</v>
      </c>
      <c r="I99" t="s">
        <v>53</v>
      </c>
      <c r="J99" t="s">
        <v>113</v>
      </c>
      <c r="K99" t="s">
        <v>68</v>
      </c>
      <c r="L99" t="s">
        <v>2052</v>
      </c>
      <c r="M99" t="s">
        <v>2053</v>
      </c>
      <c r="N99">
        <v>0</v>
      </c>
      <c r="O99">
        <v>0</v>
      </c>
      <c r="P99">
        <v>0</v>
      </c>
      <c r="Q99">
        <v>1440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184</v>
      </c>
      <c r="AH99" s="21" t="s">
        <v>3430</v>
      </c>
      <c r="AI99" s="21">
        <v>107.92500000000001</v>
      </c>
      <c r="AJ99" s="21">
        <v>100</v>
      </c>
      <c r="AK99" s="21" t="s">
        <v>2054</v>
      </c>
      <c r="AL99" t="s">
        <v>115</v>
      </c>
      <c r="AM99" t="s">
        <v>2027</v>
      </c>
    </row>
    <row r="100" spans="1:39" ht="15" hidden="1" thickTop="1" x14ac:dyDescent="0.35">
      <c r="A100" t="s">
        <v>2432</v>
      </c>
      <c r="B100" t="s">
        <v>2418</v>
      </c>
      <c r="C100" t="s">
        <v>117</v>
      </c>
      <c r="D100" t="s">
        <v>2419</v>
      </c>
      <c r="E100" t="s">
        <v>559</v>
      </c>
      <c r="F100">
        <v>1</v>
      </c>
      <c r="G100" t="s">
        <v>2050</v>
      </c>
      <c r="H100" t="s">
        <v>2051</v>
      </c>
      <c r="I100" t="s">
        <v>53</v>
      </c>
      <c r="J100" t="s">
        <v>67</v>
      </c>
      <c r="K100" t="s">
        <v>68</v>
      </c>
      <c r="L100" t="s">
        <v>2052</v>
      </c>
      <c r="M100" t="s">
        <v>2053</v>
      </c>
      <c r="N100">
        <v>0</v>
      </c>
      <c r="O100">
        <v>0</v>
      </c>
      <c r="P100">
        <v>0</v>
      </c>
      <c r="Q100">
        <v>1440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185</v>
      </c>
      <c r="AH100" s="21" t="s">
        <v>3427</v>
      </c>
      <c r="AI100" s="21">
        <v>107.92500000000001</v>
      </c>
      <c r="AJ100" s="21">
        <v>100</v>
      </c>
      <c r="AK100" s="21" t="s">
        <v>2054</v>
      </c>
      <c r="AL100" t="s">
        <v>70</v>
      </c>
      <c r="AM100" t="s">
        <v>2027</v>
      </c>
    </row>
    <row r="101" spans="1:39" ht="15" hidden="1" thickTop="1" x14ac:dyDescent="0.35">
      <c r="A101" t="s">
        <v>2445</v>
      </c>
      <c r="B101" t="s">
        <v>2421</v>
      </c>
      <c r="C101" t="s">
        <v>3376</v>
      </c>
      <c r="D101" t="s">
        <v>2422</v>
      </c>
      <c r="E101" t="s">
        <v>559</v>
      </c>
      <c r="F101">
        <v>1</v>
      </c>
      <c r="G101" t="s">
        <v>2050</v>
      </c>
      <c r="H101" t="s">
        <v>2051</v>
      </c>
      <c r="I101" t="s">
        <v>53</v>
      </c>
      <c r="J101" t="s">
        <v>67</v>
      </c>
      <c r="K101" t="s">
        <v>68</v>
      </c>
      <c r="L101" t="s">
        <v>2052</v>
      </c>
      <c r="M101" t="s">
        <v>2053</v>
      </c>
      <c r="N101">
        <v>0</v>
      </c>
      <c r="O101">
        <v>0</v>
      </c>
      <c r="P101">
        <v>0</v>
      </c>
      <c r="Q101">
        <v>1440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186</v>
      </c>
      <c r="AH101" s="21" t="s">
        <v>3425</v>
      </c>
      <c r="AI101" s="21">
        <v>107.92500000000001</v>
      </c>
      <c r="AJ101" s="21">
        <v>100</v>
      </c>
      <c r="AK101" s="21" t="s">
        <v>2054</v>
      </c>
      <c r="AL101" t="s">
        <v>70</v>
      </c>
      <c r="AM101" t="s">
        <v>2028</v>
      </c>
    </row>
    <row r="102" spans="1:39" ht="15" hidden="1" thickTop="1" x14ac:dyDescent="0.35">
      <c r="A102" t="s">
        <v>2446</v>
      </c>
      <c r="B102" t="s">
        <v>2424</v>
      </c>
      <c r="C102" t="s">
        <v>3376</v>
      </c>
      <c r="D102" t="s">
        <v>2425</v>
      </c>
      <c r="E102" t="s">
        <v>559</v>
      </c>
      <c r="F102">
        <v>1</v>
      </c>
      <c r="G102" t="s">
        <v>2050</v>
      </c>
      <c r="H102" t="s">
        <v>2051</v>
      </c>
      <c r="I102" t="s">
        <v>53</v>
      </c>
      <c r="J102" t="s">
        <v>67</v>
      </c>
      <c r="K102" t="s">
        <v>68</v>
      </c>
      <c r="L102" t="s">
        <v>2052</v>
      </c>
      <c r="M102" t="s">
        <v>2053</v>
      </c>
      <c r="N102">
        <v>0</v>
      </c>
      <c r="O102">
        <v>0</v>
      </c>
      <c r="P102">
        <v>0</v>
      </c>
      <c r="Q102">
        <v>1440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187</v>
      </c>
      <c r="AH102" s="21" t="s">
        <v>3425</v>
      </c>
      <c r="AI102" s="21">
        <v>107.92500000000001</v>
      </c>
      <c r="AJ102" s="21">
        <v>100</v>
      </c>
      <c r="AK102" s="21" t="s">
        <v>2054</v>
      </c>
      <c r="AL102" t="s">
        <v>70</v>
      </c>
      <c r="AM102" t="s">
        <v>2028</v>
      </c>
    </row>
    <row r="103" spans="1:39" ht="15" hidden="1" thickTop="1" x14ac:dyDescent="0.35">
      <c r="A103" t="s">
        <v>2447</v>
      </c>
      <c r="B103" t="s">
        <v>2427</v>
      </c>
      <c r="C103" t="s">
        <v>76</v>
      </c>
      <c r="D103" t="s">
        <v>2428</v>
      </c>
      <c r="E103" t="s">
        <v>559</v>
      </c>
      <c r="F103">
        <v>1</v>
      </c>
      <c r="G103" t="s">
        <v>2050</v>
      </c>
      <c r="H103" t="s">
        <v>2051</v>
      </c>
      <c r="I103" t="s">
        <v>53</v>
      </c>
      <c r="J103" t="s">
        <v>67</v>
      </c>
      <c r="K103" t="s">
        <v>68</v>
      </c>
      <c r="L103" t="s">
        <v>2052</v>
      </c>
      <c r="M103" t="s">
        <v>2053</v>
      </c>
      <c r="N103">
        <v>0</v>
      </c>
      <c r="O103">
        <v>0</v>
      </c>
      <c r="P103">
        <v>0</v>
      </c>
      <c r="Q103">
        <v>1440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188</v>
      </c>
      <c r="AH103" s="21" t="s">
        <v>3425</v>
      </c>
      <c r="AI103" s="21">
        <v>107.92500000000001</v>
      </c>
      <c r="AJ103" s="21">
        <v>100</v>
      </c>
      <c r="AK103" s="21" t="s">
        <v>2055</v>
      </c>
      <c r="AL103" t="s">
        <v>70</v>
      </c>
      <c r="AM103" t="s">
        <v>2030</v>
      </c>
    </row>
    <row r="104" spans="1:39" ht="15" hidden="1" thickTop="1" x14ac:dyDescent="0.35">
      <c r="A104" t="s">
        <v>2449</v>
      </c>
      <c r="B104" t="s">
        <v>2430</v>
      </c>
      <c r="C104" t="s">
        <v>76</v>
      </c>
      <c r="D104" t="s">
        <v>2431</v>
      </c>
      <c r="E104" t="s">
        <v>119</v>
      </c>
      <c r="F104">
        <v>1</v>
      </c>
      <c r="G104" t="s">
        <v>2050</v>
      </c>
      <c r="H104" t="s">
        <v>2051</v>
      </c>
      <c r="I104" t="s">
        <v>53</v>
      </c>
      <c r="J104" t="s">
        <v>67</v>
      </c>
      <c r="K104" t="s">
        <v>68</v>
      </c>
      <c r="L104" t="s">
        <v>2052</v>
      </c>
      <c r="M104" t="s">
        <v>2053</v>
      </c>
      <c r="N104">
        <v>0</v>
      </c>
      <c r="O104">
        <v>0</v>
      </c>
      <c r="P104">
        <v>0</v>
      </c>
      <c r="Q104">
        <v>1440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189</v>
      </c>
      <c r="AH104" s="21" t="s">
        <v>3425</v>
      </c>
      <c r="AI104" s="21">
        <v>107.92500000000001</v>
      </c>
      <c r="AJ104" s="21">
        <v>100</v>
      </c>
      <c r="AK104" s="21" t="s">
        <v>2054</v>
      </c>
      <c r="AL104" t="s">
        <v>70</v>
      </c>
      <c r="AM104" t="s">
        <v>2029</v>
      </c>
    </row>
    <row r="105" spans="1:39" ht="15" hidden="1" thickTop="1" x14ac:dyDescent="0.35">
      <c r="A105" t="s">
        <v>2456</v>
      </c>
      <c r="B105" t="s">
        <v>2434</v>
      </c>
      <c r="C105" t="s">
        <v>78</v>
      </c>
      <c r="D105" t="s">
        <v>2435</v>
      </c>
      <c r="E105" t="s">
        <v>559</v>
      </c>
      <c r="F105">
        <v>1</v>
      </c>
      <c r="G105" t="s">
        <v>2050</v>
      </c>
      <c r="H105" t="s">
        <v>2051</v>
      </c>
      <c r="I105" t="s">
        <v>53</v>
      </c>
      <c r="J105" t="s">
        <v>67</v>
      </c>
      <c r="K105" t="s">
        <v>68</v>
      </c>
      <c r="L105" t="s">
        <v>2052</v>
      </c>
      <c r="M105" t="s">
        <v>2053</v>
      </c>
      <c r="N105">
        <v>0</v>
      </c>
      <c r="O105">
        <v>0</v>
      </c>
      <c r="P105">
        <v>0</v>
      </c>
      <c r="Q105">
        <v>1440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t="s">
        <v>190</v>
      </c>
      <c r="AH105" s="21" t="s">
        <v>3425</v>
      </c>
      <c r="AI105" s="21">
        <v>107.92500000000001</v>
      </c>
      <c r="AJ105" s="21">
        <v>100</v>
      </c>
      <c r="AK105" s="21" t="s">
        <v>2055</v>
      </c>
      <c r="AL105" t="s">
        <v>70</v>
      </c>
      <c r="AM105" t="s">
        <v>2028</v>
      </c>
    </row>
    <row r="106" spans="1:39" ht="15" hidden="1" thickTop="1" x14ac:dyDescent="0.35">
      <c r="A106" t="s">
        <v>2457</v>
      </c>
      <c r="B106" t="s">
        <v>2436</v>
      </c>
      <c r="C106" t="s">
        <v>76</v>
      </c>
      <c r="D106" t="s">
        <v>2437</v>
      </c>
      <c r="E106" t="s">
        <v>559</v>
      </c>
      <c r="F106">
        <v>1</v>
      </c>
      <c r="G106" t="s">
        <v>2050</v>
      </c>
      <c r="H106" t="s">
        <v>2051</v>
      </c>
      <c r="I106" t="s">
        <v>53</v>
      </c>
      <c r="J106" t="s">
        <v>67</v>
      </c>
      <c r="K106" t="s">
        <v>68</v>
      </c>
      <c r="L106" t="s">
        <v>2052</v>
      </c>
      <c r="M106" t="s">
        <v>2053</v>
      </c>
      <c r="N106">
        <v>0</v>
      </c>
      <c r="O106">
        <v>0</v>
      </c>
      <c r="P106">
        <v>0</v>
      </c>
      <c r="Q106">
        <v>1440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191</v>
      </c>
      <c r="AH106" s="21" t="s">
        <v>3425</v>
      </c>
      <c r="AI106" s="21">
        <v>107.92500000000001</v>
      </c>
      <c r="AJ106" s="21">
        <v>100</v>
      </c>
      <c r="AK106" s="21" t="s">
        <v>2055</v>
      </c>
      <c r="AL106" t="s">
        <v>70</v>
      </c>
      <c r="AM106" t="s">
        <v>2028</v>
      </c>
    </row>
    <row r="107" spans="1:39" ht="15" hidden="1" thickTop="1" x14ac:dyDescent="0.35">
      <c r="A107" t="s">
        <v>2463</v>
      </c>
      <c r="B107" t="s">
        <v>2439</v>
      </c>
      <c r="C107" t="s">
        <v>78</v>
      </c>
      <c r="D107" t="s">
        <v>2440</v>
      </c>
      <c r="E107" t="s">
        <v>559</v>
      </c>
      <c r="F107">
        <v>1</v>
      </c>
      <c r="G107" t="s">
        <v>2050</v>
      </c>
      <c r="H107" t="s">
        <v>2051</v>
      </c>
      <c r="I107" t="s">
        <v>53</v>
      </c>
      <c r="J107" t="s">
        <v>67</v>
      </c>
      <c r="K107" t="s">
        <v>68</v>
      </c>
      <c r="L107" t="s">
        <v>2052</v>
      </c>
      <c r="M107" t="s">
        <v>2053</v>
      </c>
      <c r="N107">
        <v>0</v>
      </c>
      <c r="O107">
        <v>0</v>
      </c>
      <c r="P107">
        <v>0</v>
      </c>
      <c r="Q107">
        <v>1440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 t="s">
        <v>192</v>
      </c>
      <c r="AH107" s="21" t="s">
        <v>3425</v>
      </c>
      <c r="AI107" s="21">
        <v>107.92500000000001</v>
      </c>
      <c r="AJ107" s="21">
        <v>100</v>
      </c>
      <c r="AK107" s="21" t="s">
        <v>2054</v>
      </c>
      <c r="AL107" t="s">
        <v>70</v>
      </c>
      <c r="AM107" t="s">
        <v>2029</v>
      </c>
    </row>
    <row r="108" spans="1:39" ht="15" hidden="1" thickTop="1" x14ac:dyDescent="0.35">
      <c r="A108" t="s">
        <v>2468</v>
      </c>
      <c r="B108" t="s">
        <v>2454</v>
      </c>
      <c r="C108" t="s">
        <v>76</v>
      </c>
      <c r="D108" t="s">
        <v>2455</v>
      </c>
      <c r="E108" t="s">
        <v>559</v>
      </c>
      <c r="F108">
        <v>2</v>
      </c>
      <c r="G108" t="s">
        <v>2050</v>
      </c>
      <c r="H108" t="s">
        <v>2051</v>
      </c>
      <c r="I108" t="s">
        <v>53</v>
      </c>
      <c r="J108" t="s">
        <v>67</v>
      </c>
      <c r="K108" t="s">
        <v>68</v>
      </c>
      <c r="L108" t="s">
        <v>2052</v>
      </c>
      <c r="M108" t="s">
        <v>2053</v>
      </c>
      <c r="N108">
        <v>0</v>
      </c>
      <c r="O108">
        <v>0</v>
      </c>
      <c r="P108">
        <v>0</v>
      </c>
      <c r="Q108">
        <v>1440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193</v>
      </c>
      <c r="AH108" s="21" t="s">
        <v>3424</v>
      </c>
      <c r="AI108" s="21">
        <v>107.92500000000001</v>
      </c>
      <c r="AJ108" s="21">
        <v>100</v>
      </c>
      <c r="AK108" s="21" t="s">
        <v>2054</v>
      </c>
      <c r="AL108" t="s">
        <v>70</v>
      </c>
      <c r="AM108" t="s">
        <v>2029</v>
      </c>
    </row>
    <row r="109" spans="1:39" ht="15" hidden="1" thickTop="1" x14ac:dyDescent="0.35">
      <c r="A109" t="s">
        <v>2473</v>
      </c>
      <c r="B109" t="s">
        <v>2420</v>
      </c>
      <c r="C109" t="s">
        <v>117</v>
      </c>
      <c r="D109" t="s">
        <v>2461</v>
      </c>
      <c r="E109" t="s">
        <v>559</v>
      </c>
      <c r="F109">
        <v>1</v>
      </c>
      <c r="G109" t="s">
        <v>2050</v>
      </c>
      <c r="H109" t="s">
        <v>2051</v>
      </c>
      <c r="I109" t="s">
        <v>53</v>
      </c>
      <c r="J109" t="s">
        <v>67</v>
      </c>
      <c r="K109" t="s">
        <v>68</v>
      </c>
      <c r="L109" t="s">
        <v>2052</v>
      </c>
      <c r="M109" t="s">
        <v>2053</v>
      </c>
      <c r="N109">
        <v>0</v>
      </c>
      <c r="O109">
        <v>0</v>
      </c>
      <c r="P109">
        <v>0</v>
      </c>
      <c r="Q109">
        <v>1440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194</v>
      </c>
      <c r="AH109" s="21" t="s">
        <v>3425</v>
      </c>
      <c r="AI109" s="21">
        <v>107.92500000000001</v>
      </c>
      <c r="AJ109" s="21">
        <v>100</v>
      </c>
      <c r="AK109" s="21" t="s">
        <v>2055</v>
      </c>
      <c r="AL109" t="s">
        <v>70</v>
      </c>
      <c r="AM109" t="s">
        <v>2029</v>
      </c>
    </row>
    <row r="110" spans="1:39" ht="15" hidden="1" thickTop="1" x14ac:dyDescent="0.35">
      <c r="A110" t="s">
        <v>2495</v>
      </c>
      <c r="B110" t="s">
        <v>2477</v>
      </c>
      <c r="C110" t="s">
        <v>92</v>
      </c>
      <c r="D110" t="s">
        <v>2478</v>
      </c>
      <c r="E110" t="s">
        <v>119</v>
      </c>
      <c r="F110">
        <v>1</v>
      </c>
      <c r="G110" t="s">
        <v>2050</v>
      </c>
      <c r="H110" t="s">
        <v>2051</v>
      </c>
      <c r="I110" t="s">
        <v>53</v>
      </c>
      <c r="J110" t="s">
        <v>67</v>
      </c>
      <c r="K110" t="s">
        <v>68</v>
      </c>
      <c r="L110" t="s">
        <v>2052</v>
      </c>
      <c r="M110" t="s">
        <v>2053</v>
      </c>
      <c r="N110">
        <v>0</v>
      </c>
      <c r="O110">
        <v>0</v>
      </c>
      <c r="P110">
        <v>0</v>
      </c>
      <c r="Q110">
        <v>1440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196</v>
      </c>
      <c r="AH110" s="21" t="s">
        <v>3425</v>
      </c>
      <c r="AI110" s="21">
        <v>107.92500000000001</v>
      </c>
      <c r="AJ110" s="21">
        <v>100</v>
      </c>
      <c r="AK110" s="21" t="s">
        <v>2055</v>
      </c>
      <c r="AL110" t="s">
        <v>70</v>
      </c>
      <c r="AM110" t="s">
        <v>2029</v>
      </c>
    </row>
    <row r="111" spans="1:39" ht="15" hidden="1" thickTop="1" x14ac:dyDescent="0.35">
      <c r="A111" t="s">
        <v>2501</v>
      </c>
      <c r="B111" t="s">
        <v>2480</v>
      </c>
      <c r="C111" t="s">
        <v>117</v>
      </c>
      <c r="D111" t="s">
        <v>2481</v>
      </c>
      <c r="E111" t="s">
        <v>559</v>
      </c>
      <c r="F111">
        <v>1</v>
      </c>
      <c r="G111" t="s">
        <v>2050</v>
      </c>
      <c r="H111" t="s">
        <v>2051</v>
      </c>
      <c r="I111" t="s">
        <v>53</v>
      </c>
      <c r="J111" t="s">
        <v>67</v>
      </c>
      <c r="K111" t="s">
        <v>68</v>
      </c>
      <c r="L111" t="s">
        <v>2052</v>
      </c>
      <c r="M111" t="s">
        <v>2053</v>
      </c>
      <c r="N111">
        <v>0</v>
      </c>
      <c r="O111">
        <v>0</v>
      </c>
      <c r="P111">
        <v>0</v>
      </c>
      <c r="Q111">
        <v>1440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197</v>
      </c>
      <c r="AH111" s="21" t="s">
        <v>3429</v>
      </c>
      <c r="AI111" s="21">
        <v>107.92500000000001</v>
      </c>
      <c r="AJ111" s="21">
        <v>100</v>
      </c>
      <c r="AK111" s="21" t="s">
        <v>2054</v>
      </c>
      <c r="AL111" t="s">
        <v>70</v>
      </c>
      <c r="AM111" t="s">
        <v>2027</v>
      </c>
    </row>
    <row r="112" spans="1:39" ht="15" hidden="1" thickTop="1" x14ac:dyDescent="0.35">
      <c r="A112" t="s">
        <v>2502</v>
      </c>
      <c r="B112" t="s">
        <v>2482</v>
      </c>
      <c r="C112" t="s">
        <v>66</v>
      </c>
      <c r="D112" t="s">
        <v>2483</v>
      </c>
      <c r="E112" t="s">
        <v>559</v>
      </c>
      <c r="F112">
        <v>1</v>
      </c>
      <c r="G112" t="s">
        <v>2050</v>
      </c>
      <c r="H112" t="s">
        <v>2051</v>
      </c>
      <c r="I112" t="s">
        <v>53</v>
      </c>
      <c r="J112" t="s">
        <v>67</v>
      </c>
      <c r="K112" t="s">
        <v>68</v>
      </c>
      <c r="L112" t="s">
        <v>2052</v>
      </c>
      <c r="M112" t="s">
        <v>2053</v>
      </c>
      <c r="N112">
        <v>0</v>
      </c>
      <c r="O112">
        <v>0</v>
      </c>
      <c r="P112">
        <v>0</v>
      </c>
      <c r="Q112">
        <v>1440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198</v>
      </c>
      <c r="AH112" s="21" t="s">
        <v>3429</v>
      </c>
      <c r="AI112" s="21">
        <v>107.92500000000001</v>
      </c>
      <c r="AJ112" s="21">
        <v>100</v>
      </c>
      <c r="AK112" s="21" t="s">
        <v>2055</v>
      </c>
      <c r="AL112" t="s">
        <v>70</v>
      </c>
      <c r="AM112" t="s">
        <v>2028</v>
      </c>
    </row>
    <row r="113" spans="1:39" ht="15" hidden="1" thickTop="1" x14ac:dyDescent="0.35">
      <c r="A113" t="s">
        <v>2503</v>
      </c>
      <c r="B113" t="s">
        <v>2484</v>
      </c>
      <c r="C113" t="s">
        <v>102</v>
      </c>
      <c r="D113" t="s">
        <v>2485</v>
      </c>
      <c r="E113" t="s">
        <v>559</v>
      </c>
      <c r="F113">
        <v>1</v>
      </c>
      <c r="G113" t="s">
        <v>2050</v>
      </c>
      <c r="H113" t="s">
        <v>2051</v>
      </c>
      <c r="I113" t="s">
        <v>53</v>
      </c>
      <c r="J113" t="s">
        <v>67</v>
      </c>
      <c r="K113" t="s">
        <v>68</v>
      </c>
      <c r="L113" t="s">
        <v>2052</v>
      </c>
      <c r="M113" t="s">
        <v>2053</v>
      </c>
      <c r="N113">
        <v>0</v>
      </c>
      <c r="O113">
        <v>0</v>
      </c>
      <c r="P113">
        <v>0</v>
      </c>
      <c r="Q113">
        <v>1440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199</v>
      </c>
      <c r="AH113" s="21" t="s">
        <v>3429</v>
      </c>
      <c r="AI113" s="21">
        <v>107.92500000000001</v>
      </c>
      <c r="AJ113" s="21">
        <v>100</v>
      </c>
      <c r="AK113" s="21" t="s">
        <v>2054</v>
      </c>
      <c r="AL113" t="s">
        <v>70</v>
      </c>
      <c r="AM113" t="s">
        <v>2027</v>
      </c>
    </row>
    <row r="114" spans="1:39" ht="15" hidden="1" thickTop="1" x14ac:dyDescent="0.35">
      <c r="A114" t="s">
        <v>2506</v>
      </c>
      <c r="B114" t="s">
        <v>2486</v>
      </c>
      <c r="C114" t="s">
        <v>92</v>
      </c>
      <c r="D114" t="s">
        <v>2487</v>
      </c>
      <c r="E114" t="s">
        <v>559</v>
      </c>
      <c r="F114">
        <v>1</v>
      </c>
      <c r="G114" t="s">
        <v>2050</v>
      </c>
      <c r="H114" t="s">
        <v>2051</v>
      </c>
      <c r="I114" t="s">
        <v>53</v>
      </c>
      <c r="J114" t="s">
        <v>67</v>
      </c>
      <c r="K114" t="s">
        <v>68</v>
      </c>
      <c r="L114" t="s">
        <v>2052</v>
      </c>
      <c r="M114" t="s">
        <v>2053</v>
      </c>
      <c r="N114">
        <v>0</v>
      </c>
      <c r="O114">
        <v>0</v>
      </c>
      <c r="P114">
        <v>0</v>
      </c>
      <c r="Q114">
        <v>1440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200</v>
      </c>
      <c r="AH114" s="21" t="s">
        <v>3424</v>
      </c>
      <c r="AI114" s="21">
        <v>107.92500000000001</v>
      </c>
      <c r="AJ114" s="21">
        <v>100</v>
      </c>
      <c r="AK114" s="21" t="s">
        <v>2054</v>
      </c>
      <c r="AL114" t="s">
        <v>70</v>
      </c>
      <c r="AM114" t="s">
        <v>2028</v>
      </c>
    </row>
    <row r="115" spans="1:39" ht="15" hidden="1" thickTop="1" x14ac:dyDescent="0.35">
      <c r="A115" t="s">
        <v>2509</v>
      </c>
      <c r="B115" t="s">
        <v>2488</v>
      </c>
      <c r="C115" t="s">
        <v>76</v>
      </c>
      <c r="D115" t="s">
        <v>2489</v>
      </c>
      <c r="E115" t="s">
        <v>119</v>
      </c>
      <c r="F115">
        <v>1</v>
      </c>
      <c r="G115" t="s">
        <v>2050</v>
      </c>
      <c r="H115" t="s">
        <v>2051</v>
      </c>
      <c r="I115" t="s">
        <v>53</v>
      </c>
      <c r="J115" t="s">
        <v>67</v>
      </c>
      <c r="K115" t="s">
        <v>68</v>
      </c>
      <c r="L115" t="s">
        <v>2052</v>
      </c>
      <c r="M115" t="s">
        <v>2053</v>
      </c>
      <c r="N115">
        <v>0</v>
      </c>
      <c r="O115">
        <v>0</v>
      </c>
      <c r="P115">
        <v>0</v>
      </c>
      <c r="Q115">
        <v>1440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201</v>
      </c>
      <c r="AH115" s="21" t="s">
        <v>3429</v>
      </c>
      <c r="AI115" s="21">
        <v>107.92500000000001</v>
      </c>
      <c r="AJ115" s="21">
        <v>100</v>
      </c>
      <c r="AK115" s="21" t="s">
        <v>2054</v>
      </c>
      <c r="AL115" t="s">
        <v>70</v>
      </c>
      <c r="AM115" t="s">
        <v>2029</v>
      </c>
    </row>
    <row r="116" spans="1:39" ht="15" hidden="1" thickTop="1" x14ac:dyDescent="0.35">
      <c r="A116" t="s">
        <v>2510</v>
      </c>
      <c r="B116" t="s">
        <v>2490</v>
      </c>
      <c r="C116" t="s">
        <v>3376</v>
      </c>
      <c r="D116" t="s">
        <v>2491</v>
      </c>
      <c r="E116" t="s">
        <v>559</v>
      </c>
      <c r="F116">
        <v>1</v>
      </c>
      <c r="G116" t="s">
        <v>2050</v>
      </c>
      <c r="H116" t="s">
        <v>2051</v>
      </c>
      <c r="I116" t="s">
        <v>53</v>
      </c>
      <c r="J116" t="s">
        <v>67</v>
      </c>
      <c r="K116" t="s">
        <v>68</v>
      </c>
      <c r="L116" t="s">
        <v>2052</v>
      </c>
      <c r="M116" t="s">
        <v>2053</v>
      </c>
      <c r="N116">
        <v>0</v>
      </c>
      <c r="O116">
        <v>0</v>
      </c>
      <c r="P116">
        <v>0</v>
      </c>
      <c r="Q116">
        <v>1440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202</v>
      </c>
      <c r="AH116" s="21" t="s">
        <v>3424</v>
      </c>
      <c r="AI116" s="21">
        <v>107.92500000000001</v>
      </c>
      <c r="AJ116" s="21">
        <v>100</v>
      </c>
      <c r="AK116" s="21" t="s">
        <v>2054</v>
      </c>
      <c r="AL116" t="s">
        <v>70</v>
      </c>
      <c r="AM116" t="s">
        <v>2030</v>
      </c>
    </row>
    <row r="117" spans="1:39" ht="15" hidden="1" thickTop="1" x14ac:dyDescent="0.35">
      <c r="A117" t="s">
        <v>2522</v>
      </c>
      <c r="B117" t="s">
        <v>2512</v>
      </c>
      <c r="C117" t="s">
        <v>76</v>
      </c>
      <c r="D117" t="s">
        <v>2513</v>
      </c>
      <c r="E117" t="s">
        <v>559</v>
      </c>
      <c r="F117">
        <v>2</v>
      </c>
      <c r="G117" t="s">
        <v>2050</v>
      </c>
      <c r="H117" t="s">
        <v>2051</v>
      </c>
      <c r="I117" t="s">
        <v>53</v>
      </c>
      <c r="J117" t="s">
        <v>67</v>
      </c>
      <c r="K117" t="s">
        <v>68</v>
      </c>
      <c r="L117" t="s">
        <v>2052</v>
      </c>
      <c r="M117" t="s">
        <v>2064</v>
      </c>
      <c r="N117">
        <v>0</v>
      </c>
      <c r="O117">
        <v>0</v>
      </c>
      <c r="P117">
        <v>0</v>
      </c>
      <c r="Q117">
        <v>900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204</v>
      </c>
      <c r="AH117" s="21" t="s">
        <v>3424</v>
      </c>
      <c r="AI117" s="21">
        <v>67.5</v>
      </c>
      <c r="AJ117" s="21">
        <v>100</v>
      </c>
      <c r="AK117" s="21" t="s">
        <v>2055</v>
      </c>
      <c r="AL117" t="s">
        <v>70</v>
      </c>
      <c r="AM117" t="s">
        <v>2028</v>
      </c>
    </row>
    <row r="118" spans="1:39" ht="15" hidden="1" thickTop="1" x14ac:dyDescent="0.35">
      <c r="A118" t="s">
        <v>2525</v>
      </c>
      <c r="B118" t="s">
        <v>2514</v>
      </c>
      <c r="C118" t="s">
        <v>117</v>
      </c>
      <c r="D118" t="s">
        <v>2515</v>
      </c>
      <c r="E118" t="s">
        <v>559</v>
      </c>
      <c r="F118">
        <v>1</v>
      </c>
      <c r="G118" t="s">
        <v>2050</v>
      </c>
      <c r="H118" t="s">
        <v>2051</v>
      </c>
      <c r="I118" t="s">
        <v>53</v>
      </c>
      <c r="J118" t="s">
        <v>67</v>
      </c>
      <c r="K118" t="s">
        <v>68</v>
      </c>
      <c r="L118" t="s">
        <v>2052</v>
      </c>
      <c r="M118" t="s">
        <v>2053</v>
      </c>
      <c r="N118">
        <v>0</v>
      </c>
      <c r="O118">
        <v>0</v>
      </c>
      <c r="P118">
        <v>0</v>
      </c>
      <c r="Q118">
        <v>1440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205</v>
      </c>
      <c r="AH118" s="21" t="s">
        <v>3424</v>
      </c>
      <c r="AI118" s="21">
        <v>107.92500000000001</v>
      </c>
      <c r="AJ118" s="21">
        <v>100</v>
      </c>
      <c r="AK118" s="21" t="s">
        <v>2054</v>
      </c>
      <c r="AL118" t="s">
        <v>70</v>
      </c>
      <c r="AM118" t="s">
        <v>2029</v>
      </c>
    </row>
    <row r="119" spans="1:39" ht="15" hidden="1" thickTop="1" x14ac:dyDescent="0.35">
      <c r="A119" t="s">
        <v>2526</v>
      </c>
      <c r="B119" t="s">
        <v>2516</v>
      </c>
      <c r="C119" t="s">
        <v>111</v>
      </c>
      <c r="D119" t="s">
        <v>2517</v>
      </c>
      <c r="E119" t="s">
        <v>112</v>
      </c>
      <c r="F119">
        <v>1</v>
      </c>
      <c r="G119" t="s">
        <v>2050</v>
      </c>
      <c r="H119" t="s">
        <v>2051</v>
      </c>
      <c r="I119" t="s">
        <v>53</v>
      </c>
      <c r="J119" t="s">
        <v>113</v>
      </c>
      <c r="K119" t="s">
        <v>68</v>
      </c>
      <c r="L119" t="s">
        <v>2052</v>
      </c>
      <c r="M119" t="s">
        <v>2053</v>
      </c>
      <c r="N119">
        <v>0</v>
      </c>
      <c r="O119">
        <v>0</v>
      </c>
      <c r="P119">
        <v>0</v>
      </c>
      <c r="Q119">
        <v>1440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206</v>
      </c>
      <c r="AH119" s="21" t="s">
        <v>3430</v>
      </c>
      <c r="AI119" s="21">
        <v>107.92500000000001</v>
      </c>
      <c r="AJ119" s="21">
        <v>100</v>
      </c>
      <c r="AK119" s="21" t="s">
        <v>2054</v>
      </c>
      <c r="AL119" t="s">
        <v>115</v>
      </c>
      <c r="AM119" t="s">
        <v>2027</v>
      </c>
    </row>
    <row r="120" spans="1:39" ht="15" hidden="1" thickTop="1" x14ac:dyDescent="0.35">
      <c r="A120" t="s">
        <v>2534</v>
      </c>
      <c r="B120" t="s">
        <v>2523</v>
      </c>
      <c r="C120" t="s">
        <v>102</v>
      </c>
      <c r="D120" t="s">
        <v>2524</v>
      </c>
      <c r="E120" t="s">
        <v>559</v>
      </c>
      <c r="F120">
        <v>1</v>
      </c>
      <c r="G120" t="s">
        <v>2050</v>
      </c>
      <c r="H120" t="s">
        <v>2051</v>
      </c>
      <c r="I120" t="s">
        <v>53</v>
      </c>
      <c r="J120" t="s">
        <v>67</v>
      </c>
      <c r="K120" t="s">
        <v>68</v>
      </c>
      <c r="L120" t="s">
        <v>2052</v>
      </c>
      <c r="M120" t="s">
        <v>2053</v>
      </c>
      <c r="N120">
        <v>0</v>
      </c>
      <c r="O120">
        <v>0</v>
      </c>
      <c r="P120">
        <v>0</v>
      </c>
      <c r="Q120">
        <v>1440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t="s">
        <v>207</v>
      </c>
      <c r="AH120" s="21" t="s">
        <v>3424</v>
      </c>
      <c r="AI120" s="21">
        <v>107.92500000000001</v>
      </c>
      <c r="AJ120" s="21">
        <v>100</v>
      </c>
      <c r="AK120" s="21" t="s">
        <v>2054</v>
      </c>
      <c r="AL120" t="s">
        <v>70</v>
      </c>
      <c r="AM120" t="s">
        <v>2029</v>
      </c>
    </row>
    <row r="121" spans="1:39" ht="15" hidden="1" thickTop="1" x14ac:dyDescent="0.35">
      <c r="A121" t="s">
        <v>2544</v>
      </c>
      <c r="B121" t="s">
        <v>2527</v>
      </c>
      <c r="C121" t="s">
        <v>92</v>
      </c>
      <c r="D121" t="s">
        <v>2528</v>
      </c>
      <c r="E121" t="s">
        <v>119</v>
      </c>
      <c r="F121">
        <v>1</v>
      </c>
      <c r="G121" t="s">
        <v>2050</v>
      </c>
      <c r="H121" t="s">
        <v>2051</v>
      </c>
      <c r="I121" t="s">
        <v>53</v>
      </c>
      <c r="J121" t="s">
        <v>67</v>
      </c>
      <c r="K121" t="s">
        <v>68</v>
      </c>
      <c r="L121" t="s">
        <v>2052</v>
      </c>
      <c r="M121" t="s">
        <v>2053</v>
      </c>
      <c r="N121">
        <v>0</v>
      </c>
      <c r="O121">
        <v>0</v>
      </c>
      <c r="P121">
        <v>0</v>
      </c>
      <c r="Q121">
        <v>1440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208</v>
      </c>
      <c r="AH121" s="21" t="s">
        <v>3425</v>
      </c>
      <c r="AI121" s="21">
        <v>107.92500000000001</v>
      </c>
      <c r="AJ121" s="21">
        <v>100</v>
      </c>
      <c r="AK121" s="21" t="s">
        <v>2055</v>
      </c>
      <c r="AL121" t="s">
        <v>70</v>
      </c>
      <c r="AM121" t="s">
        <v>2030</v>
      </c>
    </row>
    <row r="122" spans="1:39" ht="15" hidden="1" thickTop="1" x14ac:dyDescent="0.35">
      <c r="A122" t="s">
        <v>2548</v>
      </c>
      <c r="B122" t="s">
        <v>2530</v>
      </c>
      <c r="C122" t="s">
        <v>76</v>
      </c>
      <c r="D122" t="s">
        <v>2531</v>
      </c>
      <c r="E122" t="s">
        <v>559</v>
      </c>
      <c r="F122">
        <v>2</v>
      </c>
      <c r="G122" t="s">
        <v>2050</v>
      </c>
      <c r="H122" t="s">
        <v>2051</v>
      </c>
      <c r="I122" t="s">
        <v>53</v>
      </c>
      <c r="J122" t="s">
        <v>67</v>
      </c>
      <c r="K122" t="s">
        <v>68</v>
      </c>
      <c r="L122" t="s">
        <v>2052</v>
      </c>
      <c r="M122" t="s">
        <v>2053</v>
      </c>
      <c r="N122">
        <v>0</v>
      </c>
      <c r="O122">
        <v>0</v>
      </c>
      <c r="P122">
        <v>0</v>
      </c>
      <c r="Q122">
        <v>1440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t="s">
        <v>209</v>
      </c>
      <c r="AH122" s="21" t="s">
        <v>3428</v>
      </c>
      <c r="AI122" s="21">
        <v>107.92500000000001</v>
      </c>
      <c r="AJ122" s="21">
        <v>100</v>
      </c>
      <c r="AK122" s="21" t="s">
        <v>2055</v>
      </c>
      <c r="AL122" t="s">
        <v>70</v>
      </c>
      <c r="AM122" t="s">
        <v>2029</v>
      </c>
    </row>
    <row r="123" spans="1:39" ht="15" hidden="1" thickTop="1" x14ac:dyDescent="0.35">
      <c r="A123" t="s">
        <v>2553</v>
      </c>
      <c r="B123" t="s">
        <v>2538</v>
      </c>
      <c r="C123" t="s">
        <v>3376</v>
      </c>
      <c r="D123" t="s">
        <v>2539</v>
      </c>
      <c r="E123" t="s">
        <v>559</v>
      </c>
      <c r="F123">
        <v>1</v>
      </c>
      <c r="G123" t="s">
        <v>2050</v>
      </c>
      <c r="H123" t="s">
        <v>2051</v>
      </c>
      <c r="I123" t="s">
        <v>53</v>
      </c>
      <c r="J123" t="s">
        <v>67</v>
      </c>
      <c r="K123" t="s">
        <v>68</v>
      </c>
      <c r="L123" t="s">
        <v>2052</v>
      </c>
      <c r="M123" t="s">
        <v>2053</v>
      </c>
      <c r="N123">
        <v>0</v>
      </c>
      <c r="O123">
        <v>0</v>
      </c>
      <c r="P123">
        <v>0</v>
      </c>
      <c r="Q123">
        <v>1440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211</v>
      </c>
      <c r="AH123" s="21" t="s">
        <v>3425</v>
      </c>
      <c r="AI123" s="21">
        <v>107.92500000000001</v>
      </c>
      <c r="AJ123" s="21">
        <v>100</v>
      </c>
      <c r="AK123" s="21" t="s">
        <v>2054</v>
      </c>
      <c r="AL123" t="s">
        <v>70</v>
      </c>
      <c r="AM123" t="s">
        <v>2029</v>
      </c>
    </row>
    <row r="124" spans="1:39" ht="15" hidden="1" thickTop="1" x14ac:dyDescent="0.35">
      <c r="A124" t="s">
        <v>2554</v>
      </c>
      <c r="B124" t="s">
        <v>2542</v>
      </c>
      <c r="C124" t="s">
        <v>3376</v>
      </c>
      <c r="D124" t="s">
        <v>2543</v>
      </c>
      <c r="E124" t="s">
        <v>559</v>
      </c>
      <c r="F124">
        <v>1</v>
      </c>
      <c r="G124" t="s">
        <v>2050</v>
      </c>
      <c r="H124" t="s">
        <v>2051</v>
      </c>
      <c r="I124" t="s">
        <v>53</v>
      </c>
      <c r="J124" t="s">
        <v>67</v>
      </c>
      <c r="K124" t="s">
        <v>68</v>
      </c>
      <c r="L124" t="s">
        <v>2052</v>
      </c>
      <c r="M124" t="s">
        <v>2053</v>
      </c>
      <c r="N124">
        <v>0</v>
      </c>
      <c r="O124">
        <v>0</v>
      </c>
      <c r="P124">
        <v>0</v>
      </c>
      <c r="Q124">
        <v>1440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212</v>
      </c>
      <c r="AH124" s="21" t="s">
        <v>3424</v>
      </c>
      <c r="AI124" s="21">
        <v>107.92500000000001</v>
      </c>
      <c r="AJ124" s="21">
        <v>100</v>
      </c>
      <c r="AK124" s="21" t="s">
        <v>2054</v>
      </c>
      <c r="AL124" t="s">
        <v>70</v>
      </c>
      <c r="AM124" t="s">
        <v>2029</v>
      </c>
    </row>
    <row r="125" spans="1:39" ht="15" hidden="1" thickTop="1" x14ac:dyDescent="0.35">
      <c r="A125" t="s">
        <v>2567</v>
      </c>
      <c r="B125" t="s">
        <v>2556</v>
      </c>
      <c r="C125" t="s">
        <v>76</v>
      </c>
      <c r="D125" t="s">
        <v>2557</v>
      </c>
      <c r="E125" t="s">
        <v>559</v>
      </c>
      <c r="F125">
        <v>1</v>
      </c>
      <c r="G125" t="s">
        <v>2050</v>
      </c>
      <c r="H125" t="s">
        <v>2051</v>
      </c>
      <c r="I125" t="s">
        <v>53</v>
      </c>
      <c r="J125" t="s">
        <v>67</v>
      </c>
      <c r="K125" t="s">
        <v>68</v>
      </c>
      <c r="L125" t="s">
        <v>2052</v>
      </c>
      <c r="M125" t="s">
        <v>2053</v>
      </c>
      <c r="N125">
        <v>0</v>
      </c>
      <c r="O125">
        <v>0</v>
      </c>
      <c r="P125">
        <v>0</v>
      </c>
      <c r="Q125">
        <v>1440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t="s">
        <v>213</v>
      </c>
      <c r="AH125" s="21" t="s">
        <v>3424</v>
      </c>
      <c r="AI125" s="21">
        <v>107.92500000000001</v>
      </c>
      <c r="AJ125" s="21">
        <v>100</v>
      </c>
      <c r="AK125" s="21" t="s">
        <v>2054</v>
      </c>
      <c r="AL125" t="s">
        <v>70</v>
      </c>
      <c r="AM125" t="s">
        <v>2028</v>
      </c>
    </row>
    <row r="126" spans="1:39" ht="15" hidden="1" thickTop="1" x14ac:dyDescent="0.35">
      <c r="A126" t="s">
        <v>2568</v>
      </c>
      <c r="B126" t="s">
        <v>2558</v>
      </c>
      <c r="C126" t="s">
        <v>117</v>
      </c>
      <c r="D126" t="s">
        <v>2559</v>
      </c>
      <c r="E126" t="s">
        <v>559</v>
      </c>
      <c r="F126">
        <v>1</v>
      </c>
      <c r="G126" t="s">
        <v>2050</v>
      </c>
      <c r="H126" t="s">
        <v>2051</v>
      </c>
      <c r="I126" t="s">
        <v>53</v>
      </c>
      <c r="J126" t="s">
        <v>67</v>
      </c>
      <c r="K126" t="s">
        <v>68</v>
      </c>
      <c r="L126" t="s">
        <v>2052</v>
      </c>
      <c r="M126" t="s">
        <v>2053</v>
      </c>
      <c r="N126">
        <v>0</v>
      </c>
      <c r="O126">
        <v>0</v>
      </c>
      <c r="P126">
        <v>0</v>
      </c>
      <c r="Q126">
        <v>1440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214</v>
      </c>
      <c r="AH126" s="21" t="s">
        <v>3424</v>
      </c>
      <c r="AI126" s="21">
        <v>107.92500000000001</v>
      </c>
      <c r="AJ126" s="21">
        <v>100</v>
      </c>
      <c r="AK126" s="21" t="s">
        <v>2054</v>
      </c>
      <c r="AL126" t="s">
        <v>70</v>
      </c>
      <c r="AM126" t="s">
        <v>2027</v>
      </c>
    </row>
    <row r="127" spans="1:39" ht="15" hidden="1" thickTop="1" x14ac:dyDescent="0.35">
      <c r="A127" t="s">
        <v>2576</v>
      </c>
      <c r="B127" t="s">
        <v>2569</v>
      </c>
      <c r="C127" t="s">
        <v>128</v>
      </c>
      <c r="D127" t="s">
        <v>2570</v>
      </c>
      <c r="E127" t="s">
        <v>112</v>
      </c>
      <c r="F127">
        <v>1</v>
      </c>
      <c r="G127" t="s">
        <v>2050</v>
      </c>
      <c r="H127" t="s">
        <v>2051</v>
      </c>
      <c r="I127" t="s">
        <v>53</v>
      </c>
      <c r="J127" t="s">
        <v>113</v>
      </c>
      <c r="K127" t="s">
        <v>68</v>
      </c>
      <c r="L127" t="s">
        <v>2052</v>
      </c>
      <c r="M127" t="s">
        <v>2053</v>
      </c>
      <c r="N127">
        <v>0</v>
      </c>
      <c r="O127">
        <v>0</v>
      </c>
      <c r="P127">
        <v>0</v>
      </c>
      <c r="Q127">
        <v>1440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215</v>
      </c>
      <c r="AH127" s="21" t="s">
        <v>3428</v>
      </c>
      <c r="AI127" s="21">
        <v>107.92500000000001</v>
      </c>
      <c r="AJ127" s="21">
        <v>100</v>
      </c>
      <c r="AK127" s="21" t="s">
        <v>2055</v>
      </c>
      <c r="AL127" t="s">
        <v>115</v>
      </c>
      <c r="AM127" t="s">
        <v>2029</v>
      </c>
    </row>
    <row r="128" spans="1:39" ht="15" hidden="1" thickTop="1" x14ac:dyDescent="0.35">
      <c r="A128" t="s">
        <v>2590</v>
      </c>
      <c r="B128" t="s">
        <v>2577</v>
      </c>
      <c r="C128" t="s">
        <v>565</v>
      </c>
      <c r="D128" t="s">
        <v>2578</v>
      </c>
      <c r="E128" t="s">
        <v>559</v>
      </c>
      <c r="F128">
        <v>2</v>
      </c>
      <c r="G128" t="s">
        <v>2050</v>
      </c>
      <c r="H128" t="s">
        <v>2051</v>
      </c>
      <c r="I128" t="s">
        <v>53</v>
      </c>
      <c r="J128" t="s">
        <v>427</v>
      </c>
      <c r="K128" t="s">
        <v>68</v>
      </c>
      <c r="L128" t="s">
        <v>2052</v>
      </c>
      <c r="M128" t="s">
        <v>2053</v>
      </c>
      <c r="N128">
        <v>0</v>
      </c>
      <c r="O128">
        <v>0</v>
      </c>
      <c r="P128">
        <v>0</v>
      </c>
      <c r="Q128">
        <v>1440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216</v>
      </c>
      <c r="AH128" s="21" t="s">
        <v>3428</v>
      </c>
      <c r="AI128" s="21">
        <v>107.92500000000001</v>
      </c>
      <c r="AJ128" s="21">
        <v>100</v>
      </c>
      <c r="AK128" s="21" t="s">
        <v>2054</v>
      </c>
      <c r="AL128" t="s">
        <v>70</v>
      </c>
      <c r="AM128" t="s">
        <v>2027</v>
      </c>
    </row>
    <row r="129" spans="1:39" ht="15" hidden="1" thickTop="1" x14ac:dyDescent="0.35">
      <c r="A129" t="s">
        <v>2597</v>
      </c>
      <c r="B129" t="s">
        <v>2580</v>
      </c>
      <c r="C129" t="s">
        <v>117</v>
      </c>
      <c r="D129" t="s">
        <v>2581</v>
      </c>
      <c r="E129" t="s">
        <v>559</v>
      </c>
      <c r="F129">
        <v>1</v>
      </c>
      <c r="G129" t="s">
        <v>2050</v>
      </c>
      <c r="H129" t="s">
        <v>2051</v>
      </c>
      <c r="I129" t="s">
        <v>53</v>
      </c>
      <c r="J129" t="s">
        <v>67</v>
      </c>
      <c r="K129" t="s">
        <v>68</v>
      </c>
      <c r="L129" t="s">
        <v>2052</v>
      </c>
      <c r="M129" t="s">
        <v>2053</v>
      </c>
      <c r="N129">
        <v>0</v>
      </c>
      <c r="O129">
        <v>0</v>
      </c>
      <c r="P129">
        <v>0</v>
      </c>
      <c r="Q129">
        <v>1440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217</v>
      </c>
      <c r="AH129" s="21" t="s">
        <v>3425</v>
      </c>
      <c r="AI129" s="21">
        <v>107.92500000000001</v>
      </c>
      <c r="AJ129" s="21">
        <v>100</v>
      </c>
      <c r="AK129" s="21" t="s">
        <v>2054</v>
      </c>
      <c r="AL129" t="s">
        <v>70</v>
      </c>
      <c r="AM129" t="s">
        <v>2031</v>
      </c>
    </row>
    <row r="130" spans="1:39" ht="15" hidden="1" thickTop="1" x14ac:dyDescent="0.35">
      <c r="A130" t="s">
        <v>2599</v>
      </c>
      <c r="B130" t="s">
        <v>2583</v>
      </c>
      <c r="C130" t="s">
        <v>76</v>
      </c>
      <c r="D130" t="s">
        <v>2584</v>
      </c>
      <c r="E130" t="s">
        <v>119</v>
      </c>
      <c r="F130">
        <v>1</v>
      </c>
      <c r="G130" t="s">
        <v>2050</v>
      </c>
      <c r="H130" t="s">
        <v>2051</v>
      </c>
      <c r="I130" t="s">
        <v>53</v>
      </c>
      <c r="J130" t="s">
        <v>67</v>
      </c>
      <c r="K130" t="s">
        <v>68</v>
      </c>
      <c r="L130" t="s">
        <v>2052</v>
      </c>
      <c r="M130" t="s">
        <v>2053</v>
      </c>
      <c r="N130">
        <v>0</v>
      </c>
      <c r="O130">
        <v>0</v>
      </c>
      <c r="P130">
        <v>0</v>
      </c>
      <c r="Q130">
        <v>1440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t="s">
        <v>218</v>
      </c>
      <c r="AH130" s="21" t="s">
        <v>3425</v>
      </c>
      <c r="AI130" s="21">
        <v>107.92500000000001</v>
      </c>
      <c r="AJ130" s="21">
        <v>100</v>
      </c>
      <c r="AK130" s="21" t="s">
        <v>2054</v>
      </c>
      <c r="AL130" t="s">
        <v>70</v>
      </c>
      <c r="AM130" t="s">
        <v>2031</v>
      </c>
    </row>
    <row r="131" spans="1:39" ht="15" hidden="1" thickTop="1" x14ac:dyDescent="0.35">
      <c r="A131" t="s">
        <v>2604</v>
      </c>
      <c r="B131" t="s">
        <v>2591</v>
      </c>
      <c r="C131" t="s">
        <v>71</v>
      </c>
      <c r="D131" t="s">
        <v>2592</v>
      </c>
      <c r="E131" t="s">
        <v>72</v>
      </c>
      <c r="F131">
        <v>1</v>
      </c>
      <c r="G131" t="s">
        <v>2050</v>
      </c>
      <c r="H131" t="s">
        <v>2051</v>
      </c>
      <c r="I131" t="s">
        <v>53</v>
      </c>
      <c r="J131" t="s">
        <v>73</v>
      </c>
      <c r="K131" t="s">
        <v>68</v>
      </c>
      <c r="L131" t="s">
        <v>2052</v>
      </c>
      <c r="M131" t="s">
        <v>2053</v>
      </c>
      <c r="N131">
        <v>0</v>
      </c>
      <c r="O131">
        <v>0</v>
      </c>
      <c r="P131">
        <v>0</v>
      </c>
      <c r="Q131">
        <v>1440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219</v>
      </c>
      <c r="AH131" s="21" t="s">
        <v>3428</v>
      </c>
      <c r="AI131" s="21">
        <v>107.92500000000001</v>
      </c>
      <c r="AJ131" s="21">
        <v>100</v>
      </c>
      <c r="AK131" s="21" t="s">
        <v>2054</v>
      </c>
      <c r="AL131" t="s">
        <v>75</v>
      </c>
      <c r="AM131" t="s">
        <v>2028</v>
      </c>
    </row>
    <row r="132" spans="1:39" ht="15" hidden="1" thickTop="1" x14ac:dyDescent="0.35">
      <c r="A132" t="s">
        <v>2613</v>
      </c>
      <c r="B132" t="s">
        <v>2593</v>
      </c>
      <c r="C132" t="s">
        <v>92</v>
      </c>
      <c r="D132" t="s">
        <v>2594</v>
      </c>
      <c r="E132" t="s">
        <v>119</v>
      </c>
      <c r="F132">
        <v>1</v>
      </c>
      <c r="G132" t="s">
        <v>2050</v>
      </c>
      <c r="H132" t="s">
        <v>2051</v>
      </c>
      <c r="I132" t="s">
        <v>53</v>
      </c>
      <c r="J132" t="s">
        <v>67</v>
      </c>
      <c r="K132" t="s">
        <v>68</v>
      </c>
      <c r="L132" t="s">
        <v>2052</v>
      </c>
      <c r="M132" t="s">
        <v>2053</v>
      </c>
      <c r="N132">
        <v>0</v>
      </c>
      <c r="O132">
        <v>0</v>
      </c>
      <c r="P132">
        <v>0</v>
      </c>
      <c r="Q132">
        <v>1440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220</v>
      </c>
      <c r="AH132" s="21" t="s">
        <v>3424</v>
      </c>
      <c r="AI132" s="21">
        <v>107.92500000000001</v>
      </c>
      <c r="AJ132" s="21">
        <v>100</v>
      </c>
      <c r="AK132" s="21" t="s">
        <v>2054</v>
      </c>
      <c r="AL132" t="s">
        <v>70</v>
      </c>
      <c r="AM132" t="s">
        <v>2029</v>
      </c>
    </row>
    <row r="133" spans="1:39" ht="15" hidden="1" thickTop="1" x14ac:dyDescent="0.35">
      <c r="A133" t="s">
        <v>2073</v>
      </c>
      <c r="B133" t="s">
        <v>2605</v>
      </c>
      <c r="C133" t="s">
        <v>102</v>
      </c>
      <c r="D133" t="s">
        <v>2606</v>
      </c>
      <c r="E133" t="s">
        <v>559</v>
      </c>
      <c r="F133">
        <v>1</v>
      </c>
      <c r="G133" t="s">
        <v>2050</v>
      </c>
      <c r="H133" t="s">
        <v>2051</v>
      </c>
      <c r="I133" t="s">
        <v>53</v>
      </c>
      <c r="J133" t="s">
        <v>67</v>
      </c>
      <c r="K133" t="s">
        <v>68</v>
      </c>
      <c r="L133" t="s">
        <v>2052</v>
      </c>
      <c r="M133" t="s">
        <v>2053</v>
      </c>
      <c r="N133">
        <v>0</v>
      </c>
      <c r="O133">
        <v>0</v>
      </c>
      <c r="P133">
        <v>0</v>
      </c>
      <c r="Q133">
        <v>1440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222</v>
      </c>
      <c r="AH133" s="21" t="s">
        <v>3424</v>
      </c>
      <c r="AI133" s="21">
        <v>107.92500000000001</v>
      </c>
      <c r="AJ133" s="21">
        <v>100</v>
      </c>
      <c r="AK133" s="21" t="s">
        <v>2054</v>
      </c>
      <c r="AL133" t="s">
        <v>70</v>
      </c>
      <c r="AM133" t="s">
        <v>2030</v>
      </c>
    </row>
    <row r="134" spans="1:39" ht="15" hidden="1" thickTop="1" x14ac:dyDescent="0.35">
      <c r="A134" t="s">
        <v>2074</v>
      </c>
      <c r="B134" t="s">
        <v>2608</v>
      </c>
      <c r="C134" t="s">
        <v>102</v>
      </c>
      <c r="D134" t="s">
        <v>2609</v>
      </c>
      <c r="E134" t="s">
        <v>559</v>
      </c>
      <c r="F134">
        <v>1</v>
      </c>
      <c r="G134" t="s">
        <v>2050</v>
      </c>
      <c r="H134" t="s">
        <v>2051</v>
      </c>
      <c r="I134" t="s">
        <v>53</v>
      </c>
      <c r="J134" t="s">
        <v>67</v>
      </c>
      <c r="K134" t="s">
        <v>68</v>
      </c>
      <c r="L134" t="s">
        <v>2052</v>
      </c>
      <c r="M134" t="s">
        <v>2053</v>
      </c>
      <c r="N134">
        <v>0</v>
      </c>
      <c r="O134">
        <v>0</v>
      </c>
      <c r="P134">
        <v>0</v>
      </c>
      <c r="Q134">
        <v>1440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223</v>
      </c>
      <c r="AH134" s="21" t="s">
        <v>3424</v>
      </c>
      <c r="AI134" s="21">
        <v>107.92500000000001</v>
      </c>
      <c r="AJ134" s="21">
        <v>100</v>
      </c>
      <c r="AK134" s="21" t="s">
        <v>2054</v>
      </c>
      <c r="AL134" t="s">
        <v>70</v>
      </c>
      <c r="AM134" t="s">
        <v>2028</v>
      </c>
    </row>
    <row r="135" spans="1:39" ht="15" hidden="1" thickTop="1" x14ac:dyDescent="0.35">
      <c r="A135" t="s">
        <v>2075</v>
      </c>
      <c r="B135" t="s">
        <v>2611</v>
      </c>
      <c r="C135" t="s">
        <v>117</v>
      </c>
      <c r="D135" t="s">
        <v>2612</v>
      </c>
      <c r="E135" t="s">
        <v>559</v>
      </c>
      <c r="F135">
        <v>1</v>
      </c>
      <c r="G135" t="s">
        <v>2050</v>
      </c>
      <c r="H135" t="s">
        <v>2051</v>
      </c>
      <c r="I135" t="s">
        <v>53</v>
      </c>
      <c r="J135" t="s">
        <v>67</v>
      </c>
      <c r="K135" t="s">
        <v>68</v>
      </c>
      <c r="L135" t="s">
        <v>2052</v>
      </c>
      <c r="M135" t="s">
        <v>2053</v>
      </c>
      <c r="N135">
        <v>0</v>
      </c>
      <c r="O135">
        <v>0</v>
      </c>
      <c r="P135">
        <v>0</v>
      </c>
      <c r="Q135">
        <v>1440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224</v>
      </c>
      <c r="AH135" s="21" t="s">
        <v>3424</v>
      </c>
      <c r="AI135" s="21">
        <v>107.92500000000001</v>
      </c>
      <c r="AJ135" s="21">
        <v>100</v>
      </c>
      <c r="AK135" s="21" t="s">
        <v>2054</v>
      </c>
      <c r="AL135" t="s">
        <v>70</v>
      </c>
      <c r="AM135" t="s">
        <v>2027</v>
      </c>
    </row>
    <row r="136" spans="1:39" ht="15" hidden="1" thickTop="1" x14ac:dyDescent="0.35">
      <c r="A136" t="s">
        <v>2076</v>
      </c>
      <c r="B136" t="s">
        <v>2617</v>
      </c>
      <c r="C136" t="s">
        <v>128</v>
      </c>
      <c r="D136" t="s">
        <v>2618</v>
      </c>
      <c r="E136" t="s">
        <v>112</v>
      </c>
      <c r="F136">
        <v>1</v>
      </c>
      <c r="G136" t="s">
        <v>2050</v>
      </c>
      <c r="H136" t="s">
        <v>2051</v>
      </c>
      <c r="I136" t="s">
        <v>53</v>
      </c>
      <c r="J136" t="s">
        <v>113</v>
      </c>
      <c r="K136" t="s">
        <v>68</v>
      </c>
      <c r="L136" t="s">
        <v>2052</v>
      </c>
      <c r="M136" t="s">
        <v>2619</v>
      </c>
      <c r="N136">
        <v>0</v>
      </c>
      <c r="O136">
        <v>0</v>
      </c>
      <c r="P136">
        <v>0</v>
      </c>
      <c r="Q136">
        <v>1140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225</v>
      </c>
      <c r="AH136" s="21" t="s">
        <v>3424</v>
      </c>
      <c r="AI136" s="21">
        <v>85.5</v>
      </c>
      <c r="AJ136" s="21">
        <v>100</v>
      </c>
      <c r="AK136" s="21" t="s">
        <v>2054</v>
      </c>
      <c r="AL136" t="s">
        <v>115</v>
      </c>
      <c r="AM136" t="s">
        <v>2027</v>
      </c>
    </row>
    <row r="137" spans="1:39" ht="15" hidden="1" thickTop="1" x14ac:dyDescent="0.35">
      <c r="A137" t="s">
        <v>2627</v>
      </c>
      <c r="B137" t="s">
        <v>2620</v>
      </c>
      <c r="C137" t="s">
        <v>66</v>
      </c>
      <c r="D137" t="s">
        <v>2621</v>
      </c>
      <c r="E137" t="s">
        <v>559</v>
      </c>
      <c r="F137">
        <v>1</v>
      </c>
      <c r="G137" t="s">
        <v>2050</v>
      </c>
      <c r="H137" t="s">
        <v>2051</v>
      </c>
      <c r="I137" t="s">
        <v>53</v>
      </c>
      <c r="J137" t="s">
        <v>67</v>
      </c>
      <c r="K137" t="s">
        <v>68</v>
      </c>
      <c r="L137" t="s">
        <v>2052</v>
      </c>
      <c r="M137" t="s">
        <v>2053</v>
      </c>
      <c r="N137">
        <v>1</v>
      </c>
      <c r="O137">
        <v>59</v>
      </c>
      <c r="P137">
        <v>4.0999999999999996</v>
      </c>
      <c r="Q137">
        <v>1440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59</v>
      </c>
      <c r="Z137">
        <v>4.0999999999999996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226</v>
      </c>
      <c r="AH137" s="21" t="s">
        <v>3424</v>
      </c>
      <c r="AI137" s="21">
        <v>107.92500000000001</v>
      </c>
      <c r="AJ137" s="21">
        <v>95.902777777777771</v>
      </c>
      <c r="AK137" s="21" t="s">
        <v>2055</v>
      </c>
      <c r="AL137" t="s">
        <v>70</v>
      </c>
      <c r="AM137" t="s">
        <v>2028</v>
      </c>
    </row>
    <row r="138" spans="1:39" ht="15" hidden="1" thickTop="1" x14ac:dyDescent="0.35">
      <c r="A138" t="s">
        <v>2631</v>
      </c>
      <c r="B138" t="s">
        <v>2628</v>
      </c>
      <c r="C138" t="s">
        <v>66</v>
      </c>
      <c r="D138" t="s">
        <v>2629</v>
      </c>
      <c r="E138" t="s">
        <v>559</v>
      </c>
      <c r="F138">
        <v>1</v>
      </c>
      <c r="G138" t="s">
        <v>2050</v>
      </c>
      <c r="H138" t="s">
        <v>2051</v>
      </c>
      <c r="I138" t="s">
        <v>53</v>
      </c>
      <c r="J138" t="s">
        <v>67</v>
      </c>
      <c r="K138" t="s">
        <v>68</v>
      </c>
      <c r="L138" t="s">
        <v>2052</v>
      </c>
      <c r="M138" t="s">
        <v>2064</v>
      </c>
      <c r="N138">
        <v>0</v>
      </c>
      <c r="O138">
        <v>0</v>
      </c>
      <c r="P138">
        <v>0</v>
      </c>
      <c r="Q138">
        <v>900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s">
        <v>227</v>
      </c>
      <c r="AH138" s="21" t="s">
        <v>3424</v>
      </c>
      <c r="AI138" s="21">
        <v>67.5</v>
      </c>
      <c r="AJ138" s="21">
        <v>100</v>
      </c>
      <c r="AK138" s="21" t="s">
        <v>2055</v>
      </c>
      <c r="AL138" t="s">
        <v>70</v>
      </c>
      <c r="AM138" t="s">
        <v>2027</v>
      </c>
    </row>
    <row r="139" spans="1:39" ht="15" hidden="1" thickTop="1" x14ac:dyDescent="0.35">
      <c r="A139" t="s">
        <v>2638</v>
      </c>
      <c r="B139" t="s">
        <v>2632</v>
      </c>
      <c r="C139" t="s">
        <v>100</v>
      </c>
      <c r="D139" t="s">
        <v>2633</v>
      </c>
      <c r="E139" t="s">
        <v>559</v>
      </c>
      <c r="F139">
        <v>1</v>
      </c>
      <c r="G139" t="s">
        <v>2050</v>
      </c>
      <c r="H139" t="s">
        <v>2051</v>
      </c>
      <c r="I139" t="s">
        <v>53</v>
      </c>
      <c r="J139" t="s">
        <v>67</v>
      </c>
      <c r="K139" t="s">
        <v>68</v>
      </c>
      <c r="L139" t="s">
        <v>2052</v>
      </c>
      <c r="M139" t="s">
        <v>2053</v>
      </c>
      <c r="N139">
        <v>0</v>
      </c>
      <c r="O139">
        <v>0</v>
      </c>
      <c r="P139">
        <v>0</v>
      </c>
      <c r="Q139">
        <v>1440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228</v>
      </c>
      <c r="AH139" s="21" t="s">
        <v>3424</v>
      </c>
      <c r="AI139" s="21">
        <v>107.92500000000001</v>
      </c>
      <c r="AJ139" s="21">
        <v>100</v>
      </c>
      <c r="AK139" s="21" t="s">
        <v>2054</v>
      </c>
      <c r="AL139" t="s">
        <v>70</v>
      </c>
      <c r="AM139" t="s">
        <v>2031</v>
      </c>
    </row>
    <row r="140" spans="1:39" ht="15" hidden="1" thickTop="1" x14ac:dyDescent="0.35">
      <c r="A140" t="s">
        <v>2639</v>
      </c>
      <c r="B140" t="s">
        <v>2634</v>
      </c>
      <c r="C140" t="s">
        <v>78</v>
      </c>
      <c r="D140" t="s">
        <v>2635</v>
      </c>
      <c r="E140" t="s">
        <v>559</v>
      </c>
      <c r="F140">
        <v>1</v>
      </c>
      <c r="G140" t="s">
        <v>2050</v>
      </c>
      <c r="H140" t="s">
        <v>2051</v>
      </c>
      <c r="I140" t="s">
        <v>53</v>
      </c>
      <c r="J140" t="s">
        <v>67</v>
      </c>
      <c r="K140" t="s">
        <v>68</v>
      </c>
      <c r="L140" t="s">
        <v>2052</v>
      </c>
      <c r="M140" t="s">
        <v>2053</v>
      </c>
      <c r="N140">
        <v>0</v>
      </c>
      <c r="O140">
        <v>0</v>
      </c>
      <c r="P140">
        <v>0</v>
      </c>
      <c r="Q140">
        <v>1440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229</v>
      </c>
      <c r="AH140" s="21" t="s">
        <v>3424</v>
      </c>
      <c r="AI140" s="21">
        <v>107.92500000000001</v>
      </c>
      <c r="AJ140" s="21">
        <v>100</v>
      </c>
      <c r="AK140" s="21" t="s">
        <v>2055</v>
      </c>
      <c r="AL140" t="s">
        <v>70</v>
      </c>
      <c r="AM140" t="s">
        <v>2031</v>
      </c>
    </row>
    <row r="141" spans="1:39" ht="15" hidden="1" thickTop="1" x14ac:dyDescent="0.35">
      <c r="A141" t="s">
        <v>2643</v>
      </c>
      <c r="B141" t="s">
        <v>2640</v>
      </c>
      <c r="C141" t="s">
        <v>3376</v>
      </c>
      <c r="D141" t="s">
        <v>2641</v>
      </c>
      <c r="E141" t="s">
        <v>559</v>
      </c>
      <c r="F141">
        <v>1</v>
      </c>
      <c r="G141" t="s">
        <v>2050</v>
      </c>
      <c r="H141" t="s">
        <v>2051</v>
      </c>
      <c r="I141" t="s">
        <v>53</v>
      </c>
      <c r="J141" t="s">
        <v>67</v>
      </c>
      <c r="K141" t="s">
        <v>68</v>
      </c>
      <c r="L141" t="s">
        <v>2052</v>
      </c>
      <c r="M141" t="s">
        <v>2053</v>
      </c>
      <c r="N141">
        <v>0</v>
      </c>
      <c r="O141">
        <v>0</v>
      </c>
      <c r="P141">
        <v>0</v>
      </c>
      <c r="Q141">
        <v>1440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t="s">
        <v>230</v>
      </c>
      <c r="AH141" s="21" t="s">
        <v>3424</v>
      </c>
      <c r="AI141" s="21">
        <v>107.92500000000001</v>
      </c>
      <c r="AJ141" s="21">
        <v>100</v>
      </c>
      <c r="AK141" s="21" t="s">
        <v>2055</v>
      </c>
      <c r="AL141" t="s">
        <v>70</v>
      </c>
      <c r="AM141" t="s">
        <v>2031</v>
      </c>
    </row>
    <row r="142" spans="1:39" ht="15" hidden="1" thickTop="1" x14ac:dyDescent="0.35">
      <c r="A142" t="s">
        <v>2647</v>
      </c>
      <c r="B142" t="s">
        <v>2644</v>
      </c>
      <c r="C142" t="s">
        <v>3376</v>
      </c>
      <c r="D142" t="s">
        <v>2645</v>
      </c>
      <c r="E142" t="s">
        <v>559</v>
      </c>
      <c r="F142">
        <v>1</v>
      </c>
      <c r="G142" t="s">
        <v>2050</v>
      </c>
      <c r="H142" t="s">
        <v>2051</v>
      </c>
      <c r="I142" t="s">
        <v>53</v>
      </c>
      <c r="J142" t="s">
        <v>67</v>
      </c>
      <c r="K142" t="s">
        <v>68</v>
      </c>
      <c r="L142" t="s">
        <v>2052</v>
      </c>
      <c r="M142" t="s">
        <v>2053</v>
      </c>
      <c r="N142">
        <v>0</v>
      </c>
      <c r="O142">
        <v>0</v>
      </c>
      <c r="P142">
        <v>0</v>
      </c>
      <c r="Q142">
        <v>1440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231</v>
      </c>
      <c r="AH142" s="21" t="s">
        <v>3424</v>
      </c>
      <c r="AI142" s="21">
        <v>107.92500000000001</v>
      </c>
      <c r="AJ142" s="21">
        <v>100</v>
      </c>
      <c r="AK142" s="21" t="s">
        <v>2054</v>
      </c>
      <c r="AL142" t="s">
        <v>70</v>
      </c>
      <c r="AM142" t="s">
        <v>2027</v>
      </c>
    </row>
    <row r="143" spans="1:39" ht="15" hidden="1" thickTop="1" x14ac:dyDescent="0.35">
      <c r="A143" t="s">
        <v>2508</v>
      </c>
      <c r="B143" t="s">
        <v>2648</v>
      </c>
      <c r="C143" t="s">
        <v>102</v>
      </c>
      <c r="D143" t="s">
        <v>2649</v>
      </c>
      <c r="E143" t="s">
        <v>559</v>
      </c>
      <c r="F143">
        <v>1</v>
      </c>
      <c r="G143" t="s">
        <v>2050</v>
      </c>
      <c r="H143" t="s">
        <v>2051</v>
      </c>
      <c r="I143" t="s">
        <v>53</v>
      </c>
      <c r="J143" t="s">
        <v>67</v>
      </c>
      <c r="K143" t="s">
        <v>68</v>
      </c>
      <c r="L143" t="s">
        <v>2052</v>
      </c>
      <c r="M143" t="s">
        <v>2053</v>
      </c>
      <c r="N143">
        <v>0</v>
      </c>
      <c r="O143">
        <v>0</v>
      </c>
      <c r="P143">
        <v>0</v>
      </c>
      <c r="Q143">
        <v>1440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232</v>
      </c>
      <c r="AH143" s="21" t="s">
        <v>3424</v>
      </c>
      <c r="AI143" s="21">
        <v>107.92500000000001</v>
      </c>
      <c r="AJ143" s="21">
        <v>100</v>
      </c>
      <c r="AK143" s="21" t="s">
        <v>2054</v>
      </c>
      <c r="AL143" t="s">
        <v>70</v>
      </c>
      <c r="AM143" t="s">
        <v>2030</v>
      </c>
    </row>
    <row r="144" spans="1:39" ht="15" hidden="1" thickTop="1" x14ac:dyDescent="0.35">
      <c r="A144" t="s">
        <v>2660</v>
      </c>
      <c r="B144" t="s">
        <v>2650</v>
      </c>
      <c r="C144" t="s">
        <v>92</v>
      </c>
      <c r="D144" t="s">
        <v>2651</v>
      </c>
      <c r="E144" t="s">
        <v>559</v>
      </c>
      <c r="F144">
        <v>1</v>
      </c>
      <c r="G144" t="s">
        <v>2050</v>
      </c>
      <c r="H144" t="s">
        <v>2051</v>
      </c>
      <c r="I144" t="s">
        <v>53</v>
      </c>
      <c r="J144" t="s">
        <v>67</v>
      </c>
      <c r="K144" t="s">
        <v>68</v>
      </c>
      <c r="L144" t="s">
        <v>2052</v>
      </c>
      <c r="M144" t="s">
        <v>2053</v>
      </c>
      <c r="N144">
        <v>0</v>
      </c>
      <c r="O144">
        <v>0</v>
      </c>
      <c r="P144">
        <v>0</v>
      </c>
      <c r="Q144">
        <v>1440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t="s">
        <v>233</v>
      </c>
      <c r="AH144" s="21" t="s">
        <v>3424</v>
      </c>
      <c r="AI144" s="21">
        <v>107.92500000000001</v>
      </c>
      <c r="AJ144" s="21">
        <v>100</v>
      </c>
      <c r="AK144" s="21" t="s">
        <v>2054</v>
      </c>
      <c r="AL144" t="s">
        <v>70</v>
      </c>
      <c r="AM144" t="s">
        <v>2028</v>
      </c>
    </row>
    <row r="145" spans="1:39" ht="15" hidden="1" thickTop="1" x14ac:dyDescent="0.35">
      <c r="A145" t="s">
        <v>2661</v>
      </c>
      <c r="B145" t="s">
        <v>2652</v>
      </c>
      <c r="C145" t="s">
        <v>76</v>
      </c>
      <c r="D145" t="s">
        <v>2653</v>
      </c>
      <c r="E145" t="s">
        <v>119</v>
      </c>
      <c r="F145">
        <v>1</v>
      </c>
      <c r="G145" t="s">
        <v>2050</v>
      </c>
      <c r="H145" t="s">
        <v>2051</v>
      </c>
      <c r="I145" t="s">
        <v>53</v>
      </c>
      <c r="J145" t="s">
        <v>67</v>
      </c>
      <c r="K145" t="s">
        <v>68</v>
      </c>
      <c r="L145" t="s">
        <v>2052</v>
      </c>
      <c r="M145" t="s">
        <v>2053</v>
      </c>
      <c r="N145">
        <v>0</v>
      </c>
      <c r="O145">
        <v>0</v>
      </c>
      <c r="P145">
        <v>0</v>
      </c>
      <c r="Q145">
        <v>1440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234</v>
      </c>
      <c r="AH145" s="21" t="s">
        <v>3424</v>
      </c>
      <c r="AI145" s="21">
        <v>107.92500000000001</v>
      </c>
      <c r="AJ145" s="21">
        <v>100</v>
      </c>
      <c r="AK145" s="21" t="s">
        <v>2054</v>
      </c>
      <c r="AL145" t="s">
        <v>70</v>
      </c>
      <c r="AM145" t="s">
        <v>2028</v>
      </c>
    </row>
    <row r="146" spans="1:39" ht="15" hidden="1" thickTop="1" x14ac:dyDescent="0.35">
      <c r="A146" t="s">
        <v>2662</v>
      </c>
      <c r="B146" t="s">
        <v>2654</v>
      </c>
      <c r="C146" t="s">
        <v>3376</v>
      </c>
      <c r="D146" t="s">
        <v>2655</v>
      </c>
      <c r="E146" t="s">
        <v>559</v>
      </c>
      <c r="F146">
        <v>1</v>
      </c>
      <c r="G146" t="s">
        <v>2050</v>
      </c>
      <c r="H146" t="s">
        <v>2051</v>
      </c>
      <c r="I146" t="s">
        <v>53</v>
      </c>
      <c r="J146" t="s">
        <v>67</v>
      </c>
      <c r="K146" t="s">
        <v>68</v>
      </c>
      <c r="L146" t="s">
        <v>2052</v>
      </c>
      <c r="M146" t="s">
        <v>2053</v>
      </c>
      <c r="N146">
        <v>0</v>
      </c>
      <c r="O146">
        <v>0</v>
      </c>
      <c r="P146">
        <v>0</v>
      </c>
      <c r="Q146">
        <v>1440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235</v>
      </c>
      <c r="AH146" s="21" t="s">
        <v>3424</v>
      </c>
      <c r="AI146" s="21">
        <v>107.92500000000001</v>
      </c>
      <c r="AJ146" s="21">
        <v>100</v>
      </c>
      <c r="AK146" s="21" t="s">
        <v>2054</v>
      </c>
      <c r="AL146" t="s">
        <v>70</v>
      </c>
      <c r="AM146" t="s">
        <v>2028</v>
      </c>
    </row>
    <row r="147" spans="1:39" ht="15" hidden="1" thickTop="1" x14ac:dyDescent="0.35">
      <c r="A147" t="s">
        <v>2663</v>
      </c>
      <c r="B147" t="s">
        <v>2656</v>
      </c>
      <c r="C147" t="s">
        <v>3376</v>
      </c>
      <c r="D147" t="s">
        <v>2657</v>
      </c>
      <c r="E147" t="s">
        <v>559</v>
      </c>
      <c r="F147">
        <v>1</v>
      </c>
      <c r="G147" t="s">
        <v>2050</v>
      </c>
      <c r="H147" t="s">
        <v>2051</v>
      </c>
      <c r="I147" t="s">
        <v>53</v>
      </c>
      <c r="J147" t="s">
        <v>67</v>
      </c>
      <c r="K147" t="s">
        <v>68</v>
      </c>
      <c r="L147" t="s">
        <v>2052</v>
      </c>
      <c r="M147" t="s">
        <v>2053</v>
      </c>
      <c r="N147">
        <v>0</v>
      </c>
      <c r="O147">
        <v>0</v>
      </c>
      <c r="P147">
        <v>0</v>
      </c>
      <c r="Q147">
        <v>1440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236</v>
      </c>
      <c r="AH147" s="21" t="s">
        <v>3425</v>
      </c>
      <c r="AI147" s="21">
        <v>107.92500000000001</v>
      </c>
      <c r="AJ147" s="21">
        <v>100</v>
      </c>
      <c r="AK147" s="21" t="s">
        <v>2055</v>
      </c>
      <c r="AL147" t="s">
        <v>70</v>
      </c>
      <c r="AM147" t="s">
        <v>2030</v>
      </c>
    </row>
    <row r="148" spans="1:39" ht="15" hidden="1" thickTop="1" x14ac:dyDescent="0.35">
      <c r="A148" t="s">
        <v>2511</v>
      </c>
      <c r="B148" t="s">
        <v>2664</v>
      </c>
      <c r="C148" t="s">
        <v>820</v>
      </c>
      <c r="D148" t="s">
        <v>2665</v>
      </c>
      <c r="E148" t="s">
        <v>72</v>
      </c>
      <c r="F148">
        <v>1</v>
      </c>
      <c r="G148" t="s">
        <v>2050</v>
      </c>
      <c r="H148" t="s">
        <v>2051</v>
      </c>
      <c r="I148" t="s">
        <v>53</v>
      </c>
      <c r="J148" t="s">
        <v>424</v>
      </c>
      <c r="K148" t="s">
        <v>68</v>
      </c>
      <c r="L148" t="s">
        <v>2052</v>
      </c>
      <c r="M148" t="s">
        <v>2064</v>
      </c>
      <c r="N148">
        <v>0</v>
      </c>
      <c r="O148">
        <v>0</v>
      </c>
      <c r="P148">
        <v>0</v>
      </c>
      <c r="Q148">
        <v>900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238</v>
      </c>
      <c r="AH148" s="21" t="s">
        <v>3425</v>
      </c>
      <c r="AI148" s="21">
        <v>67.5</v>
      </c>
      <c r="AJ148" s="21">
        <v>100</v>
      </c>
      <c r="AK148" s="21" t="s">
        <v>2054</v>
      </c>
      <c r="AL148" t="s">
        <v>75</v>
      </c>
      <c r="AM148" t="s">
        <v>2027</v>
      </c>
    </row>
    <row r="149" spans="1:39" ht="15" hidden="1" thickTop="1" x14ac:dyDescent="0.35">
      <c r="A149" t="s">
        <v>2673</v>
      </c>
      <c r="B149" t="s">
        <v>2669</v>
      </c>
      <c r="C149" t="s">
        <v>100</v>
      </c>
      <c r="D149" t="s">
        <v>2670</v>
      </c>
      <c r="E149" t="s">
        <v>119</v>
      </c>
      <c r="F149">
        <v>1</v>
      </c>
      <c r="G149" t="s">
        <v>2050</v>
      </c>
      <c r="H149" t="s">
        <v>2051</v>
      </c>
      <c r="I149" t="s">
        <v>53</v>
      </c>
      <c r="J149" t="s">
        <v>67</v>
      </c>
      <c r="K149" t="s">
        <v>68</v>
      </c>
      <c r="L149" t="s">
        <v>3397</v>
      </c>
      <c r="M149" t="s">
        <v>2317</v>
      </c>
      <c r="N149">
        <v>0</v>
      </c>
      <c r="O149">
        <v>0</v>
      </c>
      <c r="P149">
        <v>0</v>
      </c>
      <c r="Q149">
        <v>540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239</v>
      </c>
      <c r="AH149" s="21" t="s">
        <v>3429</v>
      </c>
      <c r="AI149" s="21">
        <v>40.500000000000007</v>
      </c>
      <c r="AJ149" s="21">
        <v>100</v>
      </c>
      <c r="AK149" s="21" t="s">
        <v>2054</v>
      </c>
      <c r="AL149" t="s">
        <v>70</v>
      </c>
      <c r="AM149" t="s">
        <v>2027</v>
      </c>
    </row>
    <row r="150" spans="1:39" ht="15" hidden="1" thickTop="1" x14ac:dyDescent="0.35">
      <c r="A150" t="s">
        <v>2689</v>
      </c>
      <c r="B150" t="s">
        <v>2675</v>
      </c>
      <c r="C150" t="s">
        <v>78</v>
      </c>
      <c r="D150" t="s">
        <v>2676</v>
      </c>
      <c r="E150" t="s">
        <v>559</v>
      </c>
      <c r="F150">
        <v>1</v>
      </c>
      <c r="G150" t="s">
        <v>2050</v>
      </c>
      <c r="H150" t="s">
        <v>2051</v>
      </c>
      <c r="I150" t="s">
        <v>53</v>
      </c>
      <c r="J150" t="s">
        <v>67</v>
      </c>
      <c r="K150" t="s">
        <v>68</v>
      </c>
      <c r="L150" t="s">
        <v>2052</v>
      </c>
      <c r="M150" t="s">
        <v>2083</v>
      </c>
      <c r="N150">
        <v>0</v>
      </c>
      <c r="O150">
        <v>0</v>
      </c>
      <c r="P150">
        <v>0</v>
      </c>
      <c r="Q150">
        <v>960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t="s">
        <v>240</v>
      </c>
      <c r="AH150" s="21" t="s">
        <v>3424</v>
      </c>
      <c r="AI150" s="21">
        <v>72.000000000000014</v>
      </c>
      <c r="AJ150" s="21">
        <v>100</v>
      </c>
      <c r="AK150" s="21" t="s">
        <v>2054</v>
      </c>
      <c r="AL150" t="s">
        <v>70</v>
      </c>
      <c r="AM150" t="s">
        <v>2029</v>
      </c>
    </row>
    <row r="151" spans="1:39" ht="15" hidden="1" thickTop="1" x14ac:dyDescent="0.35">
      <c r="A151" t="s">
        <v>2690</v>
      </c>
      <c r="B151" t="s">
        <v>2677</v>
      </c>
      <c r="C151" t="s">
        <v>66</v>
      </c>
      <c r="D151" t="s">
        <v>2678</v>
      </c>
      <c r="E151" t="s">
        <v>559</v>
      </c>
      <c r="F151">
        <v>1</v>
      </c>
      <c r="G151" t="s">
        <v>2050</v>
      </c>
      <c r="H151" t="s">
        <v>2051</v>
      </c>
      <c r="I151" t="s">
        <v>53</v>
      </c>
      <c r="J151" t="s">
        <v>67</v>
      </c>
      <c r="K151" t="s">
        <v>68</v>
      </c>
      <c r="L151" t="s">
        <v>2052</v>
      </c>
      <c r="M151" t="s">
        <v>2064</v>
      </c>
      <c r="N151">
        <v>0</v>
      </c>
      <c r="O151">
        <v>0</v>
      </c>
      <c r="P151">
        <v>0</v>
      </c>
      <c r="Q151">
        <v>900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t="s">
        <v>241</v>
      </c>
      <c r="AH151" s="21" t="s">
        <v>3424</v>
      </c>
      <c r="AI151" s="21">
        <v>67.5</v>
      </c>
      <c r="AJ151" s="21">
        <v>100</v>
      </c>
      <c r="AK151" s="21" t="s">
        <v>2054</v>
      </c>
      <c r="AL151" t="s">
        <v>70</v>
      </c>
      <c r="AM151" t="s">
        <v>2028</v>
      </c>
    </row>
    <row r="152" spans="1:39" ht="15" hidden="1" thickTop="1" x14ac:dyDescent="0.35">
      <c r="A152" t="s">
        <v>2691</v>
      </c>
      <c r="B152" t="s">
        <v>2679</v>
      </c>
      <c r="C152" t="s">
        <v>100</v>
      </c>
      <c r="D152" t="s">
        <v>2680</v>
      </c>
      <c r="E152" t="s">
        <v>559</v>
      </c>
      <c r="F152">
        <v>1</v>
      </c>
      <c r="G152" t="s">
        <v>2050</v>
      </c>
      <c r="H152" t="s">
        <v>2051</v>
      </c>
      <c r="I152" t="s">
        <v>53</v>
      </c>
      <c r="J152" t="s">
        <v>67</v>
      </c>
      <c r="K152" t="s">
        <v>68</v>
      </c>
      <c r="L152" t="s">
        <v>2052</v>
      </c>
      <c r="M152" t="s">
        <v>2053</v>
      </c>
      <c r="N152">
        <v>0</v>
      </c>
      <c r="O152">
        <v>0</v>
      </c>
      <c r="P152">
        <v>0</v>
      </c>
      <c r="Q152">
        <v>1440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242</v>
      </c>
      <c r="AH152" s="21" t="s">
        <v>3424</v>
      </c>
      <c r="AI152" s="21">
        <v>107.92500000000001</v>
      </c>
      <c r="AJ152" s="21">
        <v>100</v>
      </c>
      <c r="AK152" s="21" t="s">
        <v>2055</v>
      </c>
      <c r="AL152" t="s">
        <v>70</v>
      </c>
      <c r="AM152" t="s">
        <v>2030</v>
      </c>
    </row>
    <row r="153" spans="1:39" ht="15" hidden="1" thickTop="1" x14ac:dyDescent="0.35">
      <c r="A153" t="s">
        <v>2692</v>
      </c>
      <c r="B153" t="s">
        <v>2681</v>
      </c>
      <c r="C153" t="s">
        <v>100</v>
      </c>
      <c r="D153" t="s">
        <v>2682</v>
      </c>
      <c r="E153" t="s">
        <v>559</v>
      </c>
      <c r="F153">
        <v>1</v>
      </c>
      <c r="G153" t="s">
        <v>2050</v>
      </c>
      <c r="H153" t="s">
        <v>2051</v>
      </c>
      <c r="I153" t="s">
        <v>53</v>
      </c>
      <c r="J153" t="s">
        <v>67</v>
      </c>
      <c r="K153" t="s">
        <v>68</v>
      </c>
      <c r="L153" t="s">
        <v>2052</v>
      </c>
      <c r="M153" t="s">
        <v>2053</v>
      </c>
      <c r="N153">
        <v>0</v>
      </c>
      <c r="O153">
        <v>0</v>
      </c>
      <c r="P153">
        <v>0</v>
      </c>
      <c r="Q153">
        <v>1440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t="s">
        <v>243</v>
      </c>
      <c r="AH153" s="21" t="s">
        <v>3424</v>
      </c>
      <c r="AI153" s="21">
        <v>107.92500000000001</v>
      </c>
      <c r="AJ153" s="21">
        <v>100</v>
      </c>
      <c r="AK153" s="21" t="s">
        <v>2055</v>
      </c>
      <c r="AL153" t="s">
        <v>70</v>
      </c>
      <c r="AM153" t="s">
        <v>2030</v>
      </c>
    </row>
    <row r="154" spans="1:39" ht="15" hidden="1" thickTop="1" x14ac:dyDescent="0.35">
      <c r="A154" t="s">
        <v>2693</v>
      </c>
      <c r="B154" t="s">
        <v>2683</v>
      </c>
      <c r="C154" t="s">
        <v>76</v>
      </c>
      <c r="D154" t="s">
        <v>2684</v>
      </c>
      <c r="E154" t="s">
        <v>559</v>
      </c>
      <c r="F154">
        <v>2</v>
      </c>
      <c r="G154" t="s">
        <v>2050</v>
      </c>
      <c r="H154" t="s">
        <v>2051</v>
      </c>
      <c r="I154" t="s">
        <v>53</v>
      </c>
      <c r="J154" t="s">
        <v>67</v>
      </c>
      <c r="K154" t="s">
        <v>68</v>
      </c>
      <c r="L154" t="s">
        <v>2052</v>
      </c>
      <c r="M154" t="s">
        <v>2064</v>
      </c>
      <c r="N154">
        <v>0</v>
      </c>
      <c r="O154">
        <v>0</v>
      </c>
      <c r="P154">
        <v>0</v>
      </c>
      <c r="Q154">
        <v>900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t="s">
        <v>244</v>
      </c>
      <c r="AH154" s="21" t="s">
        <v>3424</v>
      </c>
      <c r="AI154" s="21">
        <v>67.5</v>
      </c>
      <c r="AJ154" s="21">
        <v>100</v>
      </c>
      <c r="AK154" s="21" t="s">
        <v>2054</v>
      </c>
      <c r="AL154" t="s">
        <v>70</v>
      </c>
      <c r="AM154" t="s">
        <v>2029</v>
      </c>
    </row>
    <row r="155" spans="1:39" ht="15" hidden="1" thickTop="1" x14ac:dyDescent="0.35">
      <c r="A155" t="s">
        <v>2694</v>
      </c>
      <c r="B155" t="s">
        <v>2685</v>
      </c>
      <c r="C155" t="s">
        <v>78</v>
      </c>
      <c r="D155" t="s">
        <v>2686</v>
      </c>
      <c r="E155" t="s">
        <v>559</v>
      </c>
      <c r="F155">
        <v>1</v>
      </c>
      <c r="G155" t="s">
        <v>2050</v>
      </c>
      <c r="H155" t="s">
        <v>2051</v>
      </c>
      <c r="I155" t="s">
        <v>53</v>
      </c>
      <c r="J155" t="s">
        <v>67</v>
      </c>
      <c r="K155" t="s">
        <v>68</v>
      </c>
      <c r="L155" t="s">
        <v>2052</v>
      </c>
      <c r="M155" t="s">
        <v>2083</v>
      </c>
      <c r="N155">
        <v>0</v>
      </c>
      <c r="O155">
        <v>0</v>
      </c>
      <c r="P155">
        <v>0</v>
      </c>
      <c r="Q155">
        <v>960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245</v>
      </c>
      <c r="AH155" s="21" t="s">
        <v>3424</v>
      </c>
      <c r="AI155" s="21">
        <v>72.000000000000014</v>
      </c>
      <c r="AJ155" s="21">
        <v>100</v>
      </c>
      <c r="AK155" s="21" t="s">
        <v>2054</v>
      </c>
      <c r="AL155" t="s">
        <v>70</v>
      </c>
      <c r="AM155" t="s">
        <v>2030</v>
      </c>
    </row>
    <row r="156" spans="1:39" ht="15" hidden="1" thickTop="1" x14ac:dyDescent="0.35">
      <c r="A156" t="s">
        <v>2704</v>
      </c>
      <c r="B156" t="s">
        <v>2696</v>
      </c>
      <c r="C156" t="s">
        <v>3376</v>
      </c>
      <c r="D156" t="s">
        <v>2697</v>
      </c>
      <c r="E156" t="s">
        <v>559</v>
      </c>
      <c r="F156">
        <v>1</v>
      </c>
      <c r="G156" t="s">
        <v>2050</v>
      </c>
      <c r="H156" t="s">
        <v>2051</v>
      </c>
      <c r="I156" t="s">
        <v>53</v>
      </c>
      <c r="J156" t="s">
        <v>67</v>
      </c>
      <c r="K156" t="s">
        <v>68</v>
      </c>
      <c r="L156" t="s">
        <v>2052</v>
      </c>
      <c r="M156" t="s">
        <v>2053</v>
      </c>
      <c r="N156">
        <v>0</v>
      </c>
      <c r="O156">
        <v>0</v>
      </c>
      <c r="P156">
        <v>0</v>
      </c>
      <c r="Q156">
        <v>1440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246</v>
      </c>
      <c r="AH156" s="21" t="s">
        <v>3424</v>
      </c>
      <c r="AI156" s="21">
        <v>107.92500000000001</v>
      </c>
      <c r="AJ156" s="21">
        <v>100</v>
      </c>
      <c r="AK156" s="21" t="s">
        <v>2054</v>
      </c>
      <c r="AL156" t="s">
        <v>70</v>
      </c>
      <c r="AM156" t="s">
        <v>2029</v>
      </c>
    </row>
    <row r="157" spans="1:39" ht="15" hidden="1" thickTop="1" x14ac:dyDescent="0.35">
      <c r="A157" t="s">
        <v>2705</v>
      </c>
      <c r="B157" t="s">
        <v>2698</v>
      </c>
      <c r="C157" t="s">
        <v>66</v>
      </c>
      <c r="D157" t="s">
        <v>2699</v>
      </c>
      <c r="E157" t="s">
        <v>559</v>
      </c>
      <c r="F157">
        <v>1</v>
      </c>
      <c r="G157" t="s">
        <v>2050</v>
      </c>
      <c r="H157" t="s">
        <v>2051</v>
      </c>
      <c r="I157" t="s">
        <v>53</v>
      </c>
      <c r="J157" t="s">
        <v>67</v>
      </c>
      <c r="K157" t="s">
        <v>68</v>
      </c>
      <c r="L157" t="s">
        <v>2052</v>
      </c>
      <c r="M157" t="s">
        <v>2053</v>
      </c>
      <c r="N157">
        <v>0</v>
      </c>
      <c r="O157">
        <v>0</v>
      </c>
      <c r="P157">
        <v>0</v>
      </c>
      <c r="Q157">
        <v>1440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247</v>
      </c>
      <c r="AH157" s="21" t="s">
        <v>3424</v>
      </c>
      <c r="AI157" s="21">
        <v>107.92500000000001</v>
      </c>
      <c r="AJ157" s="21">
        <v>100</v>
      </c>
      <c r="AK157" s="21" t="s">
        <v>2054</v>
      </c>
      <c r="AL157" t="s">
        <v>70</v>
      </c>
      <c r="AM157" t="s">
        <v>2027</v>
      </c>
    </row>
    <row r="158" spans="1:39" ht="15" hidden="1" thickTop="1" x14ac:dyDescent="0.35">
      <c r="A158" t="s">
        <v>2706</v>
      </c>
      <c r="B158" t="s">
        <v>2700</v>
      </c>
      <c r="C158" t="s">
        <v>92</v>
      </c>
      <c r="D158" t="s">
        <v>2701</v>
      </c>
      <c r="E158" t="s">
        <v>119</v>
      </c>
      <c r="F158">
        <v>1</v>
      </c>
      <c r="G158" t="s">
        <v>2050</v>
      </c>
      <c r="H158" t="s">
        <v>2051</v>
      </c>
      <c r="I158" t="s">
        <v>53</v>
      </c>
      <c r="J158" t="s">
        <v>67</v>
      </c>
      <c r="K158" t="s">
        <v>68</v>
      </c>
      <c r="L158" t="s">
        <v>2052</v>
      </c>
      <c r="M158" t="s">
        <v>2053</v>
      </c>
      <c r="N158">
        <v>0</v>
      </c>
      <c r="O158">
        <v>0</v>
      </c>
      <c r="P158">
        <v>0</v>
      </c>
      <c r="Q158">
        <v>1440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248</v>
      </c>
      <c r="AH158" s="21" t="s">
        <v>3424</v>
      </c>
      <c r="AI158" s="21">
        <v>107.92500000000001</v>
      </c>
      <c r="AJ158" s="21">
        <v>100</v>
      </c>
      <c r="AK158" s="21" t="s">
        <v>2054</v>
      </c>
      <c r="AL158" t="s">
        <v>70</v>
      </c>
      <c r="AM158" t="s">
        <v>2029</v>
      </c>
    </row>
    <row r="159" spans="1:39" ht="15" hidden="1" thickTop="1" x14ac:dyDescent="0.35">
      <c r="A159" t="s">
        <v>2711</v>
      </c>
      <c r="B159" t="s">
        <v>2708</v>
      </c>
      <c r="C159" t="s">
        <v>100</v>
      </c>
      <c r="D159" t="s">
        <v>2709</v>
      </c>
      <c r="E159" t="s">
        <v>559</v>
      </c>
      <c r="F159">
        <v>1</v>
      </c>
      <c r="G159" t="s">
        <v>2050</v>
      </c>
      <c r="H159" t="s">
        <v>2051</v>
      </c>
      <c r="I159" t="s">
        <v>53</v>
      </c>
      <c r="J159" t="s">
        <v>67</v>
      </c>
      <c r="K159" t="s">
        <v>68</v>
      </c>
      <c r="L159" t="s">
        <v>2052</v>
      </c>
      <c r="M159" t="s">
        <v>2078</v>
      </c>
      <c r="N159">
        <v>0</v>
      </c>
      <c r="O159">
        <v>0</v>
      </c>
      <c r="P159">
        <v>0</v>
      </c>
      <c r="Q159">
        <v>960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249</v>
      </c>
      <c r="AH159" s="21" t="s">
        <v>3424</v>
      </c>
      <c r="AI159" s="21">
        <v>72</v>
      </c>
      <c r="AJ159" s="21">
        <v>100</v>
      </c>
      <c r="AK159" s="21" t="s">
        <v>2054</v>
      </c>
      <c r="AL159" t="s">
        <v>70</v>
      </c>
      <c r="AM159" t="s">
        <v>2029</v>
      </c>
    </row>
    <row r="160" spans="1:39" ht="15" hidden="1" thickTop="1" x14ac:dyDescent="0.35">
      <c r="A160" t="s">
        <v>2716</v>
      </c>
      <c r="B160" t="s">
        <v>2713</v>
      </c>
      <c r="C160" t="s">
        <v>78</v>
      </c>
      <c r="D160" t="s">
        <v>2714</v>
      </c>
      <c r="E160" t="s">
        <v>559</v>
      </c>
      <c r="F160">
        <v>1</v>
      </c>
      <c r="G160" t="s">
        <v>2050</v>
      </c>
      <c r="H160" t="s">
        <v>2051</v>
      </c>
      <c r="I160" t="s">
        <v>53</v>
      </c>
      <c r="J160" t="s">
        <v>67</v>
      </c>
      <c r="K160" t="s">
        <v>68</v>
      </c>
      <c r="L160" t="s">
        <v>2052</v>
      </c>
      <c r="M160" t="s">
        <v>2053</v>
      </c>
      <c r="N160">
        <v>0</v>
      </c>
      <c r="O160">
        <v>0</v>
      </c>
      <c r="P160">
        <v>0</v>
      </c>
      <c r="Q160">
        <v>1440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250</v>
      </c>
      <c r="AH160" s="21" t="s">
        <v>3424</v>
      </c>
      <c r="AI160" s="21">
        <v>107.92500000000001</v>
      </c>
      <c r="AJ160" s="21">
        <v>100</v>
      </c>
      <c r="AK160" s="21" t="s">
        <v>2054</v>
      </c>
      <c r="AL160" t="s">
        <v>70</v>
      </c>
      <c r="AM160" t="s">
        <v>2028</v>
      </c>
    </row>
    <row r="161" spans="1:39" ht="15" hidden="1" thickTop="1" x14ac:dyDescent="0.35">
      <c r="A161" t="s">
        <v>2725</v>
      </c>
      <c r="B161" t="s">
        <v>2718</v>
      </c>
      <c r="C161" t="s">
        <v>102</v>
      </c>
      <c r="D161" t="s">
        <v>2719</v>
      </c>
      <c r="E161" t="s">
        <v>559</v>
      </c>
      <c r="F161">
        <v>1</v>
      </c>
      <c r="G161" t="s">
        <v>2050</v>
      </c>
      <c r="H161" t="s">
        <v>2051</v>
      </c>
      <c r="I161" t="s">
        <v>53</v>
      </c>
      <c r="J161" t="s">
        <v>67</v>
      </c>
      <c r="K161" t="s">
        <v>68</v>
      </c>
      <c r="L161" t="s">
        <v>2052</v>
      </c>
      <c r="M161" t="s">
        <v>2053</v>
      </c>
      <c r="N161">
        <v>1</v>
      </c>
      <c r="O161">
        <v>95</v>
      </c>
      <c r="P161">
        <v>6.6</v>
      </c>
      <c r="Q161">
        <v>1440</v>
      </c>
      <c r="R161">
        <v>1</v>
      </c>
      <c r="S161">
        <v>95</v>
      </c>
      <c r="T161">
        <v>6.6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251</v>
      </c>
      <c r="AH161" s="21" t="s">
        <v>3424</v>
      </c>
      <c r="AI161" s="21">
        <v>107.92500000000001</v>
      </c>
      <c r="AJ161" s="21">
        <v>93.402777777777771</v>
      </c>
      <c r="AK161" s="21" t="s">
        <v>2054</v>
      </c>
      <c r="AL161" t="s">
        <v>70</v>
      </c>
      <c r="AM161" t="s">
        <v>2031</v>
      </c>
    </row>
    <row r="162" spans="1:39" ht="15" hidden="1" thickTop="1" x14ac:dyDescent="0.35">
      <c r="A162" t="s">
        <v>2726</v>
      </c>
      <c r="B162" t="s">
        <v>2720</v>
      </c>
      <c r="C162" t="s">
        <v>102</v>
      </c>
      <c r="D162" t="s">
        <v>2721</v>
      </c>
      <c r="E162" t="s">
        <v>559</v>
      </c>
      <c r="F162">
        <v>1</v>
      </c>
      <c r="G162" t="s">
        <v>2050</v>
      </c>
      <c r="H162" t="s">
        <v>2051</v>
      </c>
      <c r="I162" t="s">
        <v>53</v>
      </c>
      <c r="J162" t="s">
        <v>67</v>
      </c>
      <c r="K162" t="s">
        <v>68</v>
      </c>
      <c r="L162" t="s">
        <v>2052</v>
      </c>
      <c r="M162" t="s">
        <v>2053</v>
      </c>
      <c r="N162">
        <v>0</v>
      </c>
      <c r="O162">
        <v>0</v>
      </c>
      <c r="P162">
        <v>0</v>
      </c>
      <c r="Q162">
        <v>1440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252</v>
      </c>
      <c r="AH162" s="21" t="s">
        <v>3424</v>
      </c>
      <c r="AI162" s="21">
        <v>107.92500000000001</v>
      </c>
      <c r="AJ162" s="21">
        <v>100</v>
      </c>
      <c r="AK162" s="21" t="s">
        <v>2054</v>
      </c>
      <c r="AL162" t="s">
        <v>70</v>
      </c>
      <c r="AM162" t="s">
        <v>2030</v>
      </c>
    </row>
    <row r="163" spans="1:39" ht="15" hidden="1" thickTop="1" x14ac:dyDescent="0.35">
      <c r="A163" t="s">
        <v>2727</v>
      </c>
      <c r="B163" t="s">
        <v>2722</v>
      </c>
      <c r="C163" t="s">
        <v>102</v>
      </c>
      <c r="D163" t="s">
        <v>2723</v>
      </c>
      <c r="E163" t="s">
        <v>559</v>
      </c>
      <c r="F163">
        <v>1</v>
      </c>
      <c r="G163" t="s">
        <v>2050</v>
      </c>
      <c r="H163" t="s">
        <v>2051</v>
      </c>
      <c r="I163" t="s">
        <v>53</v>
      </c>
      <c r="J163" t="s">
        <v>67</v>
      </c>
      <c r="K163" t="s">
        <v>68</v>
      </c>
      <c r="L163" t="s">
        <v>2052</v>
      </c>
      <c r="M163" t="s">
        <v>2053</v>
      </c>
      <c r="N163">
        <v>0</v>
      </c>
      <c r="O163">
        <v>0</v>
      </c>
      <c r="P163">
        <v>0</v>
      </c>
      <c r="Q163">
        <v>1440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253</v>
      </c>
      <c r="AH163" s="21" t="s">
        <v>3424</v>
      </c>
      <c r="AI163" s="21">
        <v>107.92500000000001</v>
      </c>
      <c r="AJ163" s="21">
        <v>100</v>
      </c>
      <c r="AK163" s="21" t="s">
        <v>2055</v>
      </c>
      <c r="AL163" t="s">
        <v>70</v>
      </c>
      <c r="AM163" t="s">
        <v>2031</v>
      </c>
    </row>
    <row r="164" spans="1:39" ht="15" hidden="1" thickTop="1" x14ac:dyDescent="0.35">
      <c r="A164" t="s">
        <v>2733</v>
      </c>
      <c r="B164" t="s">
        <v>2730</v>
      </c>
      <c r="C164" t="s">
        <v>92</v>
      </c>
      <c r="D164" t="s">
        <v>2731</v>
      </c>
      <c r="E164" t="s">
        <v>119</v>
      </c>
      <c r="F164">
        <v>1</v>
      </c>
      <c r="G164" t="s">
        <v>2050</v>
      </c>
      <c r="H164" t="s">
        <v>2051</v>
      </c>
      <c r="I164" t="s">
        <v>53</v>
      </c>
      <c r="J164" t="s">
        <v>67</v>
      </c>
      <c r="K164" t="s">
        <v>68</v>
      </c>
      <c r="L164" t="s">
        <v>2052</v>
      </c>
      <c r="M164" t="s">
        <v>2053</v>
      </c>
      <c r="N164">
        <v>0</v>
      </c>
      <c r="O164">
        <v>0</v>
      </c>
      <c r="P164">
        <v>0</v>
      </c>
      <c r="Q164">
        <v>1440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t="s">
        <v>254</v>
      </c>
      <c r="AH164" s="21" t="s">
        <v>3424</v>
      </c>
      <c r="AI164" s="21">
        <v>107.92500000000001</v>
      </c>
      <c r="AJ164" s="21">
        <v>100</v>
      </c>
      <c r="AK164" s="21" t="s">
        <v>2054</v>
      </c>
      <c r="AL164" t="s">
        <v>70</v>
      </c>
      <c r="AM164" t="s">
        <v>2029</v>
      </c>
    </row>
    <row r="165" spans="1:39" ht="15" hidden="1" thickTop="1" x14ac:dyDescent="0.35">
      <c r="A165" t="s">
        <v>2740</v>
      </c>
      <c r="B165" t="s">
        <v>2735</v>
      </c>
      <c r="C165" t="s">
        <v>81</v>
      </c>
      <c r="D165" t="s">
        <v>2736</v>
      </c>
      <c r="E165" t="s">
        <v>559</v>
      </c>
      <c r="F165">
        <v>1</v>
      </c>
      <c r="G165" t="s">
        <v>2050</v>
      </c>
      <c r="H165" t="s">
        <v>2051</v>
      </c>
      <c r="I165" t="s">
        <v>53</v>
      </c>
      <c r="J165" t="s">
        <v>82</v>
      </c>
      <c r="K165" t="s">
        <v>68</v>
      </c>
      <c r="L165" t="s">
        <v>2052</v>
      </c>
      <c r="M165" t="s">
        <v>2053</v>
      </c>
      <c r="N165">
        <v>0</v>
      </c>
      <c r="O165">
        <v>0</v>
      </c>
      <c r="P165">
        <v>0</v>
      </c>
      <c r="Q165">
        <v>1440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255</v>
      </c>
      <c r="AH165" s="21" t="s">
        <v>3428</v>
      </c>
      <c r="AI165" s="21">
        <v>107.92500000000001</v>
      </c>
      <c r="AJ165" s="21">
        <v>100</v>
      </c>
      <c r="AK165" s="21" t="s">
        <v>2054</v>
      </c>
      <c r="AL165" t="s">
        <v>70</v>
      </c>
      <c r="AM165" t="s">
        <v>2029</v>
      </c>
    </row>
    <row r="166" spans="1:39" ht="15" hidden="1" thickTop="1" x14ac:dyDescent="0.35">
      <c r="A166" t="s">
        <v>2742</v>
      </c>
      <c r="B166" t="s">
        <v>2738</v>
      </c>
      <c r="C166" t="s">
        <v>92</v>
      </c>
      <c r="D166" t="s">
        <v>2739</v>
      </c>
      <c r="E166" t="s">
        <v>119</v>
      </c>
      <c r="F166">
        <v>1</v>
      </c>
      <c r="G166" t="s">
        <v>2050</v>
      </c>
      <c r="H166" t="s">
        <v>2051</v>
      </c>
      <c r="I166" t="s">
        <v>53</v>
      </c>
      <c r="J166" t="s">
        <v>67</v>
      </c>
      <c r="K166" t="s">
        <v>68</v>
      </c>
      <c r="L166" t="s">
        <v>2052</v>
      </c>
      <c r="M166" t="s">
        <v>2053</v>
      </c>
      <c r="N166">
        <v>0</v>
      </c>
      <c r="O166">
        <v>0</v>
      </c>
      <c r="P166">
        <v>0</v>
      </c>
      <c r="Q166">
        <v>1440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t="s">
        <v>256</v>
      </c>
      <c r="AH166" s="21" t="s">
        <v>3424</v>
      </c>
      <c r="AI166" s="21">
        <v>107.92500000000001</v>
      </c>
      <c r="AJ166" s="21">
        <v>100</v>
      </c>
      <c r="AK166" s="21" t="s">
        <v>2055</v>
      </c>
      <c r="AL166" t="s">
        <v>70</v>
      </c>
      <c r="AM166" t="s">
        <v>2030</v>
      </c>
    </row>
    <row r="167" spans="1:39" ht="15" hidden="1" thickTop="1" x14ac:dyDescent="0.35">
      <c r="A167" t="s">
        <v>2753</v>
      </c>
      <c r="B167" t="s">
        <v>2744</v>
      </c>
      <c r="C167" t="s">
        <v>66</v>
      </c>
      <c r="D167" t="s">
        <v>2745</v>
      </c>
      <c r="E167" t="s">
        <v>559</v>
      </c>
      <c r="F167">
        <v>1</v>
      </c>
      <c r="G167" t="s">
        <v>2050</v>
      </c>
      <c r="H167" t="s">
        <v>2051</v>
      </c>
      <c r="I167" t="s">
        <v>53</v>
      </c>
      <c r="J167" t="s">
        <v>67</v>
      </c>
      <c r="K167" t="s">
        <v>68</v>
      </c>
      <c r="L167" t="s">
        <v>2052</v>
      </c>
      <c r="M167" t="s">
        <v>2053</v>
      </c>
      <c r="N167">
        <v>0</v>
      </c>
      <c r="O167">
        <v>0</v>
      </c>
      <c r="P167">
        <v>0</v>
      </c>
      <c r="Q167">
        <v>1440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 t="s">
        <v>257</v>
      </c>
      <c r="AH167" s="21" t="s">
        <v>3424</v>
      </c>
      <c r="AI167" s="21">
        <v>107.92500000000001</v>
      </c>
      <c r="AJ167" s="21">
        <v>100</v>
      </c>
      <c r="AK167" s="21" t="s">
        <v>2055</v>
      </c>
      <c r="AL167" t="s">
        <v>70</v>
      </c>
      <c r="AM167" t="s">
        <v>2029</v>
      </c>
    </row>
    <row r="168" spans="1:39" ht="15" hidden="1" thickTop="1" x14ac:dyDescent="0.35">
      <c r="A168" t="s">
        <v>2754</v>
      </c>
      <c r="B168" t="s">
        <v>2746</v>
      </c>
      <c r="C168" t="s">
        <v>117</v>
      </c>
      <c r="D168" t="s">
        <v>2747</v>
      </c>
      <c r="E168" t="s">
        <v>559</v>
      </c>
      <c r="F168">
        <v>1</v>
      </c>
      <c r="G168" t="s">
        <v>2050</v>
      </c>
      <c r="H168" t="s">
        <v>2051</v>
      </c>
      <c r="I168" t="s">
        <v>53</v>
      </c>
      <c r="J168" t="s">
        <v>67</v>
      </c>
      <c r="K168" t="s">
        <v>68</v>
      </c>
      <c r="L168" t="s">
        <v>2052</v>
      </c>
      <c r="M168" t="s">
        <v>2053</v>
      </c>
      <c r="N168">
        <v>0</v>
      </c>
      <c r="O168">
        <v>0</v>
      </c>
      <c r="P168">
        <v>0</v>
      </c>
      <c r="Q168">
        <v>1440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t="s">
        <v>258</v>
      </c>
      <c r="AH168" s="21" t="s">
        <v>3424</v>
      </c>
      <c r="AI168" s="21">
        <v>107.92500000000001</v>
      </c>
      <c r="AJ168" s="21">
        <v>100</v>
      </c>
      <c r="AK168" s="21" t="s">
        <v>2054</v>
      </c>
      <c r="AL168" t="s">
        <v>70</v>
      </c>
      <c r="AM168" t="s">
        <v>2029</v>
      </c>
    </row>
    <row r="169" spans="1:39" ht="15" hidden="1" thickTop="1" x14ac:dyDescent="0.35">
      <c r="A169" t="s">
        <v>2755</v>
      </c>
      <c r="B169" t="s">
        <v>2748</v>
      </c>
      <c r="C169" t="s">
        <v>66</v>
      </c>
      <c r="D169" t="s">
        <v>2749</v>
      </c>
      <c r="E169" t="s">
        <v>559</v>
      </c>
      <c r="F169">
        <v>1</v>
      </c>
      <c r="G169" t="s">
        <v>2050</v>
      </c>
      <c r="H169" t="s">
        <v>2051</v>
      </c>
      <c r="I169" t="s">
        <v>53</v>
      </c>
      <c r="J169" t="s">
        <v>67</v>
      </c>
      <c r="K169" t="s">
        <v>68</v>
      </c>
      <c r="L169" t="s">
        <v>2052</v>
      </c>
      <c r="M169" t="s">
        <v>2053</v>
      </c>
      <c r="N169">
        <v>0</v>
      </c>
      <c r="O169">
        <v>0</v>
      </c>
      <c r="P169">
        <v>0</v>
      </c>
      <c r="Q169">
        <v>1440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t="s">
        <v>259</v>
      </c>
      <c r="AH169" s="21" t="s">
        <v>3427</v>
      </c>
      <c r="AI169" s="21">
        <v>107.92500000000001</v>
      </c>
      <c r="AJ169" s="21">
        <v>100</v>
      </c>
      <c r="AK169" s="21" t="s">
        <v>2054</v>
      </c>
      <c r="AL169" t="s">
        <v>70</v>
      </c>
      <c r="AM169" t="s">
        <v>2027</v>
      </c>
    </row>
    <row r="170" spans="1:39" ht="15" hidden="1" thickTop="1" x14ac:dyDescent="0.35">
      <c r="A170" t="s">
        <v>2757</v>
      </c>
      <c r="B170" t="s">
        <v>2750</v>
      </c>
      <c r="C170" t="s">
        <v>3376</v>
      </c>
      <c r="D170" t="s">
        <v>2751</v>
      </c>
      <c r="E170" t="s">
        <v>559</v>
      </c>
      <c r="F170">
        <v>1</v>
      </c>
      <c r="G170" t="s">
        <v>2050</v>
      </c>
      <c r="H170" t="s">
        <v>2051</v>
      </c>
      <c r="I170" t="s">
        <v>53</v>
      </c>
      <c r="J170" t="s">
        <v>67</v>
      </c>
      <c r="K170" t="s">
        <v>68</v>
      </c>
      <c r="L170" t="s">
        <v>2052</v>
      </c>
      <c r="M170" t="s">
        <v>2053</v>
      </c>
      <c r="N170">
        <v>0</v>
      </c>
      <c r="O170">
        <v>0</v>
      </c>
      <c r="P170">
        <v>0</v>
      </c>
      <c r="Q170">
        <v>1440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260</v>
      </c>
      <c r="AH170" s="21" t="s">
        <v>3424</v>
      </c>
      <c r="AI170" s="21">
        <v>107.92500000000001</v>
      </c>
      <c r="AJ170" s="21">
        <v>100</v>
      </c>
      <c r="AK170" s="21" t="s">
        <v>2054</v>
      </c>
      <c r="AL170" t="s">
        <v>70</v>
      </c>
      <c r="AM170" t="s">
        <v>2031</v>
      </c>
    </row>
    <row r="171" spans="1:39" ht="15" hidden="1" thickTop="1" x14ac:dyDescent="0.35">
      <c r="A171" t="s">
        <v>2765</v>
      </c>
      <c r="B171" t="s">
        <v>2758</v>
      </c>
      <c r="C171" t="s">
        <v>102</v>
      </c>
      <c r="D171" t="s">
        <v>2759</v>
      </c>
      <c r="E171" t="s">
        <v>559</v>
      </c>
      <c r="F171">
        <v>1</v>
      </c>
      <c r="G171" t="s">
        <v>2050</v>
      </c>
      <c r="H171" t="s">
        <v>2051</v>
      </c>
      <c r="I171" t="s">
        <v>53</v>
      </c>
      <c r="J171" t="s">
        <v>67</v>
      </c>
      <c r="K171" t="s">
        <v>68</v>
      </c>
      <c r="L171" t="s">
        <v>2052</v>
      </c>
      <c r="M171" t="s">
        <v>2053</v>
      </c>
      <c r="N171">
        <v>0</v>
      </c>
      <c r="O171">
        <v>0</v>
      </c>
      <c r="P171">
        <v>0</v>
      </c>
      <c r="Q171">
        <v>1440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261</v>
      </c>
      <c r="AH171" s="21" t="s">
        <v>3425</v>
      </c>
      <c r="AI171" s="21">
        <v>107.92500000000001</v>
      </c>
      <c r="AJ171" s="21">
        <v>100</v>
      </c>
      <c r="AK171" s="21" t="s">
        <v>2055</v>
      </c>
      <c r="AL171" t="s">
        <v>70</v>
      </c>
      <c r="AM171" t="s">
        <v>2030</v>
      </c>
    </row>
    <row r="172" spans="1:39" ht="15" hidden="1" thickTop="1" x14ac:dyDescent="0.35">
      <c r="A172" t="s">
        <v>2766</v>
      </c>
      <c r="B172" t="s">
        <v>2761</v>
      </c>
      <c r="C172" t="s">
        <v>111</v>
      </c>
      <c r="D172" t="s">
        <v>2762</v>
      </c>
      <c r="E172" t="s">
        <v>112</v>
      </c>
      <c r="F172">
        <v>1</v>
      </c>
      <c r="G172" t="s">
        <v>2050</v>
      </c>
      <c r="H172" t="s">
        <v>2051</v>
      </c>
      <c r="I172" t="s">
        <v>53</v>
      </c>
      <c r="J172" t="s">
        <v>113</v>
      </c>
      <c r="K172" t="s">
        <v>68</v>
      </c>
      <c r="L172" t="s">
        <v>2052</v>
      </c>
      <c r="M172" t="s">
        <v>2053</v>
      </c>
      <c r="N172">
        <v>0</v>
      </c>
      <c r="O172">
        <v>0</v>
      </c>
      <c r="P172">
        <v>0</v>
      </c>
      <c r="Q172">
        <v>1440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262</v>
      </c>
      <c r="AH172" s="21" t="s">
        <v>3425</v>
      </c>
      <c r="AI172" s="21">
        <v>107.92500000000001</v>
      </c>
      <c r="AJ172" s="21">
        <v>100</v>
      </c>
      <c r="AK172" s="21" t="s">
        <v>2054</v>
      </c>
      <c r="AL172" t="s">
        <v>115</v>
      </c>
      <c r="AM172" t="s">
        <v>2027</v>
      </c>
    </row>
    <row r="173" spans="1:39" ht="15" hidden="1" thickTop="1" x14ac:dyDescent="0.35">
      <c r="A173" t="s">
        <v>2774</v>
      </c>
      <c r="B173" t="s">
        <v>2769</v>
      </c>
      <c r="C173" t="s">
        <v>102</v>
      </c>
      <c r="D173" t="s">
        <v>2770</v>
      </c>
      <c r="E173" t="s">
        <v>559</v>
      </c>
      <c r="F173">
        <v>1</v>
      </c>
      <c r="G173" t="s">
        <v>2050</v>
      </c>
      <c r="H173" t="s">
        <v>2051</v>
      </c>
      <c r="I173" t="s">
        <v>53</v>
      </c>
      <c r="J173" t="s">
        <v>67</v>
      </c>
      <c r="K173" t="s">
        <v>68</v>
      </c>
      <c r="L173" t="s">
        <v>2052</v>
      </c>
      <c r="M173" t="s">
        <v>2053</v>
      </c>
      <c r="N173">
        <v>0</v>
      </c>
      <c r="O173">
        <v>0</v>
      </c>
      <c r="P173">
        <v>0</v>
      </c>
      <c r="Q173">
        <v>1440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263</v>
      </c>
      <c r="AH173" s="21" t="s">
        <v>3425</v>
      </c>
      <c r="AI173" s="21">
        <v>107.92500000000001</v>
      </c>
      <c r="AJ173" s="21">
        <v>100</v>
      </c>
      <c r="AK173" s="21" t="s">
        <v>2054</v>
      </c>
      <c r="AL173" t="s">
        <v>70</v>
      </c>
      <c r="AM173" t="s">
        <v>2029</v>
      </c>
    </row>
    <row r="174" spans="1:39" ht="15" hidden="1" thickTop="1" x14ac:dyDescent="0.35">
      <c r="A174" t="s">
        <v>2775</v>
      </c>
      <c r="B174" t="s">
        <v>2771</v>
      </c>
      <c r="C174" t="s">
        <v>565</v>
      </c>
      <c r="D174" t="s">
        <v>2772</v>
      </c>
      <c r="E174" t="s">
        <v>559</v>
      </c>
      <c r="F174">
        <v>2</v>
      </c>
      <c r="G174" t="s">
        <v>2050</v>
      </c>
      <c r="H174" t="s">
        <v>2051</v>
      </c>
      <c r="I174" t="s">
        <v>53</v>
      </c>
      <c r="J174" t="s">
        <v>427</v>
      </c>
      <c r="K174" t="s">
        <v>68</v>
      </c>
      <c r="L174" t="s">
        <v>2052</v>
      </c>
      <c r="M174" t="s">
        <v>2053</v>
      </c>
      <c r="N174">
        <v>0</v>
      </c>
      <c r="O174">
        <v>0</v>
      </c>
      <c r="P174">
        <v>0</v>
      </c>
      <c r="Q174">
        <v>1440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 t="s">
        <v>264</v>
      </c>
      <c r="AH174" s="21" t="s">
        <v>3427</v>
      </c>
      <c r="AI174" s="21">
        <v>107.92500000000001</v>
      </c>
      <c r="AJ174" s="21">
        <v>100</v>
      </c>
      <c r="AK174" s="21" t="s">
        <v>2054</v>
      </c>
      <c r="AL174" t="s">
        <v>70</v>
      </c>
      <c r="AM174" t="s">
        <v>2029</v>
      </c>
    </row>
    <row r="175" spans="1:39" ht="15" hidden="1" thickTop="1" x14ac:dyDescent="0.35">
      <c r="A175" t="s">
        <v>2780</v>
      </c>
      <c r="B175" t="s">
        <v>2778</v>
      </c>
      <c r="C175" t="s">
        <v>66</v>
      </c>
      <c r="D175" t="s">
        <v>2779</v>
      </c>
      <c r="E175" t="s">
        <v>119</v>
      </c>
      <c r="F175">
        <v>1</v>
      </c>
      <c r="G175" t="s">
        <v>2050</v>
      </c>
      <c r="H175" t="s">
        <v>2051</v>
      </c>
      <c r="I175" t="s">
        <v>53</v>
      </c>
      <c r="J175" t="s">
        <v>67</v>
      </c>
      <c r="K175" t="s">
        <v>68</v>
      </c>
      <c r="L175" t="s">
        <v>2052</v>
      </c>
      <c r="M175" t="s">
        <v>2063</v>
      </c>
      <c r="N175">
        <v>0</v>
      </c>
      <c r="O175">
        <v>0</v>
      </c>
      <c r="P175">
        <v>0</v>
      </c>
      <c r="Q175">
        <v>1020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265</v>
      </c>
      <c r="AH175" s="21" t="s">
        <v>3425</v>
      </c>
      <c r="AI175" s="21">
        <v>76.500000000000014</v>
      </c>
      <c r="AJ175" s="21">
        <v>100</v>
      </c>
      <c r="AK175" s="21" t="s">
        <v>2054</v>
      </c>
      <c r="AL175" t="s">
        <v>70</v>
      </c>
      <c r="AM175" t="s">
        <v>2028</v>
      </c>
    </row>
    <row r="176" spans="1:39" ht="15" hidden="1" thickTop="1" x14ac:dyDescent="0.35">
      <c r="A176" t="s">
        <v>2786</v>
      </c>
      <c r="B176" t="s">
        <v>2783</v>
      </c>
      <c r="C176" t="s">
        <v>78</v>
      </c>
      <c r="D176" t="s">
        <v>2784</v>
      </c>
      <c r="E176" t="s">
        <v>559</v>
      </c>
      <c r="F176">
        <v>1</v>
      </c>
      <c r="G176" t="s">
        <v>2050</v>
      </c>
      <c r="H176" t="s">
        <v>2051</v>
      </c>
      <c r="I176" t="s">
        <v>53</v>
      </c>
      <c r="J176" t="s">
        <v>67</v>
      </c>
      <c r="K176" t="s">
        <v>68</v>
      </c>
      <c r="L176" t="s">
        <v>2052</v>
      </c>
      <c r="M176" t="s">
        <v>2063</v>
      </c>
      <c r="N176">
        <v>0</v>
      </c>
      <c r="O176">
        <v>0</v>
      </c>
      <c r="P176">
        <v>0</v>
      </c>
      <c r="Q176">
        <v>1020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266</v>
      </c>
      <c r="AH176" s="21" t="s">
        <v>3425</v>
      </c>
      <c r="AI176" s="21">
        <v>76.500000000000014</v>
      </c>
      <c r="AJ176" s="21">
        <v>100</v>
      </c>
      <c r="AK176" s="21" t="s">
        <v>2055</v>
      </c>
      <c r="AL176" t="s">
        <v>70</v>
      </c>
      <c r="AM176" t="s">
        <v>2031</v>
      </c>
    </row>
    <row r="177" spans="1:39" ht="15" hidden="1" thickTop="1" x14ac:dyDescent="0.35">
      <c r="A177" t="s">
        <v>2792</v>
      </c>
      <c r="B177" t="s">
        <v>2787</v>
      </c>
      <c r="C177" t="s">
        <v>100</v>
      </c>
      <c r="D177" t="s">
        <v>2788</v>
      </c>
      <c r="E177" t="s">
        <v>559</v>
      </c>
      <c r="F177">
        <v>1</v>
      </c>
      <c r="G177" t="s">
        <v>2050</v>
      </c>
      <c r="H177" t="s">
        <v>2051</v>
      </c>
      <c r="I177" t="s">
        <v>53</v>
      </c>
      <c r="J177" t="s">
        <v>67</v>
      </c>
      <c r="K177" t="s">
        <v>68</v>
      </c>
      <c r="L177" t="s">
        <v>2052</v>
      </c>
      <c r="M177" t="s">
        <v>2083</v>
      </c>
      <c r="N177">
        <v>0</v>
      </c>
      <c r="O177">
        <v>0</v>
      </c>
      <c r="P177">
        <v>0</v>
      </c>
      <c r="Q177">
        <v>960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268</v>
      </c>
      <c r="AH177" s="21" t="s">
        <v>3427</v>
      </c>
      <c r="AI177" s="21">
        <v>72.000000000000014</v>
      </c>
      <c r="AJ177" s="21">
        <v>100</v>
      </c>
      <c r="AK177" s="21" t="s">
        <v>2054</v>
      </c>
      <c r="AL177" t="s">
        <v>70</v>
      </c>
      <c r="AM177" t="s">
        <v>2029</v>
      </c>
    </row>
    <row r="178" spans="1:39" ht="15" hidden="1" thickTop="1" x14ac:dyDescent="0.35">
      <c r="A178" t="s">
        <v>2797</v>
      </c>
      <c r="B178" t="s">
        <v>2794</v>
      </c>
      <c r="C178" t="s">
        <v>820</v>
      </c>
      <c r="D178" t="s">
        <v>2795</v>
      </c>
      <c r="E178" t="s">
        <v>72</v>
      </c>
      <c r="F178">
        <v>1</v>
      </c>
      <c r="G178" t="s">
        <v>2050</v>
      </c>
      <c r="H178" t="s">
        <v>2051</v>
      </c>
      <c r="I178" t="s">
        <v>53</v>
      </c>
      <c r="J178" t="s">
        <v>424</v>
      </c>
      <c r="K178" t="s">
        <v>68</v>
      </c>
      <c r="L178" t="s">
        <v>2052</v>
      </c>
      <c r="M178" t="s">
        <v>2053</v>
      </c>
      <c r="N178">
        <v>0</v>
      </c>
      <c r="O178">
        <v>0</v>
      </c>
      <c r="P178">
        <v>0</v>
      </c>
      <c r="Q178">
        <v>1440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 t="s">
        <v>269</v>
      </c>
      <c r="AH178" s="21" t="s">
        <v>3428</v>
      </c>
      <c r="AI178" s="21">
        <v>107.92500000000001</v>
      </c>
      <c r="AJ178" s="21">
        <v>100</v>
      </c>
      <c r="AK178" s="21" t="s">
        <v>2054</v>
      </c>
      <c r="AL178" t="s">
        <v>75</v>
      </c>
      <c r="AM178" t="s">
        <v>2027</v>
      </c>
    </row>
    <row r="179" spans="1:39" ht="15" hidden="1" thickTop="1" x14ac:dyDescent="0.35">
      <c r="A179" t="s">
        <v>2803</v>
      </c>
      <c r="B179" t="s">
        <v>2800</v>
      </c>
      <c r="C179" t="s">
        <v>102</v>
      </c>
      <c r="D179" t="s">
        <v>2801</v>
      </c>
      <c r="E179" t="s">
        <v>559</v>
      </c>
      <c r="F179">
        <v>1</v>
      </c>
      <c r="G179" t="s">
        <v>2050</v>
      </c>
      <c r="H179" t="s">
        <v>2051</v>
      </c>
      <c r="I179" t="s">
        <v>53</v>
      </c>
      <c r="J179" t="s">
        <v>67</v>
      </c>
      <c r="K179" t="s">
        <v>68</v>
      </c>
      <c r="L179" t="s">
        <v>2052</v>
      </c>
      <c r="M179" t="s">
        <v>2053</v>
      </c>
      <c r="N179">
        <v>0</v>
      </c>
      <c r="O179">
        <v>0</v>
      </c>
      <c r="P179">
        <v>0</v>
      </c>
      <c r="Q179">
        <v>1440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270</v>
      </c>
      <c r="AH179" s="21" t="s">
        <v>3425</v>
      </c>
      <c r="AI179" s="21">
        <v>107.92500000000001</v>
      </c>
      <c r="AJ179" s="21">
        <v>100</v>
      </c>
      <c r="AK179" s="21" t="s">
        <v>2054</v>
      </c>
      <c r="AL179" t="s">
        <v>70</v>
      </c>
      <c r="AM179" t="s">
        <v>2030</v>
      </c>
    </row>
    <row r="180" spans="1:39" ht="15" hidden="1" thickTop="1" x14ac:dyDescent="0.35">
      <c r="A180" t="s">
        <v>2809</v>
      </c>
      <c r="B180" t="s">
        <v>2805</v>
      </c>
      <c r="C180" t="s">
        <v>92</v>
      </c>
      <c r="D180" t="s">
        <v>2806</v>
      </c>
      <c r="E180" t="s">
        <v>559</v>
      </c>
      <c r="F180">
        <v>1</v>
      </c>
      <c r="G180" t="s">
        <v>2050</v>
      </c>
      <c r="H180" t="s">
        <v>2051</v>
      </c>
      <c r="I180" t="s">
        <v>53</v>
      </c>
      <c r="J180" t="s">
        <v>67</v>
      </c>
      <c r="K180" t="s">
        <v>68</v>
      </c>
      <c r="L180" t="s">
        <v>2052</v>
      </c>
      <c r="M180" t="s">
        <v>2053</v>
      </c>
      <c r="N180">
        <v>0</v>
      </c>
      <c r="O180">
        <v>0</v>
      </c>
      <c r="P180">
        <v>0</v>
      </c>
      <c r="Q180">
        <v>1440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271</v>
      </c>
      <c r="AH180" s="21" t="s">
        <v>3425</v>
      </c>
      <c r="AI180" s="21">
        <v>107.92500000000001</v>
      </c>
      <c r="AJ180" s="21">
        <v>100</v>
      </c>
      <c r="AK180" s="21" t="s">
        <v>2054</v>
      </c>
      <c r="AL180" t="s">
        <v>70</v>
      </c>
      <c r="AM180" t="s">
        <v>2029</v>
      </c>
    </row>
    <row r="181" spans="1:39" ht="15" hidden="1" thickTop="1" x14ac:dyDescent="0.35">
      <c r="A181" t="s">
        <v>2819</v>
      </c>
      <c r="B181" t="s">
        <v>2812</v>
      </c>
      <c r="C181" t="s">
        <v>111</v>
      </c>
      <c r="D181" t="s">
        <v>2813</v>
      </c>
      <c r="E181" t="s">
        <v>112</v>
      </c>
      <c r="F181">
        <v>1</v>
      </c>
      <c r="G181" t="s">
        <v>2050</v>
      </c>
      <c r="H181" t="s">
        <v>2051</v>
      </c>
      <c r="I181" t="s">
        <v>53</v>
      </c>
      <c r="J181" t="s">
        <v>113</v>
      </c>
      <c r="K181" t="s">
        <v>68</v>
      </c>
      <c r="L181" t="s">
        <v>2052</v>
      </c>
      <c r="M181" t="s">
        <v>2053</v>
      </c>
      <c r="N181">
        <v>0</v>
      </c>
      <c r="O181">
        <v>0</v>
      </c>
      <c r="P181">
        <v>0</v>
      </c>
      <c r="Q181">
        <v>1440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 t="s">
        <v>273</v>
      </c>
      <c r="AH181" s="21" t="s">
        <v>3424</v>
      </c>
      <c r="AI181" s="21">
        <v>107.92500000000001</v>
      </c>
      <c r="AJ181" s="21">
        <v>100</v>
      </c>
      <c r="AK181" s="21" t="s">
        <v>2054</v>
      </c>
      <c r="AL181" t="s">
        <v>115</v>
      </c>
      <c r="AM181" t="s">
        <v>2029</v>
      </c>
    </row>
    <row r="182" spans="1:39" ht="15" hidden="1" thickTop="1" x14ac:dyDescent="0.35">
      <c r="A182" t="s">
        <v>2822</v>
      </c>
      <c r="B182" t="s">
        <v>2814</v>
      </c>
      <c r="C182" t="s">
        <v>102</v>
      </c>
      <c r="D182" t="s">
        <v>2815</v>
      </c>
      <c r="E182" t="s">
        <v>559</v>
      </c>
      <c r="F182">
        <v>1</v>
      </c>
      <c r="G182" t="s">
        <v>2050</v>
      </c>
      <c r="H182" t="s">
        <v>2051</v>
      </c>
      <c r="I182" t="s">
        <v>53</v>
      </c>
      <c r="J182" t="s">
        <v>67</v>
      </c>
      <c r="K182" t="s">
        <v>68</v>
      </c>
      <c r="L182" t="s">
        <v>2052</v>
      </c>
      <c r="M182" t="s">
        <v>2064</v>
      </c>
      <c r="N182">
        <v>0</v>
      </c>
      <c r="O182">
        <v>0</v>
      </c>
      <c r="P182">
        <v>0</v>
      </c>
      <c r="Q182">
        <v>900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274</v>
      </c>
      <c r="AH182" s="21" t="s">
        <v>3429</v>
      </c>
      <c r="AI182" s="21">
        <v>67.5</v>
      </c>
      <c r="AJ182" s="21">
        <v>100</v>
      </c>
      <c r="AK182" s="21" t="s">
        <v>2054</v>
      </c>
      <c r="AL182" t="s">
        <v>70</v>
      </c>
      <c r="AM182" t="s">
        <v>2027</v>
      </c>
    </row>
    <row r="183" spans="1:39" ht="15" hidden="1" thickTop="1" x14ac:dyDescent="0.35">
      <c r="A183" t="s">
        <v>2823</v>
      </c>
      <c r="B183" t="s">
        <v>2817</v>
      </c>
      <c r="C183" t="s">
        <v>820</v>
      </c>
      <c r="D183" t="s">
        <v>2818</v>
      </c>
      <c r="E183" t="s">
        <v>72</v>
      </c>
      <c r="F183">
        <v>1</v>
      </c>
      <c r="G183" t="s">
        <v>2050</v>
      </c>
      <c r="H183" t="s">
        <v>2051</v>
      </c>
      <c r="I183" t="s">
        <v>53</v>
      </c>
      <c r="J183" t="s">
        <v>424</v>
      </c>
      <c r="K183" t="s">
        <v>68</v>
      </c>
      <c r="L183" t="s">
        <v>2052</v>
      </c>
      <c r="M183" t="s">
        <v>2064</v>
      </c>
      <c r="N183">
        <v>0</v>
      </c>
      <c r="O183">
        <v>0</v>
      </c>
      <c r="P183">
        <v>0</v>
      </c>
      <c r="Q183">
        <v>900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275</v>
      </c>
      <c r="AH183" s="21" t="s">
        <v>3425</v>
      </c>
      <c r="AI183" s="21">
        <v>67.5</v>
      </c>
      <c r="AJ183" s="21">
        <v>100</v>
      </c>
      <c r="AK183" s="21" t="s">
        <v>2054</v>
      </c>
      <c r="AL183" t="s">
        <v>75</v>
      </c>
      <c r="AM183" t="s">
        <v>2029</v>
      </c>
    </row>
    <row r="184" spans="1:39" ht="15" hidden="1" thickTop="1" x14ac:dyDescent="0.35">
      <c r="A184" t="s">
        <v>2536</v>
      </c>
      <c r="B184" t="s">
        <v>2825</v>
      </c>
      <c r="C184" t="s">
        <v>92</v>
      </c>
      <c r="D184" t="s">
        <v>2826</v>
      </c>
      <c r="E184" t="s">
        <v>119</v>
      </c>
      <c r="F184">
        <v>1</v>
      </c>
      <c r="G184" t="s">
        <v>2050</v>
      </c>
      <c r="H184" t="s">
        <v>2051</v>
      </c>
      <c r="I184" t="s">
        <v>53</v>
      </c>
      <c r="J184" t="s">
        <v>67</v>
      </c>
      <c r="K184" t="s">
        <v>68</v>
      </c>
      <c r="L184" t="s">
        <v>2052</v>
      </c>
      <c r="M184" t="s">
        <v>2053</v>
      </c>
      <c r="N184">
        <v>0</v>
      </c>
      <c r="O184">
        <v>0</v>
      </c>
      <c r="P184">
        <v>0</v>
      </c>
      <c r="Q184">
        <v>1440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 t="s">
        <v>276</v>
      </c>
      <c r="AH184" s="21" t="s">
        <v>3425</v>
      </c>
      <c r="AI184" s="21">
        <v>107.92500000000001</v>
      </c>
      <c r="AJ184" s="21">
        <v>100</v>
      </c>
      <c r="AK184" s="21" t="s">
        <v>2054</v>
      </c>
      <c r="AL184" t="s">
        <v>70</v>
      </c>
      <c r="AM184" t="s">
        <v>2028</v>
      </c>
    </row>
    <row r="185" spans="1:39" ht="15" hidden="1" thickTop="1" x14ac:dyDescent="0.35">
      <c r="A185" t="s">
        <v>2833</v>
      </c>
      <c r="B185" t="s">
        <v>2828</v>
      </c>
      <c r="C185" t="s">
        <v>78</v>
      </c>
      <c r="D185" t="s">
        <v>2829</v>
      </c>
      <c r="E185" t="s">
        <v>559</v>
      </c>
      <c r="F185">
        <v>2</v>
      </c>
      <c r="G185" t="s">
        <v>2050</v>
      </c>
      <c r="H185" t="s">
        <v>2051</v>
      </c>
      <c r="I185" t="s">
        <v>53</v>
      </c>
      <c r="J185" t="s">
        <v>67</v>
      </c>
      <c r="K185" t="s">
        <v>68</v>
      </c>
      <c r="L185" t="s">
        <v>2052</v>
      </c>
      <c r="M185" t="s">
        <v>2053</v>
      </c>
      <c r="N185">
        <v>0</v>
      </c>
      <c r="O185">
        <v>0</v>
      </c>
      <c r="P185">
        <v>0</v>
      </c>
      <c r="Q185">
        <v>1440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t="s">
        <v>277</v>
      </c>
      <c r="AH185" s="21" t="s">
        <v>3424</v>
      </c>
      <c r="AI185" s="21">
        <v>107.92500000000001</v>
      </c>
      <c r="AJ185" s="21">
        <v>100</v>
      </c>
      <c r="AK185" s="21" t="s">
        <v>2054</v>
      </c>
      <c r="AL185" t="s">
        <v>70</v>
      </c>
      <c r="AM185" t="s">
        <v>2027</v>
      </c>
    </row>
    <row r="186" spans="1:39" ht="15" hidden="1" thickTop="1" x14ac:dyDescent="0.35">
      <c r="A186" t="s">
        <v>2843</v>
      </c>
      <c r="B186" t="s">
        <v>2836</v>
      </c>
      <c r="C186" t="s">
        <v>117</v>
      </c>
      <c r="D186" t="s">
        <v>2837</v>
      </c>
      <c r="E186" t="s">
        <v>559</v>
      </c>
      <c r="F186">
        <v>1</v>
      </c>
      <c r="G186" t="s">
        <v>2050</v>
      </c>
      <c r="H186" t="s">
        <v>2051</v>
      </c>
      <c r="I186" t="s">
        <v>53</v>
      </c>
      <c r="J186" t="s">
        <v>67</v>
      </c>
      <c r="K186" t="s">
        <v>68</v>
      </c>
      <c r="L186" t="s">
        <v>2052</v>
      </c>
      <c r="M186" t="s">
        <v>2053</v>
      </c>
      <c r="N186">
        <v>0</v>
      </c>
      <c r="O186">
        <v>0</v>
      </c>
      <c r="P186">
        <v>0</v>
      </c>
      <c r="Q186">
        <v>1440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278</v>
      </c>
      <c r="AH186" s="21" t="s">
        <v>3425</v>
      </c>
      <c r="AI186" s="21">
        <v>107.92500000000001</v>
      </c>
      <c r="AJ186" s="21">
        <v>100</v>
      </c>
      <c r="AK186" s="21" t="s">
        <v>2054</v>
      </c>
      <c r="AL186" t="s">
        <v>70</v>
      </c>
      <c r="AM186" t="s">
        <v>2027</v>
      </c>
    </row>
    <row r="187" spans="1:39" ht="15" hidden="1" thickTop="1" x14ac:dyDescent="0.35">
      <c r="A187" t="s">
        <v>2844</v>
      </c>
      <c r="B187" t="s">
        <v>2838</v>
      </c>
      <c r="C187" t="s">
        <v>92</v>
      </c>
      <c r="D187" t="s">
        <v>2839</v>
      </c>
      <c r="E187" t="s">
        <v>119</v>
      </c>
      <c r="F187">
        <v>1</v>
      </c>
      <c r="G187" t="s">
        <v>2050</v>
      </c>
      <c r="H187" t="s">
        <v>2051</v>
      </c>
      <c r="I187" t="s">
        <v>53</v>
      </c>
      <c r="J187" t="s">
        <v>67</v>
      </c>
      <c r="K187" t="s">
        <v>68</v>
      </c>
      <c r="L187" t="s">
        <v>2052</v>
      </c>
      <c r="M187" t="s">
        <v>2053</v>
      </c>
      <c r="N187">
        <v>0</v>
      </c>
      <c r="O187">
        <v>0</v>
      </c>
      <c r="P187">
        <v>0</v>
      </c>
      <c r="Q187">
        <v>1440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279</v>
      </c>
      <c r="AH187" s="21" t="s">
        <v>3425</v>
      </c>
      <c r="AI187" s="21">
        <v>107.92500000000001</v>
      </c>
      <c r="AJ187" s="21">
        <v>100</v>
      </c>
      <c r="AK187" s="21" t="s">
        <v>2054</v>
      </c>
      <c r="AL187" t="s">
        <v>70</v>
      </c>
      <c r="AM187" t="s">
        <v>2029</v>
      </c>
    </row>
    <row r="188" spans="1:39" ht="15" hidden="1" thickTop="1" x14ac:dyDescent="0.35">
      <c r="A188" t="s">
        <v>2846</v>
      </c>
      <c r="B188" t="s">
        <v>2840</v>
      </c>
      <c r="C188" t="s">
        <v>92</v>
      </c>
      <c r="D188" t="s">
        <v>2841</v>
      </c>
      <c r="E188" t="s">
        <v>119</v>
      </c>
      <c r="F188">
        <v>1</v>
      </c>
      <c r="G188" t="s">
        <v>2050</v>
      </c>
      <c r="H188" t="s">
        <v>2051</v>
      </c>
      <c r="I188" t="s">
        <v>53</v>
      </c>
      <c r="J188" t="s">
        <v>67</v>
      </c>
      <c r="K188" t="s">
        <v>68</v>
      </c>
      <c r="L188" t="s">
        <v>2052</v>
      </c>
      <c r="M188" t="s">
        <v>2053</v>
      </c>
      <c r="N188">
        <v>0</v>
      </c>
      <c r="O188">
        <v>0</v>
      </c>
      <c r="P188">
        <v>0</v>
      </c>
      <c r="Q188">
        <v>1440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t="s">
        <v>280</v>
      </c>
      <c r="AH188" s="21" t="s">
        <v>3425</v>
      </c>
      <c r="AI188" s="21">
        <v>107.92500000000001</v>
      </c>
      <c r="AJ188" s="21">
        <v>100</v>
      </c>
      <c r="AK188" s="21" t="s">
        <v>2054</v>
      </c>
      <c r="AL188" t="s">
        <v>70</v>
      </c>
      <c r="AM188" t="s">
        <v>2029</v>
      </c>
    </row>
    <row r="189" spans="1:39" ht="15" hidden="1" thickTop="1" x14ac:dyDescent="0.35">
      <c r="A189" t="s">
        <v>285</v>
      </c>
      <c r="B189" t="s">
        <v>2849</v>
      </c>
      <c r="C189" t="s">
        <v>100</v>
      </c>
      <c r="D189" t="s">
        <v>2850</v>
      </c>
      <c r="E189" t="s">
        <v>559</v>
      </c>
      <c r="F189">
        <v>1</v>
      </c>
      <c r="G189" t="s">
        <v>2050</v>
      </c>
      <c r="H189" t="s">
        <v>2051</v>
      </c>
      <c r="I189" t="s">
        <v>53</v>
      </c>
      <c r="J189" t="s">
        <v>67</v>
      </c>
      <c r="K189" t="s">
        <v>68</v>
      </c>
      <c r="L189" t="s">
        <v>2052</v>
      </c>
      <c r="M189" t="s">
        <v>2053</v>
      </c>
      <c r="N189">
        <v>0</v>
      </c>
      <c r="O189">
        <v>0</v>
      </c>
      <c r="P189">
        <v>0</v>
      </c>
      <c r="Q189">
        <v>1440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281</v>
      </c>
      <c r="AH189" s="21" t="s">
        <v>3425</v>
      </c>
      <c r="AI189" s="21">
        <v>107.92500000000001</v>
      </c>
      <c r="AJ189" s="21">
        <v>100</v>
      </c>
      <c r="AK189" s="21" t="s">
        <v>2054</v>
      </c>
      <c r="AL189" t="s">
        <v>70</v>
      </c>
      <c r="AM189" t="s">
        <v>2029</v>
      </c>
    </row>
    <row r="190" spans="1:39" ht="15" hidden="1" thickTop="1" x14ac:dyDescent="0.35">
      <c r="A190" t="s">
        <v>2854</v>
      </c>
      <c r="B190" t="s">
        <v>2851</v>
      </c>
      <c r="C190" t="s">
        <v>71</v>
      </c>
      <c r="D190" t="s">
        <v>2852</v>
      </c>
      <c r="E190" t="s">
        <v>72</v>
      </c>
      <c r="F190">
        <v>1</v>
      </c>
      <c r="G190" t="s">
        <v>2050</v>
      </c>
      <c r="H190" t="s">
        <v>2051</v>
      </c>
      <c r="I190" t="s">
        <v>53</v>
      </c>
      <c r="J190" t="s">
        <v>73</v>
      </c>
      <c r="K190" t="s">
        <v>68</v>
      </c>
      <c r="L190" t="s">
        <v>2052</v>
      </c>
      <c r="M190" t="s">
        <v>2053</v>
      </c>
      <c r="N190">
        <v>0</v>
      </c>
      <c r="O190">
        <v>0</v>
      </c>
      <c r="P190">
        <v>0</v>
      </c>
      <c r="Q190">
        <v>1440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284</v>
      </c>
      <c r="AH190" s="21" t="s">
        <v>3428</v>
      </c>
      <c r="AI190" s="21">
        <v>107.92500000000001</v>
      </c>
      <c r="AJ190" s="21">
        <v>100</v>
      </c>
      <c r="AK190" s="21" t="s">
        <v>2054</v>
      </c>
      <c r="AL190" t="s">
        <v>75</v>
      </c>
      <c r="AM190" t="s">
        <v>2029</v>
      </c>
    </row>
    <row r="191" spans="1:39" ht="15" hidden="1" thickTop="1" x14ac:dyDescent="0.35">
      <c r="A191" t="s">
        <v>2860</v>
      </c>
      <c r="B191" t="s">
        <v>2857</v>
      </c>
      <c r="C191" t="s">
        <v>100</v>
      </c>
      <c r="D191" t="s">
        <v>2858</v>
      </c>
      <c r="E191" t="s">
        <v>559</v>
      </c>
      <c r="F191">
        <v>1</v>
      </c>
      <c r="G191" t="s">
        <v>2050</v>
      </c>
      <c r="H191" t="s">
        <v>2051</v>
      </c>
      <c r="I191" t="s">
        <v>53</v>
      </c>
      <c r="J191" t="s">
        <v>67</v>
      </c>
      <c r="K191" t="s">
        <v>68</v>
      </c>
      <c r="L191" t="s">
        <v>2052</v>
      </c>
      <c r="M191" t="s">
        <v>2053</v>
      </c>
      <c r="N191">
        <v>0</v>
      </c>
      <c r="O191">
        <v>0</v>
      </c>
      <c r="P191">
        <v>0</v>
      </c>
      <c r="Q191">
        <v>1440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289</v>
      </c>
      <c r="AH191" s="21" t="s">
        <v>3424</v>
      </c>
      <c r="AI191" s="21">
        <v>107.92500000000001</v>
      </c>
      <c r="AJ191" s="21">
        <v>100</v>
      </c>
      <c r="AK191" s="21" t="s">
        <v>2054</v>
      </c>
      <c r="AL191" t="s">
        <v>70</v>
      </c>
      <c r="AM191" t="s">
        <v>2028</v>
      </c>
    </row>
    <row r="192" spans="1:39" ht="15" hidden="1" thickTop="1" x14ac:dyDescent="0.35">
      <c r="A192" t="s">
        <v>2865</v>
      </c>
      <c r="B192" t="s">
        <v>2862</v>
      </c>
      <c r="C192" t="s">
        <v>81</v>
      </c>
      <c r="D192" t="s">
        <v>2863</v>
      </c>
      <c r="E192" t="s">
        <v>559</v>
      </c>
      <c r="F192">
        <v>1</v>
      </c>
      <c r="G192" t="s">
        <v>2050</v>
      </c>
      <c r="H192" t="s">
        <v>2051</v>
      </c>
      <c r="I192" t="s">
        <v>53</v>
      </c>
      <c r="J192" t="s">
        <v>82</v>
      </c>
      <c r="K192" t="s">
        <v>68</v>
      </c>
      <c r="L192" t="s">
        <v>2052</v>
      </c>
      <c r="M192" t="s">
        <v>2053</v>
      </c>
      <c r="N192">
        <v>0</v>
      </c>
      <c r="O192">
        <v>0</v>
      </c>
      <c r="P192">
        <v>0</v>
      </c>
      <c r="Q192">
        <v>1440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290</v>
      </c>
      <c r="AH192" s="21" t="s">
        <v>3424</v>
      </c>
      <c r="AI192" s="21">
        <v>107.92500000000001</v>
      </c>
      <c r="AJ192" s="21">
        <v>100</v>
      </c>
      <c r="AK192" s="21" t="s">
        <v>2054</v>
      </c>
      <c r="AL192" t="s">
        <v>70</v>
      </c>
      <c r="AM192" t="s">
        <v>2030</v>
      </c>
    </row>
    <row r="193" spans="1:39" ht="15" hidden="1" thickTop="1" x14ac:dyDescent="0.35">
      <c r="A193" t="s">
        <v>2871</v>
      </c>
      <c r="B193" t="s">
        <v>2868</v>
      </c>
      <c r="C193" t="s">
        <v>78</v>
      </c>
      <c r="D193" t="s">
        <v>2869</v>
      </c>
      <c r="E193" t="s">
        <v>559</v>
      </c>
      <c r="F193">
        <v>1</v>
      </c>
      <c r="G193" t="s">
        <v>2050</v>
      </c>
      <c r="H193" t="s">
        <v>2051</v>
      </c>
      <c r="I193" t="s">
        <v>53</v>
      </c>
      <c r="J193" t="s">
        <v>67</v>
      </c>
      <c r="K193" t="s">
        <v>68</v>
      </c>
      <c r="L193" t="s">
        <v>2052</v>
      </c>
      <c r="M193" t="s">
        <v>2064</v>
      </c>
      <c r="N193">
        <v>0</v>
      </c>
      <c r="O193">
        <v>0</v>
      </c>
      <c r="P193">
        <v>0</v>
      </c>
      <c r="Q193">
        <v>900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291</v>
      </c>
      <c r="AH193" s="21" t="s">
        <v>3424</v>
      </c>
      <c r="AI193" s="21">
        <v>67.5</v>
      </c>
      <c r="AJ193" s="21">
        <v>100</v>
      </c>
      <c r="AK193" s="21" t="s">
        <v>2054</v>
      </c>
      <c r="AL193" t="s">
        <v>70</v>
      </c>
      <c r="AM193" t="s">
        <v>2028</v>
      </c>
    </row>
    <row r="194" spans="1:39" ht="15" hidden="1" thickTop="1" x14ac:dyDescent="0.35">
      <c r="A194" t="s">
        <v>2878</v>
      </c>
      <c r="B194" t="s">
        <v>2876</v>
      </c>
      <c r="C194" t="s">
        <v>100</v>
      </c>
      <c r="D194" t="s">
        <v>2877</v>
      </c>
      <c r="E194" t="s">
        <v>559</v>
      </c>
      <c r="F194">
        <v>1</v>
      </c>
      <c r="G194" t="s">
        <v>2050</v>
      </c>
      <c r="H194" t="s">
        <v>2051</v>
      </c>
      <c r="I194" t="s">
        <v>53</v>
      </c>
      <c r="J194" t="s">
        <v>67</v>
      </c>
      <c r="K194" t="s">
        <v>68</v>
      </c>
      <c r="L194" t="s">
        <v>2052</v>
      </c>
      <c r="M194" t="s">
        <v>2053</v>
      </c>
      <c r="N194">
        <v>0</v>
      </c>
      <c r="O194">
        <v>0</v>
      </c>
      <c r="P194">
        <v>0</v>
      </c>
      <c r="Q194">
        <v>1440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 t="s">
        <v>292</v>
      </c>
      <c r="AH194" s="21" t="s">
        <v>3424</v>
      </c>
      <c r="AI194" s="21">
        <v>107.92500000000001</v>
      </c>
      <c r="AJ194" s="21">
        <v>100</v>
      </c>
      <c r="AK194" s="21" t="s">
        <v>2054</v>
      </c>
      <c r="AL194" t="s">
        <v>70</v>
      </c>
      <c r="AM194" t="s">
        <v>2028</v>
      </c>
    </row>
    <row r="195" spans="1:39" ht="15" hidden="1" thickTop="1" x14ac:dyDescent="0.35">
      <c r="A195" t="s">
        <v>2885</v>
      </c>
      <c r="B195" t="s">
        <v>2883</v>
      </c>
      <c r="C195" t="s">
        <v>92</v>
      </c>
      <c r="D195" t="s">
        <v>2884</v>
      </c>
      <c r="E195" t="s">
        <v>559</v>
      </c>
      <c r="F195">
        <v>1</v>
      </c>
      <c r="G195" t="s">
        <v>2050</v>
      </c>
      <c r="H195" t="s">
        <v>2051</v>
      </c>
      <c r="I195" t="s">
        <v>53</v>
      </c>
      <c r="J195" t="s">
        <v>67</v>
      </c>
      <c r="K195" t="s">
        <v>68</v>
      </c>
      <c r="L195" t="s">
        <v>2052</v>
      </c>
      <c r="M195" t="s">
        <v>2053</v>
      </c>
      <c r="N195">
        <v>0</v>
      </c>
      <c r="O195">
        <v>0</v>
      </c>
      <c r="P195">
        <v>0</v>
      </c>
      <c r="Q195">
        <v>1440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 t="s">
        <v>293</v>
      </c>
      <c r="AH195" s="21" t="s">
        <v>3424</v>
      </c>
      <c r="AI195" s="21">
        <v>107.92500000000001</v>
      </c>
      <c r="AJ195" s="21">
        <v>100</v>
      </c>
      <c r="AK195" s="21" t="s">
        <v>2055</v>
      </c>
      <c r="AL195" t="s">
        <v>70</v>
      </c>
      <c r="AM195" t="s">
        <v>2029</v>
      </c>
    </row>
    <row r="196" spans="1:39" ht="15" hidden="1" thickTop="1" x14ac:dyDescent="0.35">
      <c r="A196" t="s">
        <v>2892</v>
      </c>
      <c r="B196" t="s">
        <v>2890</v>
      </c>
      <c r="C196" t="s">
        <v>92</v>
      </c>
      <c r="D196" t="s">
        <v>2891</v>
      </c>
      <c r="E196" t="s">
        <v>119</v>
      </c>
      <c r="F196">
        <v>1</v>
      </c>
      <c r="G196" t="s">
        <v>2050</v>
      </c>
      <c r="H196" t="s">
        <v>2051</v>
      </c>
      <c r="I196" t="s">
        <v>53</v>
      </c>
      <c r="J196" t="s">
        <v>67</v>
      </c>
      <c r="K196" t="s">
        <v>68</v>
      </c>
      <c r="L196" t="s">
        <v>2052</v>
      </c>
      <c r="M196" t="s">
        <v>2064</v>
      </c>
      <c r="N196">
        <v>0</v>
      </c>
      <c r="O196">
        <v>0</v>
      </c>
      <c r="P196">
        <v>0</v>
      </c>
      <c r="Q196">
        <v>900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294</v>
      </c>
      <c r="AH196" s="21" t="s">
        <v>3425</v>
      </c>
      <c r="AI196" s="21">
        <v>67.5</v>
      </c>
      <c r="AJ196" s="21">
        <v>100</v>
      </c>
      <c r="AK196" s="21" t="s">
        <v>2054</v>
      </c>
      <c r="AL196" t="s">
        <v>70</v>
      </c>
      <c r="AM196" t="s">
        <v>2027</v>
      </c>
    </row>
    <row r="197" spans="1:39" ht="15" hidden="1" thickTop="1" x14ac:dyDescent="0.35">
      <c r="A197" t="s">
        <v>2897</v>
      </c>
      <c r="B197" t="s">
        <v>2900</v>
      </c>
      <c r="C197" t="s">
        <v>76</v>
      </c>
      <c r="D197" t="s">
        <v>2901</v>
      </c>
      <c r="E197" t="s">
        <v>559</v>
      </c>
      <c r="F197">
        <v>1</v>
      </c>
      <c r="G197" t="s">
        <v>2050</v>
      </c>
      <c r="H197" t="s">
        <v>2051</v>
      </c>
      <c r="I197" t="s">
        <v>53</v>
      </c>
      <c r="J197" t="s">
        <v>67</v>
      </c>
      <c r="K197" t="s">
        <v>68</v>
      </c>
      <c r="L197" t="s">
        <v>2052</v>
      </c>
      <c r="M197" t="s">
        <v>2053</v>
      </c>
      <c r="N197">
        <v>0</v>
      </c>
      <c r="O197">
        <v>0</v>
      </c>
      <c r="P197">
        <v>0</v>
      </c>
      <c r="Q197">
        <v>1440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 t="s">
        <v>296</v>
      </c>
      <c r="AH197" s="21" t="s">
        <v>3427</v>
      </c>
      <c r="AI197" s="21">
        <v>107.92500000000001</v>
      </c>
      <c r="AJ197" s="21">
        <v>100</v>
      </c>
      <c r="AK197" s="21" t="s">
        <v>2055</v>
      </c>
      <c r="AL197" t="s">
        <v>70</v>
      </c>
      <c r="AM197" t="s">
        <v>2030</v>
      </c>
    </row>
    <row r="198" spans="1:39" ht="15" hidden="1" thickTop="1" x14ac:dyDescent="0.35">
      <c r="A198" t="s">
        <v>2903</v>
      </c>
      <c r="B198" t="s">
        <v>2906</v>
      </c>
      <c r="C198" t="s">
        <v>78</v>
      </c>
      <c r="D198" t="s">
        <v>2907</v>
      </c>
      <c r="E198" t="s">
        <v>559</v>
      </c>
      <c r="F198">
        <v>1</v>
      </c>
      <c r="G198" t="s">
        <v>2050</v>
      </c>
      <c r="H198" t="s">
        <v>2051</v>
      </c>
      <c r="I198" t="s">
        <v>53</v>
      </c>
      <c r="J198" t="s">
        <v>67</v>
      </c>
      <c r="K198" t="s">
        <v>68</v>
      </c>
      <c r="L198" t="s">
        <v>2052</v>
      </c>
      <c r="M198" t="s">
        <v>2053</v>
      </c>
      <c r="N198">
        <v>0</v>
      </c>
      <c r="O198">
        <v>0</v>
      </c>
      <c r="P198">
        <v>0</v>
      </c>
      <c r="Q198">
        <v>1440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t="s">
        <v>297</v>
      </c>
      <c r="AH198" s="21" t="s">
        <v>3427</v>
      </c>
      <c r="AI198" s="21">
        <v>107.92500000000001</v>
      </c>
      <c r="AJ198" s="21">
        <v>100</v>
      </c>
      <c r="AK198" s="21" t="s">
        <v>2054</v>
      </c>
      <c r="AL198" t="s">
        <v>70</v>
      </c>
      <c r="AM198" t="s">
        <v>2028</v>
      </c>
    </row>
    <row r="199" spans="1:39" ht="15" hidden="1" thickTop="1" x14ac:dyDescent="0.35">
      <c r="A199" t="s">
        <v>2910</v>
      </c>
      <c r="B199" t="s">
        <v>2913</v>
      </c>
      <c r="C199" t="s">
        <v>3376</v>
      </c>
      <c r="D199" t="s">
        <v>2914</v>
      </c>
      <c r="E199" t="s">
        <v>559</v>
      </c>
      <c r="F199">
        <v>1</v>
      </c>
      <c r="G199" t="s">
        <v>2050</v>
      </c>
      <c r="H199" t="s">
        <v>2051</v>
      </c>
      <c r="I199" t="s">
        <v>53</v>
      </c>
      <c r="J199" t="s">
        <v>67</v>
      </c>
      <c r="K199" t="s">
        <v>68</v>
      </c>
      <c r="L199" t="s">
        <v>2052</v>
      </c>
      <c r="M199" t="s">
        <v>2053</v>
      </c>
      <c r="N199">
        <v>0</v>
      </c>
      <c r="O199">
        <v>0</v>
      </c>
      <c r="P199">
        <v>0</v>
      </c>
      <c r="Q199">
        <v>1440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298</v>
      </c>
      <c r="AH199" s="21" t="s">
        <v>3427</v>
      </c>
      <c r="AI199" s="21">
        <v>107.92500000000001</v>
      </c>
      <c r="AJ199" s="21">
        <v>100</v>
      </c>
      <c r="AK199" s="21" t="s">
        <v>2054</v>
      </c>
      <c r="AL199" t="s">
        <v>70</v>
      </c>
      <c r="AM199" t="s">
        <v>2027</v>
      </c>
    </row>
    <row r="200" spans="1:39" ht="15" hidden="1" thickTop="1" x14ac:dyDescent="0.35">
      <c r="A200" t="s">
        <v>2917</v>
      </c>
      <c r="B200" t="s">
        <v>2922</v>
      </c>
      <c r="C200" t="s">
        <v>66</v>
      </c>
      <c r="D200" t="s">
        <v>2923</v>
      </c>
      <c r="E200" t="s">
        <v>559</v>
      </c>
      <c r="F200">
        <v>1</v>
      </c>
      <c r="G200" t="s">
        <v>2050</v>
      </c>
      <c r="H200" t="s">
        <v>2051</v>
      </c>
      <c r="I200" t="s">
        <v>53</v>
      </c>
      <c r="J200" t="s">
        <v>67</v>
      </c>
      <c r="K200" t="s">
        <v>68</v>
      </c>
      <c r="L200" t="s">
        <v>2052</v>
      </c>
      <c r="M200" t="s">
        <v>2053</v>
      </c>
      <c r="N200">
        <v>0</v>
      </c>
      <c r="O200">
        <v>0</v>
      </c>
      <c r="P200">
        <v>0</v>
      </c>
      <c r="Q200">
        <v>1440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299</v>
      </c>
      <c r="AH200" s="21" t="s">
        <v>3424</v>
      </c>
      <c r="AI200" s="21">
        <v>107.92500000000001</v>
      </c>
      <c r="AJ200" s="21">
        <v>100</v>
      </c>
      <c r="AK200" s="21" t="s">
        <v>2054</v>
      </c>
      <c r="AL200" t="s">
        <v>70</v>
      </c>
      <c r="AM200" t="s">
        <v>2028</v>
      </c>
    </row>
    <row r="201" spans="1:39" ht="15" hidden="1" thickTop="1" x14ac:dyDescent="0.35">
      <c r="A201" t="s">
        <v>2920</v>
      </c>
      <c r="B201" t="s">
        <v>2925</v>
      </c>
      <c r="C201" t="s">
        <v>102</v>
      </c>
      <c r="D201" t="s">
        <v>2926</v>
      </c>
      <c r="E201" t="s">
        <v>559</v>
      </c>
      <c r="F201">
        <v>1</v>
      </c>
      <c r="G201" t="s">
        <v>2050</v>
      </c>
      <c r="H201" t="s">
        <v>2051</v>
      </c>
      <c r="I201" t="s">
        <v>53</v>
      </c>
      <c r="J201" t="s">
        <v>67</v>
      </c>
      <c r="K201" t="s">
        <v>68</v>
      </c>
      <c r="L201" t="s">
        <v>2052</v>
      </c>
      <c r="M201" t="s">
        <v>2053</v>
      </c>
      <c r="N201">
        <v>0</v>
      </c>
      <c r="O201">
        <v>0</v>
      </c>
      <c r="P201">
        <v>0</v>
      </c>
      <c r="Q201">
        <v>1440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300</v>
      </c>
      <c r="AH201" s="21" t="s">
        <v>3424</v>
      </c>
      <c r="AI201" s="21">
        <v>107.92500000000001</v>
      </c>
      <c r="AJ201" s="21">
        <v>100</v>
      </c>
      <c r="AK201" s="21" t="s">
        <v>2054</v>
      </c>
      <c r="AL201" t="s">
        <v>70</v>
      </c>
      <c r="AM201" t="s">
        <v>2028</v>
      </c>
    </row>
    <row r="202" spans="1:39" ht="15" hidden="1" thickTop="1" x14ac:dyDescent="0.35">
      <c r="A202" t="s">
        <v>2929</v>
      </c>
      <c r="B202" t="s">
        <v>2935</v>
      </c>
      <c r="C202" t="s">
        <v>76</v>
      </c>
      <c r="D202" t="s">
        <v>2936</v>
      </c>
      <c r="E202" t="s">
        <v>559</v>
      </c>
      <c r="F202">
        <v>1</v>
      </c>
      <c r="G202" t="s">
        <v>2050</v>
      </c>
      <c r="H202" t="s">
        <v>2051</v>
      </c>
      <c r="I202" t="s">
        <v>53</v>
      </c>
      <c r="J202" t="s">
        <v>67</v>
      </c>
      <c r="K202" t="s">
        <v>68</v>
      </c>
      <c r="L202" t="s">
        <v>2052</v>
      </c>
      <c r="M202" t="s">
        <v>2053</v>
      </c>
      <c r="N202">
        <v>4</v>
      </c>
      <c r="O202">
        <v>280</v>
      </c>
      <c r="P202">
        <v>19.440000000000001</v>
      </c>
      <c r="Q202">
        <v>1440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4</v>
      </c>
      <c r="Y202">
        <v>280</v>
      </c>
      <c r="Z202">
        <v>19.440000000000001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301</v>
      </c>
      <c r="AH202" s="21" t="s">
        <v>3424</v>
      </c>
      <c r="AI202" s="21">
        <v>107.92500000000001</v>
      </c>
      <c r="AJ202" s="21">
        <v>80.555555555555557</v>
      </c>
      <c r="AK202" s="21" t="s">
        <v>2055</v>
      </c>
      <c r="AL202" t="s">
        <v>70</v>
      </c>
      <c r="AM202" t="s">
        <v>2028</v>
      </c>
    </row>
    <row r="203" spans="1:39" ht="15" hidden="1" thickTop="1" x14ac:dyDescent="0.35">
      <c r="A203" t="s">
        <v>2555</v>
      </c>
      <c r="B203" t="s">
        <v>2938</v>
      </c>
      <c r="C203" t="s">
        <v>76</v>
      </c>
      <c r="D203" t="s">
        <v>2939</v>
      </c>
      <c r="E203" t="s">
        <v>119</v>
      </c>
      <c r="F203">
        <v>1</v>
      </c>
      <c r="G203" t="s">
        <v>2050</v>
      </c>
      <c r="H203" t="s">
        <v>2051</v>
      </c>
      <c r="I203" t="s">
        <v>53</v>
      </c>
      <c r="J203" t="s">
        <v>67</v>
      </c>
      <c r="K203" t="s">
        <v>68</v>
      </c>
      <c r="L203" t="s">
        <v>2052</v>
      </c>
      <c r="M203" t="s">
        <v>2053</v>
      </c>
      <c r="N203">
        <v>0</v>
      </c>
      <c r="O203">
        <v>0</v>
      </c>
      <c r="P203">
        <v>0</v>
      </c>
      <c r="Q203">
        <v>1440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302</v>
      </c>
      <c r="AH203" s="21" t="s">
        <v>3424</v>
      </c>
      <c r="AI203" s="21">
        <v>107.92500000000001</v>
      </c>
      <c r="AJ203" s="21">
        <v>100</v>
      </c>
      <c r="AK203" s="21" t="s">
        <v>2055</v>
      </c>
      <c r="AL203" t="s">
        <v>70</v>
      </c>
      <c r="AM203" t="s">
        <v>2029</v>
      </c>
    </row>
    <row r="204" spans="1:39" ht="15" hidden="1" thickTop="1" x14ac:dyDescent="0.35">
      <c r="A204" t="s">
        <v>2931</v>
      </c>
      <c r="B204" t="s">
        <v>2942</v>
      </c>
      <c r="C204" t="s">
        <v>128</v>
      </c>
      <c r="D204" t="s">
        <v>2943</v>
      </c>
      <c r="E204" t="s">
        <v>112</v>
      </c>
      <c r="F204">
        <v>1</v>
      </c>
      <c r="G204" t="s">
        <v>2050</v>
      </c>
      <c r="H204" t="s">
        <v>2051</v>
      </c>
      <c r="I204" t="s">
        <v>53</v>
      </c>
      <c r="J204" t="s">
        <v>113</v>
      </c>
      <c r="K204" t="s">
        <v>68</v>
      </c>
      <c r="L204" t="s">
        <v>2052</v>
      </c>
      <c r="M204" t="s">
        <v>2053</v>
      </c>
      <c r="N204">
        <v>0</v>
      </c>
      <c r="O204">
        <v>0</v>
      </c>
      <c r="P204">
        <v>0</v>
      </c>
      <c r="Q204">
        <v>1440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t="s">
        <v>303</v>
      </c>
      <c r="AH204" s="21" t="s">
        <v>3427</v>
      </c>
      <c r="AI204" s="21">
        <v>107.92500000000001</v>
      </c>
      <c r="AJ204" s="21">
        <v>100</v>
      </c>
      <c r="AK204" s="21" t="s">
        <v>2054</v>
      </c>
      <c r="AL204" t="s">
        <v>115</v>
      </c>
      <c r="AM204" t="s">
        <v>2027</v>
      </c>
    </row>
    <row r="205" spans="1:39" ht="15" hidden="1" thickTop="1" x14ac:dyDescent="0.35">
      <c r="A205" t="s">
        <v>2937</v>
      </c>
      <c r="B205" t="s">
        <v>2944</v>
      </c>
      <c r="C205" t="s">
        <v>237</v>
      </c>
      <c r="D205" t="s">
        <v>2945</v>
      </c>
      <c r="E205" t="s">
        <v>72</v>
      </c>
      <c r="F205">
        <v>1</v>
      </c>
      <c r="G205" t="s">
        <v>2050</v>
      </c>
      <c r="H205" t="s">
        <v>2051</v>
      </c>
      <c r="I205" t="s">
        <v>53</v>
      </c>
      <c r="J205" t="s">
        <v>73</v>
      </c>
      <c r="K205" t="s">
        <v>68</v>
      </c>
      <c r="L205" t="s">
        <v>2052</v>
      </c>
      <c r="M205" t="s">
        <v>2053</v>
      </c>
      <c r="N205">
        <v>0</v>
      </c>
      <c r="O205">
        <v>0</v>
      </c>
      <c r="P205">
        <v>0</v>
      </c>
      <c r="Q205">
        <v>1440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304</v>
      </c>
      <c r="AH205" s="21" t="s">
        <v>3427</v>
      </c>
      <c r="AI205" s="21">
        <v>107.92500000000001</v>
      </c>
      <c r="AJ205" s="21">
        <v>100</v>
      </c>
      <c r="AK205" s="21" t="s">
        <v>2054</v>
      </c>
      <c r="AL205" t="s">
        <v>75</v>
      </c>
      <c r="AM205" t="s">
        <v>2027</v>
      </c>
    </row>
    <row r="206" spans="1:39" ht="15" hidden="1" thickTop="1" x14ac:dyDescent="0.35">
      <c r="A206" t="s">
        <v>2948</v>
      </c>
      <c r="B206" t="s">
        <v>2953</v>
      </c>
      <c r="C206" t="s">
        <v>81</v>
      </c>
      <c r="D206" t="s">
        <v>2954</v>
      </c>
      <c r="E206" t="s">
        <v>559</v>
      </c>
      <c r="F206">
        <v>2</v>
      </c>
      <c r="G206" t="s">
        <v>2050</v>
      </c>
      <c r="H206" t="s">
        <v>2051</v>
      </c>
      <c r="I206" t="s">
        <v>53</v>
      </c>
      <c r="J206" t="s">
        <v>82</v>
      </c>
      <c r="K206" t="s">
        <v>68</v>
      </c>
      <c r="L206" t="s">
        <v>2052</v>
      </c>
      <c r="M206" t="s">
        <v>2083</v>
      </c>
      <c r="N206">
        <v>0</v>
      </c>
      <c r="O206">
        <v>0</v>
      </c>
      <c r="P206">
        <v>0</v>
      </c>
      <c r="Q206">
        <v>960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305</v>
      </c>
      <c r="AH206" s="21" t="s">
        <v>3427</v>
      </c>
      <c r="AI206" s="21">
        <v>72.000000000000014</v>
      </c>
      <c r="AJ206" s="21">
        <v>100</v>
      </c>
      <c r="AK206" s="21" t="s">
        <v>2054</v>
      </c>
      <c r="AL206" t="s">
        <v>70</v>
      </c>
      <c r="AM206" t="s">
        <v>2029</v>
      </c>
    </row>
    <row r="207" spans="1:39" ht="15" hidden="1" thickTop="1" x14ac:dyDescent="0.35">
      <c r="A207" t="s">
        <v>2949</v>
      </c>
      <c r="B207" t="s">
        <v>2955</v>
      </c>
      <c r="C207" t="s">
        <v>92</v>
      </c>
      <c r="D207" t="s">
        <v>2956</v>
      </c>
      <c r="E207" t="s">
        <v>559</v>
      </c>
      <c r="F207">
        <v>1</v>
      </c>
      <c r="G207" t="s">
        <v>2050</v>
      </c>
      <c r="H207" t="s">
        <v>2051</v>
      </c>
      <c r="I207" t="s">
        <v>53</v>
      </c>
      <c r="J207" t="s">
        <v>67</v>
      </c>
      <c r="K207" t="s">
        <v>68</v>
      </c>
      <c r="L207" t="s">
        <v>2052</v>
      </c>
      <c r="M207" t="s">
        <v>2053</v>
      </c>
      <c r="N207">
        <v>0</v>
      </c>
      <c r="O207">
        <v>0</v>
      </c>
      <c r="P207">
        <v>0</v>
      </c>
      <c r="Q207">
        <v>1440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306</v>
      </c>
      <c r="AH207" s="21" t="s">
        <v>3424</v>
      </c>
      <c r="AI207" s="21">
        <v>107.92500000000001</v>
      </c>
      <c r="AJ207" s="21">
        <v>100</v>
      </c>
      <c r="AK207" s="21" t="s">
        <v>2054</v>
      </c>
      <c r="AL207" t="s">
        <v>70</v>
      </c>
      <c r="AM207" t="s">
        <v>2027</v>
      </c>
    </row>
    <row r="208" spans="1:39" ht="15" hidden="1" thickTop="1" x14ac:dyDescent="0.35">
      <c r="A208" t="s">
        <v>2950</v>
      </c>
      <c r="B208" t="s">
        <v>2957</v>
      </c>
      <c r="C208" t="s">
        <v>66</v>
      </c>
      <c r="D208" t="s">
        <v>2958</v>
      </c>
      <c r="E208" t="s">
        <v>559</v>
      </c>
      <c r="F208">
        <v>1</v>
      </c>
      <c r="G208" t="s">
        <v>2050</v>
      </c>
      <c r="H208" t="s">
        <v>2051</v>
      </c>
      <c r="I208" t="s">
        <v>53</v>
      </c>
      <c r="J208" t="s">
        <v>67</v>
      </c>
      <c r="K208" t="s">
        <v>68</v>
      </c>
      <c r="L208" t="s">
        <v>2052</v>
      </c>
      <c r="M208" t="s">
        <v>2053</v>
      </c>
      <c r="N208">
        <v>0</v>
      </c>
      <c r="O208">
        <v>0</v>
      </c>
      <c r="P208">
        <v>0</v>
      </c>
      <c r="Q208">
        <v>1440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307</v>
      </c>
      <c r="AH208" s="21" t="s">
        <v>3424</v>
      </c>
      <c r="AI208" s="21">
        <v>107.92500000000001</v>
      </c>
      <c r="AJ208" s="21">
        <v>100</v>
      </c>
      <c r="AK208" s="21" t="s">
        <v>2054</v>
      </c>
      <c r="AL208" t="s">
        <v>70</v>
      </c>
      <c r="AM208" t="s">
        <v>2028</v>
      </c>
    </row>
    <row r="209" spans="1:39" ht="15" hidden="1" thickTop="1" x14ac:dyDescent="0.35">
      <c r="A209" t="s">
        <v>2960</v>
      </c>
      <c r="B209" t="s">
        <v>2968</v>
      </c>
      <c r="C209" t="s">
        <v>92</v>
      </c>
      <c r="D209" t="s">
        <v>2969</v>
      </c>
      <c r="E209" t="s">
        <v>119</v>
      </c>
      <c r="F209">
        <v>1</v>
      </c>
      <c r="G209" t="s">
        <v>2050</v>
      </c>
      <c r="H209" t="s">
        <v>2051</v>
      </c>
      <c r="I209" t="s">
        <v>53</v>
      </c>
      <c r="J209" t="s">
        <v>67</v>
      </c>
      <c r="K209" t="s">
        <v>68</v>
      </c>
      <c r="L209" t="s">
        <v>2052</v>
      </c>
      <c r="M209" t="s">
        <v>2053</v>
      </c>
      <c r="N209">
        <v>0</v>
      </c>
      <c r="O209">
        <v>0</v>
      </c>
      <c r="P209">
        <v>0</v>
      </c>
      <c r="Q209">
        <v>1440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 t="s">
        <v>308</v>
      </c>
      <c r="AH209" s="21" t="s">
        <v>3424</v>
      </c>
      <c r="AI209" s="21">
        <v>107.92500000000001</v>
      </c>
      <c r="AJ209" s="21">
        <v>100</v>
      </c>
      <c r="AK209" s="21" t="s">
        <v>2054</v>
      </c>
      <c r="AL209" t="s">
        <v>70</v>
      </c>
      <c r="AM209" t="s">
        <v>2028</v>
      </c>
    </row>
    <row r="210" spans="1:39" ht="15" hidden="1" thickTop="1" x14ac:dyDescent="0.35">
      <c r="A210" t="s">
        <v>2965</v>
      </c>
      <c r="B210" t="s">
        <v>2970</v>
      </c>
      <c r="C210" t="s">
        <v>86</v>
      </c>
      <c r="D210" t="s">
        <v>2971</v>
      </c>
      <c r="E210" t="s">
        <v>72</v>
      </c>
      <c r="F210">
        <v>1</v>
      </c>
      <c r="G210" t="s">
        <v>2050</v>
      </c>
      <c r="H210" t="s">
        <v>2051</v>
      </c>
      <c r="I210" t="s">
        <v>53</v>
      </c>
      <c r="J210" t="s">
        <v>73</v>
      </c>
      <c r="K210" t="s">
        <v>68</v>
      </c>
      <c r="L210" t="s">
        <v>2052</v>
      </c>
      <c r="M210" t="s">
        <v>2053</v>
      </c>
      <c r="N210">
        <v>0</v>
      </c>
      <c r="O210">
        <v>0</v>
      </c>
      <c r="P210">
        <v>0</v>
      </c>
      <c r="Q210">
        <v>1440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309</v>
      </c>
      <c r="AH210" s="21" t="s">
        <v>3424</v>
      </c>
      <c r="AI210" s="21">
        <v>107.92500000000001</v>
      </c>
      <c r="AJ210" s="21">
        <v>100</v>
      </c>
      <c r="AK210" s="21" t="s">
        <v>2054</v>
      </c>
      <c r="AL210" t="s">
        <v>75</v>
      </c>
      <c r="AM210" t="s">
        <v>2027</v>
      </c>
    </row>
    <row r="211" spans="1:39" ht="15" hidden="1" thickTop="1" x14ac:dyDescent="0.35">
      <c r="A211" t="s">
        <v>2974</v>
      </c>
      <c r="B211" t="s">
        <v>2977</v>
      </c>
      <c r="C211" t="s">
        <v>66</v>
      </c>
      <c r="D211" t="s">
        <v>2978</v>
      </c>
      <c r="E211" t="s">
        <v>559</v>
      </c>
      <c r="F211">
        <v>1</v>
      </c>
      <c r="G211" t="s">
        <v>2050</v>
      </c>
      <c r="H211" t="s">
        <v>2051</v>
      </c>
      <c r="I211" t="s">
        <v>53</v>
      </c>
      <c r="J211" t="s">
        <v>67</v>
      </c>
      <c r="K211" t="s">
        <v>68</v>
      </c>
      <c r="L211" t="s">
        <v>2052</v>
      </c>
      <c r="M211" t="s">
        <v>2064</v>
      </c>
      <c r="N211">
        <v>0</v>
      </c>
      <c r="O211">
        <v>0</v>
      </c>
      <c r="P211">
        <v>0</v>
      </c>
      <c r="Q211">
        <v>900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t="s">
        <v>310</v>
      </c>
      <c r="AH211" s="21" t="s">
        <v>3424</v>
      </c>
      <c r="AI211" s="21">
        <v>67.5</v>
      </c>
      <c r="AJ211" s="21">
        <v>100</v>
      </c>
      <c r="AK211" s="21" t="s">
        <v>2054</v>
      </c>
      <c r="AL211" t="s">
        <v>70</v>
      </c>
      <c r="AM211" t="s">
        <v>2029</v>
      </c>
    </row>
    <row r="212" spans="1:39" ht="15" hidden="1" thickTop="1" x14ac:dyDescent="0.35">
      <c r="A212" t="s">
        <v>2981</v>
      </c>
      <c r="B212" t="s">
        <v>2984</v>
      </c>
      <c r="C212" t="s">
        <v>76</v>
      </c>
      <c r="D212" t="s">
        <v>2985</v>
      </c>
      <c r="E212" t="s">
        <v>119</v>
      </c>
      <c r="F212">
        <v>1</v>
      </c>
      <c r="G212" t="s">
        <v>2050</v>
      </c>
      <c r="H212" t="s">
        <v>2051</v>
      </c>
      <c r="I212" t="s">
        <v>53</v>
      </c>
      <c r="J212" t="s">
        <v>67</v>
      </c>
      <c r="K212" t="s">
        <v>68</v>
      </c>
      <c r="L212" t="s">
        <v>2052</v>
      </c>
      <c r="M212" t="s">
        <v>2053</v>
      </c>
      <c r="N212">
        <v>0</v>
      </c>
      <c r="O212">
        <v>0</v>
      </c>
      <c r="P212">
        <v>0</v>
      </c>
      <c r="Q212">
        <v>1440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t="s">
        <v>311</v>
      </c>
      <c r="AH212" s="21" t="s">
        <v>3429</v>
      </c>
      <c r="AI212" s="21">
        <v>107.92500000000001</v>
      </c>
      <c r="AJ212" s="21">
        <v>100</v>
      </c>
      <c r="AK212" s="21" t="s">
        <v>2054</v>
      </c>
      <c r="AL212" t="s">
        <v>70</v>
      </c>
      <c r="AM212" t="s">
        <v>2029</v>
      </c>
    </row>
    <row r="213" spans="1:39" ht="15" hidden="1" thickTop="1" x14ac:dyDescent="0.35">
      <c r="A213" t="s">
        <v>2988</v>
      </c>
      <c r="B213" t="s">
        <v>2996</v>
      </c>
      <c r="C213" t="s">
        <v>71</v>
      </c>
      <c r="D213" t="s">
        <v>2997</v>
      </c>
      <c r="E213" t="s">
        <v>72</v>
      </c>
      <c r="F213">
        <v>2</v>
      </c>
      <c r="G213" t="s">
        <v>2050</v>
      </c>
      <c r="H213" t="s">
        <v>2051</v>
      </c>
      <c r="I213" t="s">
        <v>53</v>
      </c>
      <c r="J213" t="s">
        <v>73</v>
      </c>
      <c r="K213" t="s">
        <v>68</v>
      </c>
      <c r="L213" t="s">
        <v>2052</v>
      </c>
      <c r="M213" t="s">
        <v>2053</v>
      </c>
      <c r="N213">
        <v>0</v>
      </c>
      <c r="O213">
        <v>0</v>
      </c>
      <c r="P213">
        <v>0</v>
      </c>
      <c r="Q213">
        <v>1440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t="s">
        <v>312</v>
      </c>
      <c r="AH213" s="21" t="s">
        <v>3424</v>
      </c>
      <c r="AI213" s="21">
        <v>107.92500000000001</v>
      </c>
      <c r="AJ213" s="21">
        <v>100</v>
      </c>
      <c r="AK213" s="21" t="s">
        <v>2054</v>
      </c>
      <c r="AL213" t="s">
        <v>75</v>
      </c>
      <c r="AM213" t="s">
        <v>2028</v>
      </c>
    </row>
    <row r="214" spans="1:39" ht="15" hidden="1" thickTop="1" x14ac:dyDescent="0.35">
      <c r="A214" t="s">
        <v>2989</v>
      </c>
      <c r="B214" t="s">
        <v>2999</v>
      </c>
      <c r="C214" t="s">
        <v>86</v>
      </c>
      <c r="D214" t="s">
        <v>3000</v>
      </c>
      <c r="E214" t="s">
        <v>72</v>
      </c>
      <c r="F214">
        <v>2</v>
      </c>
      <c r="G214" t="s">
        <v>2050</v>
      </c>
      <c r="H214" t="s">
        <v>2051</v>
      </c>
      <c r="I214" t="s">
        <v>53</v>
      </c>
      <c r="J214" t="s">
        <v>73</v>
      </c>
      <c r="K214" t="s">
        <v>68</v>
      </c>
      <c r="L214" t="s">
        <v>2052</v>
      </c>
      <c r="M214" t="s">
        <v>2053</v>
      </c>
      <c r="N214">
        <v>0</v>
      </c>
      <c r="O214">
        <v>0</v>
      </c>
      <c r="P214">
        <v>0</v>
      </c>
      <c r="Q214">
        <v>1440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t="s">
        <v>313</v>
      </c>
      <c r="AH214" s="21" t="s">
        <v>3427</v>
      </c>
      <c r="AI214" s="21">
        <v>107.92500000000001</v>
      </c>
      <c r="AJ214" s="21">
        <v>100</v>
      </c>
      <c r="AK214" s="21" t="s">
        <v>2055</v>
      </c>
      <c r="AL214" t="s">
        <v>75</v>
      </c>
      <c r="AM214" t="s">
        <v>2029</v>
      </c>
    </row>
    <row r="215" spans="1:39" ht="15" hidden="1" thickTop="1" x14ac:dyDescent="0.35">
      <c r="A215" t="s">
        <v>2994</v>
      </c>
      <c r="B215" t="s">
        <v>3007</v>
      </c>
      <c r="C215" t="s">
        <v>102</v>
      </c>
      <c r="D215" t="s">
        <v>3008</v>
      </c>
      <c r="E215" t="s">
        <v>559</v>
      </c>
      <c r="F215">
        <v>1</v>
      </c>
      <c r="G215" t="s">
        <v>2050</v>
      </c>
      <c r="H215" t="s">
        <v>2051</v>
      </c>
      <c r="I215" t="s">
        <v>53</v>
      </c>
      <c r="J215" t="s">
        <v>67</v>
      </c>
      <c r="K215" t="s">
        <v>68</v>
      </c>
      <c r="L215" t="s">
        <v>2052</v>
      </c>
      <c r="M215" t="s">
        <v>2064</v>
      </c>
      <c r="N215">
        <v>0</v>
      </c>
      <c r="O215">
        <v>0</v>
      </c>
      <c r="P215">
        <v>0</v>
      </c>
      <c r="Q215">
        <v>900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314</v>
      </c>
      <c r="AH215" s="21" t="s">
        <v>3424</v>
      </c>
      <c r="AI215" s="21">
        <v>67.5</v>
      </c>
      <c r="AJ215" s="21">
        <v>100</v>
      </c>
      <c r="AK215" s="21" t="s">
        <v>2055</v>
      </c>
      <c r="AL215" t="s">
        <v>70</v>
      </c>
      <c r="AM215" t="s">
        <v>2029</v>
      </c>
    </row>
    <row r="216" spans="1:39" ht="15" hidden="1" thickTop="1" x14ac:dyDescent="0.35">
      <c r="A216" t="s">
        <v>2995</v>
      </c>
      <c r="B216" t="s">
        <v>3009</v>
      </c>
      <c r="C216" t="s">
        <v>66</v>
      </c>
      <c r="D216" t="s">
        <v>3010</v>
      </c>
      <c r="E216" t="s">
        <v>559</v>
      </c>
      <c r="F216">
        <v>1</v>
      </c>
      <c r="G216" t="s">
        <v>2050</v>
      </c>
      <c r="H216" t="s">
        <v>2051</v>
      </c>
      <c r="I216" t="s">
        <v>53</v>
      </c>
      <c r="J216" t="s">
        <v>67</v>
      </c>
      <c r="K216" t="s">
        <v>68</v>
      </c>
      <c r="L216" t="s">
        <v>2052</v>
      </c>
      <c r="M216" t="s">
        <v>2053</v>
      </c>
      <c r="N216">
        <v>0</v>
      </c>
      <c r="O216">
        <v>0</v>
      </c>
      <c r="P216">
        <v>0</v>
      </c>
      <c r="Q216">
        <v>1440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315</v>
      </c>
      <c r="AH216" s="21" t="s">
        <v>3428</v>
      </c>
      <c r="AI216" s="21">
        <v>107.92500000000001</v>
      </c>
      <c r="AJ216" s="21">
        <v>100</v>
      </c>
      <c r="AK216" s="21" t="s">
        <v>2055</v>
      </c>
      <c r="AL216" t="s">
        <v>70</v>
      </c>
      <c r="AM216" t="s">
        <v>2028</v>
      </c>
    </row>
    <row r="217" spans="1:39" ht="15" hidden="1" thickTop="1" x14ac:dyDescent="0.35">
      <c r="A217" t="s">
        <v>3004</v>
      </c>
      <c r="B217" t="s">
        <v>3015</v>
      </c>
      <c r="C217" t="s">
        <v>66</v>
      </c>
      <c r="D217" t="s">
        <v>3016</v>
      </c>
      <c r="E217" t="s">
        <v>119</v>
      </c>
      <c r="F217">
        <v>1</v>
      </c>
      <c r="G217" t="s">
        <v>2050</v>
      </c>
      <c r="H217" t="s">
        <v>2051</v>
      </c>
      <c r="I217" t="s">
        <v>53</v>
      </c>
      <c r="J217" t="s">
        <v>67</v>
      </c>
      <c r="K217" t="s">
        <v>68</v>
      </c>
      <c r="L217" t="s">
        <v>2052</v>
      </c>
      <c r="M217" t="s">
        <v>2053</v>
      </c>
      <c r="N217">
        <v>0</v>
      </c>
      <c r="O217">
        <v>0</v>
      </c>
      <c r="P217">
        <v>0</v>
      </c>
      <c r="Q217">
        <v>1440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316</v>
      </c>
      <c r="AH217" s="21" t="s">
        <v>3425</v>
      </c>
      <c r="AI217" s="21">
        <v>107.92500000000001</v>
      </c>
      <c r="AJ217" s="21">
        <v>100</v>
      </c>
      <c r="AK217" s="21" t="s">
        <v>2054</v>
      </c>
      <c r="AL217" t="s">
        <v>70</v>
      </c>
      <c r="AM217" t="s">
        <v>2027</v>
      </c>
    </row>
    <row r="218" spans="1:39" ht="15" hidden="1" thickTop="1" x14ac:dyDescent="0.35">
      <c r="A218" t="s">
        <v>3012</v>
      </c>
      <c r="B218" t="s">
        <v>3020</v>
      </c>
      <c r="C218" t="s">
        <v>66</v>
      </c>
      <c r="D218" t="s">
        <v>3021</v>
      </c>
      <c r="E218" t="s">
        <v>559</v>
      </c>
      <c r="F218">
        <v>1</v>
      </c>
      <c r="G218" t="s">
        <v>2050</v>
      </c>
      <c r="H218" t="s">
        <v>2051</v>
      </c>
      <c r="I218" t="s">
        <v>53</v>
      </c>
      <c r="J218" t="s">
        <v>67</v>
      </c>
      <c r="K218" t="s">
        <v>68</v>
      </c>
      <c r="L218" t="s">
        <v>2052</v>
      </c>
      <c r="M218" t="s">
        <v>2064</v>
      </c>
      <c r="N218">
        <v>0</v>
      </c>
      <c r="O218">
        <v>0</v>
      </c>
      <c r="P218">
        <v>0</v>
      </c>
      <c r="Q218">
        <v>900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317</v>
      </c>
      <c r="AH218" s="21" t="s">
        <v>3425</v>
      </c>
      <c r="AI218" s="21">
        <v>67.5</v>
      </c>
      <c r="AJ218" s="21">
        <v>100</v>
      </c>
      <c r="AK218" s="21" t="s">
        <v>2054</v>
      </c>
      <c r="AL218" t="s">
        <v>70</v>
      </c>
      <c r="AM218" t="s">
        <v>2029</v>
      </c>
    </row>
    <row r="219" spans="1:39" ht="15" hidden="1" thickTop="1" x14ac:dyDescent="0.35">
      <c r="A219" t="s">
        <v>3019</v>
      </c>
      <c r="B219" t="s">
        <v>3030</v>
      </c>
      <c r="C219" t="s">
        <v>3376</v>
      </c>
      <c r="D219" t="s">
        <v>3031</v>
      </c>
      <c r="E219" t="s">
        <v>559</v>
      </c>
      <c r="F219">
        <v>1</v>
      </c>
      <c r="G219" t="s">
        <v>2050</v>
      </c>
      <c r="H219" t="s">
        <v>2051</v>
      </c>
      <c r="I219" t="s">
        <v>53</v>
      </c>
      <c r="J219" t="s">
        <v>67</v>
      </c>
      <c r="K219" t="s">
        <v>68</v>
      </c>
      <c r="L219" t="s">
        <v>2052</v>
      </c>
      <c r="M219" t="s">
        <v>2053</v>
      </c>
      <c r="N219">
        <v>0</v>
      </c>
      <c r="O219">
        <v>0</v>
      </c>
      <c r="P219">
        <v>0</v>
      </c>
      <c r="Q219">
        <v>1440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t="s">
        <v>318</v>
      </c>
      <c r="AH219" s="21" t="s">
        <v>3424</v>
      </c>
      <c r="AI219" s="21">
        <v>107.92500000000001</v>
      </c>
      <c r="AJ219" s="21">
        <v>100</v>
      </c>
      <c r="AK219" s="21" t="s">
        <v>2054</v>
      </c>
      <c r="AL219" t="s">
        <v>70</v>
      </c>
      <c r="AM219" t="s">
        <v>2027</v>
      </c>
    </row>
    <row r="220" spans="1:39" ht="15" hidden="1" thickTop="1" x14ac:dyDescent="0.35">
      <c r="A220" t="s">
        <v>3024</v>
      </c>
      <c r="B220" t="s">
        <v>3032</v>
      </c>
      <c r="C220" t="s">
        <v>111</v>
      </c>
      <c r="D220" t="s">
        <v>3033</v>
      </c>
      <c r="E220" t="s">
        <v>112</v>
      </c>
      <c r="F220">
        <v>1</v>
      </c>
      <c r="G220" t="s">
        <v>2050</v>
      </c>
      <c r="H220" t="s">
        <v>2051</v>
      </c>
      <c r="I220" t="s">
        <v>53</v>
      </c>
      <c r="J220" t="s">
        <v>113</v>
      </c>
      <c r="K220" t="s">
        <v>68</v>
      </c>
      <c r="L220" t="s">
        <v>2052</v>
      </c>
      <c r="M220" t="s">
        <v>2053</v>
      </c>
      <c r="N220">
        <v>0</v>
      </c>
      <c r="O220">
        <v>0</v>
      </c>
      <c r="P220">
        <v>0</v>
      </c>
      <c r="Q220">
        <v>1440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319</v>
      </c>
      <c r="AH220" s="21" t="s">
        <v>3424</v>
      </c>
      <c r="AI220" s="21">
        <v>107.92500000000001</v>
      </c>
      <c r="AJ220" s="21">
        <v>100</v>
      </c>
      <c r="AK220" s="21" t="s">
        <v>2054</v>
      </c>
      <c r="AL220" t="s">
        <v>115</v>
      </c>
      <c r="AM220" t="s">
        <v>2029</v>
      </c>
    </row>
    <row r="221" spans="1:39" ht="15" hidden="1" thickTop="1" x14ac:dyDescent="0.35">
      <c r="A221" t="s">
        <v>3027</v>
      </c>
      <c r="B221" t="s">
        <v>3034</v>
      </c>
      <c r="C221" t="s">
        <v>78</v>
      </c>
      <c r="D221" t="s">
        <v>3035</v>
      </c>
      <c r="E221" t="s">
        <v>559</v>
      </c>
      <c r="F221">
        <v>1</v>
      </c>
      <c r="G221" t="s">
        <v>2050</v>
      </c>
      <c r="H221" t="s">
        <v>2051</v>
      </c>
      <c r="I221" t="s">
        <v>53</v>
      </c>
      <c r="J221" t="s">
        <v>67</v>
      </c>
      <c r="K221" t="s">
        <v>68</v>
      </c>
      <c r="L221" t="s">
        <v>2052</v>
      </c>
      <c r="M221" t="s">
        <v>2064</v>
      </c>
      <c r="N221">
        <v>0</v>
      </c>
      <c r="O221">
        <v>0</v>
      </c>
      <c r="P221">
        <v>0</v>
      </c>
      <c r="Q221">
        <v>900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320</v>
      </c>
      <c r="AH221" s="21" t="s">
        <v>3425</v>
      </c>
      <c r="AI221" s="21">
        <v>67.5</v>
      </c>
      <c r="AJ221" s="21">
        <v>100</v>
      </c>
      <c r="AK221" s="21" t="s">
        <v>2054</v>
      </c>
      <c r="AL221" t="s">
        <v>70</v>
      </c>
      <c r="AM221" t="s">
        <v>2029</v>
      </c>
    </row>
    <row r="222" spans="1:39" ht="15" hidden="1" thickTop="1" x14ac:dyDescent="0.35">
      <c r="A222" t="s">
        <v>2571</v>
      </c>
      <c r="B222" t="s">
        <v>3046</v>
      </c>
      <c r="C222" t="s">
        <v>237</v>
      </c>
      <c r="D222" t="s">
        <v>3047</v>
      </c>
      <c r="E222" t="s">
        <v>72</v>
      </c>
      <c r="F222">
        <v>1</v>
      </c>
      <c r="G222" t="s">
        <v>2050</v>
      </c>
      <c r="H222" t="s">
        <v>2051</v>
      </c>
      <c r="I222" t="s">
        <v>53</v>
      </c>
      <c r="J222" t="s">
        <v>73</v>
      </c>
      <c r="K222" t="s">
        <v>68</v>
      </c>
      <c r="L222" t="s">
        <v>2052</v>
      </c>
      <c r="M222" t="s">
        <v>2053</v>
      </c>
      <c r="N222">
        <v>0</v>
      </c>
      <c r="O222">
        <v>0</v>
      </c>
      <c r="P222">
        <v>0</v>
      </c>
      <c r="Q222">
        <v>1440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321</v>
      </c>
      <c r="AH222" s="21" t="s">
        <v>3428</v>
      </c>
      <c r="AI222" s="21">
        <v>107.92500000000001</v>
      </c>
      <c r="AJ222" s="21">
        <v>100</v>
      </c>
      <c r="AK222" s="21" t="s">
        <v>2054</v>
      </c>
      <c r="AL222" t="s">
        <v>75</v>
      </c>
      <c r="AM222" t="s">
        <v>2029</v>
      </c>
    </row>
    <row r="223" spans="1:39" ht="15" hidden="1" thickTop="1" x14ac:dyDescent="0.35">
      <c r="A223" t="s">
        <v>3041</v>
      </c>
      <c r="B223" t="s">
        <v>3050</v>
      </c>
      <c r="C223" t="s">
        <v>71</v>
      </c>
      <c r="D223" t="s">
        <v>3051</v>
      </c>
      <c r="E223" t="s">
        <v>72</v>
      </c>
      <c r="F223">
        <v>1</v>
      </c>
      <c r="G223" t="s">
        <v>2050</v>
      </c>
      <c r="H223" t="s">
        <v>2051</v>
      </c>
      <c r="I223" t="s">
        <v>53</v>
      </c>
      <c r="J223" t="s">
        <v>73</v>
      </c>
      <c r="K223" t="s">
        <v>68</v>
      </c>
      <c r="L223" t="s">
        <v>2052</v>
      </c>
      <c r="M223" t="s">
        <v>2053</v>
      </c>
      <c r="N223">
        <v>0</v>
      </c>
      <c r="O223">
        <v>0</v>
      </c>
      <c r="P223">
        <v>0</v>
      </c>
      <c r="Q223">
        <v>1440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 t="s">
        <v>322</v>
      </c>
      <c r="AH223" s="21" t="s">
        <v>3427</v>
      </c>
      <c r="AI223" s="21">
        <v>107.92500000000001</v>
      </c>
      <c r="AJ223" s="21">
        <v>100</v>
      </c>
      <c r="AK223" s="21" t="s">
        <v>2054</v>
      </c>
      <c r="AL223" t="s">
        <v>75</v>
      </c>
      <c r="AM223" t="s">
        <v>2029</v>
      </c>
    </row>
    <row r="224" spans="1:39" ht="15" hidden="1" thickTop="1" x14ac:dyDescent="0.35">
      <c r="A224" t="s">
        <v>2573</v>
      </c>
      <c r="B224" t="s">
        <v>3052</v>
      </c>
      <c r="C224" t="s">
        <v>237</v>
      </c>
      <c r="D224" t="s">
        <v>3053</v>
      </c>
      <c r="E224" t="s">
        <v>72</v>
      </c>
      <c r="F224">
        <v>1</v>
      </c>
      <c r="G224" t="s">
        <v>2050</v>
      </c>
      <c r="H224" t="s">
        <v>2051</v>
      </c>
      <c r="I224" t="s">
        <v>53</v>
      </c>
      <c r="J224" t="s">
        <v>73</v>
      </c>
      <c r="K224" t="s">
        <v>68</v>
      </c>
      <c r="L224" t="s">
        <v>2052</v>
      </c>
      <c r="M224" t="s">
        <v>2053</v>
      </c>
      <c r="N224">
        <v>0</v>
      </c>
      <c r="O224">
        <v>0</v>
      </c>
      <c r="P224">
        <v>0</v>
      </c>
      <c r="Q224">
        <v>1440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323</v>
      </c>
      <c r="AH224" s="21" t="s">
        <v>3424</v>
      </c>
      <c r="AI224" s="21">
        <v>107.92500000000001</v>
      </c>
      <c r="AJ224" s="21">
        <v>100</v>
      </c>
      <c r="AK224" s="21" t="s">
        <v>2054</v>
      </c>
      <c r="AL224" t="s">
        <v>75</v>
      </c>
      <c r="AM224" t="s">
        <v>2029</v>
      </c>
    </row>
    <row r="225" spans="1:39" ht="15" hidden="1" thickTop="1" x14ac:dyDescent="0.35">
      <c r="A225" t="s">
        <v>3045</v>
      </c>
      <c r="B225" t="s">
        <v>3054</v>
      </c>
      <c r="C225" t="s">
        <v>71</v>
      </c>
      <c r="D225" t="s">
        <v>3055</v>
      </c>
      <c r="E225" t="s">
        <v>72</v>
      </c>
      <c r="F225">
        <v>2</v>
      </c>
      <c r="G225" t="s">
        <v>2050</v>
      </c>
      <c r="H225" t="s">
        <v>2051</v>
      </c>
      <c r="I225" t="s">
        <v>53</v>
      </c>
      <c r="J225" t="s">
        <v>73</v>
      </c>
      <c r="K225" t="s">
        <v>68</v>
      </c>
      <c r="L225" t="s">
        <v>2052</v>
      </c>
      <c r="M225" t="s">
        <v>2053</v>
      </c>
      <c r="N225">
        <v>0</v>
      </c>
      <c r="O225">
        <v>0</v>
      </c>
      <c r="P225">
        <v>0</v>
      </c>
      <c r="Q225">
        <v>1440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 t="s">
        <v>324</v>
      </c>
      <c r="AH225" s="21" t="s">
        <v>3428</v>
      </c>
      <c r="AI225" s="21">
        <v>107.92500000000001</v>
      </c>
      <c r="AJ225" s="21">
        <v>100</v>
      </c>
      <c r="AK225" s="21" t="s">
        <v>2054</v>
      </c>
      <c r="AL225" t="s">
        <v>75</v>
      </c>
      <c r="AM225" t="s">
        <v>2029</v>
      </c>
    </row>
    <row r="226" spans="1:39" ht="15" hidden="1" thickTop="1" x14ac:dyDescent="0.35">
      <c r="A226" t="s">
        <v>3058</v>
      </c>
      <c r="B226" t="s">
        <v>3061</v>
      </c>
      <c r="C226" t="s">
        <v>76</v>
      </c>
      <c r="D226" t="s">
        <v>3062</v>
      </c>
      <c r="E226" t="s">
        <v>559</v>
      </c>
      <c r="F226">
        <v>1</v>
      </c>
      <c r="G226" t="s">
        <v>2050</v>
      </c>
      <c r="H226" t="s">
        <v>2051</v>
      </c>
      <c r="I226" t="s">
        <v>53</v>
      </c>
      <c r="J226" t="s">
        <v>67</v>
      </c>
      <c r="K226" t="s">
        <v>68</v>
      </c>
      <c r="L226" t="s">
        <v>2052</v>
      </c>
      <c r="M226" t="s">
        <v>2053</v>
      </c>
      <c r="N226">
        <v>0</v>
      </c>
      <c r="O226">
        <v>0</v>
      </c>
      <c r="P226">
        <v>0</v>
      </c>
      <c r="Q226">
        <v>1440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 t="s">
        <v>325</v>
      </c>
      <c r="AH226" s="21" t="s">
        <v>3424</v>
      </c>
      <c r="AI226" s="21">
        <v>107.92500000000001</v>
      </c>
      <c r="AJ226" s="21">
        <v>100</v>
      </c>
      <c r="AK226" s="21" t="s">
        <v>2055</v>
      </c>
      <c r="AL226" t="s">
        <v>70</v>
      </c>
      <c r="AM226" t="s">
        <v>2028</v>
      </c>
    </row>
    <row r="227" spans="1:39" ht="15" hidden="1" thickTop="1" x14ac:dyDescent="0.35">
      <c r="A227" t="s">
        <v>3065</v>
      </c>
      <c r="B227" t="s">
        <v>3068</v>
      </c>
      <c r="C227" t="s">
        <v>78</v>
      </c>
      <c r="D227" t="s">
        <v>3069</v>
      </c>
      <c r="E227" t="s">
        <v>559</v>
      </c>
      <c r="F227">
        <v>1</v>
      </c>
      <c r="G227" t="s">
        <v>2050</v>
      </c>
      <c r="H227" t="s">
        <v>2051</v>
      </c>
      <c r="I227" t="s">
        <v>53</v>
      </c>
      <c r="J227" t="s">
        <v>67</v>
      </c>
      <c r="K227" t="s">
        <v>68</v>
      </c>
      <c r="L227" t="s">
        <v>2052</v>
      </c>
      <c r="M227" t="s">
        <v>2053</v>
      </c>
      <c r="N227">
        <v>0</v>
      </c>
      <c r="O227">
        <v>0</v>
      </c>
      <c r="P227">
        <v>0</v>
      </c>
      <c r="Q227">
        <v>1440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326</v>
      </c>
      <c r="AH227" s="21" t="s">
        <v>3425</v>
      </c>
      <c r="AI227" s="21">
        <v>107.92500000000001</v>
      </c>
      <c r="AJ227" s="21">
        <v>100</v>
      </c>
      <c r="AK227" s="21" t="s">
        <v>2054</v>
      </c>
      <c r="AL227" t="s">
        <v>70</v>
      </c>
      <c r="AM227" t="s">
        <v>2029</v>
      </c>
    </row>
    <row r="228" spans="1:39" ht="15" hidden="1" thickTop="1" x14ac:dyDescent="0.35">
      <c r="A228" t="s">
        <v>3072</v>
      </c>
      <c r="B228" t="s">
        <v>3086</v>
      </c>
      <c r="C228" t="s">
        <v>92</v>
      </c>
      <c r="D228" t="s">
        <v>3087</v>
      </c>
      <c r="E228" t="s">
        <v>119</v>
      </c>
      <c r="F228">
        <v>1</v>
      </c>
      <c r="G228" t="s">
        <v>2050</v>
      </c>
      <c r="H228" t="s">
        <v>2051</v>
      </c>
      <c r="I228" t="s">
        <v>53</v>
      </c>
      <c r="J228" t="s">
        <v>67</v>
      </c>
      <c r="K228" t="s">
        <v>68</v>
      </c>
      <c r="L228" t="s">
        <v>2052</v>
      </c>
      <c r="M228" t="s">
        <v>2064</v>
      </c>
      <c r="N228">
        <v>0</v>
      </c>
      <c r="O228">
        <v>0</v>
      </c>
      <c r="P228">
        <v>0</v>
      </c>
      <c r="Q228">
        <v>900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t="s">
        <v>327</v>
      </c>
      <c r="AH228" s="21" t="s">
        <v>3425</v>
      </c>
      <c r="AI228" s="21">
        <v>67.5</v>
      </c>
      <c r="AJ228" s="21">
        <v>100</v>
      </c>
      <c r="AK228" s="21" t="s">
        <v>2054</v>
      </c>
      <c r="AL228" t="s">
        <v>70</v>
      </c>
      <c r="AM228" t="s">
        <v>2029</v>
      </c>
    </row>
    <row r="229" spans="1:39" ht="15" hidden="1" thickTop="1" x14ac:dyDescent="0.35">
      <c r="A229" t="s">
        <v>3077</v>
      </c>
      <c r="B229" t="s">
        <v>3094</v>
      </c>
      <c r="C229" t="s">
        <v>76</v>
      </c>
      <c r="D229" t="s">
        <v>3095</v>
      </c>
      <c r="E229" t="s">
        <v>119</v>
      </c>
      <c r="F229">
        <v>1</v>
      </c>
      <c r="G229" t="s">
        <v>2050</v>
      </c>
      <c r="H229" t="s">
        <v>2051</v>
      </c>
      <c r="I229" t="s">
        <v>53</v>
      </c>
      <c r="J229" t="s">
        <v>67</v>
      </c>
      <c r="K229" t="s">
        <v>68</v>
      </c>
      <c r="L229" t="s">
        <v>2052</v>
      </c>
      <c r="M229" t="s">
        <v>2053</v>
      </c>
      <c r="N229">
        <v>0</v>
      </c>
      <c r="O229">
        <v>0</v>
      </c>
      <c r="P229">
        <v>0</v>
      </c>
      <c r="Q229">
        <v>1440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328</v>
      </c>
      <c r="AH229" s="21" t="s">
        <v>3425</v>
      </c>
      <c r="AI229" s="21">
        <v>107.92500000000001</v>
      </c>
      <c r="AJ229" s="21">
        <v>100</v>
      </c>
      <c r="AK229" s="21" t="s">
        <v>2054</v>
      </c>
      <c r="AL229" t="s">
        <v>70</v>
      </c>
      <c r="AM229" t="s">
        <v>2028</v>
      </c>
    </row>
    <row r="230" spans="1:39" ht="15" hidden="1" thickTop="1" x14ac:dyDescent="0.35">
      <c r="A230" t="s">
        <v>3081</v>
      </c>
      <c r="B230" t="s">
        <v>3100</v>
      </c>
      <c r="C230" t="s">
        <v>100</v>
      </c>
      <c r="D230" t="s">
        <v>3101</v>
      </c>
      <c r="E230" t="s">
        <v>559</v>
      </c>
      <c r="F230">
        <v>1</v>
      </c>
      <c r="G230" t="s">
        <v>2050</v>
      </c>
      <c r="H230" t="s">
        <v>2051</v>
      </c>
      <c r="I230" t="s">
        <v>53</v>
      </c>
      <c r="J230" t="s">
        <v>67</v>
      </c>
      <c r="K230" t="s">
        <v>68</v>
      </c>
      <c r="L230" t="s">
        <v>2052</v>
      </c>
      <c r="M230" t="s">
        <v>2053</v>
      </c>
      <c r="N230">
        <v>0</v>
      </c>
      <c r="O230">
        <v>0</v>
      </c>
      <c r="P230">
        <v>0</v>
      </c>
      <c r="Q230">
        <v>1440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t="s">
        <v>329</v>
      </c>
      <c r="AH230" s="21" t="s">
        <v>3427</v>
      </c>
      <c r="AI230" s="21">
        <v>107.92500000000001</v>
      </c>
      <c r="AJ230" s="21">
        <v>100</v>
      </c>
      <c r="AK230" s="21" t="s">
        <v>2054</v>
      </c>
      <c r="AL230" t="s">
        <v>70</v>
      </c>
      <c r="AM230" t="s">
        <v>2030</v>
      </c>
    </row>
    <row r="231" spans="1:39" ht="15" hidden="1" thickTop="1" x14ac:dyDescent="0.35">
      <c r="A231" t="s">
        <v>3085</v>
      </c>
      <c r="B231" t="s">
        <v>3106</v>
      </c>
      <c r="C231" t="s">
        <v>66</v>
      </c>
      <c r="D231" t="s">
        <v>3107</v>
      </c>
      <c r="E231" t="s">
        <v>559</v>
      </c>
      <c r="F231">
        <v>1</v>
      </c>
      <c r="G231" t="s">
        <v>2050</v>
      </c>
      <c r="H231" t="s">
        <v>2051</v>
      </c>
      <c r="I231" t="s">
        <v>53</v>
      </c>
      <c r="J231" t="s">
        <v>67</v>
      </c>
      <c r="K231" t="s">
        <v>68</v>
      </c>
      <c r="L231" t="s">
        <v>2052</v>
      </c>
      <c r="M231" t="s">
        <v>2053</v>
      </c>
      <c r="N231">
        <v>0</v>
      </c>
      <c r="O231">
        <v>0</v>
      </c>
      <c r="P231">
        <v>0</v>
      </c>
      <c r="Q231">
        <v>1440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330</v>
      </c>
      <c r="AH231" s="21" t="s">
        <v>3424</v>
      </c>
      <c r="AI231" s="21">
        <v>107.92500000000001</v>
      </c>
      <c r="AJ231" s="21">
        <v>100</v>
      </c>
      <c r="AK231" s="21" t="s">
        <v>2054</v>
      </c>
      <c r="AL231" t="s">
        <v>70</v>
      </c>
      <c r="AM231" t="s">
        <v>2028</v>
      </c>
    </row>
    <row r="232" spans="1:39" ht="15" hidden="1" thickTop="1" x14ac:dyDescent="0.35">
      <c r="A232" t="s">
        <v>3088</v>
      </c>
      <c r="B232" t="s">
        <v>3109</v>
      </c>
      <c r="C232" t="s">
        <v>100</v>
      </c>
      <c r="D232" t="s">
        <v>3110</v>
      </c>
      <c r="E232" t="s">
        <v>559</v>
      </c>
      <c r="F232">
        <v>1</v>
      </c>
      <c r="G232" t="s">
        <v>2050</v>
      </c>
      <c r="H232" t="s">
        <v>2051</v>
      </c>
      <c r="I232" t="s">
        <v>53</v>
      </c>
      <c r="J232" t="s">
        <v>67</v>
      </c>
      <c r="K232" t="s">
        <v>68</v>
      </c>
      <c r="L232" t="s">
        <v>2052</v>
      </c>
      <c r="M232" t="s">
        <v>2053</v>
      </c>
      <c r="N232">
        <v>0</v>
      </c>
      <c r="O232">
        <v>0</v>
      </c>
      <c r="P232">
        <v>0</v>
      </c>
      <c r="Q232">
        <v>1440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331</v>
      </c>
      <c r="AH232" s="21" t="s">
        <v>3424</v>
      </c>
      <c r="AI232" s="21">
        <v>107.92500000000001</v>
      </c>
      <c r="AJ232" s="21">
        <v>100</v>
      </c>
      <c r="AK232" s="21" t="s">
        <v>2054</v>
      </c>
      <c r="AL232" t="s">
        <v>70</v>
      </c>
      <c r="AM232" t="s">
        <v>2029</v>
      </c>
    </row>
    <row r="233" spans="1:39" ht="15" hidden="1" thickTop="1" x14ac:dyDescent="0.35">
      <c r="A233" t="s">
        <v>3089</v>
      </c>
      <c r="B233" t="s">
        <v>3112</v>
      </c>
      <c r="C233" t="s">
        <v>66</v>
      </c>
      <c r="D233" t="s">
        <v>3113</v>
      </c>
      <c r="E233" t="s">
        <v>559</v>
      </c>
      <c r="F233">
        <v>1</v>
      </c>
      <c r="G233" t="s">
        <v>2050</v>
      </c>
      <c r="H233" t="s">
        <v>2051</v>
      </c>
      <c r="I233" t="s">
        <v>53</v>
      </c>
      <c r="J233" t="s">
        <v>67</v>
      </c>
      <c r="K233" t="s">
        <v>68</v>
      </c>
      <c r="L233" t="s">
        <v>2052</v>
      </c>
      <c r="M233" t="s">
        <v>2053</v>
      </c>
      <c r="N233">
        <v>0</v>
      </c>
      <c r="O233">
        <v>0</v>
      </c>
      <c r="P233">
        <v>0</v>
      </c>
      <c r="Q233">
        <v>1440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t="s">
        <v>332</v>
      </c>
      <c r="AH233" s="21" t="s">
        <v>3424</v>
      </c>
      <c r="AI233" s="21">
        <v>107.92500000000001</v>
      </c>
      <c r="AJ233" s="21">
        <v>100</v>
      </c>
      <c r="AK233" s="21" t="s">
        <v>2054</v>
      </c>
      <c r="AL233" t="s">
        <v>70</v>
      </c>
      <c r="AM233" t="s">
        <v>2029</v>
      </c>
    </row>
    <row r="234" spans="1:39" ht="15" hidden="1" thickTop="1" x14ac:dyDescent="0.35">
      <c r="A234" t="s">
        <v>3090</v>
      </c>
      <c r="B234" t="s">
        <v>3114</v>
      </c>
      <c r="C234" t="s">
        <v>76</v>
      </c>
      <c r="D234" t="s">
        <v>3115</v>
      </c>
      <c r="E234" t="s">
        <v>559</v>
      </c>
      <c r="F234">
        <v>1</v>
      </c>
      <c r="G234" t="s">
        <v>2050</v>
      </c>
      <c r="H234" t="s">
        <v>2051</v>
      </c>
      <c r="I234" t="s">
        <v>53</v>
      </c>
      <c r="J234" t="s">
        <v>67</v>
      </c>
      <c r="K234" t="s">
        <v>68</v>
      </c>
      <c r="L234" t="s">
        <v>2052</v>
      </c>
      <c r="M234" t="s">
        <v>2053</v>
      </c>
      <c r="N234">
        <v>0</v>
      </c>
      <c r="O234">
        <v>0</v>
      </c>
      <c r="P234">
        <v>0</v>
      </c>
      <c r="Q234">
        <v>1440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333</v>
      </c>
      <c r="AH234" s="21" t="s">
        <v>3429</v>
      </c>
      <c r="AI234" s="21">
        <v>107.92500000000001</v>
      </c>
      <c r="AJ234" s="21">
        <v>100</v>
      </c>
      <c r="AK234" s="21" t="s">
        <v>2054</v>
      </c>
      <c r="AL234" t="s">
        <v>70</v>
      </c>
      <c r="AM234" t="s">
        <v>2027</v>
      </c>
    </row>
    <row r="235" spans="1:39" ht="15" hidden="1" thickTop="1" x14ac:dyDescent="0.35">
      <c r="A235" t="s">
        <v>3092</v>
      </c>
      <c r="B235" t="s">
        <v>3116</v>
      </c>
      <c r="C235" t="s">
        <v>66</v>
      </c>
      <c r="D235" t="s">
        <v>3117</v>
      </c>
      <c r="E235" t="s">
        <v>559</v>
      </c>
      <c r="F235">
        <v>1</v>
      </c>
      <c r="G235" t="s">
        <v>2050</v>
      </c>
      <c r="H235" t="s">
        <v>2051</v>
      </c>
      <c r="I235" t="s">
        <v>53</v>
      </c>
      <c r="J235" t="s">
        <v>67</v>
      </c>
      <c r="K235" t="s">
        <v>68</v>
      </c>
      <c r="L235" t="s">
        <v>2052</v>
      </c>
      <c r="M235" t="s">
        <v>2053</v>
      </c>
      <c r="N235">
        <v>0</v>
      </c>
      <c r="O235">
        <v>0</v>
      </c>
      <c r="P235">
        <v>0</v>
      </c>
      <c r="Q235">
        <v>1440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334</v>
      </c>
      <c r="AH235" s="21" t="s">
        <v>3424</v>
      </c>
      <c r="AI235" s="21">
        <v>107.92500000000001</v>
      </c>
      <c r="AJ235" s="21">
        <v>100</v>
      </c>
      <c r="AK235" s="21" t="s">
        <v>2054</v>
      </c>
      <c r="AL235" t="s">
        <v>70</v>
      </c>
      <c r="AM235" t="s">
        <v>2029</v>
      </c>
    </row>
    <row r="236" spans="1:39" ht="15" hidden="1" thickTop="1" x14ac:dyDescent="0.35">
      <c r="A236" t="s">
        <v>3098</v>
      </c>
      <c r="B236" t="s">
        <v>3119</v>
      </c>
      <c r="C236" t="s">
        <v>102</v>
      </c>
      <c r="D236" t="s">
        <v>3120</v>
      </c>
      <c r="E236" t="s">
        <v>559</v>
      </c>
      <c r="F236">
        <v>1</v>
      </c>
      <c r="G236" t="s">
        <v>2050</v>
      </c>
      <c r="H236" t="s">
        <v>2051</v>
      </c>
      <c r="I236" t="s">
        <v>53</v>
      </c>
      <c r="J236" t="s">
        <v>67</v>
      </c>
      <c r="K236" t="s">
        <v>68</v>
      </c>
      <c r="L236" t="s">
        <v>2052</v>
      </c>
      <c r="M236" t="s">
        <v>2053</v>
      </c>
      <c r="N236">
        <v>0</v>
      </c>
      <c r="O236">
        <v>0</v>
      </c>
      <c r="P236">
        <v>0</v>
      </c>
      <c r="Q236">
        <v>1440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335</v>
      </c>
      <c r="AH236" s="21" t="s">
        <v>3424</v>
      </c>
      <c r="AI236" s="21">
        <v>107.92500000000001</v>
      </c>
      <c r="AJ236" s="21">
        <v>100</v>
      </c>
      <c r="AK236" s="21" t="s">
        <v>2054</v>
      </c>
      <c r="AL236" t="s">
        <v>70</v>
      </c>
      <c r="AM236" t="s">
        <v>2028</v>
      </c>
    </row>
    <row r="237" spans="1:39" ht="15" hidden="1" thickTop="1" x14ac:dyDescent="0.35">
      <c r="A237" t="s">
        <v>3099</v>
      </c>
      <c r="B237" t="s">
        <v>3122</v>
      </c>
      <c r="C237" t="s">
        <v>100</v>
      </c>
      <c r="D237" t="s">
        <v>3123</v>
      </c>
      <c r="E237" t="s">
        <v>559</v>
      </c>
      <c r="F237">
        <v>1</v>
      </c>
      <c r="G237" t="s">
        <v>2050</v>
      </c>
      <c r="H237" t="s">
        <v>2051</v>
      </c>
      <c r="I237" t="s">
        <v>53</v>
      </c>
      <c r="J237" t="s">
        <v>67</v>
      </c>
      <c r="K237" t="s">
        <v>68</v>
      </c>
      <c r="L237" t="s">
        <v>2052</v>
      </c>
      <c r="M237" t="s">
        <v>2064</v>
      </c>
      <c r="N237">
        <v>0</v>
      </c>
      <c r="O237">
        <v>0</v>
      </c>
      <c r="P237">
        <v>0</v>
      </c>
      <c r="Q237">
        <v>900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336</v>
      </c>
      <c r="AH237" s="21" t="s">
        <v>3424</v>
      </c>
      <c r="AI237" s="21">
        <v>67.5</v>
      </c>
      <c r="AJ237" s="21">
        <v>100</v>
      </c>
      <c r="AK237" s="21" t="s">
        <v>2054</v>
      </c>
      <c r="AL237" t="s">
        <v>70</v>
      </c>
      <c r="AM237" t="s">
        <v>2027</v>
      </c>
    </row>
    <row r="238" spans="1:39" ht="15" hidden="1" thickTop="1" x14ac:dyDescent="0.35">
      <c r="A238" t="s">
        <v>3105</v>
      </c>
      <c r="B238" t="s">
        <v>3128</v>
      </c>
      <c r="C238" t="s">
        <v>92</v>
      </c>
      <c r="D238" t="s">
        <v>3129</v>
      </c>
      <c r="E238" t="s">
        <v>119</v>
      </c>
      <c r="F238">
        <v>1</v>
      </c>
      <c r="G238" t="s">
        <v>2050</v>
      </c>
      <c r="H238" t="s">
        <v>2051</v>
      </c>
      <c r="I238" t="s">
        <v>53</v>
      </c>
      <c r="J238" t="s">
        <v>67</v>
      </c>
      <c r="K238" t="s">
        <v>68</v>
      </c>
      <c r="L238" t="s">
        <v>2052</v>
      </c>
      <c r="M238" t="s">
        <v>2064</v>
      </c>
      <c r="N238">
        <v>0</v>
      </c>
      <c r="O238">
        <v>0</v>
      </c>
      <c r="P238">
        <v>0</v>
      </c>
      <c r="Q238">
        <v>900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337</v>
      </c>
      <c r="AH238" s="21" t="s">
        <v>3425</v>
      </c>
      <c r="AI238" s="21">
        <v>67.5</v>
      </c>
      <c r="AJ238" s="21">
        <v>100</v>
      </c>
      <c r="AK238" s="21" t="s">
        <v>2054</v>
      </c>
      <c r="AL238" t="s">
        <v>70</v>
      </c>
      <c r="AM238" t="s">
        <v>2029</v>
      </c>
    </row>
    <row r="239" spans="1:39" ht="15" hidden="1" thickTop="1" x14ac:dyDescent="0.35">
      <c r="A239" t="s">
        <v>3124</v>
      </c>
      <c r="B239" t="s">
        <v>3131</v>
      </c>
      <c r="C239" t="s">
        <v>71</v>
      </c>
      <c r="D239" t="s">
        <v>3132</v>
      </c>
      <c r="E239" t="s">
        <v>72</v>
      </c>
      <c r="F239">
        <v>1</v>
      </c>
      <c r="G239" t="s">
        <v>2050</v>
      </c>
      <c r="H239" t="s">
        <v>2051</v>
      </c>
      <c r="I239" t="s">
        <v>53</v>
      </c>
      <c r="J239" t="s">
        <v>73</v>
      </c>
      <c r="K239" t="s">
        <v>68</v>
      </c>
      <c r="L239" t="s">
        <v>2052</v>
      </c>
      <c r="M239" t="s">
        <v>2082</v>
      </c>
      <c r="N239">
        <v>0</v>
      </c>
      <c r="O239">
        <v>0</v>
      </c>
      <c r="P239">
        <v>0</v>
      </c>
      <c r="Q239">
        <v>780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t="s">
        <v>339</v>
      </c>
      <c r="AH239" s="21" t="s">
        <v>3424</v>
      </c>
      <c r="AI239" s="21">
        <v>58.500000000000014</v>
      </c>
      <c r="AJ239" s="21">
        <v>100</v>
      </c>
      <c r="AK239" s="21" t="s">
        <v>2054</v>
      </c>
      <c r="AL239" t="s">
        <v>75</v>
      </c>
      <c r="AM239" t="s">
        <v>2027</v>
      </c>
    </row>
    <row r="240" spans="1:39" ht="15" hidden="1" thickTop="1" x14ac:dyDescent="0.35">
      <c r="A240" t="s">
        <v>3125</v>
      </c>
      <c r="B240" t="s">
        <v>3133</v>
      </c>
      <c r="C240" t="s">
        <v>135</v>
      </c>
      <c r="D240" t="s">
        <v>3134</v>
      </c>
      <c r="E240" t="s">
        <v>136</v>
      </c>
      <c r="F240">
        <v>4</v>
      </c>
      <c r="G240" t="s">
        <v>2050</v>
      </c>
      <c r="H240" t="s">
        <v>2051</v>
      </c>
      <c r="I240" t="s">
        <v>53</v>
      </c>
      <c r="J240" t="s">
        <v>137</v>
      </c>
      <c r="K240" t="s">
        <v>68</v>
      </c>
      <c r="L240" t="s">
        <v>2052</v>
      </c>
      <c r="M240" t="s">
        <v>2053</v>
      </c>
      <c r="N240">
        <v>0</v>
      </c>
      <c r="O240">
        <v>0</v>
      </c>
      <c r="P240">
        <v>0</v>
      </c>
      <c r="Q240">
        <v>1440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t="s">
        <v>340</v>
      </c>
      <c r="AH240" s="21" t="s">
        <v>3430</v>
      </c>
      <c r="AI240" s="21">
        <v>107.92500000000001</v>
      </c>
      <c r="AJ240" s="21">
        <v>100</v>
      </c>
      <c r="AK240" s="21" t="s">
        <v>2055</v>
      </c>
      <c r="AL240" t="s">
        <v>115</v>
      </c>
      <c r="AM240" t="s">
        <v>2029</v>
      </c>
    </row>
    <row r="241" spans="1:39" ht="15" hidden="1" thickTop="1" x14ac:dyDescent="0.35">
      <c r="A241" t="s">
        <v>3126</v>
      </c>
      <c r="B241" t="s">
        <v>3135</v>
      </c>
      <c r="C241" t="s">
        <v>820</v>
      </c>
      <c r="D241" t="s">
        <v>3136</v>
      </c>
      <c r="E241" t="s">
        <v>72</v>
      </c>
      <c r="F241">
        <v>1</v>
      </c>
      <c r="G241" t="s">
        <v>2050</v>
      </c>
      <c r="H241" t="s">
        <v>2051</v>
      </c>
      <c r="I241" t="s">
        <v>53</v>
      </c>
      <c r="J241" t="s">
        <v>424</v>
      </c>
      <c r="K241" t="s">
        <v>68</v>
      </c>
      <c r="L241" t="s">
        <v>2052</v>
      </c>
      <c r="M241" t="s">
        <v>2053</v>
      </c>
      <c r="N241">
        <v>0</v>
      </c>
      <c r="O241">
        <v>0</v>
      </c>
      <c r="P241">
        <v>0</v>
      </c>
      <c r="Q241">
        <v>1440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341</v>
      </c>
      <c r="AH241" s="21" t="s">
        <v>3427</v>
      </c>
      <c r="AI241" s="21">
        <v>107.92500000000001</v>
      </c>
      <c r="AJ241" s="21">
        <v>100</v>
      </c>
      <c r="AK241" s="21" t="s">
        <v>2054</v>
      </c>
      <c r="AL241" t="s">
        <v>75</v>
      </c>
      <c r="AM241" t="s">
        <v>2027</v>
      </c>
    </row>
    <row r="242" spans="1:39" ht="15" hidden="1" thickTop="1" x14ac:dyDescent="0.35">
      <c r="A242" t="s">
        <v>3139</v>
      </c>
      <c r="B242" t="s">
        <v>3145</v>
      </c>
      <c r="C242" t="s">
        <v>117</v>
      </c>
      <c r="D242" t="s">
        <v>3146</v>
      </c>
      <c r="E242" t="s">
        <v>559</v>
      </c>
      <c r="F242">
        <v>1</v>
      </c>
      <c r="G242" t="s">
        <v>2050</v>
      </c>
      <c r="H242" t="s">
        <v>2051</v>
      </c>
      <c r="I242" t="s">
        <v>53</v>
      </c>
      <c r="J242" t="s">
        <v>67</v>
      </c>
      <c r="K242" t="s">
        <v>68</v>
      </c>
      <c r="L242" t="s">
        <v>2052</v>
      </c>
      <c r="M242" t="s">
        <v>2053</v>
      </c>
      <c r="N242">
        <v>0</v>
      </c>
      <c r="O242">
        <v>0</v>
      </c>
      <c r="P242">
        <v>0</v>
      </c>
      <c r="Q242">
        <v>1440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t="s">
        <v>342</v>
      </c>
      <c r="AH242" s="21" t="s">
        <v>3424</v>
      </c>
      <c r="AI242" s="21">
        <v>107.92500000000001</v>
      </c>
      <c r="AJ242" s="21">
        <v>100</v>
      </c>
      <c r="AK242" s="21" t="s">
        <v>2054</v>
      </c>
      <c r="AL242" t="s">
        <v>70</v>
      </c>
      <c r="AM242" t="s">
        <v>2029</v>
      </c>
    </row>
    <row r="243" spans="1:39" ht="15" hidden="1" thickTop="1" x14ac:dyDescent="0.35">
      <c r="A243" t="s">
        <v>3142</v>
      </c>
      <c r="B243" t="s">
        <v>3147</v>
      </c>
      <c r="C243" t="s">
        <v>102</v>
      </c>
      <c r="D243" t="s">
        <v>3148</v>
      </c>
      <c r="E243" t="s">
        <v>559</v>
      </c>
      <c r="F243">
        <v>1</v>
      </c>
      <c r="G243" t="s">
        <v>2050</v>
      </c>
      <c r="H243" t="s">
        <v>2051</v>
      </c>
      <c r="I243" t="s">
        <v>53</v>
      </c>
      <c r="J243" t="s">
        <v>67</v>
      </c>
      <c r="K243" t="s">
        <v>68</v>
      </c>
      <c r="L243" t="s">
        <v>2052</v>
      </c>
      <c r="M243" t="s">
        <v>2053</v>
      </c>
      <c r="N243">
        <v>0</v>
      </c>
      <c r="O243">
        <v>0</v>
      </c>
      <c r="P243">
        <v>0</v>
      </c>
      <c r="Q243">
        <v>1440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t="s">
        <v>343</v>
      </c>
      <c r="AH243" s="21" t="s">
        <v>3424</v>
      </c>
      <c r="AI243" s="21">
        <v>107.92500000000001</v>
      </c>
      <c r="AJ243" s="21">
        <v>100</v>
      </c>
      <c r="AK243" s="21" t="s">
        <v>2055</v>
      </c>
      <c r="AL243" t="s">
        <v>70</v>
      </c>
      <c r="AM243" t="s">
        <v>2027</v>
      </c>
    </row>
    <row r="244" spans="1:39" ht="15" hidden="1" thickTop="1" x14ac:dyDescent="0.35">
      <c r="A244" t="s">
        <v>3150</v>
      </c>
      <c r="B244" t="s">
        <v>3151</v>
      </c>
      <c r="C244" t="s">
        <v>76</v>
      </c>
      <c r="D244" t="s">
        <v>3152</v>
      </c>
      <c r="E244" t="s">
        <v>559</v>
      </c>
      <c r="F244">
        <v>1</v>
      </c>
      <c r="G244" t="s">
        <v>2050</v>
      </c>
      <c r="H244" t="s">
        <v>2051</v>
      </c>
      <c r="I244" t="s">
        <v>53</v>
      </c>
      <c r="J244" t="s">
        <v>67</v>
      </c>
      <c r="K244" t="s">
        <v>68</v>
      </c>
      <c r="L244" t="s">
        <v>2052</v>
      </c>
      <c r="M244" t="s">
        <v>2053</v>
      </c>
      <c r="N244">
        <v>0</v>
      </c>
      <c r="O244">
        <v>0</v>
      </c>
      <c r="P244">
        <v>0</v>
      </c>
      <c r="Q244">
        <v>1440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344</v>
      </c>
      <c r="AH244" s="21" t="s">
        <v>3427</v>
      </c>
      <c r="AI244" s="21">
        <v>107.92500000000001</v>
      </c>
      <c r="AJ244" s="21">
        <v>100</v>
      </c>
      <c r="AK244" s="21" t="s">
        <v>2054</v>
      </c>
      <c r="AL244" t="s">
        <v>70</v>
      </c>
      <c r="AM244" t="s">
        <v>2028</v>
      </c>
    </row>
    <row r="245" spans="1:39" ht="15" hidden="1" thickTop="1" x14ac:dyDescent="0.35">
      <c r="A245" t="s">
        <v>3155</v>
      </c>
      <c r="B245" t="s">
        <v>3165</v>
      </c>
      <c r="C245" t="s">
        <v>117</v>
      </c>
      <c r="D245" t="s">
        <v>3166</v>
      </c>
      <c r="E245" t="s">
        <v>559</v>
      </c>
      <c r="F245">
        <v>1</v>
      </c>
      <c r="G245" t="s">
        <v>2050</v>
      </c>
      <c r="H245" t="s">
        <v>2051</v>
      </c>
      <c r="I245" t="s">
        <v>53</v>
      </c>
      <c r="J245" t="s">
        <v>67</v>
      </c>
      <c r="K245" t="s">
        <v>68</v>
      </c>
      <c r="L245" t="s">
        <v>2052</v>
      </c>
      <c r="M245" t="s">
        <v>2053</v>
      </c>
      <c r="N245">
        <v>0</v>
      </c>
      <c r="O245">
        <v>0</v>
      </c>
      <c r="P245">
        <v>0</v>
      </c>
      <c r="Q245">
        <v>1440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345</v>
      </c>
      <c r="AH245" s="21" t="s">
        <v>3427</v>
      </c>
      <c r="AI245" s="21">
        <v>107.92500000000001</v>
      </c>
      <c r="AJ245" s="21">
        <v>100</v>
      </c>
      <c r="AK245" s="21" t="s">
        <v>2054</v>
      </c>
      <c r="AL245" t="s">
        <v>70</v>
      </c>
      <c r="AM245" t="s">
        <v>2029</v>
      </c>
    </row>
    <row r="246" spans="1:39" ht="15" hidden="1" thickTop="1" x14ac:dyDescent="0.35">
      <c r="A246" t="s">
        <v>3159</v>
      </c>
      <c r="B246" t="s">
        <v>3171</v>
      </c>
      <c r="C246" t="s">
        <v>66</v>
      </c>
      <c r="D246" t="s">
        <v>3010</v>
      </c>
      <c r="E246" t="s">
        <v>559</v>
      </c>
      <c r="F246">
        <v>1</v>
      </c>
      <c r="G246" t="s">
        <v>2050</v>
      </c>
      <c r="H246" t="s">
        <v>2051</v>
      </c>
      <c r="I246" t="s">
        <v>53</v>
      </c>
      <c r="J246" t="s">
        <v>67</v>
      </c>
      <c r="K246" t="s">
        <v>68</v>
      </c>
      <c r="L246" t="s">
        <v>2052</v>
      </c>
      <c r="M246" t="s">
        <v>2053</v>
      </c>
      <c r="N246">
        <v>0</v>
      </c>
      <c r="O246">
        <v>0</v>
      </c>
      <c r="P246">
        <v>0</v>
      </c>
      <c r="Q246">
        <v>1440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346</v>
      </c>
      <c r="AH246" s="21" t="s">
        <v>3428</v>
      </c>
      <c r="AI246" s="21">
        <v>107.92500000000001</v>
      </c>
      <c r="AJ246" s="21">
        <v>100</v>
      </c>
      <c r="AK246" s="21" t="s">
        <v>2055</v>
      </c>
      <c r="AL246" t="s">
        <v>70</v>
      </c>
      <c r="AM246" t="s">
        <v>2030</v>
      </c>
    </row>
    <row r="247" spans="1:39" ht="15" hidden="1" thickTop="1" x14ac:dyDescent="0.35">
      <c r="A247" t="s">
        <v>3162</v>
      </c>
      <c r="B247" t="s">
        <v>3172</v>
      </c>
      <c r="C247" t="s">
        <v>66</v>
      </c>
      <c r="D247" t="s">
        <v>3173</v>
      </c>
      <c r="E247" t="s">
        <v>559</v>
      </c>
      <c r="F247">
        <v>1</v>
      </c>
      <c r="G247" t="s">
        <v>2050</v>
      </c>
      <c r="H247" t="s">
        <v>2051</v>
      </c>
      <c r="I247" t="s">
        <v>53</v>
      </c>
      <c r="J247" t="s">
        <v>67</v>
      </c>
      <c r="K247" t="s">
        <v>68</v>
      </c>
      <c r="L247" t="s">
        <v>2052</v>
      </c>
      <c r="M247" t="s">
        <v>2053</v>
      </c>
      <c r="N247">
        <v>0</v>
      </c>
      <c r="O247">
        <v>0</v>
      </c>
      <c r="P247">
        <v>0</v>
      </c>
      <c r="Q247">
        <v>1440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347</v>
      </c>
      <c r="AH247" s="21" t="s">
        <v>3427</v>
      </c>
      <c r="AI247" s="21">
        <v>107.92500000000001</v>
      </c>
      <c r="AJ247" s="21">
        <v>100</v>
      </c>
      <c r="AK247" s="21" t="s">
        <v>2055</v>
      </c>
      <c r="AL247" t="s">
        <v>70</v>
      </c>
      <c r="AM247" t="s">
        <v>2030</v>
      </c>
    </row>
    <row r="248" spans="1:39" ht="15" hidden="1" thickTop="1" x14ac:dyDescent="0.35">
      <c r="A248" t="s">
        <v>2080</v>
      </c>
      <c r="B248" t="s">
        <v>3174</v>
      </c>
      <c r="C248" t="s">
        <v>117</v>
      </c>
      <c r="D248" t="s">
        <v>3175</v>
      </c>
      <c r="E248" t="s">
        <v>559</v>
      </c>
      <c r="F248">
        <v>1</v>
      </c>
      <c r="G248" t="s">
        <v>2050</v>
      </c>
      <c r="H248" t="s">
        <v>2051</v>
      </c>
      <c r="I248" t="s">
        <v>53</v>
      </c>
      <c r="J248" t="s">
        <v>67</v>
      </c>
      <c r="K248" t="s">
        <v>68</v>
      </c>
      <c r="L248" t="s">
        <v>2052</v>
      </c>
      <c r="M248" t="s">
        <v>2053</v>
      </c>
      <c r="N248">
        <v>0</v>
      </c>
      <c r="O248">
        <v>0</v>
      </c>
      <c r="P248">
        <v>0</v>
      </c>
      <c r="Q248">
        <v>1440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348</v>
      </c>
      <c r="AH248" s="21" t="s">
        <v>3430</v>
      </c>
      <c r="AI248" s="21">
        <v>107.92500000000001</v>
      </c>
      <c r="AJ248" s="21">
        <v>100</v>
      </c>
      <c r="AK248" s="21" t="s">
        <v>2054</v>
      </c>
      <c r="AL248" t="s">
        <v>70</v>
      </c>
      <c r="AM248" t="s">
        <v>2030</v>
      </c>
    </row>
    <row r="249" spans="1:39" ht="15" hidden="1" thickTop="1" x14ac:dyDescent="0.35">
      <c r="A249" t="s">
        <v>3178</v>
      </c>
      <c r="B249" t="s">
        <v>3186</v>
      </c>
      <c r="C249" t="s">
        <v>117</v>
      </c>
      <c r="D249" t="s">
        <v>3187</v>
      </c>
      <c r="E249" t="s">
        <v>559</v>
      </c>
      <c r="F249">
        <v>1</v>
      </c>
      <c r="G249" t="s">
        <v>2050</v>
      </c>
      <c r="H249" t="s">
        <v>2051</v>
      </c>
      <c r="I249" t="s">
        <v>53</v>
      </c>
      <c r="J249" t="s">
        <v>67</v>
      </c>
      <c r="K249" t="s">
        <v>68</v>
      </c>
      <c r="L249" t="s">
        <v>2052</v>
      </c>
      <c r="M249" t="s">
        <v>2053</v>
      </c>
      <c r="N249">
        <v>0</v>
      </c>
      <c r="O249">
        <v>0</v>
      </c>
      <c r="P249">
        <v>0</v>
      </c>
      <c r="Q249">
        <v>1440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349</v>
      </c>
      <c r="AH249" s="21" t="s">
        <v>3427</v>
      </c>
      <c r="AI249" s="21">
        <v>107.92500000000001</v>
      </c>
      <c r="AJ249" s="21">
        <v>100</v>
      </c>
      <c r="AK249" s="21" t="s">
        <v>2054</v>
      </c>
      <c r="AL249" t="s">
        <v>70</v>
      </c>
      <c r="AM249" t="s">
        <v>2029</v>
      </c>
    </row>
    <row r="250" spans="1:39" ht="15" hidden="1" thickTop="1" x14ac:dyDescent="0.35">
      <c r="A250" t="s">
        <v>3179</v>
      </c>
      <c r="B250" t="s">
        <v>3188</v>
      </c>
      <c r="C250" t="s">
        <v>92</v>
      </c>
      <c r="D250" t="s">
        <v>3189</v>
      </c>
      <c r="E250" t="s">
        <v>119</v>
      </c>
      <c r="F250">
        <v>1</v>
      </c>
      <c r="G250" t="s">
        <v>2050</v>
      </c>
      <c r="H250" t="s">
        <v>2051</v>
      </c>
      <c r="I250" t="s">
        <v>53</v>
      </c>
      <c r="J250" t="s">
        <v>67</v>
      </c>
      <c r="K250" t="s">
        <v>68</v>
      </c>
      <c r="L250" t="s">
        <v>2052</v>
      </c>
      <c r="M250" t="s">
        <v>2053</v>
      </c>
      <c r="N250">
        <v>0</v>
      </c>
      <c r="O250">
        <v>0</v>
      </c>
      <c r="P250">
        <v>0</v>
      </c>
      <c r="Q250">
        <v>1440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350</v>
      </c>
      <c r="AH250" s="21" t="s">
        <v>3427</v>
      </c>
      <c r="AI250" s="21">
        <v>107.92500000000001</v>
      </c>
      <c r="AJ250" s="21">
        <v>100</v>
      </c>
      <c r="AK250" s="21" t="s">
        <v>2054</v>
      </c>
      <c r="AL250" t="s">
        <v>70</v>
      </c>
      <c r="AM250" t="s">
        <v>2027</v>
      </c>
    </row>
    <row r="251" spans="1:39" ht="15" hidden="1" thickTop="1" x14ac:dyDescent="0.35">
      <c r="A251" t="s">
        <v>2600</v>
      </c>
      <c r="B251" t="s">
        <v>3190</v>
      </c>
      <c r="C251" t="s">
        <v>71</v>
      </c>
      <c r="D251" t="s">
        <v>3191</v>
      </c>
      <c r="E251" t="s">
        <v>72</v>
      </c>
      <c r="F251">
        <v>1</v>
      </c>
      <c r="G251" t="s">
        <v>2050</v>
      </c>
      <c r="H251" t="s">
        <v>2051</v>
      </c>
      <c r="I251" t="s">
        <v>53</v>
      </c>
      <c r="J251" t="s">
        <v>73</v>
      </c>
      <c r="K251" t="s">
        <v>68</v>
      </c>
      <c r="L251" t="s">
        <v>2052</v>
      </c>
      <c r="M251" t="s">
        <v>2053</v>
      </c>
      <c r="N251">
        <v>0</v>
      </c>
      <c r="O251">
        <v>0</v>
      </c>
      <c r="P251">
        <v>0</v>
      </c>
      <c r="Q251">
        <v>1440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351</v>
      </c>
      <c r="AH251" s="21" t="s">
        <v>3427</v>
      </c>
      <c r="AI251" s="21">
        <v>107.92500000000001</v>
      </c>
      <c r="AJ251" s="21">
        <v>100</v>
      </c>
      <c r="AK251" s="21" t="s">
        <v>2054</v>
      </c>
      <c r="AL251" t="s">
        <v>75</v>
      </c>
      <c r="AM251" t="s">
        <v>2030</v>
      </c>
    </row>
    <row r="252" spans="1:39" ht="15" hidden="1" thickTop="1" x14ac:dyDescent="0.35">
      <c r="A252" t="s">
        <v>3193</v>
      </c>
      <c r="B252" t="s">
        <v>3201</v>
      </c>
      <c r="C252" t="s">
        <v>76</v>
      </c>
      <c r="D252" t="s">
        <v>3202</v>
      </c>
      <c r="E252" t="s">
        <v>559</v>
      </c>
      <c r="F252">
        <v>1</v>
      </c>
      <c r="G252" t="s">
        <v>2050</v>
      </c>
      <c r="H252" t="s">
        <v>2051</v>
      </c>
      <c r="I252" t="s">
        <v>53</v>
      </c>
      <c r="J252" t="s">
        <v>67</v>
      </c>
      <c r="K252" t="s">
        <v>68</v>
      </c>
      <c r="L252" t="s">
        <v>2052</v>
      </c>
      <c r="M252" t="s">
        <v>2064</v>
      </c>
      <c r="N252">
        <v>2</v>
      </c>
      <c r="O252">
        <v>49</v>
      </c>
      <c r="P252">
        <v>5.44</v>
      </c>
      <c r="Q252">
        <v>900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2</v>
      </c>
      <c r="Y252">
        <v>49</v>
      </c>
      <c r="Z252">
        <v>5.44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353</v>
      </c>
      <c r="AH252" s="21" t="s">
        <v>3425</v>
      </c>
      <c r="AI252" s="21">
        <v>67.5</v>
      </c>
      <c r="AJ252" s="21">
        <v>94.555555555555557</v>
      </c>
      <c r="AK252" s="21" t="s">
        <v>2055</v>
      </c>
      <c r="AL252" t="s">
        <v>70</v>
      </c>
      <c r="AM252" t="s">
        <v>2028</v>
      </c>
    </row>
    <row r="253" spans="1:39" ht="15" hidden="1" thickTop="1" x14ac:dyDescent="0.35">
      <c r="A253" t="s">
        <v>3194</v>
      </c>
      <c r="B253" t="s">
        <v>3204</v>
      </c>
      <c r="C253" t="s">
        <v>102</v>
      </c>
      <c r="D253" t="s">
        <v>3205</v>
      </c>
      <c r="E253" t="s">
        <v>559</v>
      </c>
      <c r="F253">
        <v>1</v>
      </c>
      <c r="G253" t="s">
        <v>2050</v>
      </c>
      <c r="H253" t="s">
        <v>2051</v>
      </c>
      <c r="I253" t="s">
        <v>53</v>
      </c>
      <c r="J253" t="s">
        <v>67</v>
      </c>
      <c r="K253" t="s">
        <v>68</v>
      </c>
      <c r="L253" t="s">
        <v>2052</v>
      </c>
      <c r="M253" t="s">
        <v>2053</v>
      </c>
      <c r="N253">
        <v>0</v>
      </c>
      <c r="O253">
        <v>0</v>
      </c>
      <c r="P253">
        <v>0</v>
      </c>
      <c r="Q253">
        <v>1440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t="s">
        <v>354</v>
      </c>
      <c r="AH253" s="21" t="s">
        <v>3425</v>
      </c>
      <c r="AI253" s="21">
        <v>107.92500000000001</v>
      </c>
      <c r="AJ253" s="21">
        <v>100</v>
      </c>
      <c r="AK253" s="21" t="s">
        <v>2054</v>
      </c>
      <c r="AL253" t="s">
        <v>70</v>
      </c>
      <c r="AM253" t="s">
        <v>2027</v>
      </c>
    </row>
    <row r="254" spans="1:39" ht="15" hidden="1" thickTop="1" x14ac:dyDescent="0.35">
      <c r="A254" t="s">
        <v>3198</v>
      </c>
      <c r="B254" t="s">
        <v>3216</v>
      </c>
      <c r="C254" t="s">
        <v>111</v>
      </c>
      <c r="D254" t="s">
        <v>3217</v>
      </c>
      <c r="E254" t="s">
        <v>112</v>
      </c>
      <c r="F254">
        <v>1</v>
      </c>
      <c r="G254" t="s">
        <v>2050</v>
      </c>
      <c r="H254" t="s">
        <v>2051</v>
      </c>
      <c r="I254" t="s">
        <v>53</v>
      </c>
      <c r="J254" t="s">
        <v>113</v>
      </c>
      <c r="K254" t="s">
        <v>68</v>
      </c>
      <c r="L254" t="s">
        <v>2052</v>
      </c>
      <c r="M254" t="s">
        <v>2053</v>
      </c>
      <c r="N254">
        <v>0</v>
      </c>
      <c r="O254">
        <v>0</v>
      </c>
      <c r="P254">
        <v>0</v>
      </c>
      <c r="Q254">
        <v>1440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355</v>
      </c>
      <c r="AH254" s="21" t="s">
        <v>3424</v>
      </c>
      <c r="AI254" s="21">
        <v>107.92500000000001</v>
      </c>
      <c r="AJ254" s="21">
        <v>100</v>
      </c>
      <c r="AK254" s="21" t="s">
        <v>2054</v>
      </c>
      <c r="AL254" t="s">
        <v>115</v>
      </c>
      <c r="AM254" t="s">
        <v>2029</v>
      </c>
    </row>
    <row r="255" spans="1:39" ht="15" hidden="1" thickTop="1" x14ac:dyDescent="0.35">
      <c r="A255" t="s">
        <v>3207</v>
      </c>
      <c r="B255" t="s">
        <v>3219</v>
      </c>
      <c r="C255" t="s">
        <v>92</v>
      </c>
      <c r="D255" t="s">
        <v>3220</v>
      </c>
      <c r="E255" t="s">
        <v>119</v>
      </c>
      <c r="F255">
        <v>1</v>
      </c>
      <c r="G255" t="s">
        <v>2050</v>
      </c>
      <c r="H255" t="s">
        <v>2051</v>
      </c>
      <c r="I255" t="s">
        <v>53</v>
      </c>
      <c r="J255" t="s">
        <v>67</v>
      </c>
      <c r="K255" t="s">
        <v>68</v>
      </c>
      <c r="L255" t="s">
        <v>2052</v>
      </c>
      <c r="M255" t="s">
        <v>2082</v>
      </c>
      <c r="N255">
        <v>0</v>
      </c>
      <c r="O255">
        <v>0</v>
      </c>
      <c r="P255">
        <v>0</v>
      </c>
      <c r="Q255">
        <v>780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t="s">
        <v>356</v>
      </c>
      <c r="AH255" s="21" t="s">
        <v>3424</v>
      </c>
      <c r="AI255" s="21">
        <v>58.500000000000014</v>
      </c>
      <c r="AJ255" s="21">
        <v>100</v>
      </c>
      <c r="AK255" s="21" t="s">
        <v>2054</v>
      </c>
      <c r="AL255" t="s">
        <v>70</v>
      </c>
      <c r="AM255" t="s">
        <v>2027</v>
      </c>
    </row>
    <row r="256" spans="1:39" ht="15" hidden="1" thickTop="1" x14ac:dyDescent="0.35">
      <c r="A256" t="s">
        <v>3211</v>
      </c>
      <c r="B256" t="s">
        <v>3230</v>
      </c>
      <c r="C256" t="s">
        <v>100</v>
      </c>
      <c r="D256" t="s">
        <v>3231</v>
      </c>
      <c r="E256" t="s">
        <v>559</v>
      </c>
      <c r="F256">
        <v>1</v>
      </c>
      <c r="G256" t="s">
        <v>2050</v>
      </c>
      <c r="H256" t="s">
        <v>2051</v>
      </c>
      <c r="I256" t="s">
        <v>53</v>
      </c>
      <c r="J256" t="s">
        <v>67</v>
      </c>
      <c r="K256" t="s">
        <v>68</v>
      </c>
      <c r="L256" t="s">
        <v>2052</v>
      </c>
      <c r="M256" t="s">
        <v>2064</v>
      </c>
      <c r="N256">
        <v>0</v>
      </c>
      <c r="O256">
        <v>0</v>
      </c>
      <c r="P256">
        <v>0</v>
      </c>
      <c r="Q256">
        <v>900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t="s">
        <v>358</v>
      </c>
      <c r="AH256" s="21" t="s">
        <v>3424</v>
      </c>
      <c r="AI256" s="21">
        <v>67.5</v>
      </c>
      <c r="AJ256" s="21">
        <v>100</v>
      </c>
      <c r="AK256" s="21" t="s">
        <v>2054</v>
      </c>
      <c r="AL256" t="s">
        <v>70</v>
      </c>
      <c r="AM256" t="s">
        <v>2028</v>
      </c>
    </row>
    <row r="257" spans="1:39" ht="15" hidden="1" thickTop="1" x14ac:dyDescent="0.35">
      <c r="A257" t="s">
        <v>3213</v>
      </c>
      <c r="B257" t="s">
        <v>3234</v>
      </c>
      <c r="C257" t="s">
        <v>102</v>
      </c>
      <c r="D257" t="s">
        <v>3235</v>
      </c>
      <c r="E257" t="s">
        <v>559</v>
      </c>
      <c r="F257">
        <v>1</v>
      </c>
      <c r="G257" t="s">
        <v>2050</v>
      </c>
      <c r="H257" t="s">
        <v>2051</v>
      </c>
      <c r="I257" t="s">
        <v>53</v>
      </c>
      <c r="J257" t="s">
        <v>67</v>
      </c>
      <c r="K257" t="s">
        <v>68</v>
      </c>
      <c r="L257" t="s">
        <v>2052</v>
      </c>
      <c r="M257" t="s">
        <v>2053</v>
      </c>
      <c r="N257">
        <v>0</v>
      </c>
      <c r="O257">
        <v>0</v>
      </c>
      <c r="P257">
        <v>0</v>
      </c>
      <c r="Q257">
        <v>1440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 t="s">
        <v>359</v>
      </c>
      <c r="AH257" s="21" t="s">
        <v>3424</v>
      </c>
      <c r="AI257" s="21">
        <v>107.92500000000001</v>
      </c>
      <c r="AJ257" s="21">
        <v>100</v>
      </c>
      <c r="AK257" s="21" t="s">
        <v>2054</v>
      </c>
      <c r="AL257" t="s">
        <v>70</v>
      </c>
      <c r="AM257" t="s">
        <v>2029</v>
      </c>
    </row>
    <row r="258" spans="1:39" ht="15" hidden="1" thickTop="1" x14ac:dyDescent="0.35">
      <c r="A258" t="s">
        <v>3222</v>
      </c>
      <c r="B258" t="s">
        <v>3243</v>
      </c>
      <c r="C258" t="s">
        <v>81</v>
      </c>
      <c r="D258" t="s">
        <v>3244</v>
      </c>
      <c r="E258" t="s">
        <v>559</v>
      </c>
      <c r="F258">
        <v>2</v>
      </c>
      <c r="G258" t="s">
        <v>2050</v>
      </c>
      <c r="H258" t="s">
        <v>2051</v>
      </c>
      <c r="I258" t="s">
        <v>53</v>
      </c>
      <c r="J258" t="s">
        <v>82</v>
      </c>
      <c r="K258" t="s">
        <v>68</v>
      </c>
      <c r="L258" t="s">
        <v>2052</v>
      </c>
      <c r="M258" t="s">
        <v>2078</v>
      </c>
      <c r="N258">
        <v>0</v>
      </c>
      <c r="O258">
        <v>0</v>
      </c>
      <c r="P258">
        <v>0</v>
      </c>
      <c r="Q258">
        <v>960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 t="s">
        <v>360</v>
      </c>
      <c r="AH258" s="21" t="s">
        <v>3424</v>
      </c>
      <c r="AI258" s="21">
        <v>72</v>
      </c>
      <c r="AJ258" s="21">
        <v>100</v>
      </c>
      <c r="AK258" s="21" t="s">
        <v>2054</v>
      </c>
      <c r="AL258" t="s">
        <v>70</v>
      </c>
      <c r="AM258" t="s">
        <v>2030</v>
      </c>
    </row>
    <row r="259" spans="1:39" ht="15" hidden="1" thickTop="1" x14ac:dyDescent="0.35">
      <c r="A259" t="s">
        <v>3224</v>
      </c>
      <c r="B259" t="s">
        <v>3247</v>
      </c>
      <c r="C259" t="s">
        <v>78</v>
      </c>
      <c r="D259" t="s">
        <v>3248</v>
      </c>
      <c r="E259" t="s">
        <v>559</v>
      </c>
      <c r="F259">
        <v>1</v>
      </c>
      <c r="G259" t="s">
        <v>2050</v>
      </c>
      <c r="H259" t="s">
        <v>2051</v>
      </c>
      <c r="I259" t="s">
        <v>53</v>
      </c>
      <c r="J259" t="s">
        <v>67</v>
      </c>
      <c r="K259" t="s">
        <v>68</v>
      </c>
      <c r="L259" t="s">
        <v>2052</v>
      </c>
      <c r="M259" t="s">
        <v>2053</v>
      </c>
      <c r="N259">
        <v>0</v>
      </c>
      <c r="O259">
        <v>0</v>
      </c>
      <c r="P259">
        <v>0</v>
      </c>
      <c r="Q259">
        <v>1440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361</v>
      </c>
      <c r="AH259" s="21" t="s">
        <v>3429</v>
      </c>
      <c r="AI259" s="21">
        <v>107.92500000000001</v>
      </c>
      <c r="AJ259" s="21">
        <v>100</v>
      </c>
      <c r="AK259" s="21" t="s">
        <v>2054</v>
      </c>
      <c r="AL259" t="s">
        <v>70</v>
      </c>
      <c r="AM259" t="s">
        <v>2029</v>
      </c>
    </row>
    <row r="260" spans="1:39" ht="15" hidden="1" thickTop="1" x14ac:dyDescent="0.35">
      <c r="A260" t="s">
        <v>2616</v>
      </c>
      <c r="B260" t="s">
        <v>3251</v>
      </c>
      <c r="C260" t="s">
        <v>66</v>
      </c>
      <c r="D260" t="s">
        <v>3252</v>
      </c>
      <c r="E260" t="s">
        <v>559</v>
      </c>
      <c r="F260">
        <v>1</v>
      </c>
      <c r="G260" t="s">
        <v>2050</v>
      </c>
      <c r="H260" t="s">
        <v>2051</v>
      </c>
      <c r="I260" t="s">
        <v>53</v>
      </c>
      <c r="J260" t="s">
        <v>67</v>
      </c>
      <c r="K260" t="s">
        <v>68</v>
      </c>
      <c r="L260" t="s">
        <v>2052</v>
      </c>
      <c r="M260" t="s">
        <v>2064</v>
      </c>
      <c r="N260">
        <v>0</v>
      </c>
      <c r="O260">
        <v>0</v>
      </c>
      <c r="P260">
        <v>0</v>
      </c>
      <c r="Q260">
        <v>900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362</v>
      </c>
      <c r="AH260" s="21" t="s">
        <v>3425</v>
      </c>
      <c r="AI260" s="21">
        <v>67.5</v>
      </c>
      <c r="AJ260" s="21">
        <v>100</v>
      </c>
      <c r="AK260" s="21" t="s">
        <v>2054</v>
      </c>
      <c r="AL260" t="s">
        <v>70</v>
      </c>
      <c r="AM260" t="s">
        <v>2031</v>
      </c>
    </row>
    <row r="261" spans="1:39" ht="15" hidden="1" thickTop="1" x14ac:dyDescent="0.35">
      <c r="A261" t="s">
        <v>3228</v>
      </c>
      <c r="B261" t="s">
        <v>3256</v>
      </c>
      <c r="C261" t="s">
        <v>3376</v>
      </c>
      <c r="D261" t="s">
        <v>3257</v>
      </c>
      <c r="E261" t="s">
        <v>559</v>
      </c>
      <c r="F261">
        <v>1</v>
      </c>
      <c r="G261" t="s">
        <v>2050</v>
      </c>
      <c r="H261" t="s">
        <v>2051</v>
      </c>
      <c r="I261" t="s">
        <v>53</v>
      </c>
      <c r="J261" t="s">
        <v>67</v>
      </c>
      <c r="K261" t="s">
        <v>68</v>
      </c>
      <c r="L261" t="s">
        <v>2052</v>
      </c>
      <c r="M261" t="s">
        <v>2053</v>
      </c>
      <c r="N261">
        <v>0</v>
      </c>
      <c r="O261">
        <v>0</v>
      </c>
      <c r="P261">
        <v>0</v>
      </c>
      <c r="Q261">
        <v>1440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363</v>
      </c>
      <c r="AH261" s="21" t="s">
        <v>3424</v>
      </c>
      <c r="AI261" s="21">
        <v>107.92500000000001</v>
      </c>
      <c r="AJ261" s="21">
        <v>100</v>
      </c>
      <c r="AK261" s="21" t="s">
        <v>2054</v>
      </c>
      <c r="AL261" t="s">
        <v>70</v>
      </c>
      <c r="AM261" t="s">
        <v>2027</v>
      </c>
    </row>
    <row r="262" spans="1:39" ht="15" hidden="1" thickTop="1" x14ac:dyDescent="0.35">
      <c r="A262" t="s">
        <v>3232</v>
      </c>
      <c r="B262" t="s">
        <v>3260</v>
      </c>
      <c r="C262" t="s">
        <v>92</v>
      </c>
      <c r="D262" t="s">
        <v>3261</v>
      </c>
      <c r="E262" t="s">
        <v>119</v>
      </c>
      <c r="F262">
        <v>1</v>
      </c>
      <c r="G262" t="s">
        <v>2050</v>
      </c>
      <c r="H262" t="s">
        <v>2051</v>
      </c>
      <c r="I262" t="s">
        <v>53</v>
      </c>
      <c r="J262" t="s">
        <v>67</v>
      </c>
      <c r="K262" t="s">
        <v>68</v>
      </c>
      <c r="L262" t="s">
        <v>2052</v>
      </c>
      <c r="M262" t="s">
        <v>2053</v>
      </c>
      <c r="N262">
        <v>0</v>
      </c>
      <c r="O262">
        <v>0</v>
      </c>
      <c r="P262">
        <v>0</v>
      </c>
      <c r="Q262">
        <v>1440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364</v>
      </c>
      <c r="AH262" s="21" t="s">
        <v>3425</v>
      </c>
      <c r="AI262" s="21">
        <v>107.92500000000001</v>
      </c>
      <c r="AJ262" s="21">
        <v>100</v>
      </c>
      <c r="AK262" s="21" t="s">
        <v>2054</v>
      </c>
      <c r="AL262" t="s">
        <v>70</v>
      </c>
      <c r="AM262" t="s">
        <v>2028</v>
      </c>
    </row>
    <row r="263" spans="1:39" ht="15" hidden="1" thickTop="1" x14ac:dyDescent="0.35">
      <c r="A263" t="s">
        <v>3233</v>
      </c>
      <c r="B263" t="s">
        <v>3263</v>
      </c>
      <c r="C263" t="s">
        <v>128</v>
      </c>
      <c r="D263" t="s">
        <v>3264</v>
      </c>
      <c r="E263" t="s">
        <v>112</v>
      </c>
      <c r="F263">
        <v>1</v>
      </c>
      <c r="G263" t="s">
        <v>2050</v>
      </c>
      <c r="H263" t="s">
        <v>2051</v>
      </c>
      <c r="I263" t="s">
        <v>53</v>
      </c>
      <c r="J263" t="s">
        <v>113</v>
      </c>
      <c r="K263" t="s">
        <v>68</v>
      </c>
      <c r="L263" t="s">
        <v>2052</v>
      </c>
      <c r="M263" t="s">
        <v>2053</v>
      </c>
      <c r="N263">
        <v>0</v>
      </c>
      <c r="O263">
        <v>0</v>
      </c>
      <c r="P263">
        <v>0</v>
      </c>
      <c r="Q263">
        <v>1440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365</v>
      </c>
      <c r="AH263" s="21" t="s">
        <v>3427</v>
      </c>
      <c r="AI263" s="21">
        <v>107.92500000000001</v>
      </c>
      <c r="AJ263" s="21">
        <v>100</v>
      </c>
      <c r="AK263" s="21" t="s">
        <v>2054</v>
      </c>
      <c r="AL263" t="s">
        <v>115</v>
      </c>
      <c r="AM263" t="s">
        <v>2029</v>
      </c>
    </row>
    <row r="264" spans="1:39" ht="15" hidden="1" thickTop="1" x14ac:dyDescent="0.35">
      <c r="A264" t="s">
        <v>3240</v>
      </c>
      <c r="B264" t="s">
        <v>3270</v>
      </c>
      <c r="C264" t="s">
        <v>76</v>
      </c>
      <c r="D264" t="s">
        <v>3271</v>
      </c>
      <c r="E264" t="s">
        <v>559</v>
      </c>
      <c r="F264">
        <v>1</v>
      </c>
      <c r="G264" t="s">
        <v>2050</v>
      </c>
      <c r="H264" t="s">
        <v>2051</v>
      </c>
      <c r="I264" t="s">
        <v>53</v>
      </c>
      <c r="J264" t="s">
        <v>67</v>
      </c>
      <c r="K264" t="s">
        <v>68</v>
      </c>
      <c r="L264" t="s">
        <v>2052</v>
      </c>
      <c r="M264" t="s">
        <v>2053</v>
      </c>
      <c r="N264">
        <v>0</v>
      </c>
      <c r="O264">
        <v>0</v>
      </c>
      <c r="P264">
        <v>0</v>
      </c>
      <c r="Q264">
        <v>1440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366</v>
      </c>
      <c r="AH264" s="21" t="s">
        <v>3424</v>
      </c>
      <c r="AI264" s="21">
        <v>107.92500000000001</v>
      </c>
      <c r="AJ264" s="21">
        <v>100</v>
      </c>
      <c r="AK264" s="21" t="s">
        <v>2054</v>
      </c>
      <c r="AL264" t="s">
        <v>70</v>
      </c>
      <c r="AM264" t="s">
        <v>2029</v>
      </c>
    </row>
    <row r="265" spans="1:39" ht="15" hidden="1" thickTop="1" x14ac:dyDescent="0.35">
      <c r="A265" t="s">
        <v>3249</v>
      </c>
      <c r="B265" t="s">
        <v>3277</v>
      </c>
      <c r="C265" t="s">
        <v>76</v>
      </c>
      <c r="D265" t="s">
        <v>3278</v>
      </c>
      <c r="E265" t="s">
        <v>559</v>
      </c>
      <c r="F265">
        <v>1</v>
      </c>
      <c r="G265" t="s">
        <v>2050</v>
      </c>
      <c r="H265" t="s">
        <v>2051</v>
      </c>
      <c r="I265" t="s">
        <v>53</v>
      </c>
      <c r="J265" t="s">
        <v>67</v>
      </c>
      <c r="K265" t="s">
        <v>68</v>
      </c>
      <c r="L265" t="s">
        <v>2052</v>
      </c>
      <c r="M265" t="s">
        <v>2064</v>
      </c>
      <c r="N265">
        <v>1</v>
      </c>
      <c r="O265">
        <v>17</v>
      </c>
      <c r="P265">
        <v>1.89</v>
      </c>
      <c r="Q265">
        <v>900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17</v>
      </c>
      <c r="Z265">
        <v>1.89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367</v>
      </c>
      <c r="AH265" s="21" t="s">
        <v>3427</v>
      </c>
      <c r="AI265" s="21">
        <v>67.5</v>
      </c>
      <c r="AJ265" s="21">
        <v>98.111111111111114</v>
      </c>
      <c r="AK265" s="21" t="s">
        <v>2055</v>
      </c>
      <c r="AL265" t="s">
        <v>70</v>
      </c>
      <c r="AM265" t="s">
        <v>2030</v>
      </c>
    </row>
    <row r="266" spans="1:39" ht="15" hidden="1" thickTop="1" x14ac:dyDescent="0.35">
      <c r="A266" t="s">
        <v>3255</v>
      </c>
      <c r="B266" t="s">
        <v>3283</v>
      </c>
      <c r="C266" t="s">
        <v>78</v>
      </c>
      <c r="D266" t="s">
        <v>3284</v>
      </c>
      <c r="E266" t="s">
        <v>559</v>
      </c>
      <c r="F266">
        <v>1</v>
      </c>
      <c r="G266" t="s">
        <v>2050</v>
      </c>
      <c r="H266" t="s">
        <v>2051</v>
      </c>
      <c r="I266" t="s">
        <v>53</v>
      </c>
      <c r="J266" t="s">
        <v>67</v>
      </c>
      <c r="K266" t="s">
        <v>68</v>
      </c>
      <c r="L266" t="s">
        <v>2052</v>
      </c>
      <c r="M266" t="s">
        <v>2053</v>
      </c>
      <c r="N266">
        <v>1</v>
      </c>
      <c r="O266">
        <v>22</v>
      </c>
      <c r="P266">
        <v>1.53</v>
      </c>
      <c r="Q266">
        <v>1440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1</v>
      </c>
      <c r="Y266">
        <v>22</v>
      </c>
      <c r="Z266">
        <v>1.53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368</v>
      </c>
      <c r="AH266" s="21" t="s">
        <v>3427</v>
      </c>
      <c r="AI266" s="21">
        <v>107.92500000000001</v>
      </c>
      <c r="AJ266" s="21">
        <v>98.472222222222229</v>
      </c>
      <c r="AK266" s="21" t="s">
        <v>2055</v>
      </c>
      <c r="AL266" t="s">
        <v>70</v>
      </c>
      <c r="AM266" t="s">
        <v>2031</v>
      </c>
    </row>
    <row r="267" spans="1:39" ht="15" hidden="1" thickTop="1" x14ac:dyDescent="0.35">
      <c r="A267" t="s">
        <v>3258</v>
      </c>
      <c r="B267" t="s">
        <v>3286</v>
      </c>
      <c r="C267" t="s">
        <v>66</v>
      </c>
      <c r="D267" t="s">
        <v>3287</v>
      </c>
      <c r="E267" t="s">
        <v>559</v>
      </c>
      <c r="F267">
        <v>1</v>
      </c>
      <c r="G267" t="s">
        <v>2050</v>
      </c>
      <c r="H267" t="s">
        <v>2051</v>
      </c>
      <c r="I267" t="s">
        <v>53</v>
      </c>
      <c r="J267" t="s">
        <v>67</v>
      </c>
      <c r="K267" t="s">
        <v>68</v>
      </c>
      <c r="L267" t="s">
        <v>2052</v>
      </c>
      <c r="M267" t="s">
        <v>2064</v>
      </c>
      <c r="N267">
        <v>0</v>
      </c>
      <c r="O267">
        <v>0</v>
      </c>
      <c r="P267">
        <v>0</v>
      </c>
      <c r="Q267">
        <v>900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 t="s">
        <v>369</v>
      </c>
      <c r="AH267" s="21" t="s">
        <v>3424</v>
      </c>
      <c r="AI267" s="21">
        <v>67.5</v>
      </c>
      <c r="AJ267" s="21">
        <v>100</v>
      </c>
      <c r="AK267" s="21" t="s">
        <v>2055</v>
      </c>
      <c r="AL267" t="s">
        <v>70</v>
      </c>
      <c r="AM267" t="s">
        <v>2029</v>
      </c>
    </row>
    <row r="268" spans="1:39" ht="15" hidden="1" thickTop="1" x14ac:dyDescent="0.35">
      <c r="A268" t="s">
        <v>3262</v>
      </c>
      <c r="B268" t="s">
        <v>3290</v>
      </c>
      <c r="C268" t="s">
        <v>92</v>
      </c>
      <c r="D268" t="s">
        <v>3291</v>
      </c>
      <c r="E268" t="s">
        <v>119</v>
      </c>
      <c r="F268">
        <v>1</v>
      </c>
      <c r="G268" t="s">
        <v>2050</v>
      </c>
      <c r="H268" t="s">
        <v>2051</v>
      </c>
      <c r="I268" t="s">
        <v>53</v>
      </c>
      <c r="J268" t="s">
        <v>67</v>
      </c>
      <c r="K268" t="s">
        <v>68</v>
      </c>
      <c r="L268" t="s">
        <v>2052</v>
      </c>
      <c r="M268" t="s">
        <v>2063</v>
      </c>
      <c r="N268">
        <v>0</v>
      </c>
      <c r="O268">
        <v>0</v>
      </c>
      <c r="P268">
        <v>0</v>
      </c>
      <c r="Q268">
        <v>1020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370</v>
      </c>
      <c r="AH268" s="21" t="s">
        <v>3424</v>
      </c>
      <c r="AI268" s="21">
        <v>76.500000000000014</v>
      </c>
      <c r="AJ268" s="21">
        <v>100</v>
      </c>
      <c r="AK268" s="21" t="s">
        <v>2054</v>
      </c>
      <c r="AL268" t="s">
        <v>70</v>
      </c>
      <c r="AM268" t="s">
        <v>2027</v>
      </c>
    </row>
    <row r="269" spans="1:39" ht="15" hidden="1" thickTop="1" x14ac:dyDescent="0.35">
      <c r="A269" t="s">
        <v>3266</v>
      </c>
      <c r="B269" t="s">
        <v>3292</v>
      </c>
      <c r="C269" t="s">
        <v>86</v>
      </c>
      <c r="D269" t="s">
        <v>3293</v>
      </c>
      <c r="E269" t="s">
        <v>72</v>
      </c>
      <c r="F269">
        <v>1</v>
      </c>
      <c r="G269" t="s">
        <v>2050</v>
      </c>
      <c r="H269" t="s">
        <v>2051</v>
      </c>
      <c r="I269" t="s">
        <v>53</v>
      </c>
      <c r="J269" t="s">
        <v>73</v>
      </c>
      <c r="K269" t="s">
        <v>68</v>
      </c>
      <c r="L269" t="s">
        <v>2052</v>
      </c>
      <c r="M269" t="s">
        <v>2083</v>
      </c>
      <c r="N269">
        <v>0</v>
      </c>
      <c r="O269">
        <v>0</v>
      </c>
      <c r="P269">
        <v>0</v>
      </c>
      <c r="Q269">
        <v>960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t="s">
        <v>371</v>
      </c>
      <c r="AH269" s="21" t="s">
        <v>3424</v>
      </c>
      <c r="AI269" s="21">
        <v>72.000000000000014</v>
      </c>
      <c r="AJ269" s="21">
        <v>100</v>
      </c>
      <c r="AK269" s="21" t="s">
        <v>2054</v>
      </c>
      <c r="AL269" t="s">
        <v>75</v>
      </c>
      <c r="AM269" t="s">
        <v>2029</v>
      </c>
    </row>
    <row r="270" spans="1:39" ht="15" hidden="1" thickTop="1" x14ac:dyDescent="0.35">
      <c r="A270" t="s">
        <v>3267</v>
      </c>
      <c r="B270" t="s">
        <v>3294</v>
      </c>
      <c r="C270" t="s">
        <v>66</v>
      </c>
      <c r="D270" t="s">
        <v>3295</v>
      </c>
      <c r="E270" t="s">
        <v>559</v>
      </c>
      <c r="F270">
        <v>1</v>
      </c>
      <c r="G270" t="s">
        <v>2050</v>
      </c>
      <c r="H270" t="s">
        <v>2051</v>
      </c>
      <c r="I270" t="s">
        <v>53</v>
      </c>
      <c r="J270" t="s">
        <v>67</v>
      </c>
      <c r="K270" t="s">
        <v>68</v>
      </c>
      <c r="L270" t="s">
        <v>2052</v>
      </c>
      <c r="M270" t="s">
        <v>2064</v>
      </c>
      <c r="N270">
        <v>0</v>
      </c>
      <c r="O270">
        <v>0</v>
      </c>
      <c r="P270">
        <v>0</v>
      </c>
      <c r="Q270">
        <v>900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t="s">
        <v>372</v>
      </c>
      <c r="AH270" s="21" t="s">
        <v>3424</v>
      </c>
      <c r="AI270" s="21">
        <v>67.5</v>
      </c>
      <c r="AJ270" s="21">
        <v>100</v>
      </c>
      <c r="AK270" s="21" t="s">
        <v>2054</v>
      </c>
      <c r="AL270" t="s">
        <v>70</v>
      </c>
      <c r="AM270" t="s">
        <v>2030</v>
      </c>
    </row>
    <row r="271" spans="1:39" ht="15" hidden="1" thickTop="1" x14ac:dyDescent="0.35">
      <c r="A271" t="s">
        <v>3274</v>
      </c>
      <c r="B271" t="s">
        <v>3303</v>
      </c>
      <c r="C271" t="s">
        <v>92</v>
      </c>
      <c r="D271" t="s">
        <v>3304</v>
      </c>
      <c r="E271" t="s">
        <v>559</v>
      </c>
      <c r="F271">
        <v>1</v>
      </c>
      <c r="G271" t="s">
        <v>2050</v>
      </c>
      <c r="H271" t="s">
        <v>2051</v>
      </c>
      <c r="I271" t="s">
        <v>53</v>
      </c>
      <c r="J271" t="s">
        <v>67</v>
      </c>
      <c r="K271" t="s">
        <v>68</v>
      </c>
      <c r="L271" t="s">
        <v>2052</v>
      </c>
      <c r="M271" t="s">
        <v>2053</v>
      </c>
      <c r="N271">
        <v>0</v>
      </c>
      <c r="O271">
        <v>0</v>
      </c>
      <c r="P271">
        <v>0</v>
      </c>
      <c r="Q271">
        <v>1440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373</v>
      </c>
      <c r="AH271" s="21" t="s">
        <v>3424</v>
      </c>
      <c r="AI271" s="21">
        <v>107.92500000000001</v>
      </c>
      <c r="AJ271" s="21">
        <v>100</v>
      </c>
      <c r="AK271" s="21" t="s">
        <v>2054</v>
      </c>
      <c r="AL271" t="s">
        <v>70</v>
      </c>
      <c r="AM271" t="s">
        <v>2031</v>
      </c>
    </row>
    <row r="272" spans="1:39" ht="15" hidden="1" thickTop="1" x14ac:dyDescent="0.35">
      <c r="A272" t="s">
        <v>3279</v>
      </c>
      <c r="B272" t="s">
        <v>3308</v>
      </c>
      <c r="C272" t="s">
        <v>78</v>
      </c>
      <c r="D272" t="s">
        <v>3309</v>
      </c>
      <c r="E272" t="s">
        <v>559</v>
      </c>
      <c r="F272">
        <v>1</v>
      </c>
      <c r="G272" t="s">
        <v>2050</v>
      </c>
      <c r="H272" t="s">
        <v>2051</v>
      </c>
      <c r="I272" t="s">
        <v>53</v>
      </c>
      <c r="J272" t="s">
        <v>67</v>
      </c>
      <c r="K272" t="s">
        <v>68</v>
      </c>
      <c r="L272" t="s">
        <v>2052</v>
      </c>
      <c r="M272" t="s">
        <v>2053</v>
      </c>
      <c r="N272">
        <v>0</v>
      </c>
      <c r="O272">
        <v>0</v>
      </c>
      <c r="P272">
        <v>0</v>
      </c>
      <c r="Q272">
        <v>1440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374</v>
      </c>
      <c r="AH272" s="21" t="s">
        <v>3427</v>
      </c>
      <c r="AI272" s="21">
        <v>107.92500000000001</v>
      </c>
      <c r="AJ272" s="21">
        <v>100</v>
      </c>
      <c r="AK272" s="21" t="s">
        <v>2055</v>
      </c>
      <c r="AL272" t="s">
        <v>70</v>
      </c>
      <c r="AM272" t="s">
        <v>2028</v>
      </c>
    </row>
    <row r="273" spans="1:39" ht="15" hidden="1" thickTop="1" x14ac:dyDescent="0.35">
      <c r="A273" t="s">
        <v>3285</v>
      </c>
      <c r="B273" t="s">
        <v>3314</v>
      </c>
      <c r="C273" t="s">
        <v>76</v>
      </c>
      <c r="D273" t="s">
        <v>3315</v>
      </c>
      <c r="E273" t="s">
        <v>119</v>
      </c>
      <c r="F273">
        <v>1</v>
      </c>
      <c r="G273" t="s">
        <v>2050</v>
      </c>
      <c r="H273" t="s">
        <v>2051</v>
      </c>
      <c r="I273" t="s">
        <v>53</v>
      </c>
      <c r="J273" t="s">
        <v>67</v>
      </c>
      <c r="K273" t="s">
        <v>68</v>
      </c>
      <c r="L273" t="s">
        <v>2052</v>
      </c>
      <c r="M273" t="s">
        <v>2064</v>
      </c>
      <c r="N273">
        <v>0</v>
      </c>
      <c r="O273">
        <v>0</v>
      </c>
      <c r="P273">
        <v>0</v>
      </c>
      <c r="Q273">
        <v>900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375</v>
      </c>
      <c r="AH273" s="21" t="s">
        <v>3427</v>
      </c>
      <c r="AI273" s="21">
        <v>67.5</v>
      </c>
      <c r="AJ273" s="21">
        <v>100</v>
      </c>
      <c r="AK273" s="21" t="s">
        <v>2054</v>
      </c>
      <c r="AL273" t="s">
        <v>70</v>
      </c>
      <c r="AM273" t="s">
        <v>2028</v>
      </c>
    </row>
    <row r="274" spans="1:39" ht="15" hidden="1" thickTop="1" x14ac:dyDescent="0.35">
      <c r="A274" t="s">
        <v>3298</v>
      </c>
      <c r="B274" t="s">
        <v>3324</v>
      </c>
      <c r="C274" t="s">
        <v>76</v>
      </c>
      <c r="D274" t="s">
        <v>3325</v>
      </c>
      <c r="E274" t="s">
        <v>559</v>
      </c>
      <c r="F274">
        <v>1</v>
      </c>
      <c r="G274" t="s">
        <v>2050</v>
      </c>
      <c r="H274" t="s">
        <v>2051</v>
      </c>
      <c r="I274" t="s">
        <v>53</v>
      </c>
      <c r="J274" t="s">
        <v>67</v>
      </c>
      <c r="K274" t="s">
        <v>68</v>
      </c>
      <c r="L274" t="s">
        <v>2052</v>
      </c>
      <c r="M274" t="s">
        <v>2053</v>
      </c>
      <c r="N274">
        <v>0</v>
      </c>
      <c r="O274">
        <v>0</v>
      </c>
      <c r="P274">
        <v>0</v>
      </c>
      <c r="Q274">
        <v>1440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376</v>
      </c>
      <c r="AH274" s="21" t="s">
        <v>3425</v>
      </c>
      <c r="AI274" s="21">
        <v>107.92500000000001</v>
      </c>
      <c r="AJ274" s="21">
        <v>100</v>
      </c>
      <c r="AK274" s="21" t="s">
        <v>2054</v>
      </c>
      <c r="AL274" t="s">
        <v>70</v>
      </c>
      <c r="AM274" t="s">
        <v>2028</v>
      </c>
    </row>
    <row r="275" spans="1:39" ht="15" hidden="1" thickTop="1" x14ac:dyDescent="0.35">
      <c r="A275" t="s">
        <v>3299</v>
      </c>
      <c r="B275" t="s">
        <v>3326</v>
      </c>
      <c r="C275" t="s">
        <v>86</v>
      </c>
      <c r="D275" t="s">
        <v>3327</v>
      </c>
      <c r="E275" t="s">
        <v>72</v>
      </c>
      <c r="F275">
        <v>2</v>
      </c>
      <c r="G275" t="s">
        <v>2050</v>
      </c>
      <c r="H275" t="s">
        <v>2051</v>
      </c>
      <c r="I275" t="s">
        <v>53</v>
      </c>
      <c r="J275" t="s">
        <v>73</v>
      </c>
      <c r="K275" t="s">
        <v>68</v>
      </c>
      <c r="L275" t="s">
        <v>2052</v>
      </c>
      <c r="M275" t="s">
        <v>2053</v>
      </c>
      <c r="N275">
        <v>0</v>
      </c>
      <c r="O275">
        <v>0</v>
      </c>
      <c r="P275">
        <v>0</v>
      </c>
      <c r="Q275">
        <v>1440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377</v>
      </c>
      <c r="AH275" s="21" t="s">
        <v>3424</v>
      </c>
      <c r="AI275" s="21">
        <v>107.92500000000001</v>
      </c>
      <c r="AJ275" s="21">
        <v>100</v>
      </c>
      <c r="AK275" s="21" t="s">
        <v>2054</v>
      </c>
      <c r="AL275" t="s">
        <v>75</v>
      </c>
      <c r="AM275" t="s">
        <v>2029</v>
      </c>
    </row>
    <row r="276" spans="1:39" ht="15" hidden="1" thickTop="1" x14ac:dyDescent="0.35">
      <c r="A276" t="s">
        <v>3306</v>
      </c>
      <c r="B276" t="s">
        <v>3336</v>
      </c>
      <c r="C276" t="s">
        <v>76</v>
      </c>
      <c r="D276" t="s">
        <v>3337</v>
      </c>
      <c r="E276" t="s">
        <v>559</v>
      </c>
      <c r="F276">
        <v>1</v>
      </c>
      <c r="G276" t="s">
        <v>2050</v>
      </c>
      <c r="H276" t="s">
        <v>2051</v>
      </c>
      <c r="I276" t="s">
        <v>53</v>
      </c>
      <c r="J276" t="s">
        <v>67</v>
      </c>
      <c r="K276" t="s">
        <v>68</v>
      </c>
      <c r="L276" t="s">
        <v>2052</v>
      </c>
      <c r="M276" t="s">
        <v>2053</v>
      </c>
      <c r="N276">
        <v>0</v>
      </c>
      <c r="O276">
        <v>0</v>
      </c>
      <c r="P276">
        <v>0</v>
      </c>
      <c r="Q276">
        <v>1440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378</v>
      </c>
      <c r="AH276" s="21" t="s">
        <v>3424</v>
      </c>
      <c r="AI276" s="21">
        <v>107.92500000000001</v>
      </c>
      <c r="AJ276" s="21">
        <v>100</v>
      </c>
      <c r="AK276" s="21" t="s">
        <v>2054</v>
      </c>
      <c r="AL276" t="s">
        <v>70</v>
      </c>
      <c r="AM276" t="s">
        <v>2029</v>
      </c>
    </row>
    <row r="277" spans="1:39" ht="15" hidden="1" thickTop="1" x14ac:dyDescent="0.35">
      <c r="A277" t="s">
        <v>3313</v>
      </c>
      <c r="B277" t="s">
        <v>3338</v>
      </c>
      <c r="C277" t="s">
        <v>102</v>
      </c>
      <c r="D277" t="s">
        <v>3339</v>
      </c>
      <c r="E277" t="s">
        <v>559</v>
      </c>
      <c r="F277">
        <v>1</v>
      </c>
      <c r="G277" t="s">
        <v>2050</v>
      </c>
      <c r="H277" t="s">
        <v>2051</v>
      </c>
      <c r="I277" t="s">
        <v>53</v>
      </c>
      <c r="J277" t="s">
        <v>67</v>
      </c>
      <c r="K277" t="s">
        <v>68</v>
      </c>
      <c r="L277" t="s">
        <v>2052</v>
      </c>
      <c r="M277" t="s">
        <v>2053</v>
      </c>
      <c r="N277">
        <v>0</v>
      </c>
      <c r="O277">
        <v>0</v>
      </c>
      <c r="P277">
        <v>0</v>
      </c>
      <c r="Q277">
        <v>1440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379</v>
      </c>
      <c r="AH277" s="21" t="s">
        <v>3424</v>
      </c>
      <c r="AI277" s="21">
        <v>107.92500000000001</v>
      </c>
      <c r="AJ277" s="21">
        <v>100</v>
      </c>
      <c r="AK277" s="21" t="s">
        <v>2054</v>
      </c>
      <c r="AL277" t="s">
        <v>70</v>
      </c>
      <c r="AM277" t="s">
        <v>2027</v>
      </c>
    </row>
    <row r="278" spans="1:39" ht="15" hidden="1" thickTop="1" x14ac:dyDescent="0.35">
      <c r="A278" t="s">
        <v>3316</v>
      </c>
      <c r="B278" t="s">
        <v>3340</v>
      </c>
      <c r="C278" t="s">
        <v>102</v>
      </c>
      <c r="D278" t="s">
        <v>3341</v>
      </c>
      <c r="E278" t="s">
        <v>559</v>
      </c>
      <c r="F278">
        <v>1</v>
      </c>
      <c r="G278" t="s">
        <v>2050</v>
      </c>
      <c r="H278" t="s">
        <v>2051</v>
      </c>
      <c r="I278" t="s">
        <v>53</v>
      </c>
      <c r="J278" t="s">
        <v>67</v>
      </c>
      <c r="K278" t="s">
        <v>68</v>
      </c>
      <c r="L278" t="s">
        <v>2052</v>
      </c>
      <c r="M278" t="s">
        <v>2053</v>
      </c>
      <c r="N278">
        <v>0</v>
      </c>
      <c r="O278">
        <v>0</v>
      </c>
      <c r="P278">
        <v>0</v>
      </c>
      <c r="Q278">
        <v>1440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380</v>
      </c>
      <c r="AH278" s="21" t="s">
        <v>3425</v>
      </c>
      <c r="AI278" s="21">
        <v>107.92500000000001</v>
      </c>
      <c r="AJ278" s="21">
        <v>100</v>
      </c>
      <c r="AK278" s="21" t="s">
        <v>2054</v>
      </c>
      <c r="AL278" t="s">
        <v>70</v>
      </c>
      <c r="AM278" t="s">
        <v>2028</v>
      </c>
    </row>
    <row r="279" spans="1:39" ht="15" hidden="1" thickTop="1" x14ac:dyDescent="0.35">
      <c r="A279" t="s">
        <v>3317</v>
      </c>
      <c r="B279" t="s">
        <v>3342</v>
      </c>
      <c r="C279" t="s">
        <v>66</v>
      </c>
      <c r="D279" t="s">
        <v>3343</v>
      </c>
      <c r="E279" t="s">
        <v>559</v>
      </c>
      <c r="F279">
        <v>2</v>
      </c>
      <c r="G279" t="s">
        <v>2050</v>
      </c>
      <c r="H279" t="s">
        <v>2051</v>
      </c>
      <c r="I279" t="s">
        <v>53</v>
      </c>
      <c r="J279" t="s">
        <v>67</v>
      </c>
      <c r="K279" t="s">
        <v>68</v>
      </c>
      <c r="L279" t="s">
        <v>2052</v>
      </c>
      <c r="M279" t="s">
        <v>2053</v>
      </c>
      <c r="N279">
        <v>0</v>
      </c>
      <c r="O279">
        <v>0</v>
      </c>
      <c r="P279">
        <v>0</v>
      </c>
      <c r="Q279">
        <v>1440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381</v>
      </c>
      <c r="AH279" s="21" t="s">
        <v>3425</v>
      </c>
      <c r="AI279" s="21">
        <v>107.92500000000001</v>
      </c>
      <c r="AJ279" s="21">
        <v>100</v>
      </c>
      <c r="AK279" s="21" t="s">
        <v>2054</v>
      </c>
      <c r="AL279" t="s">
        <v>70</v>
      </c>
      <c r="AM279" t="s">
        <v>2028</v>
      </c>
    </row>
    <row r="280" spans="1:39" ht="15" hidden="1" thickTop="1" x14ac:dyDescent="0.35">
      <c r="A280" t="s">
        <v>3318</v>
      </c>
      <c r="B280" t="s">
        <v>3344</v>
      </c>
      <c r="C280" t="s">
        <v>78</v>
      </c>
      <c r="D280" t="s">
        <v>3345</v>
      </c>
      <c r="E280" t="s">
        <v>559</v>
      </c>
      <c r="F280">
        <v>1</v>
      </c>
      <c r="G280" t="s">
        <v>2050</v>
      </c>
      <c r="H280" t="s">
        <v>2051</v>
      </c>
      <c r="I280" t="s">
        <v>53</v>
      </c>
      <c r="J280" t="s">
        <v>67</v>
      </c>
      <c r="K280" t="s">
        <v>68</v>
      </c>
      <c r="L280" t="s">
        <v>2052</v>
      </c>
      <c r="M280" t="s">
        <v>2064</v>
      </c>
      <c r="N280">
        <v>0</v>
      </c>
      <c r="O280">
        <v>0</v>
      </c>
      <c r="P280">
        <v>0</v>
      </c>
      <c r="Q280">
        <v>900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382</v>
      </c>
      <c r="AH280" s="21" t="s">
        <v>3424</v>
      </c>
      <c r="AI280" s="21">
        <v>67.5</v>
      </c>
      <c r="AJ280" s="21">
        <v>100</v>
      </c>
      <c r="AK280" s="21" t="s">
        <v>2054</v>
      </c>
      <c r="AL280" t="s">
        <v>70</v>
      </c>
      <c r="AM280" t="s">
        <v>2028</v>
      </c>
    </row>
    <row r="281" spans="1:39" ht="15" hidden="1" thickTop="1" x14ac:dyDescent="0.35">
      <c r="A281" t="s">
        <v>2620</v>
      </c>
      <c r="B281" t="s">
        <v>3347</v>
      </c>
      <c r="C281" t="s">
        <v>78</v>
      </c>
      <c r="D281" t="s">
        <v>3348</v>
      </c>
      <c r="E281" t="s">
        <v>559</v>
      </c>
      <c r="F281">
        <v>2</v>
      </c>
      <c r="G281" t="s">
        <v>2050</v>
      </c>
      <c r="H281" t="s">
        <v>2051</v>
      </c>
      <c r="I281" t="s">
        <v>53</v>
      </c>
      <c r="J281" t="s">
        <v>67</v>
      </c>
      <c r="K281" t="s">
        <v>68</v>
      </c>
      <c r="L281" t="s">
        <v>2052</v>
      </c>
      <c r="M281" t="s">
        <v>2053</v>
      </c>
      <c r="N281">
        <v>0</v>
      </c>
      <c r="O281">
        <v>0</v>
      </c>
      <c r="P281">
        <v>0</v>
      </c>
      <c r="Q281">
        <v>1440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383</v>
      </c>
      <c r="AH281" s="21" t="s">
        <v>3425</v>
      </c>
      <c r="AI281" s="21">
        <v>107.92500000000001</v>
      </c>
      <c r="AJ281" s="21">
        <v>100</v>
      </c>
      <c r="AK281" s="21" t="s">
        <v>2054</v>
      </c>
      <c r="AL281" t="s">
        <v>70</v>
      </c>
      <c r="AM281" t="s">
        <v>2028</v>
      </c>
    </row>
    <row r="282" spans="1:39" ht="15" hidden="1" thickTop="1" x14ac:dyDescent="0.35">
      <c r="A282" t="s">
        <v>3322</v>
      </c>
      <c r="B282" t="s">
        <v>3352</v>
      </c>
      <c r="C282" t="s">
        <v>100</v>
      </c>
      <c r="D282" t="s">
        <v>3353</v>
      </c>
      <c r="E282" t="s">
        <v>559</v>
      </c>
      <c r="F282">
        <v>1</v>
      </c>
      <c r="G282" t="s">
        <v>2050</v>
      </c>
      <c r="H282" t="s">
        <v>2051</v>
      </c>
      <c r="I282" t="s">
        <v>53</v>
      </c>
      <c r="J282" t="s">
        <v>67</v>
      </c>
      <c r="K282" t="s">
        <v>68</v>
      </c>
      <c r="L282" t="s">
        <v>2052</v>
      </c>
      <c r="M282" t="s">
        <v>2053</v>
      </c>
      <c r="N282">
        <v>0</v>
      </c>
      <c r="O282">
        <v>0</v>
      </c>
      <c r="P282">
        <v>0</v>
      </c>
      <c r="Q282">
        <v>1440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384</v>
      </c>
      <c r="AH282" s="21" t="s">
        <v>3425</v>
      </c>
      <c r="AI282" s="21">
        <v>107.92500000000001</v>
      </c>
      <c r="AJ282" s="21">
        <v>100</v>
      </c>
      <c r="AK282" s="21" t="s">
        <v>2054</v>
      </c>
      <c r="AL282" t="s">
        <v>70</v>
      </c>
      <c r="AM282" t="s">
        <v>2031</v>
      </c>
    </row>
    <row r="283" spans="1:39" ht="15" hidden="1" thickTop="1" x14ac:dyDescent="0.35">
      <c r="A283" t="s">
        <v>3323</v>
      </c>
      <c r="B283" t="s">
        <v>3354</v>
      </c>
      <c r="C283" t="s">
        <v>86</v>
      </c>
      <c r="D283" t="s">
        <v>3355</v>
      </c>
      <c r="E283" t="s">
        <v>72</v>
      </c>
      <c r="F283">
        <v>1</v>
      </c>
      <c r="G283" t="s">
        <v>2050</v>
      </c>
      <c r="H283" t="s">
        <v>2051</v>
      </c>
      <c r="I283" t="s">
        <v>53</v>
      </c>
      <c r="J283" t="s">
        <v>73</v>
      </c>
      <c r="K283" t="s">
        <v>68</v>
      </c>
      <c r="L283" t="s">
        <v>2052</v>
      </c>
      <c r="M283" t="s">
        <v>2053</v>
      </c>
      <c r="N283">
        <v>0</v>
      </c>
      <c r="O283">
        <v>0</v>
      </c>
      <c r="P283">
        <v>0</v>
      </c>
      <c r="Q283">
        <v>1440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t="s">
        <v>385</v>
      </c>
      <c r="AH283" s="21" t="s">
        <v>3427</v>
      </c>
      <c r="AI283" s="21">
        <v>107.92500000000001</v>
      </c>
      <c r="AJ283" s="21">
        <v>100</v>
      </c>
      <c r="AK283" s="21" t="s">
        <v>2054</v>
      </c>
      <c r="AL283" t="s">
        <v>75</v>
      </c>
      <c r="AM283" t="s">
        <v>2027</v>
      </c>
    </row>
    <row r="284" spans="1:39" ht="15" hidden="1" thickTop="1" x14ac:dyDescent="0.35">
      <c r="A284" t="s">
        <v>2623</v>
      </c>
      <c r="B284" t="s">
        <v>3356</v>
      </c>
      <c r="C284" t="s">
        <v>71</v>
      </c>
      <c r="D284" t="s">
        <v>3357</v>
      </c>
      <c r="E284" t="s">
        <v>72</v>
      </c>
      <c r="F284">
        <v>1</v>
      </c>
      <c r="G284" t="s">
        <v>2050</v>
      </c>
      <c r="H284" t="s">
        <v>2051</v>
      </c>
      <c r="I284" t="s">
        <v>53</v>
      </c>
      <c r="J284" t="s">
        <v>73</v>
      </c>
      <c r="K284" t="s">
        <v>68</v>
      </c>
      <c r="L284" t="s">
        <v>2052</v>
      </c>
      <c r="M284" t="s">
        <v>2053</v>
      </c>
      <c r="N284">
        <v>0</v>
      </c>
      <c r="O284">
        <v>0</v>
      </c>
      <c r="P284">
        <v>0</v>
      </c>
      <c r="Q284">
        <v>1440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t="s">
        <v>386</v>
      </c>
      <c r="AH284" s="21" t="s">
        <v>3424</v>
      </c>
      <c r="AI284" s="21">
        <v>107.92500000000001</v>
      </c>
      <c r="AJ284" s="21">
        <v>100</v>
      </c>
      <c r="AK284" s="21" t="s">
        <v>2054</v>
      </c>
      <c r="AL284" t="s">
        <v>75</v>
      </c>
      <c r="AM284" t="s">
        <v>2028</v>
      </c>
    </row>
    <row r="285" spans="1:39" ht="15" hidden="1" thickTop="1" x14ac:dyDescent="0.35">
      <c r="A285" t="s">
        <v>3328</v>
      </c>
      <c r="B285" t="s">
        <v>3358</v>
      </c>
      <c r="C285" t="s">
        <v>66</v>
      </c>
      <c r="D285" t="s">
        <v>3359</v>
      </c>
      <c r="E285" t="s">
        <v>559</v>
      </c>
      <c r="F285">
        <v>1</v>
      </c>
      <c r="G285" t="s">
        <v>2050</v>
      </c>
      <c r="H285" t="s">
        <v>2051</v>
      </c>
      <c r="I285" t="s">
        <v>53</v>
      </c>
      <c r="J285" t="s">
        <v>67</v>
      </c>
      <c r="K285" t="s">
        <v>68</v>
      </c>
      <c r="L285" t="s">
        <v>2052</v>
      </c>
      <c r="M285" t="s">
        <v>2053</v>
      </c>
      <c r="N285">
        <v>0</v>
      </c>
      <c r="O285">
        <v>0</v>
      </c>
      <c r="P285">
        <v>0</v>
      </c>
      <c r="Q285">
        <v>1440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387</v>
      </c>
      <c r="AH285" s="21" t="s">
        <v>3425</v>
      </c>
      <c r="AI285" s="21">
        <v>107.92500000000001</v>
      </c>
      <c r="AJ285" s="21">
        <v>100</v>
      </c>
      <c r="AK285" s="21" t="s">
        <v>2054</v>
      </c>
      <c r="AL285" t="s">
        <v>70</v>
      </c>
      <c r="AM285" t="s">
        <v>2028</v>
      </c>
    </row>
    <row r="286" spans="1:39" ht="15" hidden="1" thickTop="1" x14ac:dyDescent="0.35">
      <c r="A286" t="s">
        <v>3333</v>
      </c>
      <c r="B286" t="s">
        <v>3361</v>
      </c>
      <c r="C286" t="s">
        <v>76</v>
      </c>
      <c r="D286" t="s">
        <v>3362</v>
      </c>
      <c r="E286" t="s">
        <v>559</v>
      </c>
      <c r="F286">
        <v>2</v>
      </c>
      <c r="G286" t="s">
        <v>2050</v>
      </c>
      <c r="H286" t="s">
        <v>2051</v>
      </c>
      <c r="I286" t="s">
        <v>53</v>
      </c>
      <c r="J286" t="s">
        <v>67</v>
      </c>
      <c r="K286" t="s">
        <v>68</v>
      </c>
      <c r="L286" t="s">
        <v>2052</v>
      </c>
      <c r="M286" t="s">
        <v>2064</v>
      </c>
      <c r="N286">
        <v>0</v>
      </c>
      <c r="O286">
        <v>0</v>
      </c>
      <c r="P286">
        <v>0</v>
      </c>
      <c r="Q286">
        <v>900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t="s">
        <v>388</v>
      </c>
      <c r="AH286" s="21" t="s">
        <v>3424</v>
      </c>
      <c r="AI286" s="21">
        <v>67.5</v>
      </c>
      <c r="AJ286" s="21">
        <v>100</v>
      </c>
      <c r="AK286" s="21" t="s">
        <v>2055</v>
      </c>
      <c r="AL286" t="s">
        <v>70</v>
      </c>
      <c r="AM286" t="s">
        <v>2029</v>
      </c>
    </row>
    <row r="287" spans="1:39" ht="15" hidden="1" thickTop="1" x14ac:dyDescent="0.35">
      <c r="A287" t="s">
        <v>3349</v>
      </c>
      <c r="B287" t="s">
        <v>3369</v>
      </c>
      <c r="C287" t="s">
        <v>100</v>
      </c>
      <c r="D287" t="s">
        <v>3370</v>
      </c>
      <c r="E287" t="s">
        <v>559</v>
      </c>
      <c r="F287">
        <v>1</v>
      </c>
      <c r="G287" t="s">
        <v>2050</v>
      </c>
      <c r="H287" t="s">
        <v>2051</v>
      </c>
      <c r="I287" t="s">
        <v>53</v>
      </c>
      <c r="J287" t="s">
        <v>67</v>
      </c>
      <c r="K287" t="s">
        <v>68</v>
      </c>
      <c r="L287" t="s">
        <v>2052</v>
      </c>
      <c r="M287" t="s">
        <v>2053</v>
      </c>
      <c r="N287">
        <v>0</v>
      </c>
      <c r="O287">
        <v>0</v>
      </c>
      <c r="P287">
        <v>0</v>
      </c>
      <c r="Q287">
        <v>1440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389</v>
      </c>
      <c r="AH287" s="21" t="s">
        <v>3427</v>
      </c>
      <c r="AI287" s="21">
        <v>107.92500000000001</v>
      </c>
      <c r="AJ287" s="21">
        <v>100</v>
      </c>
      <c r="AK287" s="21" t="s">
        <v>2054</v>
      </c>
      <c r="AL287" t="s">
        <v>70</v>
      </c>
      <c r="AM287" t="s">
        <v>2031</v>
      </c>
    </row>
    <row r="288" spans="1:39" ht="15" hidden="1" thickTop="1" x14ac:dyDescent="0.35">
      <c r="A288" t="s">
        <v>3364</v>
      </c>
      <c r="B288" t="s">
        <v>3371</v>
      </c>
      <c r="C288" t="s">
        <v>100</v>
      </c>
      <c r="D288" t="s">
        <v>3372</v>
      </c>
      <c r="E288" t="s">
        <v>559</v>
      </c>
      <c r="F288">
        <v>1</v>
      </c>
      <c r="G288" t="s">
        <v>2050</v>
      </c>
      <c r="H288" t="s">
        <v>2051</v>
      </c>
      <c r="I288" t="s">
        <v>53</v>
      </c>
      <c r="J288" t="s">
        <v>67</v>
      </c>
      <c r="K288" t="s">
        <v>68</v>
      </c>
      <c r="L288" t="s">
        <v>2052</v>
      </c>
      <c r="M288" t="s">
        <v>2064</v>
      </c>
      <c r="N288">
        <v>0</v>
      </c>
      <c r="O288">
        <v>0</v>
      </c>
      <c r="P288">
        <v>0</v>
      </c>
      <c r="Q288">
        <v>900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390</v>
      </c>
      <c r="AH288" s="21" t="s">
        <v>3424</v>
      </c>
      <c r="AI288" s="21">
        <v>67.5</v>
      </c>
      <c r="AJ288" s="21">
        <v>100</v>
      </c>
      <c r="AK288" s="21" t="s">
        <v>2054</v>
      </c>
      <c r="AL288" t="s">
        <v>70</v>
      </c>
      <c r="AM288" t="s">
        <v>2028</v>
      </c>
    </row>
    <row r="289" spans="1:39" ht="15" hidden="1" thickTop="1" x14ac:dyDescent="0.35">
      <c r="A289" t="s">
        <v>3365</v>
      </c>
      <c r="B289" t="s">
        <v>3373</v>
      </c>
      <c r="C289" t="s">
        <v>92</v>
      </c>
      <c r="D289" t="s">
        <v>3374</v>
      </c>
      <c r="E289" t="s">
        <v>119</v>
      </c>
      <c r="F289">
        <v>1</v>
      </c>
      <c r="G289" t="s">
        <v>2050</v>
      </c>
      <c r="H289" t="s">
        <v>2051</v>
      </c>
      <c r="I289" t="s">
        <v>53</v>
      </c>
      <c r="J289" t="s">
        <v>67</v>
      </c>
      <c r="K289" t="s">
        <v>68</v>
      </c>
      <c r="L289" t="s">
        <v>2052</v>
      </c>
      <c r="M289" t="s">
        <v>2064</v>
      </c>
      <c r="N289">
        <v>1</v>
      </c>
      <c r="O289">
        <v>21</v>
      </c>
      <c r="P289">
        <v>2.33</v>
      </c>
      <c r="Q289">
        <v>900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21</v>
      </c>
      <c r="Z289">
        <v>2.33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391</v>
      </c>
      <c r="AH289" s="21" t="s">
        <v>3425</v>
      </c>
      <c r="AI289" s="21">
        <v>67.5</v>
      </c>
      <c r="AJ289" s="21">
        <v>97.666666666666671</v>
      </c>
      <c r="AK289" s="21" t="s">
        <v>2054</v>
      </c>
      <c r="AL289" t="s">
        <v>70</v>
      </c>
      <c r="AM289" t="s">
        <v>2030</v>
      </c>
    </row>
    <row r="290" spans="1:39" ht="15" thickTop="1" x14ac:dyDescent="0.35">
      <c r="AH290" s="21"/>
      <c r="AI290" s="21"/>
      <c r="AJ290" s="21"/>
      <c r="AK290" s="21"/>
    </row>
    <row r="291" spans="1:39" x14ac:dyDescent="0.35">
      <c r="AH291" s="21"/>
      <c r="AI291" s="21"/>
      <c r="AJ291" s="21"/>
      <c r="AK291" s="21"/>
    </row>
    <row r="292" spans="1:39" x14ac:dyDescent="0.35">
      <c r="AH292" s="21"/>
      <c r="AI292" s="21"/>
      <c r="AJ292" s="21"/>
      <c r="AK292" s="21"/>
    </row>
    <row r="293" spans="1:39" x14ac:dyDescent="0.35">
      <c r="AH293" s="21"/>
      <c r="AI293" s="21"/>
      <c r="AJ293" s="21"/>
      <c r="AK293" s="21"/>
    </row>
    <row r="294" spans="1:39" x14ac:dyDescent="0.35">
      <c r="AH294" s="21"/>
      <c r="AI294" s="21"/>
      <c r="AJ294" s="21"/>
      <c r="AK294" s="21"/>
    </row>
    <row r="295" spans="1:39" x14ac:dyDescent="0.35">
      <c r="AH295" s="21"/>
      <c r="AI295" s="21"/>
      <c r="AJ295" s="21"/>
      <c r="AK295" s="21"/>
    </row>
    <row r="296" spans="1:39" x14ac:dyDescent="0.35">
      <c r="AH296" s="21"/>
      <c r="AI296" s="21"/>
      <c r="AJ296" s="21"/>
      <c r="AK296" s="21"/>
    </row>
    <row r="297" spans="1:39" x14ac:dyDescent="0.35">
      <c r="AH297" s="21"/>
      <c r="AI297" s="21"/>
      <c r="AJ297" s="21"/>
      <c r="AK297" s="21"/>
    </row>
    <row r="298" spans="1:39" x14ac:dyDescent="0.35">
      <c r="AH298" s="21"/>
      <c r="AI298" s="21"/>
      <c r="AJ298" s="21"/>
      <c r="AK298" s="21"/>
    </row>
    <row r="299" spans="1:39" x14ac:dyDescent="0.35">
      <c r="AH299" s="21"/>
      <c r="AI299" s="21"/>
      <c r="AJ299" s="21"/>
      <c r="AK299" s="21"/>
    </row>
    <row r="300" spans="1:39" x14ac:dyDescent="0.35">
      <c r="AH300" s="21"/>
      <c r="AI300" s="21"/>
      <c r="AJ300" s="21"/>
      <c r="AK300" s="21"/>
    </row>
    <row r="301" spans="1:39" x14ac:dyDescent="0.35">
      <c r="AH301" s="21"/>
      <c r="AI301" s="21"/>
      <c r="AJ301" s="21"/>
      <c r="AK301" s="21"/>
    </row>
    <row r="302" spans="1:39" x14ac:dyDescent="0.35">
      <c r="AH302" s="21"/>
      <c r="AI302" s="21"/>
      <c r="AJ302" s="21"/>
      <c r="AK302" s="21"/>
    </row>
    <row r="303" spans="1:39" x14ac:dyDescent="0.35">
      <c r="AH303" s="21"/>
      <c r="AI303" s="21"/>
      <c r="AJ303" s="21"/>
      <c r="AK303" s="21"/>
    </row>
    <row r="304" spans="1:39" x14ac:dyDescent="0.35">
      <c r="AH304" s="21"/>
      <c r="AI304" s="21"/>
      <c r="AJ304" s="21"/>
      <c r="AK304" s="21"/>
    </row>
    <row r="305" spans="34:37" x14ac:dyDescent="0.35">
      <c r="AH305" s="21"/>
      <c r="AI305" s="21"/>
      <c r="AJ305" s="21"/>
      <c r="AK305" s="21"/>
    </row>
    <row r="306" spans="34:37" x14ac:dyDescent="0.35">
      <c r="AH306" s="21"/>
      <c r="AI306" s="21"/>
      <c r="AJ306" s="21"/>
      <c r="AK306" s="21"/>
    </row>
    <row r="307" spans="34:37" x14ac:dyDescent="0.35">
      <c r="AH307" s="21"/>
      <c r="AI307" s="21"/>
      <c r="AJ307" s="21"/>
      <c r="AK307" s="21"/>
    </row>
    <row r="308" spans="34:37" x14ac:dyDescent="0.35">
      <c r="AH308" s="21"/>
      <c r="AI308" s="21"/>
      <c r="AJ308" s="21"/>
      <c r="AK308" s="21"/>
    </row>
    <row r="309" spans="34:37" x14ac:dyDescent="0.35">
      <c r="AH309" s="21"/>
      <c r="AI309" s="21"/>
      <c r="AJ309" s="21"/>
      <c r="AK309" s="21"/>
    </row>
    <row r="310" spans="34:37" x14ac:dyDescent="0.35">
      <c r="AH310" s="21"/>
      <c r="AI310" s="21"/>
      <c r="AJ310" s="21"/>
      <c r="AK310" s="21"/>
    </row>
    <row r="311" spans="34:37" x14ac:dyDescent="0.35">
      <c r="AH311" s="21"/>
      <c r="AI311" s="21"/>
      <c r="AJ311" s="21"/>
      <c r="AK311" s="21"/>
    </row>
    <row r="312" spans="34:37" x14ac:dyDescent="0.35">
      <c r="AH312" s="21"/>
      <c r="AI312" s="21"/>
      <c r="AJ312" s="21"/>
      <c r="AK312" s="21"/>
    </row>
    <row r="313" spans="34:37" x14ac:dyDescent="0.35">
      <c r="AH313" s="21"/>
      <c r="AI313" s="21"/>
      <c r="AJ313" s="21"/>
      <c r="AK313" s="21"/>
    </row>
    <row r="314" spans="34:37" x14ac:dyDescent="0.35">
      <c r="AH314" s="21"/>
      <c r="AI314" s="21"/>
      <c r="AJ314" s="21"/>
      <c r="AK314" s="21"/>
    </row>
    <row r="315" spans="34:37" x14ac:dyDescent="0.35">
      <c r="AH315" s="21"/>
      <c r="AI315" s="21"/>
      <c r="AJ315" s="21"/>
      <c r="AK315" s="21"/>
    </row>
    <row r="316" spans="34:37" x14ac:dyDescent="0.35">
      <c r="AH316" s="21"/>
      <c r="AI316" s="21"/>
      <c r="AJ316" s="21"/>
      <c r="AK316" s="21"/>
    </row>
    <row r="317" spans="34:37" x14ac:dyDescent="0.35">
      <c r="AH317" s="21"/>
      <c r="AI317" s="21"/>
      <c r="AJ317" s="21"/>
      <c r="AK317" s="21"/>
    </row>
    <row r="318" spans="34:37" x14ac:dyDescent="0.35">
      <c r="AH318" s="21"/>
      <c r="AI318" s="21"/>
      <c r="AJ318" s="21"/>
      <c r="AK318" s="21"/>
    </row>
    <row r="319" spans="34:37" x14ac:dyDescent="0.35">
      <c r="AH319" s="21"/>
      <c r="AI319" s="21"/>
      <c r="AJ319" s="21"/>
      <c r="AK319" s="21"/>
    </row>
    <row r="320" spans="34:37" x14ac:dyDescent="0.35">
      <c r="AH320" s="21"/>
      <c r="AI320" s="21"/>
      <c r="AJ320" s="21"/>
      <c r="AK320" s="21"/>
    </row>
    <row r="321" spans="34:37" x14ac:dyDescent="0.35">
      <c r="AH321" s="21"/>
      <c r="AI321" s="21"/>
      <c r="AJ321" s="21"/>
      <c r="AK321" s="21"/>
    </row>
    <row r="322" spans="34:37" x14ac:dyDescent="0.35">
      <c r="AH322" s="21"/>
      <c r="AI322" s="21"/>
      <c r="AJ322" s="21"/>
      <c r="AK322" s="21"/>
    </row>
    <row r="323" spans="34:37" x14ac:dyDescent="0.35">
      <c r="AH323" s="21"/>
      <c r="AI323" s="21"/>
      <c r="AJ323" s="21"/>
      <c r="AK323" s="21"/>
    </row>
    <row r="324" spans="34:37" x14ac:dyDescent="0.35">
      <c r="AH324" s="21"/>
      <c r="AI324" s="21"/>
      <c r="AJ324" s="21"/>
      <c r="AK324" s="21"/>
    </row>
    <row r="325" spans="34:37" x14ac:dyDescent="0.35">
      <c r="AH325" s="21"/>
      <c r="AI325" s="21"/>
      <c r="AJ325" s="21"/>
      <c r="AK325" s="21"/>
    </row>
    <row r="326" spans="34:37" x14ac:dyDescent="0.35">
      <c r="AH326" s="21"/>
      <c r="AI326" s="21"/>
      <c r="AJ326" s="21"/>
      <c r="AK326" s="21"/>
    </row>
    <row r="327" spans="34:37" x14ac:dyDescent="0.35">
      <c r="AH327" s="21"/>
      <c r="AI327" s="21"/>
      <c r="AJ327" s="21"/>
      <c r="AK327" s="21"/>
    </row>
    <row r="328" spans="34:37" x14ac:dyDescent="0.35">
      <c r="AH328" s="21"/>
      <c r="AI328" s="21"/>
      <c r="AJ328" s="21"/>
      <c r="AK328" s="21"/>
    </row>
    <row r="329" spans="34:37" x14ac:dyDescent="0.35">
      <c r="AH329" s="21"/>
      <c r="AI329" s="21"/>
      <c r="AJ329" s="21"/>
      <c r="AK329" s="21"/>
    </row>
    <row r="330" spans="34:37" x14ac:dyDescent="0.35">
      <c r="AH330" s="21"/>
      <c r="AI330" s="21"/>
      <c r="AJ330" s="21"/>
      <c r="AK330" s="21"/>
    </row>
    <row r="331" spans="34:37" x14ac:dyDescent="0.35">
      <c r="AH331" s="21"/>
      <c r="AI331" s="21"/>
      <c r="AJ331" s="21"/>
      <c r="AK331" s="21"/>
    </row>
    <row r="332" spans="34:37" x14ac:dyDescent="0.35">
      <c r="AH332" s="21"/>
      <c r="AI332" s="21"/>
      <c r="AJ332" s="21"/>
      <c r="AK332" s="21"/>
    </row>
    <row r="333" spans="34:37" x14ac:dyDescent="0.35">
      <c r="AH333" s="21"/>
      <c r="AI333" s="21"/>
      <c r="AJ333" s="21"/>
      <c r="AK333" s="21"/>
    </row>
    <row r="334" spans="34:37" x14ac:dyDescent="0.35">
      <c r="AH334" s="21"/>
      <c r="AI334" s="21"/>
      <c r="AJ334" s="21"/>
      <c r="AK334" s="21"/>
    </row>
    <row r="335" spans="34:37" x14ac:dyDescent="0.35">
      <c r="AH335" s="21"/>
      <c r="AI335" s="21"/>
      <c r="AJ335" s="21"/>
      <c r="AK335" s="21"/>
    </row>
    <row r="336" spans="34:37" x14ac:dyDescent="0.35">
      <c r="AH336" s="21"/>
      <c r="AI336" s="21"/>
      <c r="AJ336" s="21"/>
      <c r="AK336" s="21"/>
    </row>
    <row r="337" spans="34:37" x14ac:dyDescent="0.35">
      <c r="AH337" s="21"/>
      <c r="AI337" s="21"/>
      <c r="AJ337" s="21"/>
      <c r="AK337" s="21"/>
    </row>
    <row r="338" spans="34:37" x14ac:dyDescent="0.35">
      <c r="AH338" s="21"/>
      <c r="AI338" s="21"/>
      <c r="AJ338" s="21"/>
      <c r="AK338" s="21"/>
    </row>
    <row r="339" spans="34:37" x14ac:dyDescent="0.35">
      <c r="AH339" s="21"/>
      <c r="AI339" s="21"/>
      <c r="AJ339" s="21"/>
      <c r="AK339" s="21"/>
    </row>
    <row r="340" spans="34:37" x14ac:dyDescent="0.35">
      <c r="AH340" s="21"/>
      <c r="AI340" s="21"/>
      <c r="AJ340" s="21"/>
      <c r="AK340" s="21"/>
    </row>
    <row r="341" spans="34:37" x14ac:dyDescent="0.35">
      <c r="AH341" s="21"/>
      <c r="AI341" s="21"/>
      <c r="AJ341" s="21"/>
      <c r="AK341" s="21"/>
    </row>
    <row r="342" spans="34:37" x14ac:dyDescent="0.35">
      <c r="AH342" s="21"/>
      <c r="AI342" s="21"/>
      <c r="AJ342" s="21"/>
      <c r="AK342" s="21"/>
    </row>
    <row r="343" spans="34:37" x14ac:dyDescent="0.35">
      <c r="AH343" s="21"/>
      <c r="AI343" s="21"/>
      <c r="AJ343" s="21"/>
      <c r="AK343" s="21"/>
    </row>
    <row r="344" spans="34:37" x14ac:dyDescent="0.35">
      <c r="AH344" s="21"/>
      <c r="AI344" s="21"/>
      <c r="AJ344" s="21"/>
      <c r="AK344" s="21"/>
    </row>
    <row r="345" spans="34:37" x14ac:dyDescent="0.35">
      <c r="AH345" s="21"/>
      <c r="AI345" s="21"/>
      <c r="AJ345" s="21"/>
      <c r="AK345" s="21"/>
    </row>
    <row r="346" spans="34:37" x14ac:dyDescent="0.35">
      <c r="AH346" s="21"/>
      <c r="AI346" s="21"/>
      <c r="AJ346" s="21"/>
      <c r="AK346" s="21"/>
    </row>
    <row r="347" spans="34:37" x14ac:dyDescent="0.35">
      <c r="AH347" s="21"/>
      <c r="AI347" s="21"/>
      <c r="AJ347" s="21"/>
      <c r="AK347" s="21"/>
    </row>
    <row r="348" spans="34:37" x14ac:dyDescent="0.35">
      <c r="AH348" s="21"/>
      <c r="AI348" s="21"/>
      <c r="AJ348" s="21"/>
      <c r="AK348" s="21"/>
    </row>
    <row r="349" spans="34:37" x14ac:dyDescent="0.35">
      <c r="AH349" s="21"/>
      <c r="AI349" s="21"/>
      <c r="AJ349" s="21"/>
      <c r="AK349" s="21"/>
    </row>
    <row r="350" spans="34:37" x14ac:dyDescent="0.35">
      <c r="AH350" s="21"/>
      <c r="AI350" s="21"/>
      <c r="AJ350" s="21"/>
      <c r="AK350" s="21"/>
    </row>
    <row r="351" spans="34:37" x14ac:dyDescent="0.35">
      <c r="AH351" s="21"/>
      <c r="AI351" s="21"/>
      <c r="AJ351" s="21"/>
      <c r="AK351" s="21"/>
    </row>
    <row r="352" spans="34:37" x14ac:dyDescent="0.35">
      <c r="AH352" s="21"/>
      <c r="AI352" s="21"/>
      <c r="AJ352" s="21"/>
      <c r="AK352" s="21"/>
    </row>
    <row r="353" spans="34:37" x14ac:dyDescent="0.35">
      <c r="AH353" s="21"/>
      <c r="AI353" s="21"/>
      <c r="AJ353" s="21"/>
      <c r="AK353" s="21"/>
    </row>
    <row r="354" spans="34:37" x14ac:dyDescent="0.35">
      <c r="AH354" s="21"/>
      <c r="AI354" s="21"/>
      <c r="AJ354" s="21"/>
      <c r="AK354" s="21"/>
    </row>
    <row r="355" spans="34:37" x14ac:dyDescent="0.35">
      <c r="AH355" s="21"/>
      <c r="AI355" s="21"/>
      <c r="AJ355" s="21"/>
      <c r="AK355" s="21"/>
    </row>
    <row r="356" spans="34:37" x14ac:dyDescent="0.35">
      <c r="AH356" s="21"/>
      <c r="AI356" s="21"/>
      <c r="AJ356" s="21"/>
      <c r="AK356" s="21"/>
    </row>
    <row r="357" spans="34:37" x14ac:dyDescent="0.35">
      <c r="AH357" s="21"/>
      <c r="AI357" s="21"/>
      <c r="AJ357" s="21"/>
      <c r="AK357" s="21"/>
    </row>
    <row r="358" spans="34:37" x14ac:dyDescent="0.35">
      <c r="AH358" s="21"/>
      <c r="AI358" s="21"/>
      <c r="AJ358" s="21"/>
      <c r="AK358" s="21"/>
    </row>
    <row r="359" spans="34:37" x14ac:dyDescent="0.35">
      <c r="AH359" s="21"/>
      <c r="AI359" s="21"/>
      <c r="AJ359" s="21"/>
      <c r="AK359" s="21"/>
    </row>
    <row r="360" spans="34:37" x14ac:dyDescent="0.35">
      <c r="AH360" s="21"/>
      <c r="AI360" s="21"/>
      <c r="AJ360" s="21"/>
      <c r="AK360" s="21"/>
    </row>
    <row r="361" spans="34:37" x14ac:dyDescent="0.35">
      <c r="AH361" s="21"/>
      <c r="AI361" s="21"/>
      <c r="AJ361" s="21"/>
      <c r="AK361" s="21"/>
    </row>
    <row r="362" spans="34:37" x14ac:dyDescent="0.35">
      <c r="AH362" s="21"/>
      <c r="AI362" s="21"/>
      <c r="AJ362" s="21"/>
      <c r="AK362" s="21"/>
    </row>
    <row r="363" spans="34:37" x14ac:dyDescent="0.35">
      <c r="AH363" s="21"/>
      <c r="AI363" s="21"/>
      <c r="AJ363" s="21"/>
      <c r="AK363" s="21"/>
    </row>
    <row r="364" spans="34:37" x14ac:dyDescent="0.35">
      <c r="AH364" s="21"/>
      <c r="AI364" s="21"/>
      <c r="AJ364" s="21"/>
      <c r="AK364" s="21"/>
    </row>
    <row r="365" spans="34:37" x14ac:dyDescent="0.35">
      <c r="AH365" s="21"/>
      <c r="AI365" s="21"/>
      <c r="AJ365" s="21"/>
      <c r="AK365" s="21"/>
    </row>
    <row r="366" spans="34:37" x14ac:dyDescent="0.35">
      <c r="AH366" s="21"/>
      <c r="AI366" s="21"/>
      <c r="AJ366" s="21"/>
      <c r="AK366" s="21"/>
    </row>
    <row r="367" spans="34:37" x14ac:dyDescent="0.35">
      <c r="AH367" s="21"/>
      <c r="AI367" s="21"/>
      <c r="AJ367" s="21"/>
      <c r="AK367" s="21"/>
    </row>
    <row r="368" spans="34:37" x14ac:dyDescent="0.35">
      <c r="AH368" s="21"/>
      <c r="AI368" s="21"/>
      <c r="AJ368" s="21"/>
      <c r="AK368" s="21"/>
    </row>
    <row r="369" spans="34:37" x14ac:dyDescent="0.35">
      <c r="AH369" s="21"/>
      <c r="AI369" s="21"/>
      <c r="AJ369" s="21"/>
      <c r="AK369" s="21"/>
    </row>
    <row r="370" spans="34:37" x14ac:dyDescent="0.35">
      <c r="AH370" s="21"/>
      <c r="AI370" s="21"/>
      <c r="AJ370" s="21"/>
      <c r="AK370" s="21"/>
    </row>
    <row r="371" spans="34:37" x14ac:dyDescent="0.35">
      <c r="AH371" s="21"/>
      <c r="AI371" s="21"/>
      <c r="AJ371" s="21"/>
      <c r="AK371" s="21"/>
    </row>
    <row r="372" spans="34:37" x14ac:dyDescent="0.35">
      <c r="AH372" s="21"/>
      <c r="AI372" s="21"/>
      <c r="AJ372" s="21"/>
      <c r="AK372" s="21"/>
    </row>
    <row r="373" spans="34:37" x14ac:dyDescent="0.35">
      <c r="AH373" s="21"/>
      <c r="AI373" s="21"/>
      <c r="AJ373" s="21"/>
      <c r="AK373" s="21"/>
    </row>
    <row r="374" spans="34:37" x14ac:dyDescent="0.35">
      <c r="AH374" s="21"/>
      <c r="AI374" s="21"/>
      <c r="AJ374" s="21"/>
      <c r="AK374" s="21"/>
    </row>
    <row r="375" spans="34:37" x14ac:dyDescent="0.35">
      <c r="AH375" s="21"/>
      <c r="AI375" s="21"/>
      <c r="AJ375" s="21"/>
      <c r="AK375" s="21"/>
    </row>
    <row r="376" spans="34:37" x14ac:dyDescent="0.35">
      <c r="AH376" s="21"/>
      <c r="AI376" s="21"/>
      <c r="AJ376" s="21"/>
      <c r="AK376" s="21"/>
    </row>
    <row r="377" spans="34:37" x14ac:dyDescent="0.35">
      <c r="AH377" s="21"/>
      <c r="AI377" s="21"/>
      <c r="AJ377" s="21"/>
      <c r="AK377" s="21"/>
    </row>
    <row r="378" spans="34:37" x14ac:dyDescent="0.35">
      <c r="AH378" s="21"/>
      <c r="AI378" s="21"/>
      <c r="AJ378" s="21"/>
      <c r="AK378" s="21"/>
    </row>
    <row r="379" spans="34:37" x14ac:dyDescent="0.35">
      <c r="AH379" s="21"/>
      <c r="AI379" s="21"/>
      <c r="AJ379" s="21"/>
      <c r="AK379" s="21"/>
    </row>
    <row r="380" spans="34:37" x14ac:dyDescent="0.35">
      <c r="AH380" s="21"/>
      <c r="AI380" s="21"/>
      <c r="AJ380" s="21"/>
      <c r="AK380" s="21"/>
    </row>
    <row r="381" spans="34:37" x14ac:dyDescent="0.35">
      <c r="AH381" s="21"/>
      <c r="AI381" s="21"/>
      <c r="AJ381" s="21"/>
      <c r="AK381" s="21"/>
    </row>
    <row r="382" spans="34:37" x14ac:dyDescent="0.35">
      <c r="AH382" s="21"/>
      <c r="AI382" s="21"/>
      <c r="AJ382" s="21"/>
      <c r="AK382" s="21"/>
    </row>
    <row r="383" spans="34:37" x14ac:dyDescent="0.35">
      <c r="AH383" s="21"/>
      <c r="AI383" s="21"/>
      <c r="AJ383" s="21"/>
      <c r="AK383" s="21"/>
    </row>
    <row r="384" spans="34:37" x14ac:dyDescent="0.35">
      <c r="AH384" s="21"/>
      <c r="AI384" s="21"/>
      <c r="AJ384" s="21"/>
      <c r="AK384" s="21"/>
    </row>
    <row r="385" spans="34:37" x14ac:dyDescent="0.35">
      <c r="AH385" s="21"/>
      <c r="AI385" s="21"/>
      <c r="AJ385" s="21"/>
      <c r="AK385" s="21"/>
    </row>
    <row r="386" spans="34:37" x14ac:dyDescent="0.35">
      <c r="AH386" s="21"/>
      <c r="AI386" s="21"/>
      <c r="AJ386" s="21"/>
      <c r="AK386" s="21"/>
    </row>
    <row r="387" spans="34:37" x14ac:dyDescent="0.35">
      <c r="AH387" s="21"/>
      <c r="AI387" s="21"/>
      <c r="AJ387" s="21"/>
      <c r="AK387" s="21"/>
    </row>
    <row r="388" spans="34:37" x14ac:dyDescent="0.35">
      <c r="AH388" s="21"/>
      <c r="AI388" s="21"/>
      <c r="AJ388" s="21"/>
      <c r="AK388" s="21"/>
    </row>
    <row r="389" spans="34:37" x14ac:dyDescent="0.35">
      <c r="AH389" s="21"/>
      <c r="AI389" s="21"/>
      <c r="AJ389" s="21"/>
      <c r="AK389" s="21"/>
    </row>
    <row r="390" spans="34:37" x14ac:dyDescent="0.35">
      <c r="AH390" s="21"/>
      <c r="AI390" s="21"/>
      <c r="AJ390" s="21"/>
      <c r="AK390" s="21"/>
    </row>
    <row r="391" spans="34:37" x14ac:dyDescent="0.35">
      <c r="AH391" s="21"/>
      <c r="AI391" s="21"/>
      <c r="AJ391" s="21"/>
      <c r="AK391" s="21"/>
    </row>
    <row r="392" spans="34:37" x14ac:dyDescent="0.35">
      <c r="AH392" s="21"/>
      <c r="AI392" s="21"/>
      <c r="AJ392" s="21"/>
      <c r="AK392" s="21"/>
    </row>
    <row r="393" spans="34:37" x14ac:dyDescent="0.35">
      <c r="AH393" s="21"/>
      <c r="AI393" s="21"/>
      <c r="AJ393" s="21"/>
      <c r="AK393" s="21"/>
    </row>
    <row r="394" spans="34:37" x14ac:dyDescent="0.35">
      <c r="AH394" s="21"/>
      <c r="AI394" s="21"/>
      <c r="AJ394" s="21"/>
      <c r="AK394" s="21"/>
    </row>
    <row r="395" spans="34:37" x14ac:dyDescent="0.35">
      <c r="AH395" s="21"/>
      <c r="AI395" s="21"/>
      <c r="AJ395" s="21"/>
      <c r="AK395" s="21"/>
    </row>
    <row r="396" spans="34:37" x14ac:dyDescent="0.35">
      <c r="AH396" s="21"/>
      <c r="AI396" s="21"/>
      <c r="AJ396" s="21"/>
      <c r="AK396" s="21"/>
    </row>
    <row r="397" spans="34:37" x14ac:dyDescent="0.35">
      <c r="AH397" s="21"/>
      <c r="AI397" s="21"/>
      <c r="AJ397" s="21"/>
      <c r="AK397" s="21"/>
    </row>
    <row r="398" spans="34:37" x14ac:dyDescent="0.35">
      <c r="AH398" s="21"/>
      <c r="AI398" s="21"/>
      <c r="AJ398" s="21"/>
      <c r="AK398" s="21"/>
    </row>
    <row r="399" spans="34:37" x14ac:dyDescent="0.35">
      <c r="AH399" s="21"/>
      <c r="AI399" s="21"/>
      <c r="AJ399" s="21"/>
      <c r="AK399" s="21"/>
    </row>
    <row r="400" spans="34:37" x14ac:dyDescent="0.35">
      <c r="AH400" s="21"/>
      <c r="AI400" s="21"/>
      <c r="AJ400" s="21"/>
      <c r="AK400" s="21"/>
    </row>
    <row r="401" spans="34:37" x14ac:dyDescent="0.35">
      <c r="AH401" s="21"/>
      <c r="AI401" s="21"/>
      <c r="AJ401" s="21"/>
      <c r="AK401" s="21"/>
    </row>
    <row r="402" spans="34:37" x14ac:dyDescent="0.35">
      <c r="AH402" s="21"/>
      <c r="AI402" s="21"/>
      <c r="AJ402" s="21"/>
      <c r="AK402" s="21"/>
    </row>
    <row r="403" spans="34:37" x14ac:dyDescent="0.35">
      <c r="AH403" s="21"/>
      <c r="AI403" s="21"/>
      <c r="AJ403" s="21"/>
      <c r="AK403" s="21"/>
    </row>
    <row r="404" spans="34:37" x14ac:dyDescent="0.35">
      <c r="AH404" s="21"/>
      <c r="AI404" s="21"/>
      <c r="AJ404" s="21"/>
      <c r="AK404" s="21"/>
    </row>
    <row r="405" spans="34:37" x14ac:dyDescent="0.35">
      <c r="AH405" s="21"/>
      <c r="AI405" s="21"/>
      <c r="AJ405" s="21"/>
      <c r="AK405" s="21"/>
    </row>
    <row r="406" spans="34:37" x14ac:dyDescent="0.35">
      <c r="AH406" s="21"/>
      <c r="AI406" s="21"/>
      <c r="AJ406" s="21"/>
      <c r="AK406" s="21"/>
    </row>
    <row r="407" spans="34:37" x14ac:dyDescent="0.35">
      <c r="AH407" s="21"/>
      <c r="AI407" s="21"/>
      <c r="AJ407" s="21"/>
      <c r="AK407" s="21"/>
    </row>
    <row r="408" spans="34:37" x14ac:dyDescent="0.35">
      <c r="AH408" s="21"/>
      <c r="AI408" s="21"/>
      <c r="AJ408" s="21"/>
      <c r="AK408" s="21"/>
    </row>
    <row r="409" spans="34:37" x14ac:dyDescent="0.35">
      <c r="AH409" s="21"/>
      <c r="AI409" s="21"/>
      <c r="AJ409" s="21"/>
      <c r="AK409" s="21"/>
    </row>
    <row r="410" spans="34:37" x14ac:dyDescent="0.35">
      <c r="AH410" s="21"/>
      <c r="AI410" s="21"/>
      <c r="AJ410" s="21"/>
      <c r="AK410" s="21"/>
    </row>
    <row r="411" spans="34:37" x14ac:dyDescent="0.35">
      <c r="AH411" s="21"/>
      <c r="AI411" s="21"/>
      <c r="AJ411" s="21"/>
      <c r="AK411" s="21"/>
    </row>
    <row r="412" spans="34:37" x14ac:dyDescent="0.35">
      <c r="AH412" s="21"/>
      <c r="AI412" s="21"/>
      <c r="AJ412" s="21"/>
      <c r="AK412" s="21"/>
    </row>
    <row r="413" spans="34:37" x14ac:dyDescent="0.35">
      <c r="AH413" s="21"/>
      <c r="AI413" s="21"/>
      <c r="AJ413" s="21"/>
      <c r="AK413" s="21"/>
    </row>
    <row r="414" spans="34:37" x14ac:dyDescent="0.35">
      <c r="AH414" s="21"/>
      <c r="AI414" s="21"/>
      <c r="AJ414" s="21"/>
      <c r="AK414" s="21"/>
    </row>
    <row r="415" spans="34:37" x14ac:dyDescent="0.35">
      <c r="AH415" s="21"/>
      <c r="AI415" s="21"/>
      <c r="AJ415" s="21"/>
      <c r="AK415" s="21"/>
    </row>
    <row r="416" spans="34:37" x14ac:dyDescent="0.35">
      <c r="AH416" s="21"/>
      <c r="AI416" s="21"/>
      <c r="AJ416" s="21"/>
      <c r="AK416" s="21"/>
    </row>
    <row r="417" spans="34:37" x14ac:dyDescent="0.35">
      <c r="AH417" s="21"/>
      <c r="AI417" s="21"/>
      <c r="AJ417" s="21"/>
      <c r="AK417" s="21"/>
    </row>
    <row r="418" spans="34:37" x14ac:dyDescent="0.35">
      <c r="AH418" s="21"/>
      <c r="AI418" s="21"/>
      <c r="AJ418" s="21"/>
      <c r="AK418" s="21"/>
    </row>
    <row r="419" spans="34:37" x14ac:dyDescent="0.35">
      <c r="AH419" s="21"/>
      <c r="AI419" s="21"/>
      <c r="AJ419" s="21"/>
      <c r="AK419" s="21"/>
    </row>
    <row r="420" spans="34:37" x14ac:dyDescent="0.35">
      <c r="AH420" s="21"/>
      <c r="AI420" s="21"/>
      <c r="AJ420" s="21"/>
      <c r="AK420" s="21"/>
    </row>
    <row r="421" spans="34:37" x14ac:dyDescent="0.35">
      <c r="AH421" s="21"/>
      <c r="AI421" s="21"/>
      <c r="AJ421" s="21"/>
      <c r="AK421" s="21"/>
    </row>
    <row r="422" spans="34:37" x14ac:dyDescent="0.35">
      <c r="AH422" s="21"/>
      <c r="AI422" s="21"/>
      <c r="AJ422" s="21"/>
      <c r="AK422" s="21"/>
    </row>
    <row r="423" spans="34:37" x14ac:dyDescent="0.35">
      <c r="AH423" s="21"/>
      <c r="AI423" s="21"/>
      <c r="AJ423" s="21"/>
      <c r="AK423" s="21"/>
    </row>
    <row r="424" spans="34:37" x14ac:dyDescent="0.35">
      <c r="AH424" s="21"/>
      <c r="AI424" s="21"/>
      <c r="AJ424" s="21"/>
      <c r="AK424" s="21"/>
    </row>
    <row r="425" spans="34:37" x14ac:dyDescent="0.35">
      <c r="AH425" s="21"/>
      <c r="AI425" s="21"/>
      <c r="AJ425" s="21"/>
      <c r="AK425" s="21"/>
    </row>
    <row r="426" spans="34:37" x14ac:dyDescent="0.35">
      <c r="AH426" s="21"/>
      <c r="AI426" s="21"/>
      <c r="AJ426" s="21"/>
      <c r="AK426" s="21"/>
    </row>
    <row r="427" spans="34:37" x14ac:dyDescent="0.35">
      <c r="AH427" s="21"/>
      <c r="AI427" s="21"/>
      <c r="AJ427" s="21"/>
      <c r="AK427" s="21"/>
    </row>
    <row r="428" spans="34:37" x14ac:dyDescent="0.35">
      <c r="AH428" s="21"/>
      <c r="AI428" s="21"/>
      <c r="AJ428" s="21"/>
      <c r="AK428" s="21"/>
    </row>
    <row r="429" spans="34:37" x14ac:dyDescent="0.35">
      <c r="AH429" s="21"/>
      <c r="AI429" s="21"/>
      <c r="AJ429" s="21"/>
      <c r="AK429" s="21"/>
    </row>
    <row r="430" spans="34:37" x14ac:dyDescent="0.35">
      <c r="AH430" s="21"/>
      <c r="AI430" s="21"/>
      <c r="AJ430" s="21"/>
      <c r="AK430" s="21"/>
    </row>
    <row r="431" spans="34:37" x14ac:dyDescent="0.35">
      <c r="AH431" s="21"/>
      <c r="AI431" s="21"/>
      <c r="AJ431" s="21"/>
      <c r="AK431" s="21"/>
    </row>
    <row r="432" spans="34:37" x14ac:dyDescent="0.35">
      <c r="AH432" s="21"/>
      <c r="AI432" s="21"/>
      <c r="AJ432" s="21"/>
      <c r="AK432" s="21"/>
    </row>
    <row r="433" spans="34:37" x14ac:dyDescent="0.35">
      <c r="AH433" s="21"/>
      <c r="AI433" s="21"/>
      <c r="AJ433" s="21"/>
      <c r="AK433" s="21"/>
    </row>
    <row r="434" spans="34:37" x14ac:dyDescent="0.35">
      <c r="AH434" s="21"/>
      <c r="AI434" s="21"/>
      <c r="AJ434" s="21"/>
      <c r="AK434" s="21"/>
    </row>
    <row r="435" spans="34:37" x14ac:dyDescent="0.35">
      <c r="AH435" s="21"/>
      <c r="AI435" s="21"/>
      <c r="AJ435" s="21"/>
      <c r="AK435" s="21"/>
    </row>
    <row r="436" spans="34:37" x14ac:dyDescent="0.35">
      <c r="AH436" s="21"/>
      <c r="AI436" s="21"/>
      <c r="AJ436" s="21"/>
      <c r="AK436" s="21"/>
    </row>
    <row r="437" spans="34:37" x14ac:dyDescent="0.35">
      <c r="AH437" s="21"/>
      <c r="AI437" s="21"/>
      <c r="AJ437" s="21"/>
      <c r="AK437" s="21"/>
    </row>
    <row r="438" spans="34:37" x14ac:dyDescent="0.35">
      <c r="AH438" s="21"/>
      <c r="AI438" s="21"/>
      <c r="AJ438" s="21"/>
      <c r="AK438" s="21"/>
    </row>
    <row r="439" spans="34:37" x14ac:dyDescent="0.35">
      <c r="AH439" s="21"/>
      <c r="AI439" s="21"/>
      <c r="AJ439" s="21"/>
      <c r="AK439" s="21"/>
    </row>
    <row r="440" spans="34:37" x14ac:dyDescent="0.35">
      <c r="AH440" s="21"/>
      <c r="AI440" s="21"/>
      <c r="AJ440" s="21"/>
      <c r="AK440" s="21"/>
    </row>
    <row r="441" spans="34:37" x14ac:dyDescent="0.35">
      <c r="AH441" s="21"/>
      <c r="AI441" s="21"/>
      <c r="AJ441" s="21"/>
      <c r="AK441" s="21"/>
    </row>
    <row r="442" spans="34:37" x14ac:dyDescent="0.35">
      <c r="AH442" s="21"/>
      <c r="AI442" s="21"/>
      <c r="AJ442" s="21"/>
      <c r="AK442" s="21"/>
    </row>
    <row r="443" spans="34:37" x14ac:dyDescent="0.35">
      <c r="AH443" s="21"/>
      <c r="AI443" s="21"/>
      <c r="AJ443" s="21"/>
      <c r="AK443" s="21"/>
    </row>
    <row r="444" spans="34:37" x14ac:dyDescent="0.35">
      <c r="AH444" s="21"/>
      <c r="AI444" s="21"/>
      <c r="AJ444" s="21"/>
      <c r="AK444" s="21"/>
    </row>
    <row r="445" spans="34:37" x14ac:dyDescent="0.35">
      <c r="AH445" s="21"/>
      <c r="AI445" s="21"/>
      <c r="AJ445" s="21"/>
      <c r="AK445" s="21"/>
    </row>
    <row r="446" spans="34:37" x14ac:dyDescent="0.35">
      <c r="AH446" s="21"/>
      <c r="AI446" s="21"/>
      <c r="AJ446" s="21"/>
      <c r="AK446" s="21"/>
    </row>
    <row r="447" spans="34:37" x14ac:dyDescent="0.35">
      <c r="AH447" s="21"/>
      <c r="AI447" s="21"/>
      <c r="AJ447" s="21"/>
      <c r="AK447" s="21"/>
    </row>
    <row r="448" spans="34:37" x14ac:dyDescent="0.35">
      <c r="AH448" s="21"/>
      <c r="AI448" s="21"/>
      <c r="AJ448" s="21"/>
      <c r="AK448" s="21"/>
    </row>
    <row r="449" spans="34:37" x14ac:dyDescent="0.35">
      <c r="AH449" s="21"/>
      <c r="AI449" s="21"/>
      <c r="AJ449" s="21"/>
      <c r="AK449" s="21"/>
    </row>
    <row r="450" spans="34:37" x14ac:dyDescent="0.35">
      <c r="AH450" s="21"/>
      <c r="AI450" s="21"/>
      <c r="AJ450" s="21"/>
      <c r="AK450" s="21"/>
    </row>
    <row r="451" spans="34:37" x14ac:dyDescent="0.35">
      <c r="AH451" s="21"/>
      <c r="AI451" s="21"/>
      <c r="AJ451" s="21"/>
      <c r="AK451" s="21"/>
    </row>
  </sheetData>
  <autoFilter ref="A6:AM451" xr:uid="{09092026-77E9-43EC-861F-6835B76FE5A0}">
    <filterColumn colId="8">
      <filters>
        <filter val="CRML"/>
        <filter val="CRMS"/>
      </filters>
    </filterColumn>
  </autoFilter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65D1E-43CF-4D24-9579-1813F5AEC023}">
  <sheetPr filterMode="1"/>
  <dimension ref="A1:AM451"/>
  <sheetViews>
    <sheetView workbookViewId="0">
      <selection activeCell="A290" sqref="A290"/>
    </sheetView>
  </sheetViews>
  <sheetFormatPr defaultRowHeight="14.5" x14ac:dyDescent="0.35"/>
  <sheetData>
    <row r="1" spans="1:39" ht="20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x14ac:dyDescent="0.35">
      <c r="B2" s="7" t="s">
        <v>50</v>
      </c>
      <c r="C2" t="s">
        <v>3439</v>
      </c>
      <c r="D2" s="8" t="s">
        <v>51</v>
      </c>
      <c r="G2" t="s">
        <v>3439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B=283,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hidden="1" thickTop="1" x14ac:dyDescent="0.35">
      <c r="A7" t="s">
        <v>2087</v>
      </c>
      <c r="B7" t="s">
        <v>2088</v>
      </c>
      <c r="C7" t="s">
        <v>66</v>
      </c>
      <c r="D7" t="s">
        <v>2089</v>
      </c>
      <c r="E7" t="s">
        <v>559</v>
      </c>
      <c r="F7">
        <v>1</v>
      </c>
      <c r="G7" t="s">
        <v>2050</v>
      </c>
      <c r="H7" t="s">
        <v>2051</v>
      </c>
      <c r="I7" t="s">
        <v>53</v>
      </c>
      <c r="J7" t="s">
        <v>67</v>
      </c>
      <c r="K7" t="s">
        <v>68</v>
      </c>
      <c r="L7" t="s">
        <v>2052</v>
      </c>
      <c r="M7" t="s">
        <v>2064</v>
      </c>
      <c r="N7">
        <v>0</v>
      </c>
      <c r="O7">
        <v>0</v>
      </c>
      <c r="P7">
        <v>0</v>
      </c>
      <c r="Q7">
        <v>900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69</v>
      </c>
      <c r="AH7" s="21" t="s">
        <v>3424</v>
      </c>
      <c r="AI7" s="21">
        <v>67.5</v>
      </c>
      <c r="AJ7" s="21">
        <v>100</v>
      </c>
      <c r="AK7" s="21" t="s">
        <v>2054</v>
      </c>
      <c r="AL7" t="s">
        <v>70</v>
      </c>
      <c r="AM7" t="s">
        <v>2029</v>
      </c>
    </row>
    <row r="8" spans="1:39" ht="15" hidden="1" thickTop="1" x14ac:dyDescent="0.35">
      <c r="A8" t="s">
        <v>2090</v>
      </c>
      <c r="B8" t="s">
        <v>2091</v>
      </c>
      <c r="C8" t="s">
        <v>71</v>
      </c>
      <c r="D8" t="s">
        <v>2092</v>
      </c>
      <c r="E8" t="s">
        <v>72</v>
      </c>
      <c r="F8">
        <v>2</v>
      </c>
      <c r="G8" t="s">
        <v>2050</v>
      </c>
      <c r="H8" t="s">
        <v>2051</v>
      </c>
      <c r="I8" t="s">
        <v>53</v>
      </c>
      <c r="J8" t="s">
        <v>73</v>
      </c>
      <c r="K8" t="s">
        <v>68</v>
      </c>
      <c r="L8" t="s">
        <v>2052</v>
      </c>
      <c r="M8" t="s">
        <v>2093</v>
      </c>
      <c r="N8">
        <v>0</v>
      </c>
      <c r="O8">
        <v>0</v>
      </c>
      <c r="P8">
        <v>0</v>
      </c>
      <c r="Q8">
        <v>840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74</v>
      </c>
      <c r="AH8" s="21" t="s">
        <v>3424</v>
      </c>
      <c r="AI8" s="21">
        <v>63</v>
      </c>
      <c r="AJ8" s="21">
        <v>100</v>
      </c>
      <c r="AK8" s="21" t="s">
        <v>2055</v>
      </c>
      <c r="AL8" t="s">
        <v>75</v>
      </c>
      <c r="AM8" t="s">
        <v>2027</v>
      </c>
    </row>
    <row r="9" spans="1:39" ht="15" hidden="1" thickTop="1" x14ac:dyDescent="0.35">
      <c r="A9" t="s">
        <v>2056</v>
      </c>
      <c r="B9" t="s">
        <v>2095</v>
      </c>
      <c r="C9" t="s">
        <v>76</v>
      </c>
      <c r="D9" t="s">
        <v>2096</v>
      </c>
      <c r="E9" t="s">
        <v>559</v>
      </c>
      <c r="F9">
        <v>3</v>
      </c>
      <c r="G9" t="s">
        <v>2050</v>
      </c>
      <c r="H9" t="s">
        <v>2051</v>
      </c>
      <c r="I9" t="s">
        <v>53</v>
      </c>
      <c r="J9" t="s">
        <v>67</v>
      </c>
      <c r="K9" t="s">
        <v>68</v>
      </c>
      <c r="L9" t="s">
        <v>2052</v>
      </c>
      <c r="M9" t="s">
        <v>2064</v>
      </c>
      <c r="N9">
        <v>0</v>
      </c>
      <c r="O9">
        <v>0</v>
      </c>
      <c r="P9">
        <v>0</v>
      </c>
      <c r="Q9">
        <v>900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77</v>
      </c>
      <c r="AH9" s="21" t="s">
        <v>3424</v>
      </c>
      <c r="AI9" s="21">
        <v>67.5</v>
      </c>
      <c r="AJ9" s="21">
        <v>100</v>
      </c>
      <c r="AK9" s="21" t="s">
        <v>2055</v>
      </c>
      <c r="AL9" t="s">
        <v>70</v>
      </c>
      <c r="AM9" t="s">
        <v>2028</v>
      </c>
    </row>
    <row r="10" spans="1:39" ht="15" hidden="1" thickTop="1" x14ac:dyDescent="0.35">
      <c r="A10" t="s">
        <v>2057</v>
      </c>
      <c r="B10" t="s">
        <v>2098</v>
      </c>
      <c r="C10" t="s">
        <v>78</v>
      </c>
      <c r="D10" t="s">
        <v>2099</v>
      </c>
      <c r="E10" t="s">
        <v>559</v>
      </c>
      <c r="F10">
        <v>2</v>
      </c>
      <c r="G10" t="s">
        <v>2050</v>
      </c>
      <c r="H10" t="s">
        <v>2051</v>
      </c>
      <c r="I10" t="s">
        <v>53</v>
      </c>
      <c r="J10" t="s">
        <v>67</v>
      </c>
      <c r="K10" t="s">
        <v>68</v>
      </c>
      <c r="L10" t="s">
        <v>2052</v>
      </c>
      <c r="M10" t="s">
        <v>2064</v>
      </c>
      <c r="N10">
        <v>0</v>
      </c>
      <c r="O10">
        <v>0</v>
      </c>
      <c r="P10">
        <v>0</v>
      </c>
      <c r="Q10">
        <v>900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80</v>
      </c>
      <c r="AH10" s="21" t="s">
        <v>3424</v>
      </c>
      <c r="AI10" s="21">
        <v>67.5</v>
      </c>
      <c r="AJ10" s="21">
        <v>100</v>
      </c>
      <c r="AK10" s="21" t="s">
        <v>2055</v>
      </c>
      <c r="AL10" t="s">
        <v>70</v>
      </c>
      <c r="AM10" t="s">
        <v>2029</v>
      </c>
    </row>
    <row r="11" spans="1:39" ht="15" hidden="1" thickTop="1" x14ac:dyDescent="0.35">
      <c r="A11" t="s">
        <v>2058</v>
      </c>
      <c r="B11" t="s">
        <v>2101</v>
      </c>
      <c r="C11" t="s">
        <v>565</v>
      </c>
      <c r="D11" t="s">
        <v>2102</v>
      </c>
      <c r="E11" t="s">
        <v>559</v>
      </c>
      <c r="F11">
        <v>1</v>
      </c>
      <c r="G11" t="s">
        <v>2050</v>
      </c>
      <c r="H11" t="s">
        <v>2051</v>
      </c>
      <c r="I11" t="s">
        <v>53</v>
      </c>
      <c r="J11" t="s">
        <v>427</v>
      </c>
      <c r="K11" t="s">
        <v>68</v>
      </c>
      <c r="L11" t="s">
        <v>2052</v>
      </c>
      <c r="M11" t="s">
        <v>2053</v>
      </c>
      <c r="N11">
        <v>0</v>
      </c>
      <c r="O11">
        <v>0</v>
      </c>
      <c r="P11">
        <v>0</v>
      </c>
      <c r="Q11">
        <v>1440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83</v>
      </c>
      <c r="AH11" s="21" t="s">
        <v>3425</v>
      </c>
      <c r="AI11" s="21">
        <v>107.92500000000001</v>
      </c>
      <c r="AJ11" s="21">
        <v>100</v>
      </c>
      <c r="AK11" s="21" t="s">
        <v>2054</v>
      </c>
      <c r="AL11" t="s">
        <v>70</v>
      </c>
      <c r="AM11" t="s">
        <v>2029</v>
      </c>
    </row>
    <row r="12" spans="1:39" ht="15" hidden="1" thickTop="1" x14ac:dyDescent="0.35">
      <c r="A12" t="s">
        <v>2059</v>
      </c>
      <c r="B12" t="s">
        <v>2103</v>
      </c>
      <c r="C12" t="s">
        <v>565</v>
      </c>
      <c r="D12" t="s">
        <v>2104</v>
      </c>
      <c r="E12" t="s">
        <v>559</v>
      </c>
      <c r="F12">
        <v>2</v>
      </c>
      <c r="G12" t="s">
        <v>2050</v>
      </c>
      <c r="H12" t="s">
        <v>2051</v>
      </c>
      <c r="I12" t="s">
        <v>53</v>
      </c>
      <c r="J12" t="s">
        <v>427</v>
      </c>
      <c r="K12" t="s">
        <v>68</v>
      </c>
      <c r="L12" t="s">
        <v>2052</v>
      </c>
      <c r="M12" t="s">
        <v>2063</v>
      </c>
      <c r="N12">
        <v>0</v>
      </c>
      <c r="O12">
        <v>0</v>
      </c>
      <c r="P12">
        <v>0</v>
      </c>
      <c r="Q12">
        <v>1020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84</v>
      </c>
      <c r="AH12" s="21" t="s">
        <v>3425</v>
      </c>
      <c r="AI12" s="21">
        <v>76.500000000000014</v>
      </c>
      <c r="AJ12" s="21">
        <v>100</v>
      </c>
      <c r="AK12" s="21" t="s">
        <v>2054</v>
      </c>
      <c r="AL12" t="s">
        <v>70</v>
      </c>
      <c r="AM12" t="s">
        <v>2027</v>
      </c>
    </row>
    <row r="13" spans="1:39" ht="15" hidden="1" thickTop="1" x14ac:dyDescent="0.35">
      <c r="A13" t="s">
        <v>2105</v>
      </c>
      <c r="B13" t="s">
        <v>2107</v>
      </c>
      <c r="C13" t="s">
        <v>81</v>
      </c>
      <c r="D13" t="s">
        <v>2108</v>
      </c>
      <c r="E13" t="s">
        <v>559</v>
      </c>
      <c r="F13">
        <v>1</v>
      </c>
      <c r="G13" t="s">
        <v>2050</v>
      </c>
      <c r="H13" t="s">
        <v>2051</v>
      </c>
      <c r="I13" t="s">
        <v>53</v>
      </c>
      <c r="J13" t="s">
        <v>82</v>
      </c>
      <c r="K13" t="s">
        <v>68</v>
      </c>
      <c r="L13" t="s">
        <v>2052</v>
      </c>
      <c r="M13" t="s">
        <v>2100</v>
      </c>
      <c r="N13">
        <v>0</v>
      </c>
      <c r="O13">
        <v>0</v>
      </c>
      <c r="P13">
        <v>0</v>
      </c>
      <c r="Q13">
        <v>840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85</v>
      </c>
      <c r="AH13" s="21" t="s">
        <v>3425</v>
      </c>
      <c r="AI13" s="21">
        <v>62.999999999999986</v>
      </c>
      <c r="AJ13" s="21">
        <v>100</v>
      </c>
      <c r="AK13" s="21" t="s">
        <v>2055</v>
      </c>
      <c r="AL13" t="s">
        <v>70</v>
      </c>
      <c r="AM13" t="s">
        <v>2030</v>
      </c>
    </row>
    <row r="14" spans="1:39" ht="15" hidden="1" thickTop="1" x14ac:dyDescent="0.35">
      <c r="A14" t="s">
        <v>2106</v>
      </c>
      <c r="B14" t="s">
        <v>2109</v>
      </c>
      <c r="C14" t="s">
        <v>820</v>
      </c>
      <c r="D14" t="s">
        <v>2110</v>
      </c>
      <c r="E14" t="s">
        <v>72</v>
      </c>
      <c r="F14">
        <v>2</v>
      </c>
      <c r="G14" t="s">
        <v>2050</v>
      </c>
      <c r="H14" t="s">
        <v>2051</v>
      </c>
      <c r="I14" t="s">
        <v>53</v>
      </c>
      <c r="J14" t="s">
        <v>424</v>
      </c>
      <c r="K14" t="s">
        <v>68</v>
      </c>
      <c r="L14" t="s">
        <v>2052</v>
      </c>
      <c r="M14" t="s">
        <v>2053</v>
      </c>
      <c r="N14">
        <v>0</v>
      </c>
      <c r="O14">
        <v>0</v>
      </c>
      <c r="P14">
        <v>0</v>
      </c>
      <c r="Q14">
        <v>1440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87</v>
      </c>
      <c r="AH14" s="21" t="s">
        <v>3425</v>
      </c>
      <c r="AI14" s="21">
        <v>107.92500000000001</v>
      </c>
      <c r="AJ14" s="21">
        <v>100</v>
      </c>
      <c r="AK14" s="21" t="s">
        <v>2054</v>
      </c>
      <c r="AL14" t="s">
        <v>75</v>
      </c>
      <c r="AM14" t="s">
        <v>2027</v>
      </c>
    </row>
    <row r="15" spans="1:39" ht="15" hidden="1" thickTop="1" x14ac:dyDescent="0.35">
      <c r="A15" t="s">
        <v>2111</v>
      </c>
      <c r="B15" t="s">
        <v>2112</v>
      </c>
      <c r="C15" t="s">
        <v>78</v>
      </c>
      <c r="D15" t="s">
        <v>2113</v>
      </c>
      <c r="E15" t="s">
        <v>559</v>
      </c>
      <c r="F15">
        <v>1</v>
      </c>
      <c r="G15" t="s">
        <v>2050</v>
      </c>
      <c r="H15" t="s">
        <v>2051</v>
      </c>
      <c r="I15" t="s">
        <v>53</v>
      </c>
      <c r="J15" t="s">
        <v>67</v>
      </c>
      <c r="K15" t="s">
        <v>68</v>
      </c>
      <c r="L15" t="s">
        <v>2052</v>
      </c>
      <c r="M15" t="s">
        <v>2053</v>
      </c>
      <c r="N15">
        <v>0</v>
      </c>
      <c r="O15">
        <v>0</v>
      </c>
      <c r="P15">
        <v>0</v>
      </c>
      <c r="Q15">
        <v>1440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89</v>
      </c>
      <c r="AH15" s="21" t="s">
        <v>3425</v>
      </c>
      <c r="AI15" s="21">
        <v>107.92500000000001</v>
      </c>
      <c r="AJ15" s="21">
        <v>100</v>
      </c>
      <c r="AK15" s="21" t="s">
        <v>2054</v>
      </c>
      <c r="AL15" t="s">
        <v>70</v>
      </c>
      <c r="AM15" t="s">
        <v>2030</v>
      </c>
    </row>
    <row r="16" spans="1:39" ht="15" hidden="1" thickTop="1" x14ac:dyDescent="0.35">
      <c r="A16" t="s">
        <v>2114</v>
      </c>
      <c r="B16" t="s">
        <v>2116</v>
      </c>
      <c r="C16" t="s">
        <v>71</v>
      </c>
      <c r="D16" t="s">
        <v>2117</v>
      </c>
      <c r="E16" t="s">
        <v>72</v>
      </c>
      <c r="F16">
        <v>1</v>
      </c>
      <c r="G16" t="s">
        <v>2050</v>
      </c>
      <c r="H16" t="s">
        <v>2051</v>
      </c>
      <c r="I16" t="s">
        <v>53</v>
      </c>
      <c r="J16" t="s">
        <v>73</v>
      </c>
      <c r="K16" t="s">
        <v>68</v>
      </c>
      <c r="L16" t="s">
        <v>2052</v>
      </c>
      <c r="M16" t="s">
        <v>2053</v>
      </c>
      <c r="N16">
        <v>3</v>
      </c>
      <c r="O16">
        <v>243</v>
      </c>
      <c r="P16">
        <v>16.88</v>
      </c>
      <c r="Q16">
        <v>1440</v>
      </c>
      <c r="R16">
        <v>2</v>
      </c>
      <c r="S16">
        <v>214</v>
      </c>
      <c r="T16">
        <v>14.86</v>
      </c>
      <c r="U16">
        <v>0</v>
      </c>
      <c r="V16">
        <v>0</v>
      </c>
      <c r="W16">
        <v>0</v>
      </c>
      <c r="X16">
        <v>1</v>
      </c>
      <c r="Y16">
        <v>29</v>
      </c>
      <c r="Z16">
        <v>2.0099999999999998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90</v>
      </c>
      <c r="AH16" s="21" t="s">
        <v>3426</v>
      </c>
      <c r="AI16" s="21">
        <v>107.92500000000001</v>
      </c>
      <c r="AJ16" s="21">
        <v>83.125</v>
      </c>
      <c r="AK16" s="21" t="s">
        <v>2055</v>
      </c>
      <c r="AL16" t="s">
        <v>75</v>
      </c>
      <c r="AM16" t="s">
        <v>2028</v>
      </c>
    </row>
    <row r="17" spans="1:39" ht="15" hidden="1" thickTop="1" x14ac:dyDescent="0.35">
      <c r="A17" t="s">
        <v>2115</v>
      </c>
      <c r="B17" t="s">
        <v>2118</v>
      </c>
      <c r="C17" t="s">
        <v>66</v>
      </c>
      <c r="D17" t="s">
        <v>2119</v>
      </c>
      <c r="E17" t="s">
        <v>559</v>
      </c>
      <c r="F17">
        <v>2</v>
      </c>
      <c r="G17" t="s">
        <v>2050</v>
      </c>
      <c r="H17" t="s">
        <v>2051</v>
      </c>
      <c r="I17" t="s">
        <v>53</v>
      </c>
      <c r="J17" t="s">
        <v>67</v>
      </c>
      <c r="K17" t="s">
        <v>68</v>
      </c>
      <c r="L17" t="s">
        <v>2052</v>
      </c>
      <c r="M17" t="s">
        <v>2064</v>
      </c>
      <c r="N17">
        <v>0</v>
      </c>
      <c r="O17">
        <v>0</v>
      </c>
      <c r="P17">
        <v>0</v>
      </c>
      <c r="Q17">
        <v>900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91</v>
      </c>
      <c r="AH17" s="21" t="s">
        <v>3427</v>
      </c>
      <c r="AI17" s="21">
        <v>67.5</v>
      </c>
      <c r="AJ17" s="21">
        <v>100</v>
      </c>
      <c r="AK17" s="21" t="s">
        <v>2055</v>
      </c>
      <c r="AL17" t="s">
        <v>70</v>
      </c>
      <c r="AM17" t="s">
        <v>2029</v>
      </c>
    </row>
    <row r="18" spans="1:39" ht="15" hidden="1" thickTop="1" x14ac:dyDescent="0.35">
      <c r="A18" t="s">
        <v>2120</v>
      </c>
      <c r="B18" t="s">
        <v>2123</v>
      </c>
      <c r="C18" t="s">
        <v>66</v>
      </c>
      <c r="D18" t="s">
        <v>2124</v>
      </c>
      <c r="E18" t="s">
        <v>559</v>
      </c>
      <c r="F18">
        <v>1</v>
      </c>
      <c r="G18" t="s">
        <v>2050</v>
      </c>
      <c r="H18" t="s">
        <v>2051</v>
      </c>
      <c r="I18" t="s">
        <v>53</v>
      </c>
      <c r="J18" t="s">
        <v>67</v>
      </c>
      <c r="K18" t="s">
        <v>68</v>
      </c>
      <c r="L18" t="s">
        <v>2052</v>
      </c>
      <c r="M18" t="s">
        <v>2053</v>
      </c>
      <c r="N18">
        <v>0</v>
      </c>
      <c r="O18">
        <v>0</v>
      </c>
      <c r="P18">
        <v>0</v>
      </c>
      <c r="Q18">
        <v>1440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93</v>
      </c>
      <c r="AH18" s="21" t="s">
        <v>3427</v>
      </c>
      <c r="AI18" s="21">
        <v>107.92500000000001</v>
      </c>
      <c r="AJ18" s="21">
        <v>100</v>
      </c>
      <c r="AK18" s="21" t="s">
        <v>2054</v>
      </c>
      <c r="AL18" t="s">
        <v>70</v>
      </c>
      <c r="AM18" t="s">
        <v>2031</v>
      </c>
    </row>
    <row r="19" spans="1:39" ht="15" hidden="1" thickTop="1" x14ac:dyDescent="0.35">
      <c r="A19" t="s">
        <v>2121</v>
      </c>
      <c r="B19" t="s">
        <v>2125</v>
      </c>
      <c r="C19" t="s">
        <v>1515</v>
      </c>
      <c r="D19" t="s">
        <v>2126</v>
      </c>
      <c r="E19" t="s">
        <v>95</v>
      </c>
      <c r="F19">
        <v>1</v>
      </c>
      <c r="G19" t="s">
        <v>2050</v>
      </c>
      <c r="H19" t="s">
        <v>2051</v>
      </c>
      <c r="I19" t="s">
        <v>53</v>
      </c>
      <c r="J19" t="s">
        <v>1516</v>
      </c>
      <c r="K19" t="s">
        <v>68</v>
      </c>
      <c r="L19" t="s">
        <v>2052</v>
      </c>
      <c r="M19" t="s">
        <v>2053</v>
      </c>
      <c r="N19">
        <v>0</v>
      </c>
      <c r="O19">
        <v>0</v>
      </c>
      <c r="P19">
        <v>0</v>
      </c>
      <c r="Q19">
        <v>1440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97</v>
      </c>
      <c r="AH19" s="21" t="s">
        <v>3427</v>
      </c>
      <c r="AI19" s="21">
        <v>107.92500000000001</v>
      </c>
      <c r="AJ19" s="21">
        <v>100</v>
      </c>
      <c r="AK19" s="21" t="s">
        <v>2055</v>
      </c>
      <c r="AL19" t="s">
        <v>75</v>
      </c>
      <c r="AM19" t="s">
        <v>2027</v>
      </c>
    </row>
    <row r="20" spans="1:39" ht="15" hidden="1" thickTop="1" x14ac:dyDescent="0.35">
      <c r="A20" t="s">
        <v>2122</v>
      </c>
      <c r="B20" t="s">
        <v>2127</v>
      </c>
      <c r="C20" t="s">
        <v>71</v>
      </c>
      <c r="D20" t="s">
        <v>2128</v>
      </c>
      <c r="E20" t="s">
        <v>72</v>
      </c>
      <c r="F20">
        <v>1</v>
      </c>
      <c r="G20" t="s">
        <v>2050</v>
      </c>
      <c r="H20" t="s">
        <v>2051</v>
      </c>
      <c r="I20" t="s">
        <v>53</v>
      </c>
      <c r="J20" t="s">
        <v>73</v>
      </c>
      <c r="K20" t="s">
        <v>68</v>
      </c>
      <c r="L20" t="s">
        <v>2052</v>
      </c>
      <c r="M20" t="s">
        <v>2053</v>
      </c>
      <c r="N20">
        <v>0</v>
      </c>
      <c r="O20">
        <v>0</v>
      </c>
      <c r="P20">
        <v>0</v>
      </c>
      <c r="Q20">
        <v>1440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98</v>
      </c>
      <c r="AH20" s="21" t="s">
        <v>3427</v>
      </c>
      <c r="AI20" s="21">
        <v>107.92500000000001</v>
      </c>
      <c r="AJ20" s="21">
        <v>100</v>
      </c>
      <c r="AK20" s="21" t="s">
        <v>2054</v>
      </c>
      <c r="AL20" t="s">
        <v>75</v>
      </c>
      <c r="AM20" t="s">
        <v>2028</v>
      </c>
    </row>
    <row r="21" spans="1:39" ht="15" hidden="1" thickTop="1" x14ac:dyDescent="0.35">
      <c r="A21" t="s">
        <v>2129</v>
      </c>
      <c r="B21" t="s">
        <v>2132</v>
      </c>
      <c r="C21" t="s">
        <v>78</v>
      </c>
      <c r="D21" t="s">
        <v>2133</v>
      </c>
      <c r="E21" t="s">
        <v>559</v>
      </c>
      <c r="F21">
        <v>1</v>
      </c>
      <c r="G21" t="s">
        <v>2050</v>
      </c>
      <c r="H21" t="s">
        <v>2051</v>
      </c>
      <c r="I21" t="s">
        <v>53</v>
      </c>
      <c r="J21" t="s">
        <v>67</v>
      </c>
      <c r="K21" t="s">
        <v>68</v>
      </c>
      <c r="L21" t="s">
        <v>2052</v>
      </c>
      <c r="M21" t="s">
        <v>2053</v>
      </c>
      <c r="N21">
        <v>0</v>
      </c>
      <c r="O21">
        <v>0</v>
      </c>
      <c r="P21">
        <v>0</v>
      </c>
      <c r="Q21">
        <v>1440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99</v>
      </c>
      <c r="AH21" s="21" t="s">
        <v>3427</v>
      </c>
      <c r="AI21" s="21">
        <v>107.92500000000001</v>
      </c>
      <c r="AJ21" s="21">
        <v>100</v>
      </c>
      <c r="AK21" s="21" t="s">
        <v>2054</v>
      </c>
      <c r="AL21" t="s">
        <v>70</v>
      </c>
      <c r="AM21" t="s">
        <v>2027</v>
      </c>
    </row>
    <row r="22" spans="1:39" ht="15" hidden="1" thickTop="1" x14ac:dyDescent="0.35">
      <c r="A22" t="s">
        <v>2130</v>
      </c>
      <c r="B22" t="s">
        <v>2134</v>
      </c>
      <c r="C22" t="s">
        <v>100</v>
      </c>
      <c r="D22" t="s">
        <v>2135</v>
      </c>
      <c r="E22" t="s">
        <v>559</v>
      </c>
      <c r="F22">
        <v>1</v>
      </c>
      <c r="G22" t="s">
        <v>2050</v>
      </c>
      <c r="H22" t="s">
        <v>2051</v>
      </c>
      <c r="I22" t="s">
        <v>53</v>
      </c>
      <c r="J22" t="s">
        <v>67</v>
      </c>
      <c r="K22" t="s">
        <v>68</v>
      </c>
      <c r="L22" t="s">
        <v>2052</v>
      </c>
      <c r="M22" t="s">
        <v>2053</v>
      </c>
      <c r="N22">
        <v>0</v>
      </c>
      <c r="O22">
        <v>0</v>
      </c>
      <c r="P22">
        <v>0</v>
      </c>
      <c r="Q22">
        <v>1440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101</v>
      </c>
      <c r="AH22" s="21" t="s">
        <v>3424</v>
      </c>
      <c r="AI22" s="21">
        <v>107.92500000000001</v>
      </c>
      <c r="AJ22" s="21">
        <v>100</v>
      </c>
      <c r="AK22" s="21" t="s">
        <v>2054</v>
      </c>
      <c r="AL22" t="s">
        <v>70</v>
      </c>
      <c r="AM22" t="s">
        <v>2028</v>
      </c>
    </row>
    <row r="23" spans="1:39" ht="15" hidden="1" thickTop="1" x14ac:dyDescent="0.35">
      <c r="A23" t="s">
        <v>2131</v>
      </c>
      <c r="B23" t="s">
        <v>2136</v>
      </c>
      <c r="C23" t="s">
        <v>102</v>
      </c>
      <c r="D23" t="s">
        <v>2137</v>
      </c>
      <c r="E23" t="s">
        <v>559</v>
      </c>
      <c r="F23">
        <v>1</v>
      </c>
      <c r="G23" t="s">
        <v>2050</v>
      </c>
      <c r="H23" t="s">
        <v>2051</v>
      </c>
      <c r="I23" t="s">
        <v>53</v>
      </c>
      <c r="J23" t="s">
        <v>67</v>
      </c>
      <c r="K23" t="s">
        <v>68</v>
      </c>
      <c r="L23" t="s">
        <v>2052</v>
      </c>
      <c r="M23" t="s">
        <v>2053</v>
      </c>
      <c r="N23">
        <v>0</v>
      </c>
      <c r="O23">
        <v>0</v>
      </c>
      <c r="P23">
        <v>0</v>
      </c>
      <c r="Q23">
        <v>1440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103</v>
      </c>
      <c r="AH23" s="21" t="s">
        <v>3425</v>
      </c>
      <c r="AI23" s="21">
        <v>107.92500000000001</v>
      </c>
      <c r="AJ23" s="21">
        <v>100</v>
      </c>
      <c r="AK23" s="21" t="s">
        <v>2054</v>
      </c>
      <c r="AL23" t="s">
        <v>70</v>
      </c>
      <c r="AM23" t="s">
        <v>2027</v>
      </c>
    </row>
    <row r="24" spans="1:39" ht="15" hidden="1" thickTop="1" x14ac:dyDescent="0.35">
      <c r="A24" t="s">
        <v>2138</v>
      </c>
      <c r="B24" t="s">
        <v>2140</v>
      </c>
      <c r="C24" t="s">
        <v>66</v>
      </c>
      <c r="D24" t="s">
        <v>2141</v>
      </c>
      <c r="E24" t="s">
        <v>559</v>
      </c>
      <c r="F24">
        <v>2</v>
      </c>
      <c r="G24" t="s">
        <v>2050</v>
      </c>
      <c r="H24" t="s">
        <v>2051</v>
      </c>
      <c r="I24" t="s">
        <v>53</v>
      </c>
      <c r="J24" t="s">
        <v>67</v>
      </c>
      <c r="K24" t="s">
        <v>68</v>
      </c>
      <c r="L24" t="s">
        <v>2052</v>
      </c>
      <c r="M24" t="s">
        <v>2053</v>
      </c>
      <c r="N24">
        <v>0</v>
      </c>
      <c r="O24">
        <v>0</v>
      </c>
      <c r="P24">
        <v>0</v>
      </c>
      <c r="Q24">
        <v>1440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104</v>
      </c>
      <c r="AH24" s="21" t="s">
        <v>3428</v>
      </c>
      <c r="AI24" s="21">
        <v>107.92500000000001</v>
      </c>
      <c r="AJ24" s="21">
        <v>100</v>
      </c>
      <c r="AK24" s="21" t="s">
        <v>2054</v>
      </c>
      <c r="AL24" t="s">
        <v>70</v>
      </c>
      <c r="AM24" t="s">
        <v>2028</v>
      </c>
    </row>
    <row r="25" spans="1:39" ht="15" hidden="1" thickTop="1" x14ac:dyDescent="0.35">
      <c r="A25" t="s">
        <v>2060</v>
      </c>
      <c r="B25" t="s">
        <v>2147</v>
      </c>
      <c r="C25" t="s">
        <v>76</v>
      </c>
      <c r="D25" t="s">
        <v>2148</v>
      </c>
      <c r="E25" t="s">
        <v>559</v>
      </c>
      <c r="F25">
        <v>1</v>
      </c>
      <c r="G25" t="s">
        <v>2050</v>
      </c>
      <c r="H25" t="s">
        <v>2051</v>
      </c>
      <c r="I25" t="s">
        <v>53</v>
      </c>
      <c r="J25" t="s">
        <v>67</v>
      </c>
      <c r="K25" t="s">
        <v>68</v>
      </c>
      <c r="L25" t="s">
        <v>2052</v>
      </c>
      <c r="M25" t="s">
        <v>2064</v>
      </c>
      <c r="N25">
        <v>0</v>
      </c>
      <c r="O25">
        <v>0</v>
      </c>
      <c r="P25">
        <v>0</v>
      </c>
      <c r="Q25">
        <v>900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105</v>
      </c>
      <c r="AH25" s="21" t="s">
        <v>3425</v>
      </c>
      <c r="AI25" s="21">
        <v>67.5</v>
      </c>
      <c r="AJ25" s="21">
        <v>100</v>
      </c>
      <c r="AK25" s="21" t="s">
        <v>2054</v>
      </c>
      <c r="AL25" t="s">
        <v>70</v>
      </c>
      <c r="AM25" t="s">
        <v>2029</v>
      </c>
    </row>
    <row r="26" spans="1:39" ht="15" hidden="1" thickTop="1" x14ac:dyDescent="0.35">
      <c r="A26" t="s">
        <v>2142</v>
      </c>
      <c r="B26" t="s">
        <v>2149</v>
      </c>
      <c r="C26" t="s">
        <v>76</v>
      </c>
      <c r="D26" t="s">
        <v>2150</v>
      </c>
      <c r="E26" t="s">
        <v>559</v>
      </c>
      <c r="F26">
        <v>1</v>
      </c>
      <c r="G26" t="s">
        <v>2050</v>
      </c>
      <c r="H26" t="s">
        <v>2051</v>
      </c>
      <c r="I26" t="s">
        <v>53</v>
      </c>
      <c r="J26" t="s">
        <v>67</v>
      </c>
      <c r="K26" t="s">
        <v>68</v>
      </c>
      <c r="L26" t="s">
        <v>2052</v>
      </c>
      <c r="M26" t="s">
        <v>2064</v>
      </c>
      <c r="N26">
        <v>0</v>
      </c>
      <c r="O26">
        <v>0</v>
      </c>
      <c r="P26">
        <v>0</v>
      </c>
      <c r="Q26">
        <v>900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106</v>
      </c>
      <c r="AH26" s="21" t="s">
        <v>3424</v>
      </c>
      <c r="AI26" s="21">
        <v>67.5</v>
      </c>
      <c r="AJ26" s="21">
        <v>100</v>
      </c>
      <c r="AK26" s="21" t="s">
        <v>2054</v>
      </c>
      <c r="AL26" t="s">
        <v>70</v>
      </c>
      <c r="AM26" t="s">
        <v>2028</v>
      </c>
    </row>
    <row r="27" spans="1:39" ht="15" hidden="1" thickTop="1" x14ac:dyDescent="0.35">
      <c r="A27" t="s">
        <v>2143</v>
      </c>
      <c r="B27" t="s">
        <v>2151</v>
      </c>
      <c r="C27" t="s">
        <v>86</v>
      </c>
      <c r="D27" t="s">
        <v>2152</v>
      </c>
      <c r="E27" t="s">
        <v>72</v>
      </c>
      <c r="F27">
        <v>1</v>
      </c>
      <c r="G27" t="s">
        <v>2050</v>
      </c>
      <c r="H27" t="s">
        <v>2051</v>
      </c>
      <c r="I27" t="s">
        <v>53</v>
      </c>
      <c r="J27" t="s">
        <v>73</v>
      </c>
      <c r="K27" t="s">
        <v>68</v>
      </c>
      <c r="L27" t="s">
        <v>2052</v>
      </c>
      <c r="M27" t="s">
        <v>2064</v>
      </c>
      <c r="N27">
        <v>0</v>
      </c>
      <c r="O27">
        <v>0</v>
      </c>
      <c r="P27">
        <v>0</v>
      </c>
      <c r="Q27">
        <v>900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107</v>
      </c>
      <c r="AH27" s="21" t="s">
        <v>3424</v>
      </c>
      <c r="AI27" s="21">
        <v>67.5</v>
      </c>
      <c r="AJ27" s="21">
        <v>100</v>
      </c>
      <c r="AK27" s="21" t="s">
        <v>2054</v>
      </c>
      <c r="AL27" t="s">
        <v>75</v>
      </c>
      <c r="AM27" t="s">
        <v>2029</v>
      </c>
    </row>
    <row r="28" spans="1:39" ht="15" hidden="1" thickTop="1" x14ac:dyDescent="0.35">
      <c r="A28" t="s">
        <v>2145</v>
      </c>
      <c r="B28" t="s">
        <v>2156</v>
      </c>
      <c r="C28" t="s">
        <v>102</v>
      </c>
      <c r="D28" t="s">
        <v>2157</v>
      </c>
      <c r="E28" t="s">
        <v>559</v>
      </c>
      <c r="F28">
        <v>1</v>
      </c>
      <c r="G28" t="s">
        <v>2050</v>
      </c>
      <c r="H28" t="s">
        <v>2051</v>
      </c>
      <c r="I28" t="s">
        <v>53</v>
      </c>
      <c r="J28" t="s">
        <v>67</v>
      </c>
      <c r="K28" t="s">
        <v>68</v>
      </c>
      <c r="L28" t="s">
        <v>2052</v>
      </c>
      <c r="M28" t="s">
        <v>2053</v>
      </c>
      <c r="N28">
        <v>0</v>
      </c>
      <c r="O28">
        <v>0</v>
      </c>
      <c r="P28">
        <v>0</v>
      </c>
      <c r="Q28">
        <v>1440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108</v>
      </c>
      <c r="AH28" s="21" t="s">
        <v>3425</v>
      </c>
      <c r="AI28" s="21">
        <v>107.92500000000001</v>
      </c>
      <c r="AJ28" s="21">
        <v>100</v>
      </c>
      <c r="AK28" s="21" t="s">
        <v>2054</v>
      </c>
      <c r="AL28" t="s">
        <v>70</v>
      </c>
      <c r="AM28" t="s">
        <v>2027</v>
      </c>
    </row>
    <row r="29" spans="1:39" ht="15" hidden="1" thickTop="1" x14ac:dyDescent="0.35">
      <c r="A29" t="s">
        <v>2153</v>
      </c>
      <c r="B29" t="s">
        <v>2160</v>
      </c>
      <c r="C29" t="s">
        <v>102</v>
      </c>
      <c r="D29" t="s">
        <v>2161</v>
      </c>
      <c r="E29" t="s">
        <v>559</v>
      </c>
      <c r="F29">
        <v>1</v>
      </c>
      <c r="G29" t="s">
        <v>2050</v>
      </c>
      <c r="H29" t="s">
        <v>2051</v>
      </c>
      <c r="I29" t="s">
        <v>53</v>
      </c>
      <c r="J29" t="s">
        <v>67</v>
      </c>
      <c r="K29" t="s">
        <v>68</v>
      </c>
      <c r="L29" t="s">
        <v>2052</v>
      </c>
      <c r="M29" t="s">
        <v>2053</v>
      </c>
      <c r="N29">
        <v>0</v>
      </c>
      <c r="O29">
        <v>0</v>
      </c>
      <c r="P29">
        <v>0</v>
      </c>
      <c r="Q29">
        <v>1440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109</v>
      </c>
      <c r="AH29" s="21" t="s">
        <v>3429</v>
      </c>
      <c r="AI29" s="21">
        <v>107.92500000000001</v>
      </c>
      <c r="AJ29" s="21">
        <v>100</v>
      </c>
      <c r="AK29" s="21" t="s">
        <v>2055</v>
      </c>
      <c r="AL29" t="s">
        <v>70</v>
      </c>
      <c r="AM29" t="s">
        <v>2028</v>
      </c>
    </row>
    <row r="30" spans="1:39" ht="15" hidden="1" thickTop="1" x14ac:dyDescent="0.35">
      <c r="A30" t="s">
        <v>2154</v>
      </c>
      <c r="B30" t="s">
        <v>2162</v>
      </c>
      <c r="C30" t="s">
        <v>78</v>
      </c>
      <c r="D30" t="s">
        <v>2163</v>
      </c>
      <c r="E30" t="s">
        <v>559</v>
      </c>
      <c r="F30">
        <v>1</v>
      </c>
      <c r="G30" t="s">
        <v>2050</v>
      </c>
      <c r="H30" t="s">
        <v>2051</v>
      </c>
      <c r="I30" t="s">
        <v>53</v>
      </c>
      <c r="J30" t="s">
        <v>67</v>
      </c>
      <c r="K30" t="s">
        <v>68</v>
      </c>
      <c r="L30" t="s">
        <v>2052</v>
      </c>
      <c r="M30" t="s">
        <v>2053</v>
      </c>
      <c r="N30">
        <v>0</v>
      </c>
      <c r="O30">
        <v>0</v>
      </c>
      <c r="P30">
        <v>0</v>
      </c>
      <c r="Q30">
        <v>1440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110</v>
      </c>
      <c r="AH30" s="21" t="s">
        <v>3424</v>
      </c>
      <c r="AI30" s="21">
        <v>107.92500000000001</v>
      </c>
      <c r="AJ30" s="21">
        <v>100</v>
      </c>
      <c r="AK30" s="21" t="s">
        <v>2054</v>
      </c>
      <c r="AL30" t="s">
        <v>70</v>
      </c>
      <c r="AM30" t="s">
        <v>2029</v>
      </c>
    </row>
    <row r="31" spans="1:39" ht="15" hidden="1" thickTop="1" x14ac:dyDescent="0.35">
      <c r="A31" t="s">
        <v>2158</v>
      </c>
      <c r="B31" t="s">
        <v>2164</v>
      </c>
      <c r="C31" t="s">
        <v>111</v>
      </c>
      <c r="D31" t="s">
        <v>2165</v>
      </c>
      <c r="E31" t="s">
        <v>112</v>
      </c>
      <c r="F31">
        <v>1</v>
      </c>
      <c r="G31" t="s">
        <v>2050</v>
      </c>
      <c r="H31" t="s">
        <v>2051</v>
      </c>
      <c r="I31" t="s">
        <v>53</v>
      </c>
      <c r="J31" t="s">
        <v>113</v>
      </c>
      <c r="K31" t="s">
        <v>68</v>
      </c>
      <c r="L31" t="s">
        <v>2052</v>
      </c>
      <c r="M31" t="s">
        <v>2053</v>
      </c>
      <c r="N31">
        <v>0</v>
      </c>
      <c r="O31">
        <v>0</v>
      </c>
      <c r="P31">
        <v>0</v>
      </c>
      <c r="Q31">
        <v>1440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114</v>
      </c>
      <c r="AH31" s="21" t="s">
        <v>3424</v>
      </c>
      <c r="AI31" s="21">
        <v>107.92500000000001</v>
      </c>
      <c r="AJ31" s="21">
        <v>100</v>
      </c>
      <c r="AK31" s="21" t="s">
        <v>2054</v>
      </c>
      <c r="AL31" t="s">
        <v>115</v>
      </c>
      <c r="AM31" t="s">
        <v>2027</v>
      </c>
    </row>
    <row r="32" spans="1:39" ht="15" hidden="1" thickTop="1" x14ac:dyDescent="0.35">
      <c r="A32" t="s">
        <v>2166</v>
      </c>
      <c r="B32" t="s">
        <v>2171</v>
      </c>
      <c r="C32" t="s">
        <v>117</v>
      </c>
      <c r="D32" t="s">
        <v>2172</v>
      </c>
      <c r="E32" t="s">
        <v>559</v>
      </c>
      <c r="F32">
        <v>1</v>
      </c>
      <c r="G32" t="s">
        <v>2050</v>
      </c>
      <c r="H32" t="s">
        <v>2051</v>
      </c>
      <c r="I32" t="s">
        <v>53</v>
      </c>
      <c r="J32" t="s">
        <v>67</v>
      </c>
      <c r="K32" t="s">
        <v>68</v>
      </c>
      <c r="L32" t="s">
        <v>2052</v>
      </c>
      <c r="M32" t="s">
        <v>2066</v>
      </c>
      <c r="N32">
        <v>0</v>
      </c>
      <c r="O32">
        <v>0</v>
      </c>
      <c r="P32">
        <v>0</v>
      </c>
      <c r="Q32">
        <v>780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118</v>
      </c>
      <c r="AH32" s="21" t="s">
        <v>3425</v>
      </c>
      <c r="AI32" s="21">
        <v>58.5</v>
      </c>
      <c r="AJ32" s="21">
        <v>100</v>
      </c>
      <c r="AK32" s="21" t="s">
        <v>2054</v>
      </c>
      <c r="AL32" t="s">
        <v>70</v>
      </c>
      <c r="AM32" t="s">
        <v>2029</v>
      </c>
    </row>
    <row r="33" spans="1:39" ht="15" hidden="1" thickTop="1" x14ac:dyDescent="0.35">
      <c r="A33" t="s">
        <v>2168</v>
      </c>
      <c r="B33" t="s">
        <v>2173</v>
      </c>
      <c r="C33" t="s">
        <v>76</v>
      </c>
      <c r="D33" t="s">
        <v>2174</v>
      </c>
      <c r="E33" t="s">
        <v>119</v>
      </c>
      <c r="F33">
        <v>1</v>
      </c>
      <c r="G33" t="s">
        <v>2050</v>
      </c>
      <c r="H33" t="s">
        <v>2051</v>
      </c>
      <c r="I33" t="s">
        <v>53</v>
      </c>
      <c r="J33" t="s">
        <v>67</v>
      </c>
      <c r="K33" t="s">
        <v>68</v>
      </c>
      <c r="L33" t="s">
        <v>2052</v>
      </c>
      <c r="M33" t="s">
        <v>2053</v>
      </c>
      <c r="N33">
        <v>0</v>
      </c>
      <c r="O33">
        <v>0</v>
      </c>
      <c r="P33">
        <v>0</v>
      </c>
      <c r="Q33">
        <v>1440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120</v>
      </c>
      <c r="AH33" s="21" t="s">
        <v>3425</v>
      </c>
      <c r="AI33" s="21">
        <v>107.92500000000001</v>
      </c>
      <c r="AJ33" s="21">
        <v>100</v>
      </c>
      <c r="AK33" s="21" t="s">
        <v>2054</v>
      </c>
      <c r="AL33" t="s">
        <v>70</v>
      </c>
      <c r="AM33" t="s">
        <v>2028</v>
      </c>
    </row>
    <row r="34" spans="1:39" ht="15" hidden="1" thickTop="1" x14ac:dyDescent="0.35">
      <c r="A34" t="s">
        <v>2169</v>
      </c>
      <c r="B34" t="s">
        <v>2175</v>
      </c>
      <c r="C34" t="s">
        <v>76</v>
      </c>
      <c r="D34" t="s">
        <v>2176</v>
      </c>
      <c r="E34" t="s">
        <v>559</v>
      </c>
      <c r="F34">
        <v>2</v>
      </c>
      <c r="G34" t="s">
        <v>2050</v>
      </c>
      <c r="H34" t="s">
        <v>2051</v>
      </c>
      <c r="I34" t="s">
        <v>53</v>
      </c>
      <c r="J34" t="s">
        <v>67</v>
      </c>
      <c r="K34" t="s">
        <v>68</v>
      </c>
      <c r="L34" t="s">
        <v>2052</v>
      </c>
      <c r="M34" t="s">
        <v>2053</v>
      </c>
      <c r="N34">
        <v>0</v>
      </c>
      <c r="O34">
        <v>0</v>
      </c>
      <c r="P34">
        <v>0</v>
      </c>
      <c r="Q34">
        <v>1440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121</v>
      </c>
      <c r="AH34" s="21" t="s">
        <v>3425</v>
      </c>
      <c r="AI34" s="21">
        <v>107.92500000000001</v>
      </c>
      <c r="AJ34" s="21">
        <v>100</v>
      </c>
      <c r="AK34" s="21" t="s">
        <v>2055</v>
      </c>
      <c r="AL34" t="s">
        <v>70</v>
      </c>
      <c r="AM34" t="s">
        <v>2030</v>
      </c>
    </row>
    <row r="35" spans="1:39" ht="15" hidden="1" thickTop="1" x14ac:dyDescent="0.35">
      <c r="A35" t="s">
        <v>2177</v>
      </c>
      <c r="B35" t="s">
        <v>2183</v>
      </c>
      <c r="C35" t="s">
        <v>76</v>
      </c>
      <c r="D35" t="s">
        <v>2184</v>
      </c>
      <c r="E35" t="s">
        <v>559</v>
      </c>
      <c r="F35">
        <v>2</v>
      </c>
      <c r="G35" t="s">
        <v>2050</v>
      </c>
      <c r="H35" t="s">
        <v>2051</v>
      </c>
      <c r="I35" t="s">
        <v>53</v>
      </c>
      <c r="J35" t="s">
        <v>67</v>
      </c>
      <c r="K35" t="s">
        <v>68</v>
      </c>
      <c r="L35" t="s">
        <v>2052</v>
      </c>
      <c r="M35" t="s">
        <v>2064</v>
      </c>
      <c r="N35">
        <v>0</v>
      </c>
      <c r="O35">
        <v>0</v>
      </c>
      <c r="P35">
        <v>0</v>
      </c>
      <c r="Q35">
        <v>900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122</v>
      </c>
      <c r="AH35" s="21" t="s">
        <v>3424</v>
      </c>
      <c r="AI35" s="21">
        <v>67.5</v>
      </c>
      <c r="AJ35" s="21">
        <v>100</v>
      </c>
      <c r="AK35" s="21" t="s">
        <v>2054</v>
      </c>
      <c r="AL35" t="s">
        <v>70</v>
      </c>
      <c r="AM35" t="s">
        <v>2029</v>
      </c>
    </row>
    <row r="36" spans="1:39" ht="15" hidden="1" thickTop="1" x14ac:dyDescent="0.35">
      <c r="A36" t="s">
        <v>2178</v>
      </c>
      <c r="B36" t="s">
        <v>2185</v>
      </c>
      <c r="C36" t="s">
        <v>81</v>
      </c>
      <c r="D36" t="s">
        <v>2186</v>
      </c>
      <c r="E36" t="s">
        <v>559</v>
      </c>
      <c r="F36">
        <v>2</v>
      </c>
      <c r="G36" t="s">
        <v>2050</v>
      </c>
      <c r="H36" t="s">
        <v>2051</v>
      </c>
      <c r="I36" t="s">
        <v>53</v>
      </c>
      <c r="J36" t="s">
        <v>82</v>
      </c>
      <c r="K36" t="s">
        <v>68</v>
      </c>
      <c r="L36" t="s">
        <v>2052</v>
      </c>
      <c r="M36" t="s">
        <v>2053</v>
      </c>
      <c r="N36">
        <v>0</v>
      </c>
      <c r="O36">
        <v>0</v>
      </c>
      <c r="P36">
        <v>0</v>
      </c>
      <c r="Q36">
        <v>1440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123</v>
      </c>
      <c r="AH36" s="21" t="s">
        <v>3425</v>
      </c>
      <c r="AI36" s="21">
        <v>107.92500000000001</v>
      </c>
      <c r="AJ36" s="21">
        <v>100</v>
      </c>
      <c r="AK36" s="21" t="s">
        <v>2054</v>
      </c>
      <c r="AL36" t="s">
        <v>70</v>
      </c>
      <c r="AM36" t="s">
        <v>2027</v>
      </c>
    </row>
    <row r="37" spans="1:39" ht="15" hidden="1" thickTop="1" x14ac:dyDescent="0.35">
      <c r="A37" t="s">
        <v>2179</v>
      </c>
      <c r="B37" t="s">
        <v>2187</v>
      </c>
      <c r="C37" t="s">
        <v>100</v>
      </c>
      <c r="D37" t="s">
        <v>2188</v>
      </c>
      <c r="E37" t="s">
        <v>559</v>
      </c>
      <c r="F37">
        <v>1</v>
      </c>
      <c r="G37" t="s">
        <v>2050</v>
      </c>
      <c r="H37" t="s">
        <v>2051</v>
      </c>
      <c r="I37" t="s">
        <v>53</v>
      </c>
      <c r="J37" t="s">
        <v>67</v>
      </c>
      <c r="K37" t="s">
        <v>68</v>
      </c>
      <c r="L37" t="s">
        <v>2052</v>
      </c>
      <c r="M37" t="s">
        <v>2053</v>
      </c>
      <c r="N37">
        <v>0</v>
      </c>
      <c r="O37">
        <v>0</v>
      </c>
      <c r="P37">
        <v>0</v>
      </c>
      <c r="Q37">
        <v>1440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124</v>
      </c>
      <c r="AH37" s="21" t="s">
        <v>3424</v>
      </c>
      <c r="AI37" s="21">
        <v>107.92500000000001</v>
      </c>
      <c r="AJ37" s="21">
        <v>100</v>
      </c>
      <c r="AK37" s="21" t="s">
        <v>2054</v>
      </c>
      <c r="AL37" t="s">
        <v>70</v>
      </c>
      <c r="AM37" t="s">
        <v>2031</v>
      </c>
    </row>
    <row r="38" spans="1:39" ht="15" hidden="1" thickTop="1" x14ac:dyDescent="0.35">
      <c r="A38" t="s">
        <v>2181</v>
      </c>
      <c r="B38" t="s">
        <v>2189</v>
      </c>
      <c r="C38" t="s">
        <v>76</v>
      </c>
      <c r="D38" t="s">
        <v>2190</v>
      </c>
      <c r="E38" t="s">
        <v>559</v>
      </c>
      <c r="F38">
        <v>2</v>
      </c>
      <c r="G38" t="s">
        <v>2050</v>
      </c>
      <c r="H38" t="s">
        <v>2051</v>
      </c>
      <c r="I38" t="s">
        <v>53</v>
      </c>
      <c r="J38" t="s">
        <v>67</v>
      </c>
      <c r="K38" t="s">
        <v>68</v>
      </c>
      <c r="L38" t="s">
        <v>2052</v>
      </c>
      <c r="M38" t="s">
        <v>2084</v>
      </c>
      <c r="N38">
        <v>0</v>
      </c>
      <c r="O38">
        <v>0</v>
      </c>
      <c r="P38">
        <v>0</v>
      </c>
      <c r="Q38">
        <v>840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125</v>
      </c>
      <c r="AH38" s="21" t="s">
        <v>3424</v>
      </c>
      <c r="AI38" s="21">
        <v>62.999999999999986</v>
      </c>
      <c r="AJ38" s="21">
        <v>100</v>
      </c>
      <c r="AK38" s="21" t="s">
        <v>2055</v>
      </c>
      <c r="AL38" t="s">
        <v>70</v>
      </c>
      <c r="AM38" t="s">
        <v>2027</v>
      </c>
    </row>
    <row r="39" spans="1:39" ht="15" hidden="1" thickTop="1" x14ac:dyDescent="0.35">
      <c r="A39" t="s">
        <v>2191</v>
      </c>
      <c r="B39" t="s">
        <v>2195</v>
      </c>
      <c r="C39" t="s">
        <v>565</v>
      </c>
      <c r="D39" t="s">
        <v>2196</v>
      </c>
      <c r="E39" t="s">
        <v>559</v>
      </c>
      <c r="F39">
        <v>2</v>
      </c>
      <c r="G39" t="s">
        <v>2050</v>
      </c>
      <c r="H39" t="s">
        <v>2051</v>
      </c>
      <c r="I39" t="s">
        <v>53</v>
      </c>
      <c r="J39" t="s">
        <v>427</v>
      </c>
      <c r="K39" t="s">
        <v>68</v>
      </c>
      <c r="L39" t="s">
        <v>2052</v>
      </c>
      <c r="M39" t="s">
        <v>2053</v>
      </c>
      <c r="N39">
        <v>0</v>
      </c>
      <c r="O39">
        <v>0</v>
      </c>
      <c r="P39">
        <v>0</v>
      </c>
      <c r="Q39">
        <v>1440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127</v>
      </c>
      <c r="AH39" s="21" t="s">
        <v>3425</v>
      </c>
      <c r="AI39" s="21">
        <v>107.92500000000001</v>
      </c>
      <c r="AJ39" s="21">
        <v>100</v>
      </c>
      <c r="AK39" s="21" t="s">
        <v>2055</v>
      </c>
      <c r="AL39" t="s">
        <v>70</v>
      </c>
      <c r="AM39" t="s">
        <v>2029</v>
      </c>
    </row>
    <row r="40" spans="1:39" ht="15" hidden="1" thickTop="1" x14ac:dyDescent="0.35">
      <c r="A40" t="s">
        <v>2193</v>
      </c>
      <c r="B40" t="s">
        <v>2197</v>
      </c>
      <c r="C40" t="s">
        <v>128</v>
      </c>
      <c r="D40" t="s">
        <v>2198</v>
      </c>
      <c r="E40" t="s">
        <v>112</v>
      </c>
      <c r="F40">
        <v>1</v>
      </c>
      <c r="G40" t="s">
        <v>2050</v>
      </c>
      <c r="H40" t="s">
        <v>2051</v>
      </c>
      <c r="I40" t="s">
        <v>53</v>
      </c>
      <c r="J40" t="s">
        <v>113</v>
      </c>
      <c r="K40" t="s">
        <v>68</v>
      </c>
      <c r="L40" t="s">
        <v>2052</v>
      </c>
      <c r="M40" t="s">
        <v>2053</v>
      </c>
      <c r="N40">
        <v>0</v>
      </c>
      <c r="O40">
        <v>0</v>
      </c>
      <c r="P40">
        <v>0</v>
      </c>
      <c r="Q40">
        <v>1440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129</v>
      </c>
      <c r="AH40" s="21" t="s">
        <v>3425</v>
      </c>
      <c r="AI40" s="21">
        <v>107.92500000000001</v>
      </c>
      <c r="AJ40" s="21">
        <v>100</v>
      </c>
      <c r="AK40" s="21" t="s">
        <v>2054</v>
      </c>
      <c r="AL40" t="s">
        <v>115</v>
      </c>
      <c r="AM40" t="s">
        <v>2027</v>
      </c>
    </row>
    <row r="41" spans="1:39" ht="15" hidden="1" thickTop="1" x14ac:dyDescent="0.35">
      <c r="A41" t="s">
        <v>2061</v>
      </c>
      <c r="B41" t="s">
        <v>2200</v>
      </c>
      <c r="C41" t="s">
        <v>117</v>
      </c>
      <c r="D41" t="s">
        <v>2201</v>
      </c>
      <c r="E41" t="s">
        <v>559</v>
      </c>
      <c r="F41">
        <v>1</v>
      </c>
      <c r="G41" t="s">
        <v>2050</v>
      </c>
      <c r="H41" t="s">
        <v>2051</v>
      </c>
      <c r="I41" t="s">
        <v>53</v>
      </c>
      <c r="J41" t="s">
        <v>67</v>
      </c>
      <c r="K41" t="s">
        <v>68</v>
      </c>
      <c r="L41" t="s">
        <v>2052</v>
      </c>
      <c r="M41" t="s">
        <v>2053</v>
      </c>
      <c r="N41">
        <v>0</v>
      </c>
      <c r="O41">
        <v>0</v>
      </c>
      <c r="P41">
        <v>0</v>
      </c>
      <c r="Q41">
        <v>1440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130</v>
      </c>
      <c r="AH41" s="21" t="s">
        <v>3424</v>
      </c>
      <c r="AI41" s="21">
        <v>107.92500000000001</v>
      </c>
      <c r="AJ41" s="21">
        <v>100</v>
      </c>
      <c r="AK41" s="21" t="s">
        <v>2054</v>
      </c>
      <c r="AL41" t="s">
        <v>70</v>
      </c>
      <c r="AM41" t="s">
        <v>2029</v>
      </c>
    </row>
    <row r="42" spans="1:39" ht="15" hidden="1" thickTop="1" x14ac:dyDescent="0.35">
      <c r="A42" t="s">
        <v>2202</v>
      </c>
      <c r="B42" t="s">
        <v>2207</v>
      </c>
      <c r="C42" t="s">
        <v>86</v>
      </c>
      <c r="D42" t="s">
        <v>2208</v>
      </c>
      <c r="E42" t="s">
        <v>72</v>
      </c>
      <c r="F42">
        <v>1</v>
      </c>
      <c r="G42" t="s">
        <v>2050</v>
      </c>
      <c r="H42" t="s">
        <v>2051</v>
      </c>
      <c r="I42" t="s">
        <v>53</v>
      </c>
      <c r="J42" t="s">
        <v>73</v>
      </c>
      <c r="K42" t="s">
        <v>68</v>
      </c>
      <c r="L42" t="s">
        <v>2052</v>
      </c>
      <c r="M42" t="s">
        <v>2063</v>
      </c>
      <c r="N42">
        <v>0</v>
      </c>
      <c r="O42">
        <v>0</v>
      </c>
      <c r="P42">
        <v>0</v>
      </c>
      <c r="Q42">
        <v>1020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131</v>
      </c>
      <c r="AH42" s="21" t="s">
        <v>3430</v>
      </c>
      <c r="AI42" s="21">
        <v>76.500000000000014</v>
      </c>
      <c r="AJ42" s="21">
        <v>100</v>
      </c>
      <c r="AK42" s="21" t="s">
        <v>2054</v>
      </c>
      <c r="AL42" t="s">
        <v>75</v>
      </c>
      <c r="AM42" t="s">
        <v>2027</v>
      </c>
    </row>
    <row r="43" spans="1:39" ht="15" hidden="1" thickTop="1" x14ac:dyDescent="0.35">
      <c r="A43" t="s">
        <v>2062</v>
      </c>
      <c r="B43" t="s">
        <v>2213</v>
      </c>
      <c r="C43" t="s">
        <v>820</v>
      </c>
      <c r="D43" t="s">
        <v>2214</v>
      </c>
      <c r="E43" t="s">
        <v>72</v>
      </c>
      <c r="F43">
        <v>1</v>
      </c>
      <c r="G43" t="s">
        <v>2050</v>
      </c>
      <c r="H43" t="s">
        <v>2051</v>
      </c>
      <c r="I43" t="s">
        <v>53</v>
      </c>
      <c r="J43" t="s">
        <v>424</v>
      </c>
      <c r="K43" t="s">
        <v>68</v>
      </c>
      <c r="L43" t="s">
        <v>2052</v>
      </c>
      <c r="M43" t="s">
        <v>2053</v>
      </c>
      <c r="N43">
        <v>0</v>
      </c>
      <c r="O43">
        <v>0</v>
      </c>
      <c r="P43">
        <v>0</v>
      </c>
      <c r="Q43">
        <v>1440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133</v>
      </c>
      <c r="AH43" s="21" t="s">
        <v>3425</v>
      </c>
      <c r="AI43" s="21">
        <v>107.92500000000001</v>
      </c>
      <c r="AJ43" s="21">
        <v>100</v>
      </c>
      <c r="AK43" s="21" t="s">
        <v>2054</v>
      </c>
      <c r="AL43" t="s">
        <v>75</v>
      </c>
      <c r="AM43" t="s">
        <v>2027</v>
      </c>
    </row>
    <row r="44" spans="1:39" ht="15" hidden="1" thickTop="1" x14ac:dyDescent="0.35">
      <c r="A44" t="s">
        <v>2205</v>
      </c>
      <c r="B44" t="s">
        <v>2215</v>
      </c>
      <c r="C44" t="s">
        <v>3376</v>
      </c>
      <c r="D44" t="s">
        <v>2216</v>
      </c>
      <c r="E44" t="s">
        <v>559</v>
      </c>
      <c r="F44">
        <v>1</v>
      </c>
      <c r="G44" t="s">
        <v>2050</v>
      </c>
      <c r="H44" t="s">
        <v>2051</v>
      </c>
      <c r="I44" t="s">
        <v>53</v>
      </c>
      <c r="J44" t="s">
        <v>67</v>
      </c>
      <c r="K44" t="s">
        <v>68</v>
      </c>
      <c r="L44" t="s">
        <v>2052</v>
      </c>
      <c r="M44" t="s">
        <v>2053</v>
      </c>
      <c r="N44">
        <v>1</v>
      </c>
      <c r="O44">
        <v>94</v>
      </c>
      <c r="P44">
        <v>6.53</v>
      </c>
      <c r="Q44">
        <v>1440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94</v>
      </c>
      <c r="Z44">
        <v>6.53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134</v>
      </c>
      <c r="AH44" s="21" t="s">
        <v>3425</v>
      </c>
      <c r="AI44" s="21">
        <v>107.92500000000001</v>
      </c>
      <c r="AJ44" s="21">
        <v>93.472222222222229</v>
      </c>
      <c r="AK44" s="21" t="s">
        <v>2054</v>
      </c>
      <c r="AL44" t="s">
        <v>70</v>
      </c>
      <c r="AM44" t="s">
        <v>2027</v>
      </c>
    </row>
    <row r="45" spans="1:39" ht="15" hidden="1" thickTop="1" x14ac:dyDescent="0.35">
      <c r="A45" t="s">
        <v>2209</v>
      </c>
      <c r="B45" t="s">
        <v>2220</v>
      </c>
      <c r="C45" t="s">
        <v>135</v>
      </c>
      <c r="D45" t="s">
        <v>2221</v>
      </c>
      <c r="E45" t="s">
        <v>136</v>
      </c>
      <c r="F45">
        <v>1</v>
      </c>
      <c r="G45" t="s">
        <v>2050</v>
      </c>
      <c r="H45" t="s">
        <v>2051</v>
      </c>
      <c r="I45" t="s">
        <v>53</v>
      </c>
      <c r="J45" t="s">
        <v>137</v>
      </c>
      <c r="K45" t="s">
        <v>68</v>
      </c>
      <c r="L45" t="s">
        <v>2052</v>
      </c>
      <c r="M45" t="s">
        <v>2053</v>
      </c>
      <c r="N45">
        <v>0</v>
      </c>
      <c r="O45">
        <v>0</v>
      </c>
      <c r="P45">
        <v>0</v>
      </c>
      <c r="Q45">
        <v>1440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138</v>
      </c>
      <c r="AH45" s="21" t="s">
        <v>3425</v>
      </c>
      <c r="AI45" s="21">
        <v>107.92500000000001</v>
      </c>
      <c r="AJ45" s="21">
        <v>100</v>
      </c>
      <c r="AK45" s="21" t="s">
        <v>2054</v>
      </c>
      <c r="AL45" t="s">
        <v>115</v>
      </c>
      <c r="AM45" t="s">
        <v>2027</v>
      </c>
    </row>
    <row r="46" spans="1:39" ht="15" hidden="1" thickTop="1" x14ac:dyDescent="0.35">
      <c r="A46" t="s">
        <v>2211</v>
      </c>
      <c r="B46" t="s">
        <v>2222</v>
      </c>
      <c r="C46" t="s">
        <v>3376</v>
      </c>
      <c r="D46" t="s">
        <v>2223</v>
      </c>
      <c r="E46" t="s">
        <v>559</v>
      </c>
      <c r="F46">
        <v>1</v>
      </c>
      <c r="G46" t="s">
        <v>2050</v>
      </c>
      <c r="H46" t="s">
        <v>2051</v>
      </c>
      <c r="I46" t="s">
        <v>53</v>
      </c>
      <c r="J46" t="s">
        <v>67</v>
      </c>
      <c r="K46" t="s">
        <v>68</v>
      </c>
      <c r="L46" t="s">
        <v>2052</v>
      </c>
      <c r="M46" t="s">
        <v>2053</v>
      </c>
      <c r="N46">
        <v>0</v>
      </c>
      <c r="O46">
        <v>0</v>
      </c>
      <c r="P46">
        <v>0</v>
      </c>
      <c r="Q46">
        <v>1440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139</v>
      </c>
      <c r="AH46" s="21" t="s">
        <v>3425</v>
      </c>
      <c r="AI46" s="21">
        <v>107.92500000000001</v>
      </c>
      <c r="AJ46" s="21">
        <v>100</v>
      </c>
      <c r="AK46" s="21" t="s">
        <v>2054</v>
      </c>
      <c r="AL46" t="s">
        <v>70</v>
      </c>
      <c r="AM46" t="s">
        <v>2027</v>
      </c>
    </row>
    <row r="47" spans="1:39" ht="15" hidden="1" thickTop="1" x14ac:dyDescent="0.35">
      <c r="A47" t="s">
        <v>2217</v>
      </c>
      <c r="B47" t="s">
        <v>2230</v>
      </c>
      <c r="C47" t="s">
        <v>78</v>
      </c>
      <c r="D47" t="s">
        <v>2231</v>
      </c>
      <c r="E47" t="s">
        <v>559</v>
      </c>
      <c r="F47">
        <v>1</v>
      </c>
      <c r="G47" t="s">
        <v>2050</v>
      </c>
      <c r="H47" t="s">
        <v>2051</v>
      </c>
      <c r="I47" t="s">
        <v>53</v>
      </c>
      <c r="J47" t="s">
        <v>67</v>
      </c>
      <c r="K47" t="s">
        <v>68</v>
      </c>
      <c r="L47" t="s">
        <v>2052</v>
      </c>
      <c r="M47" t="s">
        <v>2053</v>
      </c>
      <c r="N47">
        <v>0</v>
      </c>
      <c r="O47">
        <v>0</v>
      </c>
      <c r="P47">
        <v>0</v>
      </c>
      <c r="Q47">
        <v>1440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140</v>
      </c>
      <c r="AH47" s="21" t="s">
        <v>3425</v>
      </c>
      <c r="AI47" s="21">
        <v>107.92500000000001</v>
      </c>
      <c r="AJ47" s="21">
        <v>100</v>
      </c>
      <c r="AK47" s="21" t="s">
        <v>2054</v>
      </c>
      <c r="AL47" t="s">
        <v>70</v>
      </c>
      <c r="AM47" t="s">
        <v>2029</v>
      </c>
    </row>
    <row r="48" spans="1:39" ht="15" hidden="1" thickTop="1" x14ac:dyDescent="0.35">
      <c r="A48" t="s">
        <v>2218</v>
      </c>
      <c r="B48" t="s">
        <v>2232</v>
      </c>
      <c r="C48" t="s">
        <v>92</v>
      </c>
      <c r="D48" t="s">
        <v>2233</v>
      </c>
      <c r="E48" t="s">
        <v>119</v>
      </c>
      <c r="F48">
        <v>1</v>
      </c>
      <c r="G48" t="s">
        <v>2050</v>
      </c>
      <c r="H48" t="s">
        <v>2051</v>
      </c>
      <c r="I48" t="s">
        <v>53</v>
      </c>
      <c r="J48" t="s">
        <v>67</v>
      </c>
      <c r="K48" t="s">
        <v>68</v>
      </c>
      <c r="L48" t="s">
        <v>2052</v>
      </c>
      <c r="M48" t="s">
        <v>2053</v>
      </c>
      <c r="N48">
        <v>0</v>
      </c>
      <c r="O48">
        <v>0</v>
      </c>
      <c r="P48">
        <v>0</v>
      </c>
      <c r="Q48">
        <v>1440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141</v>
      </c>
      <c r="AH48" s="21" t="s">
        <v>3427</v>
      </c>
      <c r="AI48" s="21">
        <v>107.92500000000001</v>
      </c>
      <c r="AJ48" s="21">
        <v>100</v>
      </c>
      <c r="AK48" s="21" t="s">
        <v>2054</v>
      </c>
      <c r="AL48" t="s">
        <v>70</v>
      </c>
      <c r="AM48" t="s">
        <v>2027</v>
      </c>
    </row>
    <row r="49" spans="1:39" ht="15" hidden="1" thickTop="1" x14ac:dyDescent="0.35">
      <c r="A49" t="s">
        <v>2224</v>
      </c>
      <c r="B49" t="s">
        <v>2238</v>
      </c>
      <c r="C49" t="s">
        <v>81</v>
      </c>
      <c r="D49" t="s">
        <v>2239</v>
      </c>
      <c r="E49" t="s">
        <v>559</v>
      </c>
      <c r="F49">
        <v>1</v>
      </c>
      <c r="G49" t="s">
        <v>2050</v>
      </c>
      <c r="H49" t="s">
        <v>2051</v>
      </c>
      <c r="I49" t="s">
        <v>53</v>
      </c>
      <c r="J49" t="s">
        <v>82</v>
      </c>
      <c r="K49" t="s">
        <v>68</v>
      </c>
      <c r="L49" t="s">
        <v>2052</v>
      </c>
      <c r="M49" t="s">
        <v>2053</v>
      </c>
      <c r="N49">
        <v>0</v>
      </c>
      <c r="O49">
        <v>0</v>
      </c>
      <c r="P49">
        <v>0</v>
      </c>
      <c r="Q49">
        <v>1440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142</v>
      </c>
      <c r="AH49" s="21" t="s">
        <v>3425</v>
      </c>
      <c r="AI49" s="21">
        <v>107.92500000000001</v>
      </c>
      <c r="AJ49" s="21">
        <v>100</v>
      </c>
      <c r="AK49" s="21" t="s">
        <v>2054</v>
      </c>
      <c r="AL49" t="s">
        <v>70</v>
      </c>
      <c r="AM49" t="s">
        <v>2029</v>
      </c>
    </row>
    <row r="50" spans="1:39" ht="15" hidden="1" thickTop="1" x14ac:dyDescent="0.35">
      <c r="A50" t="s">
        <v>2225</v>
      </c>
      <c r="B50" t="s">
        <v>2240</v>
      </c>
      <c r="C50" t="s">
        <v>76</v>
      </c>
      <c r="D50" t="s">
        <v>2241</v>
      </c>
      <c r="E50" t="s">
        <v>119</v>
      </c>
      <c r="F50">
        <v>1</v>
      </c>
      <c r="G50" t="s">
        <v>2050</v>
      </c>
      <c r="H50" t="s">
        <v>2051</v>
      </c>
      <c r="I50" t="s">
        <v>53</v>
      </c>
      <c r="J50" t="s">
        <v>67</v>
      </c>
      <c r="K50" t="s">
        <v>68</v>
      </c>
      <c r="L50" t="s">
        <v>2052</v>
      </c>
      <c r="M50" t="s">
        <v>2053</v>
      </c>
      <c r="N50">
        <v>0</v>
      </c>
      <c r="O50">
        <v>0</v>
      </c>
      <c r="P50">
        <v>0</v>
      </c>
      <c r="Q50">
        <v>1440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143</v>
      </c>
      <c r="AH50" s="21" t="s">
        <v>3424</v>
      </c>
      <c r="AI50" s="21">
        <v>107.92500000000001</v>
      </c>
      <c r="AJ50" s="21">
        <v>100</v>
      </c>
      <c r="AK50" s="21" t="s">
        <v>2054</v>
      </c>
      <c r="AL50" t="s">
        <v>70</v>
      </c>
      <c r="AM50" t="s">
        <v>2029</v>
      </c>
    </row>
    <row r="51" spans="1:39" ht="15" hidden="1" thickTop="1" x14ac:dyDescent="0.35">
      <c r="A51" t="s">
        <v>2227</v>
      </c>
      <c r="B51" t="s">
        <v>2244</v>
      </c>
      <c r="C51" t="s">
        <v>78</v>
      </c>
      <c r="D51" t="s">
        <v>2245</v>
      </c>
      <c r="E51" t="s">
        <v>559</v>
      </c>
      <c r="F51">
        <v>1</v>
      </c>
      <c r="G51" t="s">
        <v>2050</v>
      </c>
      <c r="H51" t="s">
        <v>2051</v>
      </c>
      <c r="I51" t="s">
        <v>53</v>
      </c>
      <c r="J51" t="s">
        <v>67</v>
      </c>
      <c r="K51" t="s">
        <v>68</v>
      </c>
      <c r="L51" t="s">
        <v>2052</v>
      </c>
      <c r="M51" t="s">
        <v>2053</v>
      </c>
      <c r="N51">
        <v>0</v>
      </c>
      <c r="O51">
        <v>0</v>
      </c>
      <c r="P51">
        <v>0</v>
      </c>
      <c r="Q51">
        <v>1440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144</v>
      </c>
      <c r="AH51" s="21" t="s">
        <v>3425</v>
      </c>
      <c r="AI51" s="21">
        <v>107.92500000000001</v>
      </c>
      <c r="AJ51" s="21">
        <v>100</v>
      </c>
      <c r="AK51" s="21" t="s">
        <v>2054</v>
      </c>
      <c r="AL51" t="s">
        <v>70</v>
      </c>
      <c r="AM51" t="s">
        <v>2030</v>
      </c>
    </row>
    <row r="52" spans="1:39" ht="15" hidden="1" thickTop="1" x14ac:dyDescent="0.35">
      <c r="A52" t="s">
        <v>2228</v>
      </c>
      <c r="B52" t="s">
        <v>2247</v>
      </c>
      <c r="C52" t="s">
        <v>66</v>
      </c>
      <c r="D52" t="s">
        <v>2248</v>
      </c>
      <c r="E52" t="s">
        <v>559</v>
      </c>
      <c r="F52">
        <v>1</v>
      </c>
      <c r="G52" t="s">
        <v>2050</v>
      </c>
      <c r="H52" t="s">
        <v>2051</v>
      </c>
      <c r="I52" t="s">
        <v>53</v>
      </c>
      <c r="J52" t="s">
        <v>67</v>
      </c>
      <c r="K52" t="s">
        <v>68</v>
      </c>
      <c r="L52" t="s">
        <v>2052</v>
      </c>
      <c r="M52" t="s">
        <v>2084</v>
      </c>
      <c r="N52">
        <v>0</v>
      </c>
      <c r="O52">
        <v>0</v>
      </c>
      <c r="P52">
        <v>0</v>
      </c>
      <c r="Q52">
        <v>840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145</v>
      </c>
      <c r="AH52" s="21" t="s">
        <v>3427</v>
      </c>
      <c r="AI52" s="21">
        <v>62.999999999999986</v>
      </c>
      <c r="AJ52" s="21">
        <v>100</v>
      </c>
      <c r="AK52" s="21" t="s">
        <v>2055</v>
      </c>
      <c r="AL52" t="s">
        <v>70</v>
      </c>
      <c r="AM52" t="s">
        <v>2028</v>
      </c>
    </row>
    <row r="53" spans="1:39" ht="15" hidden="1" thickTop="1" x14ac:dyDescent="0.35">
      <c r="A53" t="s">
        <v>2234</v>
      </c>
      <c r="B53" t="s">
        <v>2251</v>
      </c>
      <c r="C53" t="s">
        <v>92</v>
      </c>
      <c r="D53" t="s">
        <v>2252</v>
      </c>
      <c r="E53" t="s">
        <v>119</v>
      </c>
      <c r="F53">
        <v>1</v>
      </c>
      <c r="G53" t="s">
        <v>2050</v>
      </c>
      <c r="H53" t="s">
        <v>2051</v>
      </c>
      <c r="I53" t="s">
        <v>53</v>
      </c>
      <c r="J53" t="s">
        <v>67</v>
      </c>
      <c r="K53" t="s">
        <v>68</v>
      </c>
      <c r="L53" t="s">
        <v>2052</v>
      </c>
      <c r="M53" t="s">
        <v>2053</v>
      </c>
      <c r="N53">
        <v>0</v>
      </c>
      <c r="O53">
        <v>0</v>
      </c>
      <c r="P53">
        <v>0</v>
      </c>
      <c r="Q53">
        <v>1440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147</v>
      </c>
      <c r="AH53" s="21" t="s">
        <v>3424</v>
      </c>
      <c r="AI53" s="21">
        <v>107.92500000000001</v>
      </c>
      <c r="AJ53" s="21">
        <v>100</v>
      </c>
      <c r="AK53" s="21" t="s">
        <v>2054</v>
      </c>
      <c r="AL53" t="s">
        <v>70</v>
      </c>
      <c r="AM53" t="s">
        <v>2029</v>
      </c>
    </row>
    <row r="54" spans="1:39" ht="15" hidden="1" thickTop="1" x14ac:dyDescent="0.35">
      <c r="A54" t="s">
        <v>2236</v>
      </c>
      <c r="B54" t="s">
        <v>2256</v>
      </c>
      <c r="C54" t="s">
        <v>102</v>
      </c>
      <c r="D54" t="s">
        <v>2257</v>
      </c>
      <c r="E54" t="s">
        <v>559</v>
      </c>
      <c r="F54">
        <v>1</v>
      </c>
      <c r="G54" t="s">
        <v>2050</v>
      </c>
      <c r="H54" t="s">
        <v>2051</v>
      </c>
      <c r="I54" t="s">
        <v>53</v>
      </c>
      <c r="J54" t="s">
        <v>67</v>
      </c>
      <c r="K54" t="s">
        <v>68</v>
      </c>
      <c r="L54" t="s">
        <v>2052</v>
      </c>
      <c r="M54" t="s">
        <v>2053</v>
      </c>
      <c r="N54">
        <v>0</v>
      </c>
      <c r="O54">
        <v>0</v>
      </c>
      <c r="P54">
        <v>0</v>
      </c>
      <c r="Q54">
        <v>1440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148</v>
      </c>
      <c r="AH54" s="21" t="s">
        <v>3425</v>
      </c>
      <c r="AI54" s="21">
        <v>107.92500000000001</v>
      </c>
      <c r="AJ54" s="21">
        <v>100</v>
      </c>
      <c r="AK54" s="21" t="s">
        <v>2054</v>
      </c>
      <c r="AL54" t="s">
        <v>70</v>
      </c>
      <c r="AM54" t="s">
        <v>2029</v>
      </c>
    </row>
    <row r="55" spans="1:39" ht="15" hidden="1" thickTop="1" x14ac:dyDescent="0.35">
      <c r="A55" t="s">
        <v>2242</v>
      </c>
      <c r="B55" t="s">
        <v>2262</v>
      </c>
      <c r="C55" t="s">
        <v>66</v>
      </c>
      <c r="D55" t="s">
        <v>2263</v>
      </c>
      <c r="E55" t="s">
        <v>559</v>
      </c>
      <c r="F55">
        <v>1</v>
      </c>
      <c r="G55" t="s">
        <v>2050</v>
      </c>
      <c r="H55" t="s">
        <v>2051</v>
      </c>
      <c r="I55" t="s">
        <v>53</v>
      </c>
      <c r="J55" t="s">
        <v>67</v>
      </c>
      <c r="K55" t="s">
        <v>68</v>
      </c>
      <c r="L55" t="s">
        <v>2052</v>
      </c>
      <c r="M55" t="s">
        <v>2063</v>
      </c>
      <c r="N55">
        <v>0</v>
      </c>
      <c r="O55">
        <v>0</v>
      </c>
      <c r="P55">
        <v>0</v>
      </c>
      <c r="Q55">
        <v>1020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150</v>
      </c>
      <c r="AH55" s="21" t="s">
        <v>3427</v>
      </c>
      <c r="AI55" s="21">
        <v>76.500000000000014</v>
      </c>
      <c r="AJ55" s="21">
        <v>100</v>
      </c>
      <c r="AK55" s="21" t="s">
        <v>2054</v>
      </c>
      <c r="AL55" t="s">
        <v>70</v>
      </c>
      <c r="AM55" t="s">
        <v>2029</v>
      </c>
    </row>
    <row r="56" spans="1:39" ht="15" hidden="1" thickTop="1" x14ac:dyDescent="0.35">
      <c r="A56" t="s">
        <v>2243</v>
      </c>
      <c r="B56" t="s">
        <v>2265</v>
      </c>
      <c r="C56" t="s">
        <v>66</v>
      </c>
      <c r="D56" t="s">
        <v>2266</v>
      </c>
      <c r="E56" t="s">
        <v>559</v>
      </c>
      <c r="F56">
        <v>1</v>
      </c>
      <c r="G56" t="s">
        <v>2050</v>
      </c>
      <c r="H56" t="s">
        <v>2051</v>
      </c>
      <c r="I56" t="s">
        <v>53</v>
      </c>
      <c r="J56" t="s">
        <v>67</v>
      </c>
      <c r="K56" t="s">
        <v>68</v>
      </c>
      <c r="L56" t="s">
        <v>2052</v>
      </c>
      <c r="M56" t="s">
        <v>2064</v>
      </c>
      <c r="N56">
        <v>0</v>
      </c>
      <c r="O56">
        <v>0</v>
      </c>
      <c r="P56">
        <v>0</v>
      </c>
      <c r="Q56">
        <v>900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151</v>
      </c>
      <c r="AH56" s="21" t="s">
        <v>3427</v>
      </c>
      <c r="AI56" s="21">
        <v>67.5</v>
      </c>
      <c r="AJ56" s="21">
        <v>100</v>
      </c>
      <c r="AK56" s="21" t="s">
        <v>2054</v>
      </c>
      <c r="AL56" t="s">
        <v>70</v>
      </c>
      <c r="AM56" t="s">
        <v>2029</v>
      </c>
    </row>
    <row r="57" spans="1:39" ht="15" hidden="1" thickTop="1" x14ac:dyDescent="0.35">
      <c r="A57" t="s">
        <v>2249</v>
      </c>
      <c r="B57" t="s">
        <v>2269</v>
      </c>
      <c r="C57" t="s">
        <v>565</v>
      </c>
      <c r="D57" t="s">
        <v>2270</v>
      </c>
      <c r="E57" t="s">
        <v>559</v>
      </c>
      <c r="F57">
        <v>1</v>
      </c>
      <c r="G57" t="s">
        <v>2050</v>
      </c>
      <c r="H57" t="s">
        <v>2051</v>
      </c>
      <c r="I57" t="s">
        <v>53</v>
      </c>
      <c r="J57" t="s">
        <v>427</v>
      </c>
      <c r="K57" t="s">
        <v>68</v>
      </c>
      <c r="L57" t="s">
        <v>2052</v>
      </c>
      <c r="M57" t="s">
        <v>2053</v>
      </c>
      <c r="N57">
        <v>0</v>
      </c>
      <c r="O57">
        <v>0</v>
      </c>
      <c r="P57">
        <v>0</v>
      </c>
      <c r="Q57">
        <v>1440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152</v>
      </c>
      <c r="AH57" s="21" t="s">
        <v>3425</v>
      </c>
      <c r="AI57" s="21">
        <v>107.92500000000001</v>
      </c>
      <c r="AJ57" s="21">
        <v>100</v>
      </c>
      <c r="AK57" s="21" t="s">
        <v>2054</v>
      </c>
      <c r="AL57" t="s">
        <v>70</v>
      </c>
      <c r="AM57" t="s">
        <v>2028</v>
      </c>
    </row>
    <row r="58" spans="1:39" ht="15" hidden="1" thickTop="1" x14ac:dyDescent="0.35">
      <c r="A58" t="s">
        <v>2253</v>
      </c>
      <c r="B58" t="s">
        <v>2273</v>
      </c>
      <c r="C58" t="s">
        <v>100</v>
      </c>
      <c r="D58" t="s">
        <v>2274</v>
      </c>
      <c r="E58" t="s">
        <v>559</v>
      </c>
      <c r="F58">
        <v>1</v>
      </c>
      <c r="G58" t="s">
        <v>2050</v>
      </c>
      <c r="H58" t="s">
        <v>2051</v>
      </c>
      <c r="I58" t="s">
        <v>53</v>
      </c>
      <c r="J58" t="s">
        <v>67</v>
      </c>
      <c r="K58" t="s">
        <v>68</v>
      </c>
      <c r="L58" t="s">
        <v>2052</v>
      </c>
      <c r="M58" t="s">
        <v>2053</v>
      </c>
      <c r="N58">
        <v>0</v>
      </c>
      <c r="O58">
        <v>0</v>
      </c>
      <c r="P58">
        <v>0</v>
      </c>
      <c r="Q58">
        <v>1440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153</v>
      </c>
      <c r="AH58" s="21" t="s">
        <v>3425</v>
      </c>
      <c r="AI58" s="21">
        <v>107.92500000000001</v>
      </c>
      <c r="AJ58" s="21">
        <v>100</v>
      </c>
      <c r="AK58" s="21" t="s">
        <v>2054</v>
      </c>
      <c r="AL58" t="s">
        <v>70</v>
      </c>
      <c r="AM58" t="s">
        <v>2028</v>
      </c>
    </row>
    <row r="59" spans="1:39" ht="15" hidden="1" thickTop="1" x14ac:dyDescent="0.35">
      <c r="A59" t="s">
        <v>2254</v>
      </c>
      <c r="B59" t="s">
        <v>2275</v>
      </c>
      <c r="C59" t="s">
        <v>66</v>
      </c>
      <c r="D59" t="s">
        <v>2276</v>
      </c>
      <c r="E59" t="s">
        <v>559</v>
      </c>
      <c r="F59">
        <v>1</v>
      </c>
      <c r="G59" t="s">
        <v>2050</v>
      </c>
      <c r="H59" t="s">
        <v>2051</v>
      </c>
      <c r="I59" t="s">
        <v>53</v>
      </c>
      <c r="J59" t="s">
        <v>67</v>
      </c>
      <c r="K59" t="s">
        <v>68</v>
      </c>
      <c r="L59" t="s">
        <v>2052</v>
      </c>
      <c r="M59" t="s">
        <v>2053</v>
      </c>
      <c r="N59">
        <v>0</v>
      </c>
      <c r="O59">
        <v>0</v>
      </c>
      <c r="P59">
        <v>0</v>
      </c>
      <c r="Q59">
        <v>1440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154</v>
      </c>
      <c r="AH59" s="21" t="s">
        <v>3424</v>
      </c>
      <c r="AI59" s="21">
        <v>107.92500000000001</v>
      </c>
      <c r="AJ59" s="21">
        <v>100</v>
      </c>
      <c r="AK59" s="21" t="s">
        <v>2054</v>
      </c>
      <c r="AL59" t="s">
        <v>70</v>
      </c>
      <c r="AM59" t="s">
        <v>2030</v>
      </c>
    </row>
    <row r="60" spans="1:39" ht="15" hidden="1" thickTop="1" x14ac:dyDescent="0.35">
      <c r="A60" t="s">
        <v>2258</v>
      </c>
      <c r="B60" t="s">
        <v>2277</v>
      </c>
      <c r="C60" t="s">
        <v>81</v>
      </c>
      <c r="D60" t="s">
        <v>2278</v>
      </c>
      <c r="E60" t="s">
        <v>559</v>
      </c>
      <c r="F60">
        <v>1</v>
      </c>
      <c r="G60" t="s">
        <v>2050</v>
      </c>
      <c r="H60" t="s">
        <v>2051</v>
      </c>
      <c r="I60" t="s">
        <v>53</v>
      </c>
      <c r="J60" t="s">
        <v>82</v>
      </c>
      <c r="K60" t="s">
        <v>68</v>
      </c>
      <c r="L60" t="s">
        <v>2052</v>
      </c>
      <c r="M60" t="s">
        <v>2053</v>
      </c>
      <c r="N60">
        <v>1</v>
      </c>
      <c r="O60">
        <v>25</v>
      </c>
      <c r="P60">
        <v>1.74</v>
      </c>
      <c r="Q60">
        <v>1440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25</v>
      </c>
      <c r="Z60">
        <v>1.74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155</v>
      </c>
      <c r="AH60" s="21" t="s">
        <v>3427</v>
      </c>
      <c r="AI60" s="21">
        <v>107.92500000000001</v>
      </c>
      <c r="AJ60" s="21">
        <v>98.263888888888886</v>
      </c>
      <c r="AK60" s="21" t="s">
        <v>2054</v>
      </c>
      <c r="AL60" t="s">
        <v>70</v>
      </c>
      <c r="AM60" t="s">
        <v>2030</v>
      </c>
    </row>
    <row r="61" spans="1:39" ht="15" hidden="1" thickTop="1" x14ac:dyDescent="0.35">
      <c r="A61" t="s">
        <v>2260</v>
      </c>
      <c r="B61" t="s">
        <v>2279</v>
      </c>
      <c r="C61" t="s">
        <v>102</v>
      </c>
      <c r="D61" t="s">
        <v>2280</v>
      </c>
      <c r="E61" t="s">
        <v>559</v>
      </c>
      <c r="F61">
        <v>1</v>
      </c>
      <c r="G61" t="s">
        <v>2050</v>
      </c>
      <c r="H61" t="s">
        <v>2051</v>
      </c>
      <c r="I61" t="s">
        <v>53</v>
      </c>
      <c r="J61" t="s">
        <v>67</v>
      </c>
      <c r="K61" t="s">
        <v>68</v>
      </c>
      <c r="L61" t="s">
        <v>2052</v>
      </c>
      <c r="M61" t="s">
        <v>2053</v>
      </c>
      <c r="N61">
        <v>0</v>
      </c>
      <c r="O61">
        <v>0</v>
      </c>
      <c r="P61">
        <v>0</v>
      </c>
      <c r="Q61">
        <v>1440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156</v>
      </c>
      <c r="AH61" s="21" t="s">
        <v>3427</v>
      </c>
      <c r="AI61" s="21">
        <v>107.92500000000001</v>
      </c>
      <c r="AJ61" s="21">
        <v>100</v>
      </c>
      <c r="AK61" s="21" t="s">
        <v>2055</v>
      </c>
      <c r="AL61" t="s">
        <v>70</v>
      </c>
      <c r="AM61" t="s">
        <v>2030</v>
      </c>
    </row>
    <row r="62" spans="1:39" ht="15" hidden="1" thickTop="1" x14ac:dyDescent="0.35">
      <c r="A62" t="s">
        <v>2261</v>
      </c>
      <c r="B62" t="s">
        <v>2281</v>
      </c>
      <c r="C62" t="s">
        <v>76</v>
      </c>
      <c r="D62" t="s">
        <v>2282</v>
      </c>
      <c r="E62" t="s">
        <v>559</v>
      </c>
      <c r="F62">
        <v>1</v>
      </c>
      <c r="G62" t="s">
        <v>2050</v>
      </c>
      <c r="H62" t="s">
        <v>2051</v>
      </c>
      <c r="I62" t="s">
        <v>53</v>
      </c>
      <c r="J62" t="s">
        <v>67</v>
      </c>
      <c r="K62" t="s">
        <v>68</v>
      </c>
      <c r="L62" t="s">
        <v>2052</v>
      </c>
      <c r="M62" t="s">
        <v>2053</v>
      </c>
      <c r="N62">
        <v>0</v>
      </c>
      <c r="O62">
        <v>0</v>
      </c>
      <c r="P62">
        <v>0</v>
      </c>
      <c r="Q62">
        <v>1440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157</v>
      </c>
      <c r="AH62" s="21" t="s">
        <v>3427</v>
      </c>
      <c r="AI62" s="21">
        <v>107.92500000000001</v>
      </c>
      <c r="AJ62" s="21">
        <v>100</v>
      </c>
      <c r="AK62" s="21" t="s">
        <v>2054</v>
      </c>
      <c r="AL62" t="s">
        <v>70</v>
      </c>
      <c r="AM62" t="s">
        <v>2029</v>
      </c>
    </row>
    <row r="63" spans="1:39" ht="15" hidden="1" thickTop="1" x14ac:dyDescent="0.35">
      <c r="A63" t="s">
        <v>2267</v>
      </c>
      <c r="B63" t="s">
        <v>2283</v>
      </c>
      <c r="C63" t="s">
        <v>3376</v>
      </c>
      <c r="D63" t="s">
        <v>2284</v>
      </c>
      <c r="E63" t="s">
        <v>559</v>
      </c>
      <c r="F63">
        <v>1</v>
      </c>
      <c r="G63" t="s">
        <v>2050</v>
      </c>
      <c r="H63" t="s">
        <v>2051</v>
      </c>
      <c r="I63" t="s">
        <v>53</v>
      </c>
      <c r="J63" t="s">
        <v>67</v>
      </c>
      <c r="K63" t="s">
        <v>68</v>
      </c>
      <c r="L63" t="s">
        <v>2052</v>
      </c>
      <c r="M63" t="s">
        <v>2053</v>
      </c>
      <c r="N63">
        <v>0</v>
      </c>
      <c r="O63">
        <v>0</v>
      </c>
      <c r="P63">
        <v>0</v>
      </c>
      <c r="Q63">
        <v>1440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158</v>
      </c>
      <c r="AH63" s="21" t="s">
        <v>3424</v>
      </c>
      <c r="AI63" s="21">
        <v>107.92500000000001</v>
      </c>
      <c r="AJ63" s="21">
        <v>100</v>
      </c>
      <c r="AK63" s="21" t="s">
        <v>2054</v>
      </c>
      <c r="AL63" t="s">
        <v>70</v>
      </c>
      <c r="AM63" t="s">
        <v>2029</v>
      </c>
    </row>
    <row r="64" spans="1:39" ht="15" hidden="1" thickTop="1" x14ac:dyDescent="0.35">
      <c r="A64" t="s">
        <v>2271</v>
      </c>
      <c r="B64" t="s">
        <v>2285</v>
      </c>
      <c r="C64" t="s">
        <v>117</v>
      </c>
      <c r="D64" t="s">
        <v>2286</v>
      </c>
      <c r="E64" t="s">
        <v>559</v>
      </c>
      <c r="F64">
        <v>1</v>
      </c>
      <c r="G64" t="s">
        <v>2050</v>
      </c>
      <c r="H64" t="s">
        <v>2051</v>
      </c>
      <c r="I64" t="s">
        <v>53</v>
      </c>
      <c r="J64" t="s">
        <v>67</v>
      </c>
      <c r="K64" t="s">
        <v>68</v>
      </c>
      <c r="L64" t="s">
        <v>2052</v>
      </c>
      <c r="M64" t="s">
        <v>2053</v>
      </c>
      <c r="N64">
        <v>0</v>
      </c>
      <c r="O64">
        <v>0</v>
      </c>
      <c r="P64">
        <v>0</v>
      </c>
      <c r="Q64">
        <v>1440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159</v>
      </c>
      <c r="AH64" s="21" t="s">
        <v>3424</v>
      </c>
      <c r="AI64" s="21">
        <v>107.92500000000001</v>
      </c>
      <c r="AJ64" s="21">
        <v>100</v>
      </c>
      <c r="AK64" s="21" t="s">
        <v>2055</v>
      </c>
      <c r="AL64" t="s">
        <v>70</v>
      </c>
      <c r="AM64" t="s">
        <v>2030</v>
      </c>
    </row>
    <row r="65" spans="1:39" ht="15" hidden="1" thickTop="1" x14ac:dyDescent="0.35">
      <c r="A65" t="s">
        <v>2287</v>
      </c>
      <c r="B65" t="s">
        <v>2291</v>
      </c>
      <c r="C65" t="s">
        <v>66</v>
      </c>
      <c r="D65" t="s">
        <v>2292</v>
      </c>
      <c r="E65" t="s">
        <v>559</v>
      </c>
      <c r="F65">
        <v>2</v>
      </c>
      <c r="G65" t="s">
        <v>2050</v>
      </c>
      <c r="H65" t="s">
        <v>2051</v>
      </c>
      <c r="I65" t="s">
        <v>53</v>
      </c>
      <c r="J65" t="s">
        <v>67</v>
      </c>
      <c r="K65" t="s">
        <v>68</v>
      </c>
      <c r="L65" t="s">
        <v>2052</v>
      </c>
      <c r="M65" t="s">
        <v>2053</v>
      </c>
      <c r="N65">
        <v>0</v>
      </c>
      <c r="O65">
        <v>0</v>
      </c>
      <c r="P65">
        <v>0</v>
      </c>
      <c r="Q65">
        <v>1440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160</v>
      </c>
      <c r="AH65" s="21" t="s">
        <v>3424</v>
      </c>
      <c r="AI65" s="21">
        <v>107.92500000000001</v>
      </c>
      <c r="AJ65" s="21">
        <v>100</v>
      </c>
      <c r="AK65" s="21" t="s">
        <v>2054</v>
      </c>
      <c r="AL65" t="s">
        <v>70</v>
      </c>
      <c r="AM65" t="s">
        <v>2029</v>
      </c>
    </row>
    <row r="66" spans="1:39" ht="15" hidden="1" thickTop="1" x14ac:dyDescent="0.35">
      <c r="A66" t="s">
        <v>2289</v>
      </c>
      <c r="B66" t="s">
        <v>2294</v>
      </c>
      <c r="C66" t="s">
        <v>66</v>
      </c>
      <c r="D66" t="s">
        <v>2295</v>
      </c>
      <c r="E66" t="s">
        <v>559</v>
      </c>
      <c r="F66">
        <v>1</v>
      </c>
      <c r="G66" t="s">
        <v>2050</v>
      </c>
      <c r="H66" t="s">
        <v>2051</v>
      </c>
      <c r="I66" t="s">
        <v>53</v>
      </c>
      <c r="J66" t="s">
        <v>67</v>
      </c>
      <c r="K66" t="s">
        <v>68</v>
      </c>
      <c r="L66" t="s">
        <v>2052</v>
      </c>
      <c r="M66" t="s">
        <v>2053</v>
      </c>
      <c r="N66">
        <v>0</v>
      </c>
      <c r="O66">
        <v>0</v>
      </c>
      <c r="P66">
        <v>0</v>
      </c>
      <c r="Q66">
        <v>1440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161</v>
      </c>
      <c r="AH66" s="21" t="s">
        <v>3424</v>
      </c>
      <c r="AI66" s="21">
        <v>107.92500000000001</v>
      </c>
      <c r="AJ66" s="21">
        <v>100</v>
      </c>
      <c r="AK66" s="21" t="s">
        <v>2054</v>
      </c>
      <c r="AL66" t="s">
        <v>70</v>
      </c>
      <c r="AM66" t="s">
        <v>2028</v>
      </c>
    </row>
    <row r="67" spans="1:39" ht="15" hidden="1" thickTop="1" x14ac:dyDescent="0.35">
      <c r="A67" t="s">
        <v>2290</v>
      </c>
      <c r="B67" t="s">
        <v>2296</v>
      </c>
      <c r="C67" t="s">
        <v>78</v>
      </c>
      <c r="D67" t="s">
        <v>2297</v>
      </c>
      <c r="E67" t="s">
        <v>559</v>
      </c>
      <c r="F67">
        <v>1</v>
      </c>
      <c r="G67" t="s">
        <v>2050</v>
      </c>
      <c r="H67" t="s">
        <v>2051</v>
      </c>
      <c r="I67" t="s">
        <v>53</v>
      </c>
      <c r="J67" t="s">
        <v>67</v>
      </c>
      <c r="K67" t="s">
        <v>68</v>
      </c>
      <c r="L67" t="s">
        <v>2052</v>
      </c>
      <c r="M67" t="s">
        <v>2053</v>
      </c>
      <c r="N67">
        <v>0</v>
      </c>
      <c r="O67">
        <v>0</v>
      </c>
      <c r="P67">
        <v>0</v>
      </c>
      <c r="Q67">
        <v>1440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162</v>
      </c>
      <c r="AH67" s="21" t="s">
        <v>3424</v>
      </c>
      <c r="AI67" s="21">
        <v>107.92500000000001</v>
      </c>
      <c r="AJ67" s="21">
        <v>100</v>
      </c>
      <c r="AK67" s="21" t="s">
        <v>2054</v>
      </c>
      <c r="AL67" t="s">
        <v>70</v>
      </c>
      <c r="AM67" t="s">
        <v>2028</v>
      </c>
    </row>
    <row r="68" spans="1:39" ht="15" hidden="1" thickTop="1" x14ac:dyDescent="0.35">
      <c r="A68" t="s">
        <v>2298</v>
      </c>
      <c r="B68" t="s">
        <v>2300</v>
      </c>
      <c r="C68" t="s">
        <v>78</v>
      </c>
      <c r="D68" t="s">
        <v>2301</v>
      </c>
      <c r="E68" t="s">
        <v>559</v>
      </c>
      <c r="F68">
        <v>1</v>
      </c>
      <c r="G68" t="s">
        <v>2050</v>
      </c>
      <c r="H68" t="s">
        <v>2051</v>
      </c>
      <c r="I68" t="s">
        <v>53</v>
      </c>
      <c r="J68" t="s">
        <v>67</v>
      </c>
      <c r="K68" t="s">
        <v>68</v>
      </c>
      <c r="L68" t="s">
        <v>2052</v>
      </c>
      <c r="M68" t="s">
        <v>2064</v>
      </c>
      <c r="N68">
        <v>0</v>
      </c>
      <c r="O68">
        <v>0</v>
      </c>
      <c r="P68">
        <v>0</v>
      </c>
      <c r="Q68">
        <v>900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163</v>
      </c>
      <c r="AH68" s="21" t="s">
        <v>3425</v>
      </c>
      <c r="AI68" s="21">
        <v>67.5</v>
      </c>
      <c r="AJ68" s="21">
        <v>100</v>
      </c>
      <c r="AK68" s="21" t="s">
        <v>2054</v>
      </c>
      <c r="AL68" t="s">
        <v>70</v>
      </c>
      <c r="AM68" t="s">
        <v>2029</v>
      </c>
    </row>
    <row r="69" spans="1:39" ht="15" hidden="1" thickTop="1" x14ac:dyDescent="0.35">
      <c r="A69" t="s">
        <v>2302</v>
      </c>
      <c r="B69" t="s">
        <v>2309</v>
      </c>
      <c r="C69" t="s">
        <v>117</v>
      </c>
      <c r="D69" t="s">
        <v>2310</v>
      </c>
      <c r="E69" t="s">
        <v>559</v>
      </c>
      <c r="F69">
        <v>1</v>
      </c>
      <c r="G69" t="s">
        <v>2050</v>
      </c>
      <c r="H69" t="s">
        <v>2051</v>
      </c>
      <c r="I69" t="s">
        <v>53</v>
      </c>
      <c r="J69" t="s">
        <v>67</v>
      </c>
      <c r="K69" t="s">
        <v>68</v>
      </c>
      <c r="L69" t="s">
        <v>2052</v>
      </c>
      <c r="M69" t="s">
        <v>2063</v>
      </c>
      <c r="N69">
        <v>0</v>
      </c>
      <c r="O69">
        <v>0</v>
      </c>
      <c r="P69">
        <v>0</v>
      </c>
      <c r="Q69">
        <v>1020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164</v>
      </c>
      <c r="AH69" s="21" t="s">
        <v>3425</v>
      </c>
      <c r="AI69" s="21">
        <v>76.500000000000014</v>
      </c>
      <c r="AJ69" s="21">
        <v>100</v>
      </c>
      <c r="AK69" s="21" t="s">
        <v>2054</v>
      </c>
      <c r="AL69" t="s">
        <v>70</v>
      </c>
      <c r="AM69" t="s">
        <v>2027</v>
      </c>
    </row>
    <row r="70" spans="1:39" ht="15" hidden="1" thickTop="1" x14ac:dyDescent="0.35">
      <c r="A70" t="s">
        <v>2304</v>
      </c>
      <c r="B70" t="s">
        <v>2311</v>
      </c>
      <c r="C70" t="s">
        <v>76</v>
      </c>
      <c r="D70" t="s">
        <v>2312</v>
      </c>
      <c r="E70" t="s">
        <v>559</v>
      </c>
      <c r="F70">
        <v>1</v>
      </c>
      <c r="G70" t="s">
        <v>2050</v>
      </c>
      <c r="H70" t="s">
        <v>2051</v>
      </c>
      <c r="I70" t="s">
        <v>53</v>
      </c>
      <c r="J70" t="s">
        <v>67</v>
      </c>
      <c r="K70" t="s">
        <v>68</v>
      </c>
      <c r="L70" t="s">
        <v>2052</v>
      </c>
      <c r="M70" t="s">
        <v>2068</v>
      </c>
      <c r="N70">
        <v>0</v>
      </c>
      <c r="O70">
        <v>0</v>
      </c>
      <c r="P70">
        <v>0</v>
      </c>
      <c r="Q70">
        <v>720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561</v>
      </c>
      <c r="AH70" s="21" t="s">
        <v>3425</v>
      </c>
      <c r="AI70" s="21">
        <v>54</v>
      </c>
      <c r="AJ70" s="21">
        <v>100</v>
      </c>
      <c r="AK70" s="21" t="s">
        <v>2054</v>
      </c>
      <c r="AL70" t="s">
        <v>70</v>
      </c>
      <c r="AM70" t="s">
        <v>2027</v>
      </c>
    </row>
    <row r="71" spans="1:39" ht="15" hidden="1" thickTop="1" x14ac:dyDescent="0.35">
      <c r="A71" t="s">
        <v>2305</v>
      </c>
      <c r="B71" t="s">
        <v>2313</v>
      </c>
      <c r="C71" t="s">
        <v>100</v>
      </c>
      <c r="D71" t="s">
        <v>2314</v>
      </c>
      <c r="E71" t="s">
        <v>559</v>
      </c>
      <c r="F71">
        <v>1</v>
      </c>
      <c r="G71" t="s">
        <v>2050</v>
      </c>
      <c r="H71" t="s">
        <v>2051</v>
      </c>
      <c r="I71" t="s">
        <v>53</v>
      </c>
      <c r="J71" t="s">
        <v>67</v>
      </c>
      <c r="K71" t="s">
        <v>68</v>
      </c>
      <c r="L71" t="s">
        <v>2052</v>
      </c>
      <c r="M71" t="s">
        <v>2053</v>
      </c>
      <c r="N71">
        <v>0</v>
      </c>
      <c r="O71">
        <v>0</v>
      </c>
      <c r="P71">
        <v>0</v>
      </c>
      <c r="Q71">
        <v>1440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165</v>
      </c>
      <c r="AH71" s="21" t="s">
        <v>3425</v>
      </c>
      <c r="AI71" s="21">
        <v>107.92500000000001</v>
      </c>
      <c r="AJ71" s="21">
        <v>100</v>
      </c>
      <c r="AK71" s="21" t="s">
        <v>2054</v>
      </c>
      <c r="AL71" t="s">
        <v>70</v>
      </c>
      <c r="AM71" t="s">
        <v>2029</v>
      </c>
    </row>
    <row r="72" spans="1:39" ht="15" hidden="1" thickTop="1" x14ac:dyDescent="0.35">
      <c r="A72" t="s">
        <v>2307</v>
      </c>
      <c r="B72" t="s">
        <v>2315</v>
      </c>
      <c r="C72" t="s">
        <v>78</v>
      </c>
      <c r="D72" t="s">
        <v>2316</v>
      </c>
      <c r="E72" t="s">
        <v>559</v>
      </c>
      <c r="F72">
        <v>1</v>
      </c>
      <c r="G72" t="s">
        <v>2050</v>
      </c>
      <c r="H72" t="s">
        <v>2051</v>
      </c>
      <c r="I72" t="s">
        <v>53</v>
      </c>
      <c r="J72" t="s">
        <v>67</v>
      </c>
      <c r="K72" t="s">
        <v>68</v>
      </c>
      <c r="L72" t="s">
        <v>2052</v>
      </c>
      <c r="M72" t="s">
        <v>2053</v>
      </c>
      <c r="N72">
        <v>0</v>
      </c>
      <c r="O72">
        <v>0</v>
      </c>
      <c r="P72">
        <v>0</v>
      </c>
      <c r="Q72">
        <v>1440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1514</v>
      </c>
      <c r="AH72" s="21" t="s">
        <v>3425</v>
      </c>
      <c r="AI72" s="21">
        <v>107.92500000000001</v>
      </c>
      <c r="AJ72" s="21">
        <v>100</v>
      </c>
      <c r="AK72" s="21" t="s">
        <v>2055</v>
      </c>
      <c r="AL72" t="s">
        <v>70</v>
      </c>
      <c r="AM72" t="s">
        <v>2029</v>
      </c>
    </row>
    <row r="73" spans="1:39" ht="15" hidden="1" thickTop="1" x14ac:dyDescent="0.35">
      <c r="A73" t="s">
        <v>2318</v>
      </c>
      <c r="B73" t="s">
        <v>2330</v>
      </c>
      <c r="C73" t="s">
        <v>102</v>
      </c>
      <c r="D73" t="s">
        <v>2331</v>
      </c>
      <c r="E73" t="s">
        <v>559</v>
      </c>
      <c r="F73">
        <v>1</v>
      </c>
      <c r="G73" t="s">
        <v>2050</v>
      </c>
      <c r="H73" t="s">
        <v>2051</v>
      </c>
      <c r="I73" t="s">
        <v>53</v>
      </c>
      <c r="J73" t="s">
        <v>67</v>
      </c>
      <c r="K73" t="s">
        <v>68</v>
      </c>
      <c r="L73" t="s">
        <v>2052</v>
      </c>
      <c r="M73" t="s">
        <v>2053</v>
      </c>
      <c r="N73">
        <v>0</v>
      </c>
      <c r="O73">
        <v>0</v>
      </c>
      <c r="P73">
        <v>0</v>
      </c>
      <c r="Q73">
        <v>1440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166</v>
      </c>
      <c r="AH73" s="21" t="s">
        <v>3430</v>
      </c>
      <c r="AI73" s="21">
        <v>107.92500000000001</v>
      </c>
      <c r="AJ73" s="21">
        <v>100</v>
      </c>
      <c r="AK73" s="21" t="s">
        <v>2054</v>
      </c>
      <c r="AL73" t="s">
        <v>70</v>
      </c>
      <c r="AM73" t="s">
        <v>2027</v>
      </c>
    </row>
    <row r="74" spans="1:39" ht="15" hidden="1" thickTop="1" x14ac:dyDescent="0.35">
      <c r="A74" t="s">
        <v>2320</v>
      </c>
      <c r="B74" t="s">
        <v>2332</v>
      </c>
      <c r="C74" t="s">
        <v>117</v>
      </c>
      <c r="D74" t="s">
        <v>2333</v>
      </c>
      <c r="E74" t="s">
        <v>559</v>
      </c>
      <c r="F74">
        <v>1</v>
      </c>
      <c r="G74" t="s">
        <v>2050</v>
      </c>
      <c r="H74" t="s">
        <v>2051</v>
      </c>
      <c r="I74" t="s">
        <v>53</v>
      </c>
      <c r="J74" t="s">
        <v>67</v>
      </c>
      <c r="K74" t="s">
        <v>68</v>
      </c>
      <c r="L74" t="s">
        <v>2052</v>
      </c>
      <c r="M74" t="s">
        <v>2053</v>
      </c>
      <c r="N74">
        <v>0</v>
      </c>
      <c r="O74">
        <v>0</v>
      </c>
      <c r="P74">
        <v>0</v>
      </c>
      <c r="Q74">
        <v>1440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167</v>
      </c>
      <c r="AH74" s="21" t="s">
        <v>3425</v>
      </c>
      <c r="AI74" s="21">
        <v>107.92500000000001</v>
      </c>
      <c r="AJ74" s="21">
        <v>100</v>
      </c>
      <c r="AK74" s="21" t="s">
        <v>2054</v>
      </c>
      <c r="AL74" t="s">
        <v>70</v>
      </c>
      <c r="AM74" t="s">
        <v>2027</v>
      </c>
    </row>
    <row r="75" spans="1:39" ht="15" hidden="1" thickTop="1" x14ac:dyDescent="0.35">
      <c r="A75" t="s">
        <v>2322</v>
      </c>
      <c r="B75" t="s">
        <v>2335</v>
      </c>
      <c r="C75" t="s">
        <v>100</v>
      </c>
      <c r="D75" t="s">
        <v>2336</v>
      </c>
      <c r="E75" t="s">
        <v>119</v>
      </c>
      <c r="F75">
        <v>1</v>
      </c>
      <c r="G75" t="s">
        <v>2050</v>
      </c>
      <c r="H75" t="s">
        <v>2051</v>
      </c>
      <c r="I75" t="s">
        <v>53</v>
      </c>
      <c r="J75" t="s">
        <v>67</v>
      </c>
      <c r="K75" t="s">
        <v>68</v>
      </c>
      <c r="L75" t="s">
        <v>2052</v>
      </c>
      <c r="M75" t="s">
        <v>2064</v>
      </c>
      <c r="N75">
        <v>0</v>
      </c>
      <c r="O75">
        <v>0</v>
      </c>
      <c r="P75">
        <v>0</v>
      </c>
      <c r="Q75">
        <v>900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168</v>
      </c>
      <c r="AH75" s="21" t="s">
        <v>3424</v>
      </c>
      <c r="AI75" s="21">
        <v>67.5</v>
      </c>
      <c r="AJ75" s="21">
        <v>100</v>
      </c>
      <c r="AK75" s="21" t="s">
        <v>2054</v>
      </c>
      <c r="AL75" t="s">
        <v>70</v>
      </c>
      <c r="AM75" t="s">
        <v>2029</v>
      </c>
    </row>
    <row r="76" spans="1:39" ht="15" hidden="1" thickTop="1" x14ac:dyDescent="0.35">
      <c r="A76" t="s">
        <v>2323</v>
      </c>
      <c r="B76" t="s">
        <v>2338</v>
      </c>
      <c r="C76" t="s">
        <v>76</v>
      </c>
      <c r="D76" t="s">
        <v>2339</v>
      </c>
      <c r="E76" t="s">
        <v>559</v>
      </c>
      <c r="F76">
        <v>1</v>
      </c>
      <c r="G76" t="s">
        <v>2050</v>
      </c>
      <c r="H76" t="s">
        <v>2051</v>
      </c>
      <c r="I76" t="s">
        <v>53</v>
      </c>
      <c r="J76" t="s">
        <v>67</v>
      </c>
      <c r="K76" t="s">
        <v>68</v>
      </c>
      <c r="L76" t="s">
        <v>2052</v>
      </c>
      <c r="M76" t="s">
        <v>2053</v>
      </c>
      <c r="N76">
        <v>0</v>
      </c>
      <c r="O76">
        <v>0</v>
      </c>
      <c r="P76">
        <v>0</v>
      </c>
      <c r="Q76">
        <v>1440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169</v>
      </c>
      <c r="AH76" s="21" t="s">
        <v>3425</v>
      </c>
      <c r="AI76" s="21">
        <v>107.92500000000001</v>
      </c>
      <c r="AJ76" s="21">
        <v>100</v>
      </c>
      <c r="AK76" s="21" t="s">
        <v>2054</v>
      </c>
      <c r="AL76" t="s">
        <v>70</v>
      </c>
      <c r="AM76" t="s">
        <v>2028</v>
      </c>
    </row>
    <row r="77" spans="1:39" ht="15" hidden="1" thickTop="1" x14ac:dyDescent="0.35">
      <c r="A77" t="s">
        <v>2065</v>
      </c>
      <c r="B77" t="s">
        <v>2340</v>
      </c>
      <c r="C77" t="s">
        <v>565</v>
      </c>
      <c r="D77" t="s">
        <v>2341</v>
      </c>
      <c r="E77" t="s">
        <v>559</v>
      </c>
      <c r="F77">
        <v>1</v>
      </c>
      <c r="G77" t="s">
        <v>2050</v>
      </c>
      <c r="H77" t="s">
        <v>2051</v>
      </c>
      <c r="I77" t="s">
        <v>53</v>
      </c>
      <c r="J77" t="s">
        <v>427</v>
      </c>
      <c r="K77" t="s">
        <v>68</v>
      </c>
      <c r="L77" t="s">
        <v>2052</v>
      </c>
      <c r="M77" t="s">
        <v>2053</v>
      </c>
      <c r="N77">
        <v>0</v>
      </c>
      <c r="O77">
        <v>0</v>
      </c>
      <c r="P77">
        <v>0</v>
      </c>
      <c r="Q77">
        <v>1440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170</v>
      </c>
      <c r="AH77" s="21" t="s">
        <v>3424</v>
      </c>
      <c r="AI77" s="21">
        <v>107.92500000000001</v>
      </c>
      <c r="AJ77" s="21">
        <v>100</v>
      </c>
      <c r="AK77" s="21" t="s">
        <v>2054</v>
      </c>
      <c r="AL77" t="s">
        <v>70</v>
      </c>
      <c r="AM77" t="s">
        <v>2029</v>
      </c>
    </row>
    <row r="78" spans="1:39" ht="15" hidden="1" thickTop="1" x14ac:dyDescent="0.35">
      <c r="A78" t="s">
        <v>2326</v>
      </c>
      <c r="B78" t="s">
        <v>2344</v>
      </c>
      <c r="C78" t="s">
        <v>100</v>
      </c>
      <c r="D78" t="s">
        <v>2345</v>
      </c>
      <c r="E78" t="s">
        <v>559</v>
      </c>
      <c r="F78">
        <v>1</v>
      </c>
      <c r="G78" t="s">
        <v>2050</v>
      </c>
      <c r="H78" t="s">
        <v>2051</v>
      </c>
      <c r="I78" t="s">
        <v>53</v>
      </c>
      <c r="J78" t="s">
        <v>67</v>
      </c>
      <c r="K78" t="s">
        <v>68</v>
      </c>
      <c r="L78" t="s">
        <v>2052</v>
      </c>
      <c r="M78" t="s">
        <v>2053</v>
      </c>
      <c r="N78">
        <v>0</v>
      </c>
      <c r="O78">
        <v>0</v>
      </c>
      <c r="P78">
        <v>0</v>
      </c>
      <c r="Q78">
        <v>1440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173</v>
      </c>
      <c r="AH78" s="21" t="s">
        <v>3425</v>
      </c>
      <c r="AI78" s="21">
        <v>107.92500000000001</v>
      </c>
      <c r="AJ78" s="21">
        <v>100</v>
      </c>
      <c r="AK78" s="21" t="s">
        <v>2054</v>
      </c>
      <c r="AL78" t="s">
        <v>70</v>
      </c>
      <c r="AM78" t="s">
        <v>2028</v>
      </c>
    </row>
    <row r="79" spans="1:39" ht="15" hidden="1" thickTop="1" x14ac:dyDescent="0.35">
      <c r="A79" t="s">
        <v>2327</v>
      </c>
      <c r="B79" t="s">
        <v>2346</v>
      </c>
      <c r="C79" t="s">
        <v>78</v>
      </c>
      <c r="D79" t="s">
        <v>2347</v>
      </c>
      <c r="E79" t="s">
        <v>559</v>
      </c>
      <c r="F79">
        <v>1</v>
      </c>
      <c r="G79" t="s">
        <v>2050</v>
      </c>
      <c r="H79" t="s">
        <v>2051</v>
      </c>
      <c r="I79" t="s">
        <v>53</v>
      </c>
      <c r="J79" t="s">
        <v>67</v>
      </c>
      <c r="K79" t="s">
        <v>68</v>
      </c>
      <c r="L79" t="s">
        <v>2052</v>
      </c>
      <c r="M79" t="s">
        <v>2064</v>
      </c>
      <c r="N79">
        <v>0</v>
      </c>
      <c r="O79">
        <v>0</v>
      </c>
      <c r="P79">
        <v>0</v>
      </c>
      <c r="Q79">
        <v>900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174</v>
      </c>
      <c r="AH79" s="21" t="s">
        <v>3425</v>
      </c>
      <c r="AI79" s="21">
        <v>67.5</v>
      </c>
      <c r="AJ79" s="21">
        <v>100</v>
      </c>
      <c r="AK79" s="21" t="s">
        <v>2054</v>
      </c>
      <c r="AL79" t="s">
        <v>70</v>
      </c>
      <c r="AM79" t="s">
        <v>2028</v>
      </c>
    </row>
    <row r="80" spans="1:39" ht="15" hidden="1" thickTop="1" x14ac:dyDescent="0.35">
      <c r="A80" t="s">
        <v>2328</v>
      </c>
      <c r="B80" t="s">
        <v>2348</v>
      </c>
      <c r="C80" t="s">
        <v>100</v>
      </c>
      <c r="D80" t="s">
        <v>2349</v>
      </c>
      <c r="E80" t="s">
        <v>559</v>
      </c>
      <c r="F80">
        <v>1</v>
      </c>
      <c r="G80" t="s">
        <v>2050</v>
      </c>
      <c r="H80" t="s">
        <v>2051</v>
      </c>
      <c r="I80" t="s">
        <v>53</v>
      </c>
      <c r="J80" t="s">
        <v>67</v>
      </c>
      <c r="K80" t="s">
        <v>68</v>
      </c>
      <c r="L80" t="s">
        <v>2052</v>
      </c>
      <c r="M80" t="s">
        <v>2053</v>
      </c>
      <c r="N80">
        <v>0</v>
      </c>
      <c r="O80">
        <v>0</v>
      </c>
      <c r="P80">
        <v>0</v>
      </c>
      <c r="Q80">
        <v>1440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175</v>
      </c>
      <c r="AH80" s="21" t="s">
        <v>3425</v>
      </c>
      <c r="AI80" s="21">
        <v>107.92500000000001</v>
      </c>
      <c r="AJ80" s="21">
        <v>100</v>
      </c>
      <c r="AK80" s="21" t="s">
        <v>2054</v>
      </c>
      <c r="AL80" t="s">
        <v>70</v>
      </c>
      <c r="AM80" t="s">
        <v>2030</v>
      </c>
    </row>
    <row r="81" spans="1:39" ht="15" hidden="1" thickTop="1" x14ac:dyDescent="0.35">
      <c r="A81" t="s">
        <v>2334</v>
      </c>
      <c r="B81" t="s">
        <v>2350</v>
      </c>
      <c r="C81" t="s">
        <v>565</v>
      </c>
      <c r="D81" t="s">
        <v>2351</v>
      </c>
      <c r="E81" t="s">
        <v>559</v>
      </c>
      <c r="F81">
        <v>2</v>
      </c>
      <c r="G81" t="s">
        <v>2050</v>
      </c>
      <c r="H81" t="s">
        <v>2051</v>
      </c>
      <c r="I81" t="s">
        <v>53</v>
      </c>
      <c r="J81" t="s">
        <v>427</v>
      </c>
      <c r="K81" t="s">
        <v>68</v>
      </c>
      <c r="L81" t="s">
        <v>2052</v>
      </c>
      <c r="M81" t="s">
        <v>2053</v>
      </c>
      <c r="N81">
        <v>0</v>
      </c>
      <c r="O81">
        <v>0</v>
      </c>
      <c r="P81">
        <v>0</v>
      </c>
      <c r="Q81">
        <v>1440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176</v>
      </c>
      <c r="AH81" s="21" t="s">
        <v>3428</v>
      </c>
      <c r="AI81" s="21">
        <v>107.92500000000001</v>
      </c>
      <c r="AJ81" s="21">
        <v>100</v>
      </c>
      <c r="AK81" s="21" t="s">
        <v>2054</v>
      </c>
      <c r="AL81" t="s">
        <v>70</v>
      </c>
      <c r="AM81" t="s">
        <v>2029</v>
      </c>
    </row>
    <row r="82" spans="1:39" ht="15" hidden="1" thickTop="1" x14ac:dyDescent="0.35">
      <c r="A82" t="s">
        <v>2342</v>
      </c>
      <c r="B82" t="s">
        <v>2352</v>
      </c>
      <c r="C82" t="s">
        <v>76</v>
      </c>
      <c r="D82" t="s">
        <v>2353</v>
      </c>
      <c r="E82" t="s">
        <v>559</v>
      </c>
      <c r="F82">
        <v>1</v>
      </c>
      <c r="G82" t="s">
        <v>2050</v>
      </c>
      <c r="H82" t="s">
        <v>2051</v>
      </c>
      <c r="I82" t="s">
        <v>53</v>
      </c>
      <c r="J82" t="s">
        <v>67</v>
      </c>
      <c r="K82" t="s">
        <v>68</v>
      </c>
      <c r="L82" t="s">
        <v>2052</v>
      </c>
      <c r="M82" t="s">
        <v>2064</v>
      </c>
      <c r="N82">
        <v>0</v>
      </c>
      <c r="O82">
        <v>0</v>
      </c>
      <c r="P82">
        <v>0</v>
      </c>
      <c r="Q82">
        <v>900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177</v>
      </c>
      <c r="AH82" s="21" t="s">
        <v>3424</v>
      </c>
      <c r="AI82" s="21">
        <v>67.5</v>
      </c>
      <c r="AJ82" s="21">
        <v>100</v>
      </c>
      <c r="AK82" s="21" t="s">
        <v>2054</v>
      </c>
      <c r="AL82" t="s">
        <v>70</v>
      </c>
      <c r="AM82" t="s">
        <v>2029</v>
      </c>
    </row>
    <row r="83" spans="1:39" ht="15" hidden="1" thickTop="1" x14ac:dyDescent="0.35">
      <c r="A83" t="s">
        <v>2354</v>
      </c>
      <c r="B83" t="s">
        <v>2358</v>
      </c>
      <c r="C83" t="s">
        <v>81</v>
      </c>
      <c r="D83" t="s">
        <v>2359</v>
      </c>
      <c r="E83" t="s">
        <v>559</v>
      </c>
      <c r="F83">
        <v>2</v>
      </c>
      <c r="G83" t="s">
        <v>2050</v>
      </c>
      <c r="H83" t="s">
        <v>2051</v>
      </c>
      <c r="I83" t="s">
        <v>53</v>
      </c>
      <c r="J83" t="s">
        <v>82</v>
      </c>
      <c r="K83" t="s">
        <v>68</v>
      </c>
      <c r="L83" t="s">
        <v>2052</v>
      </c>
      <c r="M83" t="s">
        <v>2053</v>
      </c>
      <c r="N83">
        <v>0</v>
      </c>
      <c r="O83">
        <v>0</v>
      </c>
      <c r="P83">
        <v>0</v>
      </c>
      <c r="Q83">
        <v>1440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272</v>
      </c>
      <c r="AH83" s="21" t="s">
        <v>3424</v>
      </c>
      <c r="AI83" s="21">
        <v>107.92500000000001</v>
      </c>
      <c r="AJ83" s="21">
        <v>100</v>
      </c>
      <c r="AK83" s="21" t="s">
        <v>2054</v>
      </c>
      <c r="AL83" t="s">
        <v>70</v>
      </c>
      <c r="AM83" t="s">
        <v>2029</v>
      </c>
    </row>
    <row r="84" spans="1:39" ht="15" hidden="1" thickTop="1" x14ac:dyDescent="0.35">
      <c r="A84" t="s">
        <v>2356</v>
      </c>
      <c r="B84" t="s">
        <v>2360</v>
      </c>
      <c r="C84" t="s">
        <v>92</v>
      </c>
      <c r="D84" t="s">
        <v>2361</v>
      </c>
      <c r="E84" t="s">
        <v>119</v>
      </c>
      <c r="F84">
        <v>1</v>
      </c>
      <c r="G84" t="s">
        <v>2050</v>
      </c>
      <c r="H84" t="s">
        <v>2051</v>
      </c>
      <c r="I84" t="s">
        <v>53</v>
      </c>
      <c r="J84" t="s">
        <v>67</v>
      </c>
      <c r="K84" t="s">
        <v>68</v>
      </c>
      <c r="L84" t="s">
        <v>2052</v>
      </c>
      <c r="M84" t="s">
        <v>2053</v>
      </c>
      <c r="N84">
        <v>0</v>
      </c>
      <c r="O84">
        <v>0</v>
      </c>
      <c r="P84">
        <v>0</v>
      </c>
      <c r="Q84">
        <v>1440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221</v>
      </c>
      <c r="AH84" s="21" t="s">
        <v>3424</v>
      </c>
      <c r="AI84" s="21">
        <v>107.92500000000001</v>
      </c>
      <c r="AJ84" s="21">
        <v>100</v>
      </c>
      <c r="AK84" s="21" t="s">
        <v>2055</v>
      </c>
      <c r="AL84" t="s">
        <v>70</v>
      </c>
      <c r="AM84" t="s">
        <v>2029</v>
      </c>
    </row>
    <row r="85" spans="1:39" ht="15" hidden="1" thickTop="1" x14ac:dyDescent="0.35">
      <c r="A85" t="s">
        <v>2362</v>
      </c>
      <c r="B85" t="s">
        <v>2365</v>
      </c>
      <c r="C85" t="s">
        <v>66</v>
      </c>
      <c r="D85" t="s">
        <v>2366</v>
      </c>
      <c r="E85" t="s">
        <v>559</v>
      </c>
      <c r="F85">
        <v>1</v>
      </c>
      <c r="G85" t="s">
        <v>2050</v>
      </c>
      <c r="H85" t="s">
        <v>2051</v>
      </c>
      <c r="I85" t="s">
        <v>53</v>
      </c>
      <c r="J85" t="s">
        <v>67</v>
      </c>
      <c r="K85" t="s">
        <v>68</v>
      </c>
      <c r="L85" t="s">
        <v>2052</v>
      </c>
      <c r="M85" t="s">
        <v>2053</v>
      </c>
      <c r="N85">
        <v>0</v>
      </c>
      <c r="O85">
        <v>0</v>
      </c>
      <c r="P85">
        <v>0</v>
      </c>
      <c r="Q85">
        <v>1440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267</v>
      </c>
      <c r="AH85" s="21" t="s">
        <v>3424</v>
      </c>
      <c r="AI85" s="21">
        <v>107.92500000000001</v>
      </c>
      <c r="AJ85" s="21">
        <v>100</v>
      </c>
      <c r="AK85" s="21" t="s">
        <v>2055</v>
      </c>
      <c r="AL85" t="s">
        <v>70</v>
      </c>
      <c r="AM85" t="s">
        <v>2028</v>
      </c>
    </row>
    <row r="86" spans="1:39" ht="15" hidden="1" thickTop="1" x14ac:dyDescent="0.35">
      <c r="A86" t="s">
        <v>2363</v>
      </c>
      <c r="B86" t="s">
        <v>2367</v>
      </c>
      <c r="C86" t="s">
        <v>76</v>
      </c>
      <c r="D86" t="s">
        <v>2368</v>
      </c>
      <c r="E86" t="s">
        <v>559</v>
      </c>
      <c r="F86">
        <v>2</v>
      </c>
      <c r="G86" t="s">
        <v>2050</v>
      </c>
      <c r="H86" t="s">
        <v>2051</v>
      </c>
      <c r="I86" t="s">
        <v>53</v>
      </c>
      <c r="J86" t="s">
        <v>67</v>
      </c>
      <c r="K86" t="s">
        <v>68</v>
      </c>
      <c r="L86" t="s">
        <v>2052</v>
      </c>
      <c r="M86" t="s">
        <v>2053</v>
      </c>
      <c r="N86">
        <v>0</v>
      </c>
      <c r="O86">
        <v>0</v>
      </c>
      <c r="P86">
        <v>0</v>
      </c>
      <c r="Q86">
        <v>1440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352</v>
      </c>
      <c r="AH86" s="21" t="s">
        <v>3424</v>
      </c>
      <c r="AI86" s="21">
        <v>107.92500000000001</v>
      </c>
      <c r="AJ86" s="21">
        <v>100</v>
      </c>
      <c r="AK86" s="21" t="s">
        <v>2055</v>
      </c>
      <c r="AL86" t="s">
        <v>70</v>
      </c>
      <c r="AM86" t="s">
        <v>2030</v>
      </c>
    </row>
    <row r="87" spans="1:39" ht="15" hidden="1" thickTop="1" x14ac:dyDescent="0.35">
      <c r="A87" t="s">
        <v>2369</v>
      </c>
      <c r="B87" t="s">
        <v>2375</v>
      </c>
      <c r="C87" t="s">
        <v>92</v>
      </c>
      <c r="D87" t="s">
        <v>2376</v>
      </c>
      <c r="E87" t="s">
        <v>119</v>
      </c>
      <c r="F87">
        <v>1</v>
      </c>
      <c r="G87" t="s">
        <v>2050</v>
      </c>
      <c r="H87" t="s">
        <v>2051</v>
      </c>
      <c r="I87" t="s">
        <v>53</v>
      </c>
      <c r="J87" t="s">
        <v>67</v>
      </c>
      <c r="K87" t="s">
        <v>68</v>
      </c>
      <c r="L87" t="s">
        <v>2052</v>
      </c>
      <c r="M87" t="s">
        <v>2053</v>
      </c>
      <c r="N87">
        <v>0</v>
      </c>
      <c r="O87">
        <v>0</v>
      </c>
      <c r="P87">
        <v>0</v>
      </c>
      <c r="Q87">
        <v>1440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183</v>
      </c>
      <c r="AH87" s="21" t="s">
        <v>3425</v>
      </c>
      <c r="AI87" s="21">
        <v>107.92500000000001</v>
      </c>
      <c r="AJ87" s="21">
        <v>100</v>
      </c>
      <c r="AK87" s="21" t="s">
        <v>2054</v>
      </c>
      <c r="AL87" t="s">
        <v>70</v>
      </c>
      <c r="AM87" t="s">
        <v>2027</v>
      </c>
    </row>
    <row r="88" spans="1:39" ht="15" hidden="1" thickTop="1" x14ac:dyDescent="0.35">
      <c r="A88" t="s">
        <v>2371</v>
      </c>
      <c r="B88" t="s">
        <v>2377</v>
      </c>
      <c r="C88" t="s">
        <v>102</v>
      </c>
      <c r="D88" t="s">
        <v>2378</v>
      </c>
      <c r="E88" t="s">
        <v>559</v>
      </c>
      <c r="F88">
        <v>1</v>
      </c>
      <c r="G88" t="s">
        <v>2050</v>
      </c>
      <c r="H88" t="s">
        <v>2051</v>
      </c>
      <c r="I88" t="s">
        <v>53</v>
      </c>
      <c r="J88" t="s">
        <v>67</v>
      </c>
      <c r="K88" t="s">
        <v>68</v>
      </c>
      <c r="L88" t="s">
        <v>2052</v>
      </c>
      <c r="M88" t="s">
        <v>2053</v>
      </c>
      <c r="N88">
        <v>0</v>
      </c>
      <c r="O88">
        <v>0</v>
      </c>
      <c r="P88">
        <v>0</v>
      </c>
      <c r="Q88">
        <v>1440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195</v>
      </c>
      <c r="AH88" s="21" t="s">
        <v>3429</v>
      </c>
      <c r="AI88" s="21">
        <v>107.92500000000001</v>
      </c>
      <c r="AJ88" s="21">
        <v>100</v>
      </c>
      <c r="AK88" s="21" t="s">
        <v>2054</v>
      </c>
      <c r="AL88" t="s">
        <v>70</v>
      </c>
      <c r="AM88" t="s">
        <v>2027</v>
      </c>
    </row>
    <row r="89" spans="1:39" ht="15" hidden="1" thickTop="1" x14ac:dyDescent="0.35">
      <c r="A89" t="s">
        <v>2373</v>
      </c>
      <c r="B89" t="s">
        <v>2379</v>
      </c>
      <c r="C89" t="s">
        <v>100</v>
      </c>
      <c r="D89" t="s">
        <v>2380</v>
      </c>
      <c r="E89" t="s">
        <v>559</v>
      </c>
      <c r="F89">
        <v>1</v>
      </c>
      <c r="G89" t="s">
        <v>2050</v>
      </c>
      <c r="H89" t="s">
        <v>2051</v>
      </c>
      <c r="I89" t="s">
        <v>53</v>
      </c>
      <c r="J89" t="s">
        <v>67</v>
      </c>
      <c r="K89" t="s">
        <v>68</v>
      </c>
      <c r="L89" t="s">
        <v>2052</v>
      </c>
      <c r="M89" t="s">
        <v>2053</v>
      </c>
      <c r="N89">
        <v>1</v>
      </c>
      <c r="O89">
        <v>89</v>
      </c>
      <c r="P89">
        <v>6.18</v>
      </c>
      <c r="Q89">
        <v>1440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89</v>
      </c>
      <c r="Z89">
        <v>6.18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171</v>
      </c>
      <c r="AH89" s="21" t="s">
        <v>3424</v>
      </c>
      <c r="AI89" s="21">
        <v>107.92500000000001</v>
      </c>
      <c r="AJ89" s="21">
        <v>93.819444444444443</v>
      </c>
      <c r="AK89" s="21" t="s">
        <v>2055</v>
      </c>
      <c r="AL89" t="s">
        <v>70</v>
      </c>
      <c r="AM89" t="s">
        <v>2030</v>
      </c>
    </row>
    <row r="90" spans="1:39" ht="15" hidden="1" thickTop="1" x14ac:dyDescent="0.35">
      <c r="A90" t="s">
        <v>2381</v>
      </c>
      <c r="B90" t="s">
        <v>2386</v>
      </c>
      <c r="C90" t="s">
        <v>92</v>
      </c>
      <c r="D90" t="s">
        <v>2387</v>
      </c>
      <c r="E90" t="s">
        <v>559</v>
      </c>
      <c r="F90">
        <v>1</v>
      </c>
      <c r="G90" t="s">
        <v>2050</v>
      </c>
      <c r="H90" t="s">
        <v>2051</v>
      </c>
      <c r="I90" t="s">
        <v>53</v>
      </c>
      <c r="J90" t="s">
        <v>67</v>
      </c>
      <c r="K90" t="s">
        <v>68</v>
      </c>
      <c r="L90" t="s">
        <v>2052</v>
      </c>
      <c r="M90" t="s">
        <v>2064</v>
      </c>
      <c r="N90">
        <v>0</v>
      </c>
      <c r="O90">
        <v>0</v>
      </c>
      <c r="P90">
        <v>0</v>
      </c>
      <c r="Q90">
        <v>900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338</v>
      </c>
      <c r="AH90" s="21" t="s">
        <v>3424</v>
      </c>
      <c r="AI90" s="21">
        <v>67.5</v>
      </c>
      <c r="AJ90" s="21">
        <v>100</v>
      </c>
      <c r="AK90" s="21" t="s">
        <v>2054</v>
      </c>
      <c r="AL90" t="s">
        <v>70</v>
      </c>
      <c r="AM90" t="s">
        <v>2029</v>
      </c>
    </row>
    <row r="91" spans="1:39" ht="15" hidden="1" thickTop="1" x14ac:dyDescent="0.35">
      <c r="A91" t="s">
        <v>2067</v>
      </c>
      <c r="B91" t="s">
        <v>2388</v>
      </c>
      <c r="C91" t="s">
        <v>100</v>
      </c>
      <c r="D91" t="s">
        <v>2389</v>
      </c>
      <c r="E91" t="s">
        <v>119</v>
      </c>
      <c r="F91">
        <v>1</v>
      </c>
      <c r="G91" t="s">
        <v>2050</v>
      </c>
      <c r="H91" t="s">
        <v>2051</v>
      </c>
      <c r="I91" t="s">
        <v>53</v>
      </c>
      <c r="J91" t="s">
        <v>67</v>
      </c>
      <c r="K91" t="s">
        <v>68</v>
      </c>
      <c r="L91" t="s">
        <v>2052</v>
      </c>
      <c r="M91" t="s">
        <v>2064</v>
      </c>
      <c r="N91">
        <v>0</v>
      </c>
      <c r="O91">
        <v>0</v>
      </c>
      <c r="P91">
        <v>0</v>
      </c>
      <c r="Q91">
        <v>900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357</v>
      </c>
      <c r="AH91" s="21" t="s">
        <v>3425</v>
      </c>
      <c r="AI91" s="21">
        <v>67.5</v>
      </c>
      <c r="AJ91" s="21">
        <v>100</v>
      </c>
      <c r="AK91" s="21" t="s">
        <v>2054</v>
      </c>
      <c r="AL91" t="s">
        <v>70</v>
      </c>
      <c r="AM91" t="s">
        <v>2028</v>
      </c>
    </row>
    <row r="92" spans="1:39" ht="15" hidden="1" thickTop="1" x14ac:dyDescent="0.35">
      <c r="A92" t="s">
        <v>2384</v>
      </c>
      <c r="B92" t="s">
        <v>3409</v>
      </c>
      <c r="C92" t="s">
        <v>71</v>
      </c>
      <c r="D92" t="s">
        <v>3410</v>
      </c>
      <c r="E92" t="s">
        <v>72</v>
      </c>
      <c r="F92">
        <v>1</v>
      </c>
      <c r="G92" t="s">
        <v>2050</v>
      </c>
      <c r="H92" t="s">
        <v>2051</v>
      </c>
      <c r="I92" t="s">
        <v>53</v>
      </c>
      <c r="J92" t="s">
        <v>73</v>
      </c>
      <c r="K92" t="s">
        <v>68</v>
      </c>
      <c r="L92" t="s">
        <v>2052</v>
      </c>
      <c r="M92" t="s">
        <v>2053</v>
      </c>
      <c r="N92">
        <v>0</v>
      </c>
      <c r="O92">
        <v>0</v>
      </c>
      <c r="P92">
        <v>0</v>
      </c>
      <c r="Q92">
        <v>1440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295</v>
      </c>
      <c r="AH92" s="21" t="s">
        <v>3427</v>
      </c>
      <c r="AI92" s="21">
        <v>107.92500000000001</v>
      </c>
      <c r="AJ92" s="21">
        <v>100</v>
      </c>
      <c r="AK92" s="21" t="s">
        <v>2054</v>
      </c>
      <c r="AL92" t="s">
        <v>75</v>
      </c>
      <c r="AM92" t="s">
        <v>2032</v>
      </c>
    </row>
    <row r="93" spans="1:39" ht="15" hidden="1" thickTop="1" x14ac:dyDescent="0.35">
      <c r="A93" t="s">
        <v>2390</v>
      </c>
      <c r="B93" t="s">
        <v>3402</v>
      </c>
      <c r="C93" t="s">
        <v>66</v>
      </c>
      <c r="D93" t="s">
        <v>3403</v>
      </c>
      <c r="E93" t="s">
        <v>559</v>
      </c>
      <c r="F93">
        <v>1</v>
      </c>
      <c r="G93" t="s">
        <v>2050</v>
      </c>
      <c r="H93" t="s">
        <v>2051</v>
      </c>
      <c r="I93" t="s">
        <v>53</v>
      </c>
      <c r="J93" t="s">
        <v>67</v>
      </c>
      <c r="K93" t="s">
        <v>68</v>
      </c>
      <c r="L93" t="s">
        <v>2052</v>
      </c>
      <c r="M93" t="s">
        <v>2064</v>
      </c>
      <c r="N93">
        <v>0</v>
      </c>
      <c r="O93">
        <v>0</v>
      </c>
      <c r="P93">
        <v>0</v>
      </c>
      <c r="Q93">
        <v>900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172</v>
      </c>
      <c r="AH93" s="21" t="s">
        <v>3425</v>
      </c>
      <c r="AI93" s="21">
        <v>67.5</v>
      </c>
      <c r="AJ93" s="21">
        <v>100</v>
      </c>
      <c r="AK93" s="21" t="s">
        <v>2054</v>
      </c>
      <c r="AL93" t="s">
        <v>70</v>
      </c>
      <c r="AM93" t="s">
        <v>2032</v>
      </c>
    </row>
    <row r="94" spans="1:39" ht="15" hidden="1" thickTop="1" x14ac:dyDescent="0.35">
      <c r="A94" t="s">
        <v>2409</v>
      </c>
      <c r="B94" t="s">
        <v>2392</v>
      </c>
      <c r="C94" t="s">
        <v>78</v>
      </c>
      <c r="D94" t="s">
        <v>2393</v>
      </c>
      <c r="E94" t="s">
        <v>559</v>
      </c>
      <c r="F94">
        <v>1</v>
      </c>
      <c r="G94" t="s">
        <v>2050</v>
      </c>
      <c r="H94" t="s">
        <v>2051</v>
      </c>
      <c r="I94" t="s">
        <v>53</v>
      </c>
      <c r="J94" t="s">
        <v>67</v>
      </c>
      <c r="K94" t="s">
        <v>68</v>
      </c>
      <c r="L94" t="s">
        <v>2052</v>
      </c>
      <c r="M94" t="s">
        <v>2053</v>
      </c>
      <c r="N94">
        <v>1</v>
      </c>
      <c r="O94">
        <v>39</v>
      </c>
      <c r="P94">
        <v>2.71</v>
      </c>
      <c r="Q94">
        <v>1440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39</v>
      </c>
      <c r="Z94">
        <v>2.71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178</v>
      </c>
      <c r="AH94" s="21" t="s">
        <v>3425</v>
      </c>
      <c r="AI94" s="21">
        <v>107.92500000000001</v>
      </c>
      <c r="AJ94" s="21">
        <v>97.291666666666671</v>
      </c>
      <c r="AK94" s="21" t="s">
        <v>2055</v>
      </c>
      <c r="AL94" t="s">
        <v>70</v>
      </c>
      <c r="AM94" t="s">
        <v>2030</v>
      </c>
    </row>
    <row r="95" spans="1:39" ht="15" hidden="1" thickTop="1" x14ac:dyDescent="0.35">
      <c r="A95" t="s">
        <v>2410</v>
      </c>
      <c r="B95" t="s">
        <v>2394</v>
      </c>
      <c r="C95" t="s">
        <v>92</v>
      </c>
      <c r="D95" t="s">
        <v>2395</v>
      </c>
      <c r="E95" t="s">
        <v>559</v>
      </c>
      <c r="F95">
        <v>1</v>
      </c>
      <c r="G95" t="s">
        <v>2050</v>
      </c>
      <c r="H95" t="s">
        <v>2051</v>
      </c>
      <c r="I95" t="s">
        <v>53</v>
      </c>
      <c r="J95" t="s">
        <v>67</v>
      </c>
      <c r="K95" t="s">
        <v>68</v>
      </c>
      <c r="L95" t="s">
        <v>2052</v>
      </c>
      <c r="M95" t="s">
        <v>2053</v>
      </c>
      <c r="N95">
        <v>0</v>
      </c>
      <c r="O95">
        <v>0</v>
      </c>
      <c r="P95">
        <v>0</v>
      </c>
      <c r="Q95">
        <v>1440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179</v>
      </c>
      <c r="AH95" s="21" t="s">
        <v>3424</v>
      </c>
      <c r="AI95" s="21">
        <v>107.92500000000001</v>
      </c>
      <c r="AJ95" s="21">
        <v>100</v>
      </c>
      <c r="AK95" s="21" t="s">
        <v>2054</v>
      </c>
      <c r="AL95" t="s">
        <v>70</v>
      </c>
      <c r="AM95" t="s">
        <v>2027</v>
      </c>
    </row>
    <row r="96" spans="1:39" ht="15" hidden="1" thickTop="1" x14ac:dyDescent="0.35">
      <c r="A96" t="s">
        <v>2411</v>
      </c>
      <c r="B96" t="s">
        <v>2396</v>
      </c>
      <c r="C96" t="s">
        <v>117</v>
      </c>
      <c r="D96" t="s">
        <v>2397</v>
      </c>
      <c r="E96" t="s">
        <v>559</v>
      </c>
      <c r="F96">
        <v>1</v>
      </c>
      <c r="G96" t="s">
        <v>2050</v>
      </c>
      <c r="H96" t="s">
        <v>2051</v>
      </c>
      <c r="I96" t="s">
        <v>53</v>
      </c>
      <c r="J96" t="s">
        <v>67</v>
      </c>
      <c r="K96" t="s">
        <v>68</v>
      </c>
      <c r="L96" t="s">
        <v>2052</v>
      </c>
      <c r="M96" t="s">
        <v>2053</v>
      </c>
      <c r="N96">
        <v>0</v>
      </c>
      <c r="O96">
        <v>0</v>
      </c>
      <c r="P96">
        <v>0</v>
      </c>
      <c r="Q96">
        <v>1440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180</v>
      </c>
      <c r="AH96" s="21" t="s">
        <v>3424</v>
      </c>
      <c r="AI96" s="21">
        <v>107.92500000000001</v>
      </c>
      <c r="AJ96" s="21">
        <v>100</v>
      </c>
      <c r="AK96" s="21" t="s">
        <v>2054</v>
      </c>
      <c r="AL96" t="s">
        <v>70</v>
      </c>
      <c r="AM96" t="s">
        <v>2027</v>
      </c>
    </row>
    <row r="97" spans="1:39" ht="15" hidden="1" thickTop="1" x14ac:dyDescent="0.35">
      <c r="A97" t="s">
        <v>2412</v>
      </c>
      <c r="B97" t="s">
        <v>2398</v>
      </c>
      <c r="C97" t="s">
        <v>66</v>
      </c>
      <c r="D97" t="s">
        <v>2399</v>
      </c>
      <c r="E97" t="s">
        <v>559</v>
      </c>
      <c r="F97">
        <v>1</v>
      </c>
      <c r="G97" t="s">
        <v>2050</v>
      </c>
      <c r="H97" t="s">
        <v>2051</v>
      </c>
      <c r="I97" t="s">
        <v>53</v>
      </c>
      <c r="J97" t="s">
        <v>67</v>
      </c>
      <c r="K97" t="s">
        <v>68</v>
      </c>
      <c r="L97" t="s">
        <v>2052</v>
      </c>
      <c r="M97" t="s">
        <v>2053</v>
      </c>
      <c r="N97">
        <v>0</v>
      </c>
      <c r="O97">
        <v>0</v>
      </c>
      <c r="P97">
        <v>0</v>
      </c>
      <c r="Q97">
        <v>1440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181</v>
      </c>
      <c r="AH97" s="21" t="s">
        <v>3429</v>
      </c>
      <c r="AI97" s="21">
        <v>107.92500000000001</v>
      </c>
      <c r="AJ97" s="21">
        <v>100</v>
      </c>
      <c r="AK97" s="21" t="s">
        <v>2055</v>
      </c>
      <c r="AL97" t="s">
        <v>70</v>
      </c>
      <c r="AM97" t="s">
        <v>2027</v>
      </c>
    </row>
    <row r="98" spans="1:39" ht="15" hidden="1" thickTop="1" x14ac:dyDescent="0.35">
      <c r="A98" t="s">
        <v>2413</v>
      </c>
      <c r="B98" t="s">
        <v>2400</v>
      </c>
      <c r="C98" t="s">
        <v>3376</v>
      </c>
      <c r="D98" t="s">
        <v>2401</v>
      </c>
      <c r="E98" t="s">
        <v>559</v>
      </c>
      <c r="F98">
        <v>1</v>
      </c>
      <c r="G98" t="s">
        <v>2050</v>
      </c>
      <c r="H98" t="s">
        <v>2051</v>
      </c>
      <c r="I98" t="s">
        <v>53</v>
      </c>
      <c r="J98" t="s">
        <v>67</v>
      </c>
      <c r="K98" t="s">
        <v>68</v>
      </c>
      <c r="L98" t="s">
        <v>2052</v>
      </c>
      <c r="M98" t="s">
        <v>2053</v>
      </c>
      <c r="N98">
        <v>0</v>
      </c>
      <c r="O98">
        <v>0</v>
      </c>
      <c r="P98">
        <v>0</v>
      </c>
      <c r="Q98">
        <v>1440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182</v>
      </c>
      <c r="AH98" s="21" t="s">
        <v>3424</v>
      </c>
      <c r="AI98" s="21">
        <v>107.92500000000001</v>
      </c>
      <c r="AJ98" s="21">
        <v>100</v>
      </c>
      <c r="AK98" s="21" t="s">
        <v>2054</v>
      </c>
      <c r="AL98" t="s">
        <v>70</v>
      </c>
      <c r="AM98" t="s">
        <v>2029</v>
      </c>
    </row>
    <row r="99" spans="1:39" ht="15" hidden="1" thickTop="1" x14ac:dyDescent="0.35">
      <c r="A99" t="s">
        <v>2417</v>
      </c>
      <c r="B99" t="s">
        <v>2402</v>
      </c>
      <c r="C99" t="s">
        <v>111</v>
      </c>
      <c r="D99" t="s">
        <v>2403</v>
      </c>
      <c r="E99" t="s">
        <v>112</v>
      </c>
      <c r="F99">
        <v>1</v>
      </c>
      <c r="G99" t="s">
        <v>2050</v>
      </c>
      <c r="H99" t="s">
        <v>2051</v>
      </c>
      <c r="I99" t="s">
        <v>53</v>
      </c>
      <c r="J99" t="s">
        <v>113</v>
      </c>
      <c r="K99" t="s">
        <v>68</v>
      </c>
      <c r="L99" t="s">
        <v>2052</v>
      </c>
      <c r="M99" t="s">
        <v>2053</v>
      </c>
      <c r="N99">
        <v>0</v>
      </c>
      <c r="O99">
        <v>0</v>
      </c>
      <c r="P99">
        <v>0</v>
      </c>
      <c r="Q99">
        <v>1440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184</v>
      </c>
      <c r="AH99" s="21" t="s">
        <v>3430</v>
      </c>
      <c r="AI99" s="21">
        <v>107.92500000000001</v>
      </c>
      <c r="AJ99" s="21">
        <v>100</v>
      </c>
      <c r="AK99" s="21" t="s">
        <v>2054</v>
      </c>
      <c r="AL99" t="s">
        <v>115</v>
      </c>
      <c r="AM99" t="s">
        <v>2027</v>
      </c>
    </row>
    <row r="100" spans="1:39" ht="15" hidden="1" thickTop="1" x14ac:dyDescent="0.35">
      <c r="A100" t="s">
        <v>2433</v>
      </c>
      <c r="B100" t="s">
        <v>2418</v>
      </c>
      <c r="C100" t="s">
        <v>117</v>
      </c>
      <c r="D100" t="s">
        <v>2419</v>
      </c>
      <c r="E100" t="s">
        <v>559</v>
      </c>
      <c r="F100">
        <v>1</v>
      </c>
      <c r="G100" t="s">
        <v>2050</v>
      </c>
      <c r="H100" t="s">
        <v>2051</v>
      </c>
      <c r="I100" t="s">
        <v>53</v>
      </c>
      <c r="J100" t="s">
        <v>67</v>
      </c>
      <c r="K100" t="s">
        <v>68</v>
      </c>
      <c r="L100" t="s">
        <v>2052</v>
      </c>
      <c r="M100" t="s">
        <v>2053</v>
      </c>
      <c r="N100">
        <v>0</v>
      </c>
      <c r="O100">
        <v>0</v>
      </c>
      <c r="P100">
        <v>0</v>
      </c>
      <c r="Q100">
        <v>1440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185</v>
      </c>
      <c r="AH100" s="21" t="s">
        <v>3427</v>
      </c>
      <c r="AI100" s="21">
        <v>107.92500000000001</v>
      </c>
      <c r="AJ100" s="21">
        <v>100</v>
      </c>
      <c r="AK100" s="21" t="s">
        <v>2054</v>
      </c>
      <c r="AL100" t="s">
        <v>70</v>
      </c>
      <c r="AM100" t="s">
        <v>2027</v>
      </c>
    </row>
    <row r="101" spans="1:39" ht="15" hidden="1" thickTop="1" x14ac:dyDescent="0.35">
      <c r="A101" t="s">
        <v>2446</v>
      </c>
      <c r="B101" t="s">
        <v>2421</v>
      </c>
      <c r="C101" t="s">
        <v>3376</v>
      </c>
      <c r="D101" t="s">
        <v>2422</v>
      </c>
      <c r="E101" t="s">
        <v>559</v>
      </c>
      <c r="F101">
        <v>1</v>
      </c>
      <c r="G101" t="s">
        <v>2050</v>
      </c>
      <c r="H101" t="s">
        <v>2051</v>
      </c>
      <c r="I101" t="s">
        <v>53</v>
      </c>
      <c r="J101" t="s">
        <v>67</v>
      </c>
      <c r="K101" t="s">
        <v>68</v>
      </c>
      <c r="L101" t="s">
        <v>2052</v>
      </c>
      <c r="M101" t="s">
        <v>2053</v>
      </c>
      <c r="N101">
        <v>0</v>
      </c>
      <c r="O101">
        <v>0</v>
      </c>
      <c r="P101">
        <v>0</v>
      </c>
      <c r="Q101">
        <v>1440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186</v>
      </c>
      <c r="AH101" s="21" t="s">
        <v>3425</v>
      </c>
      <c r="AI101" s="21">
        <v>107.92500000000001</v>
      </c>
      <c r="AJ101" s="21">
        <v>100</v>
      </c>
      <c r="AK101" s="21" t="s">
        <v>2054</v>
      </c>
      <c r="AL101" t="s">
        <v>70</v>
      </c>
      <c r="AM101" t="s">
        <v>2028</v>
      </c>
    </row>
    <row r="102" spans="1:39" ht="15" hidden="1" thickTop="1" x14ac:dyDescent="0.35">
      <c r="A102" t="s">
        <v>2447</v>
      </c>
      <c r="B102" t="s">
        <v>2424</v>
      </c>
      <c r="C102" t="s">
        <v>3376</v>
      </c>
      <c r="D102" t="s">
        <v>2425</v>
      </c>
      <c r="E102" t="s">
        <v>559</v>
      </c>
      <c r="F102">
        <v>1</v>
      </c>
      <c r="G102" t="s">
        <v>2050</v>
      </c>
      <c r="H102" t="s">
        <v>2051</v>
      </c>
      <c r="I102" t="s">
        <v>53</v>
      </c>
      <c r="J102" t="s">
        <v>67</v>
      </c>
      <c r="K102" t="s">
        <v>68</v>
      </c>
      <c r="L102" t="s">
        <v>2052</v>
      </c>
      <c r="M102" t="s">
        <v>2053</v>
      </c>
      <c r="N102">
        <v>0</v>
      </c>
      <c r="O102">
        <v>0</v>
      </c>
      <c r="P102">
        <v>0</v>
      </c>
      <c r="Q102">
        <v>1440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187</v>
      </c>
      <c r="AH102" s="21" t="s">
        <v>3425</v>
      </c>
      <c r="AI102" s="21">
        <v>107.92500000000001</v>
      </c>
      <c r="AJ102" s="21">
        <v>100</v>
      </c>
      <c r="AK102" s="21" t="s">
        <v>2054</v>
      </c>
      <c r="AL102" t="s">
        <v>70</v>
      </c>
      <c r="AM102" t="s">
        <v>2028</v>
      </c>
    </row>
    <row r="103" spans="1:39" ht="15" hidden="1" thickTop="1" x14ac:dyDescent="0.35">
      <c r="A103" t="s">
        <v>2448</v>
      </c>
      <c r="B103" t="s">
        <v>2427</v>
      </c>
      <c r="C103" t="s">
        <v>76</v>
      </c>
      <c r="D103" t="s">
        <v>2428</v>
      </c>
      <c r="E103" t="s">
        <v>559</v>
      </c>
      <c r="F103">
        <v>1</v>
      </c>
      <c r="G103" t="s">
        <v>2050</v>
      </c>
      <c r="H103" t="s">
        <v>2051</v>
      </c>
      <c r="I103" t="s">
        <v>53</v>
      </c>
      <c r="J103" t="s">
        <v>67</v>
      </c>
      <c r="K103" t="s">
        <v>68</v>
      </c>
      <c r="L103" t="s">
        <v>2052</v>
      </c>
      <c r="M103" t="s">
        <v>2053</v>
      </c>
      <c r="N103">
        <v>0</v>
      </c>
      <c r="O103">
        <v>0</v>
      </c>
      <c r="P103">
        <v>0</v>
      </c>
      <c r="Q103">
        <v>1440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188</v>
      </c>
      <c r="AH103" s="21" t="s">
        <v>3425</v>
      </c>
      <c r="AI103" s="21">
        <v>107.92500000000001</v>
      </c>
      <c r="AJ103" s="21">
        <v>100</v>
      </c>
      <c r="AK103" s="21" t="s">
        <v>2055</v>
      </c>
      <c r="AL103" t="s">
        <v>70</v>
      </c>
      <c r="AM103" t="s">
        <v>2030</v>
      </c>
    </row>
    <row r="104" spans="1:39" ht="15" hidden="1" thickTop="1" x14ac:dyDescent="0.35">
      <c r="A104" t="s">
        <v>2450</v>
      </c>
      <c r="B104" t="s">
        <v>2430</v>
      </c>
      <c r="C104" t="s">
        <v>76</v>
      </c>
      <c r="D104" t="s">
        <v>2431</v>
      </c>
      <c r="E104" t="s">
        <v>119</v>
      </c>
      <c r="F104">
        <v>1</v>
      </c>
      <c r="G104" t="s">
        <v>2050</v>
      </c>
      <c r="H104" t="s">
        <v>2051</v>
      </c>
      <c r="I104" t="s">
        <v>53</v>
      </c>
      <c r="J104" t="s">
        <v>67</v>
      </c>
      <c r="K104" t="s">
        <v>68</v>
      </c>
      <c r="L104" t="s">
        <v>2052</v>
      </c>
      <c r="M104" t="s">
        <v>2053</v>
      </c>
      <c r="N104">
        <v>0</v>
      </c>
      <c r="O104">
        <v>0</v>
      </c>
      <c r="P104">
        <v>0</v>
      </c>
      <c r="Q104">
        <v>1440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189</v>
      </c>
      <c r="AH104" s="21" t="s">
        <v>3425</v>
      </c>
      <c r="AI104" s="21">
        <v>107.92500000000001</v>
      </c>
      <c r="AJ104" s="21">
        <v>100</v>
      </c>
      <c r="AK104" s="21" t="s">
        <v>2054</v>
      </c>
      <c r="AL104" t="s">
        <v>70</v>
      </c>
      <c r="AM104" t="s">
        <v>2029</v>
      </c>
    </row>
    <row r="105" spans="1:39" ht="15" hidden="1" thickTop="1" x14ac:dyDescent="0.35">
      <c r="A105" t="s">
        <v>2457</v>
      </c>
      <c r="B105" t="s">
        <v>2434</v>
      </c>
      <c r="C105" t="s">
        <v>78</v>
      </c>
      <c r="D105" t="s">
        <v>2435</v>
      </c>
      <c r="E105" t="s">
        <v>559</v>
      </c>
      <c r="F105">
        <v>1</v>
      </c>
      <c r="G105" t="s">
        <v>2050</v>
      </c>
      <c r="H105" t="s">
        <v>2051</v>
      </c>
      <c r="I105" t="s">
        <v>53</v>
      </c>
      <c r="J105" t="s">
        <v>67</v>
      </c>
      <c r="K105" t="s">
        <v>68</v>
      </c>
      <c r="L105" t="s">
        <v>2052</v>
      </c>
      <c r="M105" t="s">
        <v>2053</v>
      </c>
      <c r="N105">
        <v>0</v>
      </c>
      <c r="O105">
        <v>0</v>
      </c>
      <c r="P105">
        <v>0</v>
      </c>
      <c r="Q105">
        <v>1440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t="s">
        <v>190</v>
      </c>
      <c r="AH105" s="21" t="s">
        <v>3425</v>
      </c>
      <c r="AI105" s="21">
        <v>107.92500000000001</v>
      </c>
      <c r="AJ105" s="21">
        <v>100</v>
      </c>
      <c r="AK105" s="21" t="s">
        <v>2055</v>
      </c>
      <c r="AL105" t="s">
        <v>70</v>
      </c>
      <c r="AM105" t="s">
        <v>2028</v>
      </c>
    </row>
    <row r="106" spans="1:39" ht="15" hidden="1" thickTop="1" x14ac:dyDescent="0.35">
      <c r="A106" t="s">
        <v>2458</v>
      </c>
      <c r="B106" t="s">
        <v>2436</v>
      </c>
      <c r="C106" t="s">
        <v>76</v>
      </c>
      <c r="D106" t="s">
        <v>2437</v>
      </c>
      <c r="E106" t="s">
        <v>559</v>
      </c>
      <c r="F106">
        <v>1</v>
      </c>
      <c r="G106" t="s">
        <v>2050</v>
      </c>
      <c r="H106" t="s">
        <v>2051</v>
      </c>
      <c r="I106" t="s">
        <v>53</v>
      </c>
      <c r="J106" t="s">
        <v>67</v>
      </c>
      <c r="K106" t="s">
        <v>68</v>
      </c>
      <c r="L106" t="s">
        <v>2052</v>
      </c>
      <c r="M106" t="s">
        <v>2053</v>
      </c>
      <c r="N106">
        <v>0</v>
      </c>
      <c r="O106">
        <v>0</v>
      </c>
      <c r="P106">
        <v>0</v>
      </c>
      <c r="Q106">
        <v>1440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191</v>
      </c>
      <c r="AH106" s="21" t="s">
        <v>3425</v>
      </c>
      <c r="AI106" s="21">
        <v>107.92500000000001</v>
      </c>
      <c r="AJ106" s="21">
        <v>100</v>
      </c>
      <c r="AK106" s="21" t="s">
        <v>2055</v>
      </c>
      <c r="AL106" t="s">
        <v>70</v>
      </c>
      <c r="AM106" t="s">
        <v>2028</v>
      </c>
    </row>
    <row r="107" spans="1:39" ht="15" hidden="1" thickTop="1" x14ac:dyDescent="0.35">
      <c r="A107" t="s">
        <v>2464</v>
      </c>
      <c r="B107" t="s">
        <v>2439</v>
      </c>
      <c r="C107" t="s">
        <v>78</v>
      </c>
      <c r="D107" t="s">
        <v>2440</v>
      </c>
      <c r="E107" t="s">
        <v>559</v>
      </c>
      <c r="F107">
        <v>1</v>
      </c>
      <c r="G107" t="s">
        <v>2050</v>
      </c>
      <c r="H107" t="s">
        <v>2051</v>
      </c>
      <c r="I107" t="s">
        <v>53</v>
      </c>
      <c r="J107" t="s">
        <v>67</v>
      </c>
      <c r="K107" t="s">
        <v>68</v>
      </c>
      <c r="L107" t="s">
        <v>2052</v>
      </c>
      <c r="M107" t="s">
        <v>2053</v>
      </c>
      <c r="N107">
        <v>0</v>
      </c>
      <c r="O107">
        <v>0</v>
      </c>
      <c r="P107">
        <v>0</v>
      </c>
      <c r="Q107">
        <v>1440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 t="s">
        <v>192</v>
      </c>
      <c r="AH107" s="21" t="s">
        <v>3425</v>
      </c>
      <c r="AI107" s="21">
        <v>107.92500000000001</v>
      </c>
      <c r="AJ107" s="21">
        <v>100</v>
      </c>
      <c r="AK107" s="21" t="s">
        <v>2054</v>
      </c>
      <c r="AL107" t="s">
        <v>70</v>
      </c>
      <c r="AM107" t="s">
        <v>2029</v>
      </c>
    </row>
    <row r="108" spans="1:39" ht="15" hidden="1" thickTop="1" x14ac:dyDescent="0.35">
      <c r="A108" t="s">
        <v>2469</v>
      </c>
      <c r="B108" t="s">
        <v>2454</v>
      </c>
      <c r="C108" t="s">
        <v>76</v>
      </c>
      <c r="D108" t="s">
        <v>2455</v>
      </c>
      <c r="E108" t="s">
        <v>559</v>
      </c>
      <c r="F108">
        <v>2</v>
      </c>
      <c r="G108" t="s">
        <v>2050</v>
      </c>
      <c r="H108" t="s">
        <v>2051</v>
      </c>
      <c r="I108" t="s">
        <v>53</v>
      </c>
      <c r="J108" t="s">
        <v>67</v>
      </c>
      <c r="K108" t="s">
        <v>68</v>
      </c>
      <c r="L108" t="s">
        <v>2052</v>
      </c>
      <c r="M108" t="s">
        <v>2053</v>
      </c>
      <c r="N108">
        <v>0</v>
      </c>
      <c r="O108">
        <v>0</v>
      </c>
      <c r="P108">
        <v>0</v>
      </c>
      <c r="Q108">
        <v>1440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193</v>
      </c>
      <c r="AH108" s="21" t="s">
        <v>3424</v>
      </c>
      <c r="AI108" s="21">
        <v>107.92500000000001</v>
      </c>
      <c r="AJ108" s="21">
        <v>100</v>
      </c>
      <c r="AK108" s="21" t="s">
        <v>2054</v>
      </c>
      <c r="AL108" t="s">
        <v>70</v>
      </c>
      <c r="AM108" t="s">
        <v>2029</v>
      </c>
    </row>
    <row r="109" spans="1:39" ht="15" hidden="1" thickTop="1" x14ac:dyDescent="0.35">
      <c r="A109" t="s">
        <v>2474</v>
      </c>
      <c r="B109" t="s">
        <v>2420</v>
      </c>
      <c r="C109" t="s">
        <v>117</v>
      </c>
      <c r="D109" t="s">
        <v>2461</v>
      </c>
      <c r="E109" t="s">
        <v>559</v>
      </c>
      <c r="F109">
        <v>1</v>
      </c>
      <c r="G109" t="s">
        <v>2050</v>
      </c>
      <c r="H109" t="s">
        <v>2051</v>
      </c>
      <c r="I109" t="s">
        <v>53</v>
      </c>
      <c r="J109" t="s">
        <v>67</v>
      </c>
      <c r="K109" t="s">
        <v>68</v>
      </c>
      <c r="L109" t="s">
        <v>2052</v>
      </c>
      <c r="M109" t="s">
        <v>2053</v>
      </c>
      <c r="N109">
        <v>0</v>
      </c>
      <c r="O109">
        <v>0</v>
      </c>
      <c r="P109">
        <v>0</v>
      </c>
      <c r="Q109">
        <v>1440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194</v>
      </c>
      <c r="AH109" s="21" t="s">
        <v>3425</v>
      </c>
      <c r="AI109" s="21">
        <v>107.92500000000001</v>
      </c>
      <c r="AJ109" s="21">
        <v>100</v>
      </c>
      <c r="AK109" s="21" t="s">
        <v>2055</v>
      </c>
      <c r="AL109" t="s">
        <v>70</v>
      </c>
      <c r="AM109" t="s">
        <v>2029</v>
      </c>
    </row>
    <row r="110" spans="1:39" ht="15" hidden="1" thickTop="1" x14ac:dyDescent="0.35">
      <c r="A110" t="s">
        <v>2496</v>
      </c>
      <c r="B110" t="s">
        <v>2477</v>
      </c>
      <c r="C110" t="s">
        <v>92</v>
      </c>
      <c r="D110" t="s">
        <v>2478</v>
      </c>
      <c r="E110" t="s">
        <v>119</v>
      </c>
      <c r="F110">
        <v>1</v>
      </c>
      <c r="G110" t="s">
        <v>2050</v>
      </c>
      <c r="H110" t="s">
        <v>2051</v>
      </c>
      <c r="I110" t="s">
        <v>53</v>
      </c>
      <c r="J110" t="s">
        <v>67</v>
      </c>
      <c r="K110" t="s">
        <v>68</v>
      </c>
      <c r="L110" t="s">
        <v>2052</v>
      </c>
      <c r="M110" t="s">
        <v>2053</v>
      </c>
      <c r="N110">
        <v>0</v>
      </c>
      <c r="O110">
        <v>0</v>
      </c>
      <c r="P110">
        <v>0</v>
      </c>
      <c r="Q110">
        <v>1440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196</v>
      </c>
      <c r="AH110" s="21" t="s">
        <v>3425</v>
      </c>
      <c r="AI110" s="21">
        <v>107.92500000000001</v>
      </c>
      <c r="AJ110" s="21">
        <v>100</v>
      </c>
      <c r="AK110" s="21" t="s">
        <v>2055</v>
      </c>
      <c r="AL110" t="s">
        <v>70</v>
      </c>
      <c r="AM110" t="s">
        <v>2029</v>
      </c>
    </row>
    <row r="111" spans="1:39" ht="15" hidden="1" thickTop="1" x14ac:dyDescent="0.35">
      <c r="A111" t="s">
        <v>2502</v>
      </c>
      <c r="B111" t="s">
        <v>2480</v>
      </c>
      <c r="C111" t="s">
        <v>117</v>
      </c>
      <c r="D111" t="s">
        <v>2481</v>
      </c>
      <c r="E111" t="s">
        <v>559</v>
      </c>
      <c r="F111">
        <v>1</v>
      </c>
      <c r="G111" t="s">
        <v>2050</v>
      </c>
      <c r="H111" t="s">
        <v>2051</v>
      </c>
      <c r="I111" t="s">
        <v>53</v>
      </c>
      <c r="J111" t="s">
        <v>67</v>
      </c>
      <c r="K111" t="s">
        <v>68</v>
      </c>
      <c r="L111" t="s">
        <v>2052</v>
      </c>
      <c r="M111" t="s">
        <v>2053</v>
      </c>
      <c r="N111">
        <v>0</v>
      </c>
      <c r="O111">
        <v>0</v>
      </c>
      <c r="P111">
        <v>0</v>
      </c>
      <c r="Q111">
        <v>1440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197</v>
      </c>
      <c r="AH111" s="21" t="s">
        <v>3429</v>
      </c>
      <c r="AI111" s="21">
        <v>107.92500000000001</v>
      </c>
      <c r="AJ111" s="21">
        <v>100</v>
      </c>
      <c r="AK111" s="21" t="s">
        <v>2054</v>
      </c>
      <c r="AL111" t="s">
        <v>70</v>
      </c>
      <c r="AM111" t="s">
        <v>2027</v>
      </c>
    </row>
    <row r="112" spans="1:39" ht="15" hidden="1" thickTop="1" x14ac:dyDescent="0.35">
      <c r="A112" t="s">
        <v>2503</v>
      </c>
      <c r="B112" t="s">
        <v>2482</v>
      </c>
      <c r="C112" t="s">
        <v>66</v>
      </c>
      <c r="D112" t="s">
        <v>2483</v>
      </c>
      <c r="E112" t="s">
        <v>559</v>
      </c>
      <c r="F112">
        <v>1</v>
      </c>
      <c r="G112" t="s">
        <v>2050</v>
      </c>
      <c r="H112" t="s">
        <v>2051</v>
      </c>
      <c r="I112" t="s">
        <v>53</v>
      </c>
      <c r="J112" t="s">
        <v>67</v>
      </c>
      <c r="K112" t="s">
        <v>68</v>
      </c>
      <c r="L112" t="s">
        <v>2052</v>
      </c>
      <c r="M112" t="s">
        <v>2053</v>
      </c>
      <c r="N112">
        <v>0</v>
      </c>
      <c r="O112">
        <v>0</v>
      </c>
      <c r="P112">
        <v>0</v>
      </c>
      <c r="Q112">
        <v>1440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198</v>
      </c>
      <c r="AH112" s="21" t="s">
        <v>3429</v>
      </c>
      <c r="AI112" s="21">
        <v>107.92500000000001</v>
      </c>
      <c r="AJ112" s="21">
        <v>100</v>
      </c>
      <c r="AK112" s="21" t="s">
        <v>2055</v>
      </c>
      <c r="AL112" t="s">
        <v>70</v>
      </c>
      <c r="AM112" t="s">
        <v>2028</v>
      </c>
    </row>
    <row r="113" spans="1:39" ht="15" hidden="1" thickTop="1" x14ac:dyDescent="0.35">
      <c r="A113" t="s">
        <v>2475</v>
      </c>
      <c r="B113" t="s">
        <v>2484</v>
      </c>
      <c r="C113" t="s">
        <v>102</v>
      </c>
      <c r="D113" t="s">
        <v>2485</v>
      </c>
      <c r="E113" t="s">
        <v>559</v>
      </c>
      <c r="F113">
        <v>1</v>
      </c>
      <c r="G113" t="s">
        <v>2050</v>
      </c>
      <c r="H113" t="s">
        <v>2051</v>
      </c>
      <c r="I113" t="s">
        <v>53</v>
      </c>
      <c r="J113" t="s">
        <v>67</v>
      </c>
      <c r="K113" t="s">
        <v>68</v>
      </c>
      <c r="L113" t="s">
        <v>2052</v>
      </c>
      <c r="M113" t="s">
        <v>2053</v>
      </c>
      <c r="N113">
        <v>0</v>
      </c>
      <c r="O113">
        <v>0</v>
      </c>
      <c r="P113">
        <v>0</v>
      </c>
      <c r="Q113">
        <v>1440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199</v>
      </c>
      <c r="AH113" s="21" t="s">
        <v>3429</v>
      </c>
      <c r="AI113" s="21">
        <v>107.92500000000001</v>
      </c>
      <c r="AJ113" s="21">
        <v>100</v>
      </c>
      <c r="AK113" s="21" t="s">
        <v>2054</v>
      </c>
      <c r="AL113" t="s">
        <v>70</v>
      </c>
      <c r="AM113" t="s">
        <v>2027</v>
      </c>
    </row>
    <row r="114" spans="1:39" ht="15" hidden="1" thickTop="1" x14ac:dyDescent="0.35">
      <c r="A114" t="s">
        <v>2507</v>
      </c>
      <c r="B114" t="s">
        <v>2486</v>
      </c>
      <c r="C114" t="s">
        <v>92</v>
      </c>
      <c r="D114" t="s">
        <v>2487</v>
      </c>
      <c r="E114" t="s">
        <v>559</v>
      </c>
      <c r="F114">
        <v>1</v>
      </c>
      <c r="G114" t="s">
        <v>2050</v>
      </c>
      <c r="H114" t="s">
        <v>2051</v>
      </c>
      <c r="I114" t="s">
        <v>53</v>
      </c>
      <c r="J114" t="s">
        <v>67</v>
      </c>
      <c r="K114" t="s">
        <v>68</v>
      </c>
      <c r="L114" t="s">
        <v>2052</v>
      </c>
      <c r="M114" t="s">
        <v>2053</v>
      </c>
      <c r="N114">
        <v>0</v>
      </c>
      <c r="O114">
        <v>0</v>
      </c>
      <c r="P114">
        <v>0</v>
      </c>
      <c r="Q114">
        <v>1440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200</v>
      </c>
      <c r="AH114" s="21" t="s">
        <v>3424</v>
      </c>
      <c r="AI114" s="21">
        <v>107.92500000000001</v>
      </c>
      <c r="AJ114" s="21">
        <v>100</v>
      </c>
      <c r="AK114" s="21" t="s">
        <v>2054</v>
      </c>
      <c r="AL114" t="s">
        <v>70</v>
      </c>
      <c r="AM114" t="s">
        <v>2028</v>
      </c>
    </row>
    <row r="115" spans="1:39" ht="15" hidden="1" thickTop="1" x14ac:dyDescent="0.35">
      <c r="A115" t="s">
        <v>2509</v>
      </c>
      <c r="B115" t="s">
        <v>2488</v>
      </c>
      <c r="C115" t="s">
        <v>76</v>
      </c>
      <c r="D115" t="s">
        <v>2489</v>
      </c>
      <c r="E115" t="s">
        <v>119</v>
      </c>
      <c r="F115">
        <v>1</v>
      </c>
      <c r="G115" t="s">
        <v>2050</v>
      </c>
      <c r="H115" t="s">
        <v>2051</v>
      </c>
      <c r="I115" t="s">
        <v>53</v>
      </c>
      <c r="J115" t="s">
        <v>67</v>
      </c>
      <c r="K115" t="s">
        <v>68</v>
      </c>
      <c r="L115" t="s">
        <v>2052</v>
      </c>
      <c r="M115" t="s">
        <v>2053</v>
      </c>
      <c r="N115">
        <v>0</v>
      </c>
      <c r="O115">
        <v>0</v>
      </c>
      <c r="P115">
        <v>0</v>
      </c>
      <c r="Q115">
        <v>1440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201</v>
      </c>
      <c r="AH115" s="21" t="s">
        <v>3429</v>
      </c>
      <c r="AI115" s="21">
        <v>107.92500000000001</v>
      </c>
      <c r="AJ115" s="21">
        <v>100</v>
      </c>
      <c r="AK115" s="21" t="s">
        <v>2054</v>
      </c>
      <c r="AL115" t="s">
        <v>70</v>
      </c>
      <c r="AM115" t="s">
        <v>2029</v>
      </c>
    </row>
    <row r="116" spans="1:39" ht="15" hidden="1" thickTop="1" x14ac:dyDescent="0.35">
      <c r="A116" t="s">
        <v>2510</v>
      </c>
      <c r="B116" t="s">
        <v>2490</v>
      </c>
      <c r="C116" t="s">
        <v>3376</v>
      </c>
      <c r="D116" t="s">
        <v>2491</v>
      </c>
      <c r="E116" t="s">
        <v>559</v>
      </c>
      <c r="F116">
        <v>1</v>
      </c>
      <c r="G116" t="s">
        <v>2050</v>
      </c>
      <c r="H116" t="s">
        <v>2051</v>
      </c>
      <c r="I116" t="s">
        <v>53</v>
      </c>
      <c r="J116" t="s">
        <v>67</v>
      </c>
      <c r="K116" t="s">
        <v>68</v>
      </c>
      <c r="L116" t="s">
        <v>2052</v>
      </c>
      <c r="M116" t="s">
        <v>2053</v>
      </c>
      <c r="N116">
        <v>0</v>
      </c>
      <c r="O116">
        <v>0</v>
      </c>
      <c r="P116">
        <v>0</v>
      </c>
      <c r="Q116">
        <v>1440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202</v>
      </c>
      <c r="AH116" s="21" t="s">
        <v>3424</v>
      </c>
      <c r="AI116" s="21">
        <v>107.92500000000001</v>
      </c>
      <c r="AJ116" s="21">
        <v>100</v>
      </c>
      <c r="AK116" s="21" t="s">
        <v>2054</v>
      </c>
      <c r="AL116" t="s">
        <v>70</v>
      </c>
      <c r="AM116" t="s">
        <v>2030</v>
      </c>
    </row>
    <row r="117" spans="1:39" ht="15" hidden="1" thickTop="1" x14ac:dyDescent="0.35">
      <c r="A117" t="s">
        <v>2522</v>
      </c>
      <c r="B117" t="s">
        <v>2512</v>
      </c>
      <c r="C117" t="s">
        <v>76</v>
      </c>
      <c r="D117" t="s">
        <v>2513</v>
      </c>
      <c r="E117" t="s">
        <v>559</v>
      </c>
      <c r="F117">
        <v>2</v>
      </c>
      <c r="G117" t="s">
        <v>2050</v>
      </c>
      <c r="H117" t="s">
        <v>2051</v>
      </c>
      <c r="I117" t="s">
        <v>53</v>
      </c>
      <c r="J117" t="s">
        <v>67</v>
      </c>
      <c r="K117" t="s">
        <v>68</v>
      </c>
      <c r="L117" t="s">
        <v>2052</v>
      </c>
      <c r="M117" t="s">
        <v>2064</v>
      </c>
      <c r="N117">
        <v>0</v>
      </c>
      <c r="O117">
        <v>0</v>
      </c>
      <c r="P117">
        <v>0</v>
      </c>
      <c r="Q117">
        <v>900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204</v>
      </c>
      <c r="AH117" s="21" t="s">
        <v>3424</v>
      </c>
      <c r="AI117" s="21">
        <v>67.5</v>
      </c>
      <c r="AJ117" s="21">
        <v>100</v>
      </c>
      <c r="AK117" s="21" t="s">
        <v>2055</v>
      </c>
      <c r="AL117" t="s">
        <v>70</v>
      </c>
      <c r="AM117" t="s">
        <v>2028</v>
      </c>
    </row>
    <row r="118" spans="1:39" ht="15" hidden="1" thickTop="1" x14ac:dyDescent="0.35">
      <c r="A118" t="s">
        <v>2525</v>
      </c>
      <c r="B118" t="s">
        <v>2514</v>
      </c>
      <c r="C118" t="s">
        <v>117</v>
      </c>
      <c r="D118" t="s">
        <v>2515</v>
      </c>
      <c r="E118" t="s">
        <v>559</v>
      </c>
      <c r="F118">
        <v>1</v>
      </c>
      <c r="G118" t="s">
        <v>2050</v>
      </c>
      <c r="H118" t="s">
        <v>2051</v>
      </c>
      <c r="I118" t="s">
        <v>53</v>
      </c>
      <c r="J118" t="s">
        <v>67</v>
      </c>
      <c r="K118" t="s">
        <v>68</v>
      </c>
      <c r="L118" t="s">
        <v>2052</v>
      </c>
      <c r="M118" t="s">
        <v>2053</v>
      </c>
      <c r="N118">
        <v>0</v>
      </c>
      <c r="O118">
        <v>0</v>
      </c>
      <c r="P118">
        <v>0</v>
      </c>
      <c r="Q118">
        <v>1440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205</v>
      </c>
      <c r="AH118" s="21" t="s">
        <v>3424</v>
      </c>
      <c r="AI118" s="21">
        <v>107.92500000000001</v>
      </c>
      <c r="AJ118" s="21">
        <v>100</v>
      </c>
      <c r="AK118" s="21" t="s">
        <v>2054</v>
      </c>
      <c r="AL118" t="s">
        <v>70</v>
      </c>
      <c r="AM118" t="s">
        <v>2029</v>
      </c>
    </row>
    <row r="119" spans="1:39" ht="15" hidden="1" thickTop="1" x14ac:dyDescent="0.35">
      <c r="A119" t="s">
        <v>2526</v>
      </c>
      <c r="B119" t="s">
        <v>2516</v>
      </c>
      <c r="C119" t="s">
        <v>111</v>
      </c>
      <c r="D119" t="s">
        <v>2517</v>
      </c>
      <c r="E119" t="s">
        <v>112</v>
      </c>
      <c r="F119">
        <v>1</v>
      </c>
      <c r="G119" t="s">
        <v>2050</v>
      </c>
      <c r="H119" t="s">
        <v>2051</v>
      </c>
      <c r="I119" t="s">
        <v>53</v>
      </c>
      <c r="J119" t="s">
        <v>113</v>
      </c>
      <c r="K119" t="s">
        <v>68</v>
      </c>
      <c r="L119" t="s">
        <v>2052</v>
      </c>
      <c r="M119" t="s">
        <v>2053</v>
      </c>
      <c r="N119">
        <v>0</v>
      </c>
      <c r="O119">
        <v>0</v>
      </c>
      <c r="P119">
        <v>0</v>
      </c>
      <c r="Q119">
        <v>1440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206</v>
      </c>
      <c r="AH119" s="21" t="s">
        <v>3430</v>
      </c>
      <c r="AI119" s="21">
        <v>107.92500000000001</v>
      </c>
      <c r="AJ119" s="21">
        <v>100</v>
      </c>
      <c r="AK119" s="21" t="s">
        <v>2054</v>
      </c>
      <c r="AL119" t="s">
        <v>115</v>
      </c>
      <c r="AM119" t="s">
        <v>2027</v>
      </c>
    </row>
    <row r="120" spans="1:39" ht="15" hidden="1" thickTop="1" x14ac:dyDescent="0.35">
      <c r="A120" t="s">
        <v>2534</v>
      </c>
      <c r="B120" t="s">
        <v>2523</v>
      </c>
      <c r="C120" t="s">
        <v>102</v>
      </c>
      <c r="D120" t="s">
        <v>2524</v>
      </c>
      <c r="E120" t="s">
        <v>559</v>
      </c>
      <c r="F120">
        <v>1</v>
      </c>
      <c r="G120" t="s">
        <v>2050</v>
      </c>
      <c r="H120" t="s">
        <v>2051</v>
      </c>
      <c r="I120" t="s">
        <v>53</v>
      </c>
      <c r="J120" t="s">
        <v>67</v>
      </c>
      <c r="K120" t="s">
        <v>68</v>
      </c>
      <c r="L120" t="s">
        <v>2052</v>
      </c>
      <c r="M120" t="s">
        <v>2053</v>
      </c>
      <c r="N120">
        <v>0</v>
      </c>
      <c r="O120">
        <v>0</v>
      </c>
      <c r="P120">
        <v>0</v>
      </c>
      <c r="Q120">
        <v>1440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t="s">
        <v>207</v>
      </c>
      <c r="AH120" s="21" t="s">
        <v>3424</v>
      </c>
      <c r="AI120" s="21">
        <v>107.92500000000001</v>
      </c>
      <c r="AJ120" s="21">
        <v>100</v>
      </c>
      <c r="AK120" s="21" t="s">
        <v>2054</v>
      </c>
      <c r="AL120" t="s">
        <v>70</v>
      </c>
      <c r="AM120" t="s">
        <v>2029</v>
      </c>
    </row>
    <row r="121" spans="1:39" ht="15" hidden="1" thickTop="1" x14ac:dyDescent="0.35">
      <c r="A121" t="s">
        <v>2544</v>
      </c>
      <c r="B121" t="s">
        <v>2527</v>
      </c>
      <c r="C121" t="s">
        <v>92</v>
      </c>
      <c r="D121" t="s">
        <v>2528</v>
      </c>
      <c r="E121" t="s">
        <v>119</v>
      </c>
      <c r="F121">
        <v>1</v>
      </c>
      <c r="G121" t="s">
        <v>2050</v>
      </c>
      <c r="H121" t="s">
        <v>2051</v>
      </c>
      <c r="I121" t="s">
        <v>53</v>
      </c>
      <c r="J121" t="s">
        <v>67</v>
      </c>
      <c r="K121" t="s">
        <v>68</v>
      </c>
      <c r="L121" t="s">
        <v>2052</v>
      </c>
      <c r="M121" t="s">
        <v>2053</v>
      </c>
      <c r="N121">
        <v>0</v>
      </c>
      <c r="O121">
        <v>0</v>
      </c>
      <c r="P121">
        <v>0</v>
      </c>
      <c r="Q121">
        <v>1440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208</v>
      </c>
      <c r="AH121" s="21" t="s">
        <v>3425</v>
      </c>
      <c r="AI121" s="21">
        <v>107.92500000000001</v>
      </c>
      <c r="AJ121" s="21">
        <v>100</v>
      </c>
      <c r="AK121" s="21" t="s">
        <v>2054</v>
      </c>
      <c r="AL121" t="s">
        <v>70</v>
      </c>
      <c r="AM121" t="s">
        <v>2030</v>
      </c>
    </row>
    <row r="122" spans="1:39" ht="15" hidden="1" thickTop="1" x14ac:dyDescent="0.35">
      <c r="A122" t="s">
        <v>2548</v>
      </c>
      <c r="B122" t="s">
        <v>2530</v>
      </c>
      <c r="C122" t="s">
        <v>76</v>
      </c>
      <c r="D122" t="s">
        <v>2531</v>
      </c>
      <c r="E122" t="s">
        <v>559</v>
      </c>
      <c r="F122">
        <v>2</v>
      </c>
      <c r="G122" t="s">
        <v>2050</v>
      </c>
      <c r="H122" t="s">
        <v>2051</v>
      </c>
      <c r="I122" t="s">
        <v>53</v>
      </c>
      <c r="J122" t="s">
        <v>67</v>
      </c>
      <c r="K122" t="s">
        <v>68</v>
      </c>
      <c r="L122" t="s">
        <v>2052</v>
      </c>
      <c r="M122" t="s">
        <v>2053</v>
      </c>
      <c r="N122">
        <v>0</v>
      </c>
      <c r="O122">
        <v>0</v>
      </c>
      <c r="P122">
        <v>0</v>
      </c>
      <c r="Q122">
        <v>1440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t="s">
        <v>209</v>
      </c>
      <c r="AH122" s="21" t="s">
        <v>3428</v>
      </c>
      <c r="AI122" s="21">
        <v>107.92500000000001</v>
      </c>
      <c r="AJ122" s="21">
        <v>100</v>
      </c>
      <c r="AK122" s="21" t="s">
        <v>2055</v>
      </c>
      <c r="AL122" t="s">
        <v>70</v>
      </c>
      <c r="AM122" t="s">
        <v>2029</v>
      </c>
    </row>
    <row r="123" spans="1:39" ht="15" hidden="1" thickTop="1" x14ac:dyDescent="0.35">
      <c r="A123" t="s">
        <v>2553</v>
      </c>
      <c r="B123" t="s">
        <v>2538</v>
      </c>
      <c r="C123" t="s">
        <v>3376</v>
      </c>
      <c r="D123" t="s">
        <v>2539</v>
      </c>
      <c r="E123" t="s">
        <v>559</v>
      </c>
      <c r="F123">
        <v>1</v>
      </c>
      <c r="G123" t="s">
        <v>2050</v>
      </c>
      <c r="H123" t="s">
        <v>2051</v>
      </c>
      <c r="I123" t="s">
        <v>53</v>
      </c>
      <c r="J123" t="s">
        <v>67</v>
      </c>
      <c r="K123" t="s">
        <v>68</v>
      </c>
      <c r="L123" t="s">
        <v>2052</v>
      </c>
      <c r="M123" t="s">
        <v>2053</v>
      </c>
      <c r="N123">
        <v>0</v>
      </c>
      <c r="O123">
        <v>0</v>
      </c>
      <c r="P123">
        <v>0</v>
      </c>
      <c r="Q123">
        <v>1440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211</v>
      </c>
      <c r="AH123" s="21" t="s">
        <v>3425</v>
      </c>
      <c r="AI123" s="21">
        <v>107.92500000000001</v>
      </c>
      <c r="AJ123" s="21">
        <v>100</v>
      </c>
      <c r="AK123" s="21" t="s">
        <v>2054</v>
      </c>
      <c r="AL123" t="s">
        <v>70</v>
      </c>
      <c r="AM123" t="s">
        <v>2029</v>
      </c>
    </row>
    <row r="124" spans="1:39" ht="15" hidden="1" thickTop="1" x14ac:dyDescent="0.35">
      <c r="A124" t="s">
        <v>2554</v>
      </c>
      <c r="B124" t="s">
        <v>2542</v>
      </c>
      <c r="C124" t="s">
        <v>3376</v>
      </c>
      <c r="D124" t="s">
        <v>2543</v>
      </c>
      <c r="E124" t="s">
        <v>559</v>
      </c>
      <c r="F124">
        <v>1</v>
      </c>
      <c r="G124" t="s">
        <v>2050</v>
      </c>
      <c r="H124" t="s">
        <v>2051</v>
      </c>
      <c r="I124" t="s">
        <v>53</v>
      </c>
      <c r="J124" t="s">
        <v>67</v>
      </c>
      <c r="K124" t="s">
        <v>68</v>
      </c>
      <c r="L124" t="s">
        <v>2052</v>
      </c>
      <c r="M124" t="s">
        <v>2053</v>
      </c>
      <c r="N124">
        <v>1</v>
      </c>
      <c r="O124">
        <v>17</v>
      </c>
      <c r="P124">
        <v>1.18</v>
      </c>
      <c r="Q124">
        <v>1440</v>
      </c>
      <c r="R124">
        <v>1</v>
      </c>
      <c r="S124">
        <v>17</v>
      </c>
      <c r="T124">
        <v>1.18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212</v>
      </c>
      <c r="AH124" s="21" t="s">
        <v>3424</v>
      </c>
      <c r="AI124" s="21">
        <v>107.92500000000001</v>
      </c>
      <c r="AJ124" s="21">
        <v>98.819444444444443</v>
      </c>
      <c r="AK124" s="21" t="s">
        <v>2054</v>
      </c>
      <c r="AL124" t="s">
        <v>70</v>
      </c>
      <c r="AM124" t="s">
        <v>2029</v>
      </c>
    </row>
    <row r="125" spans="1:39" ht="15" hidden="1" thickTop="1" x14ac:dyDescent="0.35">
      <c r="A125" t="s">
        <v>2567</v>
      </c>
      <c r="B125" t="s">
        <v>2556</v>
      </c>
      <c r="C125" t="s">
        <v>76</v>
      </c>
      <c r="D125" t="s">
        <v>2557</v>
      </c>
      <c r="E125" t="s">
        <v>559</v>
      </c>
      <c r="F125">
        <v>1</v>
      </c>
      <c r="G125" t="s">
        <v>2050</v>
      </c>
      <c r="H125" t="s">
        <v>2051</v>
      </c>
      <c r="I125" t="s">
        <v>53</v>
      </c>
      <c r="J125" t="s">
        <v>67</v>
      </c>
      <c r="K125" t="s">
        <v>68</v>
      </c>
      <c r="L125" t="s">
        <v>2052</v>
      </c>
      <c r="M125" t="s">
        <v>2053</v>
      </c>
      <c r="N125">
        <v>0</v>
      </c>
      <c r="O125">
        <v>0</v>
      </c>
      <c r="P125">
        <v>0</v>
      </c>
      <c r="Q125">
        <v>1440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t="s">
        <v>213</v>
      </c>
      <c r="AH125" s="21" t="s">
        <v>3424</v>
      </c>
      <c r="AI125" s="21">
        <v>107.92500000000001</v>
      </c>
      <c r="AJ125" s="21">
        <v>100</v>
      </c>
      <c r="AK125" s="21" t="s">
        <v>2054</v>
      </c>
      <c r="AL125" t="s">
        <v>70</v>
      </c>
      <c r="AM125" t="s">
        <v>2028</v>
      </c>
    </row>
    <row r="126" spans="1:39" ht="15" hidden="1" thickTop="1" x14ac:dyDescent="0.35">
      <c r="A126" t="s">
        <v>2568</v>
      </c>
      <c r="B126" t="s">
        <v>2558</v>
      </c>
      <c r="C126" t="s">
        <v>117</v>
      </c>
      <c r="D126" t="s">
        <v>2559</v>
      </c>
      <c r="E126" t="s">
        <v>559</v>
      </c>
      <c r="F126">
        <v>1</v>
      </c>
      <c r="G126" t="s">
        <v>2050</v>
      </c>
      <c r="H126" t="s">
        <v>2051</v>
      </c>
      <c r="I126" t="s">
        <v>53</v>
      </c>
      <c r="J126" t="s">
        <v>67</v>
      </c>
      <c r="K126" t="s">
        <v>68</v>
      </c>
      <c r="L126" t="s">
        <v>2052</v>
      </c>
      <c r="M126" t="s">
        <v>2053</v>
      </c>
      <c r="N126">
        <v>0</v>
      </c>
      <c r="O126">
        <v>0</v>
      </c>
      <c r="P126">
        <v>0</v>
      </c>
      <c r="Q126">
        <v>1440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214</v>
      </c>
      <c r="AH126" s="21" t="s">
        <v>3424</v>
      </c>
      <c r="AI126" s="21">
        <v>107.92500000000001</v>
      </c>
      <c r="AJ126" s="21">
        <v>100</v>
      </c>
      <c r="AK126" s="21" t="s">
        <v>2054</v>
      </c>
      <c r="AL126" t="s">
        <v>70</v>
      </c>
      <c r="AM126" t="s">
        <v>2027</v>
      </c>
    </row>
    <row r="127" spans="1:39" ht="15" hidden="1" thickTop="1" x14ac:dyDescent="0.35">
      <c r="A127" t="s">
        <v>2576</v>
      </c>
      <c r="B127" t="s">
        <v>2569</v>
      </c>
      <c r="C127" t="s">
        <v>128</v>
      </c>
      <c r="D127" t="s">
        <v>2570</v>
      </c>
      <c r="E127" t="s">
        <v>112</v>
      </c>
      <c r="F127">
        <v>1</v>
      </c>
      <c r="G127" t="s">
        <v>2050</v>
      </c>
      <c r="H127" t="s">
        <v>2051</v>
      </c>
      <c r="I127" t="s">
        <v>53</v>
      </c>
      <c r="J127" t="s">
        <v>113</v>
      </c>
      <c r="K127" t="s">
        <v>68</v>
      </c>
      <c r="L127" t="s">
        <v>2052</v>
      </c>
      <c r="M127" t="s">
        <v>2053</v>
      </c>
      <c r="N127">
        <v>0</v>
      </c>
      <c r="O127">
        <v>0</v>
      </c>
      <c r="P127">
        <v>0</v>
      </c>
      <c r="Q127">
        <v>1440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215</v>
      </c>
      <c r="AH127" s="21" t="s">
        <v>3428</v>
      </c>
      <c r="AI127" s="21">
        <v>107.92500000000001</v>
      </c>
      <c r="AJ127" s="21">
        <v>100</v>
      </c>
      <c r="AK127" s="21" t="s">
        <v>2055</v>
      </c>
      <c r="AL127" t="s">
        <v>115</v>
      </c>
      <c r="AM127" t="s">
        <v>2029</v>
      </c>
    </row>
    <row r="128" spans="1:39" ht="15" hidden="1" thickTop="1" x14ac:dyDescent="0.35">
      <c r="A128" t="s">
        <v>2590</v>
      </c>
      <c r="B128" t="s">
        <v>2577</v>
      </c>
      <c r="C128" t="s">
        <v>565</v>
      </c>
      <c r="D128" t="s">
        <v>2578</v>
      </c>
      <c r="E128" t="s">
        <v>559</v>
      </c>
      <c r="F128">
        <v>2</v>
      </c>
      <c r="G128" t="s">
        <v>2050</v>
      </c>
      <c r="H128" t="s">
        <v>2051</v>
      </c>
      <c r="I128" t="s">
        <v>53</v>
      </c>
      <c r="J128" t="s">
        <v>427</v>
      </c>
      <c r="K128" t="s">
        <v>68</v>
      </c>
      <c r="L128" t="s">
        <v>2052</v>
      </c>
      <c r="M128" t="s">
        <v>2053</v>
      </c>
      <c r="N128">
        <v>0</v>
      </c>
      <c r="O128">
        <v>0</v>
      </c>
      <c r="P128">
        <v>0</v>
      </c>
      <c r="Q128">
        <v>1440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216</v>
      </c>
      <c r="AH128" s="21" t="s">
        <v>3428</v>
      </c>
      <c r="AI128" s="21">
        <v>107.92500000000001</v>
      </c>
      <c r="AJ128" s="21">
        <v>100</v>
      </c>
      <c r="AK128" s="21" t="s">
        <v>2054</v>
      </c>
      <c r="AL128" t="s">
        <v>70</v>
      </c>
      <c r="AM128" t="s">
        <v>2027</v>
      </c>
    </row>
    <row r="129" spans="1:39" ht="15" hidden="1" thickTop="1" x14ac:dyDescent="0.35">
      <c r="A129" t="s">
        <v>2597</v>
      </c>
      <c r="B129" t="s">
        <v>2580</v>
      </c>
      <c r="C129" t="s">
        <v>117</v>
      </c>
      <c r="D129" t="s">
        <v>2581</v>
      </c>
      <c r="E129" t="s">
        <v>559</v>
      </c>
      <c r="F129">
        <v>1</v>
      </c>
      <c r="G129" t="s">
        <v>2050</v>
      </c>
      <c r="H129" t="s">
        <v>2051</v>
      </c>
      <c r="I129" t="s">
        <v>53</v>
      </c>
      <c r="J129" t="s">
        <v>67</v>
      </c>
      <c r="K129" t="s">
        <v>68</v>
      </c>
      <c r="L129" t="s">
        <v>2052</v>
      </c>
      <c r="M129" t="s">
        <v>2053</v>
      </c>
      <c r="N129">
        <v>0</v>
      </c>
      <c r="O129">
        <v>0</v>
      </c>
      <c r="P129">
        <v>0</v>
      </c>
      <c r="Q129">
        <v>1440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217</v>
      </c>
      <c r="AH129" s="21" t="s">
        <v>3425</v>
      </c>
      <c r="AI129" s="21">
        <v>107.92500000000001</v>
      </c>
      <c r="AJ129" s="21">
        <v>100</v>
      </c>
      <c r="AK129" s="21" t="s">
        <v>2054</v>
      </c>
      <c r="AL129" t="s">
        <v>70</v>
      </c>
      <c r="AM129" t="s">
        <v>2031</v>
      </c>
    </row>
    <row r="130" spans="1:39" ht="15" hidden="1" thickTop="1" x14ac:dyDescent="0.35">
      <c r="A130" t="s">
        <v>2599</v>
      </c>
      <c r="B130" t="s">
        <v>2583</v>
      </c>
      <c r="C130" t="s">
        <v>76</v>
      </c>
      <c r="D130" t="s">
        <v>2584</v>
      </c>
      <c r="E130" t="s">
        <v>119</v>
      </c>
      <c r="F130">
        <v>1</v>
      </c>
      <c r="G130" t="s">
        <v>2050</v>
      </c>
      <c r="H130" t="s">
        <v>2051</v>
      </c>
      <c r="I130" t="s">
        <v>53</v>
      </c>
      <c r="J130" t="s">
        <v>67</v>
      </c>
      <c r="K130" t="s">
        <v>68</v>
      </c>
      <c r="L130" t="s">
        <v>2052</v>
      </c>
      <c r="M130" t="s">
        <v>2053</v>
      </c>
      <c r="N130">
        <v>0</v>
      </c>
      <c r="O130">
        <v>0</v>
      </c>
      <c r="P130">
        <v>0</v>
      </c>
      <c r="Q130">
        <v>1440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t="s">
        <v>218</v>
      </c>
      <c r="AH130" s="21" t="s">
        <v>3425</v>
      </c>
      <c r="AI130" s="21">
        <v>107.92500000000001</v>
      </c>
      <c r="AJ130" s="21">
        <v>100</v>
      </c>
      <c r="AK130" s="21" t="s">
        <v>2054</v>
      </c>
      <c r="AL130" t="s">
        <v>70</v>
      </c>
      <c r="AM130" t="s">
        <v>2031</v>
      </c>
    </row>
    <row r="131" spans="1:39" ht="15" hidden="1" thickTop="1" x14ac:dyDescent="0.35">
      <c r="A131" t="s">
        <v>2604</v>
      </c>
      <c r="B131" t="s">
        <v>2591</v>
      </c>
      <c r="C131" t="s">
        <v>71</v>
      </c>
      <c r="D131" t="s">
        <v>2592</v>
      </c>
      <c r="E131" t="s">
        <v>72</v>
      </c>
      <c r="F131">
        <v>1</v>
      </c>
      <c r="G131" t="s">
        <v>2050</v>
      </c>
      <c r="H131" t="s">
        <v>2051</v>
      </c>
      <c r="I131" t="s">
        <v>53</v>
      </c>
      <c r="J131" t="s">
        <v>73</v>
      </c>
      <c r="K131" t="s">
        <v>68</v>
      </c>
      <c r="L131" t="s">
        <v>2052</v>
      </c>
      <c r="M131" t="s">
        <v>2053</v>
      </c>
      <c r="N131">
        <v>0</v>
      </c>
      <c r="O131">
        <v>0</v>
      </c>
      <c r="P131">
        <v>0</v>
      </c>
      <c r="Q131">
        <v>1440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219</v>
      </c>
      <c r="AH131" s="21" t="s">
        <v>3428</v>
      </c>
      <c r="AI131" s="21">
        <v>107.92500000000001</v>
      </c>
      <c r="AJ131" s="21">
        <v>100</v>
      </c>
      <c r="AK131" s="21" t="s">
        <v>2054</v>
      </c>
      <c r="AL131" t="s">
        <v>75</v>
      </c>
      <c r="AM131" t="s">
        <v>2028</v>
      </c>
    </row>
    <row r="132" spans="1:39" ht="15" hidden="1" thickTop="1" x14ac:dyDescent="0.35">
      <c r="A132" t="s">
        <v>2613</v>
      </c>
      <c r="B132" t="s">
        <v>2593</v>
      </c>
      <c r="C132" t="s">
        <v>92</v>
      </c>
      <c r="D132" t="s">
        <v>2594</v>
      </c>
      <c r="E132" t="s">
        <v>119</v>
      </c>
      <c r="F132">
        <v>1</v>
      </c>
      <c r="G132" t="s">
        <v>2050</v>
      </c>
      <c r="H132" t="s">
        <v>2051</v>
      </c>
      <c r="I132" t="s">
        <v>53</v>
      </c>
      <c r="J132" t="s">
        <v>67</v>
      </c>
      <c r="K132" t="s">
        <v>68</v>
      </c>
      <c r="L132" t="s">
        <v>2052</v>
      </c>
      <c r="M132" t="s">
        <v>2053</v>
      </c>
      <c r="N132">
        <v>0</v>
      </c>
      <c r="O132">
        <v>0</v>
      </c>
      <c r="P132">
        <v>0</v>
      </c>
      <c r="Q132">
        <v>1440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220</v>
      </c>
      <c r="AH132" s="21" t="s">
        <v>3424</v>
      </c>
      <c r="AI132" s="21">
        <v>107.92500000000001</v>
      </c>
      <c r="AJ132" s="21">
        <v>100</v>
      </c>
      <c r="AK132" s="21" t="s">
        <v>2054</v>
      </c>
      <c r="AL132" t="s">
        <v>70</v>
      </c>
      <c r="AM132" t="s">
        <v>2029</v>
      </c>
    </row>
    <row r="133" spans="1:39" ht="15" hidden="1" thickTop="1" x14ac:dyDescent="0.35">
      <c r="A133" t="s">
        <v>2073</v>
      </c>
      <c r="B133" t="s">
        <v>2605</v>
      </c>
      <c r="C133" t="s">
        <v>102</v>
      </c>
      <c r="D133" t="s">
        <v>2606</v>
      </c>
      <c r="E133" t="s">
        <v>559</v>
      </c>
      <c r="F133">
        <v>1</v>
      </c>
      <c r="G133" t="s">
        <v>2050</v>
      </c>
      <c r="H133" t="s">
        <v>2051</v>
      </c>
      <c r="I133" t="s">
        <v>53</v>
      </c>
      <c r="J133" t="s">
        <v>67</v>
      </c>
      <c r="K133" t="s">
        <v>68</v>
      </c>
      <c r="L133" t="s">
        <v>2052</v>
      </c>
      <c r="M133" t="s">
        <v>2053</v>
      </c>
      <c r="N133">
        <v>0</v>
      </c>
      <c r="O133">
        <v>0</v>
      </c>
      <c r="P133">
        <v>0</v>
      </c>
      <c r="Q133">
        <v>1440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222</v>
      </c>
      <c r="AH133" s="21" t="s">
        <v>3424</v>
      </c>
      <c r="AI133" s="21">
        <v>107.92500000000001</v>
      </c>
      <c r="AJ133" s="21">
        <v>100</v>
      </c>
      <c r="AK133" s="21" t="s">
        <v>2054</v>
      </c>
      <c r="AL133" t="s">
        <v>70</v>
      </c>
      <c r="AM133" t="s">
        <v>2030</v>
      </c>
    </row>
    <row r="134" spans="1:39" ht="15" hidden="1" thickTop="1" x14ac:dyDescent="0.35">
      <c r="A134" t="s">
        <v>2074</v>
      </c>
      <c r="B134" t="s">
        <v>2608</v>
      </c>
      <c r="C134" t="s">
        <v>102</v>
      </c>
      <c r="D134" t="s">
        <v>2609</v>
      </c>
      <c r="E134" t="s">
        <v>559</v>
      </c>
      <c r="F134">
        <v>1</v>
      </c>
      <c r="G134" t="s">
        <v>2050</v>
      </c>
      <c r="H134" t="s">
        <v>2051</v>
      </c>
      <c r="I134" t="s">
        <v>53</v>
      </c>
      <c r="J134" t="s">
        <v>67</v>
      </c>
      <c r="K134" t="s">
        <v>68</v>
      </c>
      <c r="L134" t="s">
        <v>2052</v>
      </c>
      <c r="M134" t="s">
        <v>2053</v>
      </c>
      <c r="N134">
        <v>1</v>
      </c>
      <c r="O134">
        <v>29</v>
      </c>
      <c r="P134">
        <v>2.0099999999999998</v>
      </c>
      <c r="Q134">
        <v>1440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29</v>
      </c>
      <c r="Z134">
        <v>2.0099999999999998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223</v>
      </c>
      <c r="AH134" s="21" t="s">
        <v>3424</v>
      </c>
      <c r="AI134" s="21">
        <v>107.92500000000001</v>
      </c>
      <c r="AJ134" s="21">
        <v>97.986111111111114</v>
      </c>
      <c r="AK134" s="21" t="s">
        <v>2054</v>
      </c>
      <c r="AL134" t="s">
        <v>70</v>
      </c>
      <c r="AM134" t="s">
        <v>2028</v>
      </c>
    </row>
    <row r="135" spans="1:39" ht="15" hidden="1" thickTop="1" x14ac:dyDescent="0.35">
      <c r="A135" t="s">
        <v>2075</v>
      </c>
      <c r="B135" t="s">
        <v>2611</v>
      </c>
      <c r="C135" t="s">
        <v>117</v>
      </c>
      <c r="D135" t="s">
        <v>2612</v>
      </c>
      <c r="E135" t="s">
        <v>559</v>
      </c>
      <c r="F135">
        <v>1</v>
      </c>
      <c r="G135" t="s">
        <v>2050</v>
      </c>
      <c r="H135" t="s">
        <v>2051</v>
      </c>
      <c r="I135" t="s">
        <v>53</v>
      </c>
      <c r="J135" t="s">
        <v>67</v>
      </c>
      <c r="K135" t="s">
        <v>68</v>
      </c>
      <c r="L135" t="s">
        <v>2052</v>
      </c>
      <c r="M135" t="s">
        <v>2053</v>
      </c>
      <c r="N135">
        <v>0</v>
      </c>
      <c r="O135">
        <v>0</v>
      </c>
      <c r="P135">
        <v>0</v>
      </c>
      <c r="Q135">
        <v>1440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224</v>
      </c>
      <c r="AH135" s="21" t="s">
        <v>3424</v>
      </c>
      <c r="AI135" s="21">
        <v>107.92500000000001</v>
      </c>
      <c r="AJ135" s="21">
        <v>100</v>
      </c>
      <c r="AK135" s="21" t="s">
        <v>2054</v>
      </c>
      <c r="AL135" t="s">
        <v>70</v>
      </c>
      <c r="AM135" t="s">
        <v>2027</v>
      </c>
    </row>
    <row r="136" spans="1:39" ht="15" hidden="1" thickTop="1" x14ac:dyDescent="0.35">
      <c r="A136" t="s">
        <v>2076</v>
      </c>
      <c r="B136" t="s">
        <v>2617</v>
      </c>
      <c r="C136" t="s">
        <v>128</v>
      </c>
      <c r="D136" t="s">
        <v>2618</v>
      </c>
      <c r="E136" t="s">
        <v>112</v>
      </c>
      <c r="F136">
        <v>1</v>
      </c>
      <c r="G136" t="s">
        <v>2050</v>
      </c>
      <c r="H136" t="s">
        <v>2051</v>
      </c>
      <c r="I136" t="s">
        <v>53</v>
      </c>
      <c r="J136" t="s">
        <v>113</v>
      </c>
      <c r="K136" t="s">
        <v>68</v>
      </c>
      <c r="L136" t="s">
        <v>2052</v>
      </c>
      <c r="M136" t="s">
        <v>2619</v>
      </c>
      <c r="N136">
        <v>0</v>
      </c>
      <c r="O136">
        <v>0</v>
      </c>
      <c r="P136">
        <v>0</v>
      </c>
      <c r="Q136">
        <v>1140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225</v>
      </c>
      <c r="AH136" s="21" t="s">
        <v>3424</v>
      </c>
      <c r="AI136" s="21">
        <v>85.5</v>
      </c>
      <c r="AJ136" s="21">
        <v>100</v>
      </c>
      <c r="AK136" s="21" t="s">
        <v>2054</v>
      </c>
      <c r="AL136" t="s">
        <v>115</v>
      </c>
      <c r="AM136" t="s">
        <v>2027</v>
      </c>
    </row>
    <row r="137" spans="1:39" ht="15" hidden="1" thickTop="1" x14ac:dyDescent="0.35">
      <c r="A137" t="s">
        <v>2627</v>
      </c>
      <c r="B137" t="s">
        <v>2620</v>
      </c>
      <c r="C137" t="s">
        <v>66</v>
      </c>
      <c r="D137" t="s">
        <v>2621</v>
      </c>
      <c r="E137" t="s">
        <v>559</v>
      </c>
      <c r="F137">
        <v>1</v>
      </c>
      <c r="G137" t="s">
        <v>2050</v>
      </c>
      <c r="H137" t="s">
        <v>2051</v>
      </c>
      <c r="I137" t="s">
        <v>53</v>
      </c>
      <c r="J137" t="s">
        <v>67</v>
      </c>
      <c r="K137" t="s">
        <v>68</v>
      </c>
      <c r="L137" t="s">
        <v>2052</v>
      </c>
      <c r="M137" t="s">
        <v>2053</v>
      </c>
      <c r="N137">
        <v>0</v>
      </c>
      <c r="O137">
        <v>0</v>
      </c>
      <c r="P137">
        <v>0</v>
      </c>
      <c r="Q137">
        <v>1440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226</v>
      </c>
      <c r="AH137" s="21" t="s">
        <v>3424</v>
      </c>
      <c r="AI137" s="21">
        <v>107.92500000000001</v>
      </c>
      <c r="AJ137" s="21">
        <v>100</v>
      </c>
      <c r="AK137" s="21" t="s">
        <v>2055</v>
      </c>
      <c r="AL137" t="s">
        <v>70</v>
      </c>
      <c r="AM137" t="s">
        <v>2028</v>
      </c>
    </row>
    <row r="138" spans="1:39" ht="15" hidden="1" thickTop="1" x14ac:dyDescent="0.35">
      <c r="A138" t="s">
        <v>2631</v>
      </c>
      <c r="B138" t="s">
        <v>2628</v>
      </c>
      <c r="C138" t="s">
        <v>66</v>
      </c>
      <c r="D138" t="s">
        <v>2629</v>
      </c>
      <c r="E138" t="s">
        <v>559</v>
      </c>
      <c r="F138">
        <v>1</v>
      </c>
      <c r="G138" t="s">
        <v>2050</v>
      </c>
      <c r="H138" t="s">
        <v>2051</v>
      </c>
      <c r="I138" t="s">
        <v>53</v>
      </c>
      <c r="J138" t="s">
        <v>67</v>
      </c>
      <c r="K138" t="s">
        <v>68</v>
      </c>
      <c r="L138" t="s">
        <v>2052</v>
      </c>
      <c r="M138" t="s">
        <v>2064</v>
      </c>
      <c r="N138">
        <v>0</v>
      </c>
      <c r="O138">
        <v>0</v>
      </c>
      <c r="P138">
        <v>0</v>
      </c>
      <c r="Q138">
        <v>900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t="s">
        <v>227</v>
      </c>
      <c r="AH138" s="21" t="s">
        <v>3424</v>
      </c>
      <c r="AI138" s="21">
        <v>67.5</v>
      </c>
      <c r="AJ138" s="21">
        <v>100</v>
      </c>
      <c r="AK138" s="21" t="s">
        <v>2055</v>
      </c>
      <c r="AL138" t="s">
        <v>70</v>
      </c>
      <c r="AM138" t="s">
        <v>2027</v>
      </c>
    </row>
    <row r="139" spans="1:39" ht="15" hidden="1" thickTop="1" x14ac:dyDescent="0.35">
      <c r="A139" t="s">
        <v>2638</v>
      </c>
      <c r="B139" t="s">
        <v>2632</v>
      </c>
      <c r="C139" t="s">
        <v>100</v>
      </c>
      <c r="D139" t="s">
        <v>2633</v>
      </c>
      <c r="E139" t="s">
        <v>559</v>
      </c>
      <c r="F139">
        <v>1</v>
      </c>
      <c r="G139" t="s">
        <v>2050</v>
      </c>
      <c r="H139" t="s">
        <v>2051</v>
      </c>
      <c r="I139" t="s">
        <v>53</v>
      </c>
      <c r="J139" t="s">
        <v>67</v>
      </c>
      <c r="K139" t="s">
        <v>68</v>
      </c>
      <c r="L139" t="s">
        <v>2052</v>
      </c>
      <c r="M139" t="s">
        <v>2053</v>
      </c>
      <c r="N139">
        <v>0</v>
      </c>
      <c r="O139">
        <v>0</v>
      </c>
      <c r="P139">
        <v>0</v>
      </c>
      <c r="Q139">
        <v>1440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228</v>
      </c>
      <c r="AH139" s="21" t="s">
        <v>3424</v>
      </c>
      <c r="AI139" s="21">
        <v>107.92500000000001</v>
      </c>
      <c r="AJ139" s="21">
        <v>100</v>
      </c>
      <c r="AK139" s="21" t="s">
        <v>2054</v>
      </c>
      <c r="AL139" t="s">
        <v>70</v>
      </c>
      <c r="AM139" t="s">
        <v>2031</v>
      </c>
    </row>
    <row r="140" spans="1:39" ht="15" hidden="1" thickTop="1" x14ac:dyDescent="0.35">
      <c r="A140" t="s">
        <v>2639</v>
      </c>
      <c r="B140" t="s">
        <v>2634</v>
      </c>
      <c r="C140" t="s">
        <v>78</v>
      </c>
      <c r="D140" t="s">
        <v>2635</v>
      </c>
      <c r="E140" t="s">
        <v>559</v>
      </c>
      <c r="F140">
        <v>1</v>
      </c>
      <c r="G140" t="s">
        <v>2050</v>
      </c>
      <c r="H140" t="s">
        <v>2051</v>
      </c>
      <c r="I140" t="s">
        <v>53</v>
      </c>
      <c r="J140" t="s">
        <v>67</v>
      </c>
      <c r="K140" t="s">
        <v>68</v>
      </c>
      <c r="L140" t="s">
        <v>2052</v>
      </c>
      <c r="M140" t="s">
        <v>2053</v>
      </c>
      <c r="N140">
        <v>0</v>
      </c>
      <c r="O140">
        <v>0</v>
      </c>
      <c r="P140">
        <v>0</v>
      </c>
      <c r="Q140">
        <v>1440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229</v>
      </c>
      <c r="AH140" s="21" t="s">
        <v>3424</v>
      </c>
      <c r="AI140" s="21">
        <v>107.92500000000001</v>
      </c>
      <c r="AJ140" s="21">
        <v>100</v>
      </c>
      <c r="AK140" s="21" t="s">
        <v>2055</v>
      </c>
      <c r="AL140" t="s">
        <v>70</v>
      </c>
      <c r="AM140" t="s">
        <v>2031</v>
      </c>
    </row>
    <row r="141" spans="1:39" ht="15" hidden="1" thickTop="1" x14ac:dyDescent="0.35">
      <c r="A141" t="s">
        <v>2643</v>
      </c>
      <c r="B141" t="s">
        <v>2640</v>
      </c>
      <c r="C141" t="s">
        <v>3376</v>
      </c>
      <c r="D141" t="s">
        <v>2641</v>
      </c>
      <c r="E141" t="s">
        <v>559</v>
      </c>
      <c r="F141">
        <v>1</v>
      </c>
      <c r="G141" t="s">
        <v>2050</v>
      </c>
      <c r="H141" t="s">
        <v>2051</v>
      </c>
      <c r="I141" t="s">
        <v>53</v>
      </c>
      <c r="J141" t="s">
        <v>67</v>
      </c>
      <c r="K141" t="s">
        <v>68</v>
      </c>
      <c r="L141" t="s">
        <v>2052</v>
      </c>
      <c r="M141" t="s">
        <v>2053</v>
      </c>
      <c r="N141">
        <v>0</v>
      </c>
      <c r="O141">
        <v>0</v>
      </c>
      <c r="P141">
        <v>0</v>
      </c>
      <c r="Q141">
        <v>1440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t="s">
        <v>230</v>
      </c>
      <c r="AH141" s="21" t="s">
        <v>3424</v>
      </c>
      <c r="AI141" s="21">
        <v>107.92500000000001</v>
      </c>
      <c r="AJ141" s="21">
        <v>100</v>
      </c>
      <c r="AK141" s="21" t="s">
        <v>2055</v>
      </c>
      <c r="AL141" t="s">
        <v>70</v>
      </c>
      <c r="AM141" t="s">
        <v>2031</v>
      </c>
    </row>
    <row r="142" spans="1:39" ht="15" hidden="1" thickTop="1" x14ac:dyDescent="0.35">
      <c r="A142" t="s">
        <v>2647</v>
      </c>
      <c r="B142" t="s">
        <v>2644</v>
      </c>
      <c r="C142" t="s">
        <v>3376</v>
      </c>
      <c r="D142" t="s">
        <v>2645</v>
      </c>
      <c r="E142" t="s">
        <v>559</v>
      </c>
      <c r="F142">
        <v>1</v>
      </c>
      <c r="G142" t="s">
        <v>2050</v>
      </c>
      <c r="H142" t="s">
        <v>2051</v>
      </c>
      <c r="I142" t="s">
        <v>53</v>
      </c>
      <c r="J142" t="s">
        <v>67</v>
      </c>
      <c r="K142" t="s">
        <v>68</v>
      </c>
      <c r="L142" t="s">
        <v>2052</v>
      </c>
      <c r="M142" t="s">
        <v>2053</v>
      </c>
      <c r="N142">
        <v>0</v>
      </c>
      <c r="O142">
        <v>0</v>
      </c>
      <c r="P142">
        <v>0</v>
      </c>
      <c r="Q142">
        <v>1440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231</v>
      </c>
      <c r="AH142" s="21" t="s">
        <v>3424</v>
      </c>
      <c r="AI142" s="21">
        <v>107.92500000000001</v>
      </c>
      <c r="AJ142" s="21">
        <v>100</v>
      </c>
      <c r="AK142" s="21" t="s">
        <v>2054</v>
      </c>
      <c r="AL142" t="s">
        <v>70</v>
      </c>
      <c r="AM142" t="s">
        <v>2027</v>
      </c>
    </row>
    <row r="143" spans="1:39" ht="15" hidden="1" thickTop="1" x14ac:dyDescent="0.35">
      <c r="A143" t="s">
        <v>2508</v>
      </c>
      <c r="B143" t="s">
        <v>2648</v>
      </c>
      <c r="C143" t="s">
        <v>102</v>
      </c>
      <c r="D143" t="s">
        <v>2649</v>
      </c>
      <c r="E143" t="s">
        <v>559</v>
      </c>
      <c r="F143">
        <v>1</v>
      </c>
      <c r="G143" t="s">
        <v>2050</v>
      </c>
      <c r="H143" t="s">
        <v>2051</v>
      </c>
      <c r="I143" t="s">
        <v>53</v>
      </c>
      <c r="J143" t="s">
        <v>67</v>
      </c>
      <c r="K143" t="s">
        <v>68</v>
      </c>
      <c r="L143" t="s">
        <v>2052</v>
      </c>
      <c r="M143" t="s">
        <v>2053</v>
      </c>
      <c r="N143">
        <v>0</v>
      </c>
      <c r="O143">
        <v>0</v>
      </c>
      <c r="P143">
        <v>0</v>
      </c>
      <c r="Q143">
        <v>1440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232</v>
      </c>
      <c r="AH143" s="21" t="s">
        <v>3424</v>
      </c>
      <c r="AI143" s="21">
        <v>107.92500000000001</v>
      </c>
      <c r="AJ143" s="21">
        <v>100</v>
      </c>
      <c r="AK143" s="21" t="s">
        <v>2054</v>
      </c>
      <c r="AL143" t="s">
        <v>70</v>
      </c>
      <c r="AM143" t="s">
        <v>2030</v>
      </c>
    </row>
    <row r="144" spans="1:39" ht="15" hidden="1" thickTop="1" x14ac:dyDescent="0.35">
      <c r="A144" t="s">
        <v>2660</v>
      </c>
      <c r="B144" t="s">
        <v>2650</v>
      </c>
      <c r="C144" t="s">
        <v>92</v>
      </c>
      <c r="D144" t="s">
        <v>2651</v>
      </c>
      <c r="E144" t="s">
        <v>559</v>
      </c>
      <c r="F144">
        <v>1</v>
      </c>
      <c r="G144" t="s">
        <v>2050</v>
      </c>
      <c r="H144" t="s">
        <v>2051</v>
      </c>
      <c r="I144" t="s">
        <v>53</v>
      </c>
      <c r="J144" t="s">
        <v>67</v>
      </c>
      <c r="K144" t="s">
        <v>68</v>
      </c>
      <c r="L144" t="s">
        <v>2052</v>
      </c>
      <c r="M144" t="s">
        <v>2053</v>
      </c>
      <c r="N144">
        <v>0</v>
      </c>
      <c r="O144">
        <v>0</v>
      </c>
      <c r="P144">
        <v>0</v>
      </c>
      <c r="Q144">
        <v>1440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t="s">
        <v>233</v>
      </c>
      <c r="AH144" s="21" t="s">
        <v>3424</v>
      </c>
      <c r="AI144" s="21">
        <v>107.92500000000001</v>
      </c>
      <c r="AJ144" s="21">
        <v>100</v>
      </c>
      <c r="AK144" s="21" t="s">
        <v>2054</v>
      </c>
      <c r="AL144" t="s">
        <v>70</v>
      </c>
      <c r="AM144" t="s">
        <v>2028</v>
      </c>
    </row>
    <row r="145" spans="1:39" ht="15" hidden="1" thickTop="1" x14ac:dyDescent="0.35">
      <c r="A145" t="s">
        <v>2661</v>
      </c>
      <c r="B145" t="s">
        <v>2652</v>
      </c>
      <c r="C145" t="s">
        <v>76</v>
      </c>
      <c r="D145" t="s">
        <v>2653</v>
      </c>
      <c r="E145" t="s">
        <v>119</v>
      </c>
      <c r="F145">
        <v>1</v>
      </c>
      <c r="G145" t="s">
        <v>2050</v>
      </c>
      <c r="H145" t="s">
        <v>2051</v>
      </c>
      <c r="I145" t="s">
        <v>53</v>
      </c>
      <c r="J145" t="s">
        <v>67</v>
      </c>
      <c r="K145" t="s">
        <v>68</v>
      </c>
      <c r="L145" t="s">
        <v>2052</v>
      </c>
      <c r="M145" t="s">
        <v>2053</v>
      </c>
      <c r="N145">
        <v>0</v>
      </c>
      <c r="O145">
        <v>0</v>
      </c>
      <c r="P145">
        <v>0</v>
      </c>
      <c r="Q145">
        <v>1440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234</v>
      </c>
      <c r="AH145" s="21" t="s">
        <v>3424</v>
      </c>
      <c r="AI145" s="21">
        <v>107.92500000000001</v>
      </c>
      <c r="AJ145" s="21">
        <v>100</v>
      </c>
      <c r="AK145" s="21" t="s">
        <v>2054</v>
      </c>
      <c r="AL145" t="s">
        <v>70</v>
      </c>
      <c r="AM145" t="s">
        <v>2028</v>
      </c>
    </row>
    <row r="146" spans="1:39" ht="15" hidden="1" thickTop="1" x14ac:dyDescent="0.35">
      <c r="A146" t="s">
        <v>2662</v>
      </c>
      <c r="B146" t="s">
        <v>2654</v>
      </c>
      <c r="C146" t="s">
        <v>3376</v>
      </c>
      <c r="D146" t="s">
        <v>2655</v>
      </c>
      <c r="E146" t="s">
        <v>559</v>
      </c>
      <c r="F146">
        <v>1</v>
      </c>
      <c r="G146" t="s">
        <v>2050</v>
      </c>
      <c r="H146" t="s">
        <v>2051</v>
      </c>
      <c r="I146" t="s">
        <v>53</v>
      </c>
      <c r="J146" t="s">
        <v>67</v>
      </c>
      <c r="K146" t="s">
        <v>68</v>
      </c>
      <c r="L146" t="s">
        <v>2052</v>
      </c>
      <c r="M146" t="s">
        <v>2053</v>
      </c>
      <c r="N146">
        <v>0</v>
      </c>
      <c r="O146">
        <v>0</v>
      </c>
      <c r="P146">
        <v>0</v>
      </c>
      <c r="Q146">
        <v>1440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235</v>
      </c>
      <c r="AH146" s="21" t="s">
        <v>3424</v>
      </c>
      <c r="AI146" s="21">
        <v>107.92500000000001</v>
      </c>
      <c r="AJ146" s="21">
        <v>100</v>
      </c>
      <c r="AK146" s="21" t="s">
        <v>2054</v>
      </c>
      <c r="AL146" t="s">
        <v>70</v>
      </c>
      <c r="AM146" t="s">
        <v>2028</v>
      </c>
    </row>
    <row r="147" spans="1:39" ht="15" hidden="1" thickTop="1" x14ac:dyDescent="0.35">
      <c r="A147" t="s">
        <v>2663</v>
      </c>
      <c r="B147" t="s">
        <v>2656</v>
      </c>
      <c r="C147" t="s">
        <v>3376</v>
      </c>
      <c r="D147" t="s">
        <v>2657</v>
      </c>
      <c r="E147" t="s">
        <v>559</v>
      </c>
      <c r="F147">
        <v>1</v>
      </c>
      <c r="G147" t="s">
        <v>2050</v>
      </c>
      <c r="H147" t="s">
        <v>2051</v>
      </c>
      <c r="I147" t="s">
        <v>53</v>
      </c>
      <c r="J147" t="s">
        <v>67</v>
      </c>
      <c r="K147" t="s">
        <v>68</v>
      </c>
      <c r="L147" t="s">
        <v>2052</v>
      </c>
      <c r="M147" t="s">
        <v>2053</v>
      </c>
      <c r="N147">
        <v>0</v>
      </c>
      <c r="O147">
        <v>0</v>
      </c>
      <c r="P147">
        <v>0</v>
      </c>
      <c r="Q147">
        <v>1440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236</v>
      </c>
      <c r="AH147" s="21" t="s">
        <v>3425</v>
      </c>
      <c r="AI147" s="21">
        <v>107.92500000000001</v>
      </c>
      <c r="AJ147" s="21">
        <v>100</v>
      </c>
      <c r="AK147" s="21" t="s">
        <v>2055</v>
      </c>
      <c r="AL147" t="s">
        <v>70</v>
      </c>
      <c r="AM147" t="s">
        <v>2030</v>
      </c>
    </row>
    <row r="148" spans="1:39" ht="15" hidden="1" thickTop="1" x14ac:dyDescent="0.35">
      <c r="A148" t="s">
        <v>2511</v>
      </c>
      <c r="B148" t="s">
        <v>2664</v>
      </c>
      <c r="C148" t="s">
        <v>820</v>
      </c>
      <c r="D148" t="s">
        <v>2665</v>
      </c>
      <c r="E148" t="s">
        <v>72</v>
      </c>
      <c r="F148">
        <v>1</v>
      </c>
      <c r="G148" t="s">
        <v>2050</v>
      </c>
      <c r="H148" t="s">
        <v>2051</v>
      </c>
      <c r="I148" t="s">
        <v>53</v>
      </c>
      <c r="J148" t="s">
        <v>424</v>
      </c>
      <c r="K148" t="s">
        <v>68</v>
      </c>
      <c r="L148" t="s">
        <v>2052</v>
      </c>
      <c r="M148" t="s">
        <v>2064</v>
      </c>
      <c r="N148">
        <v>0</v>
      </c>
      <c r="O148">
        <v>0</v>
      </c>
      <c r="P148">
        <v>0</v>
      </c>
      <c r="Q148">
        <v>900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238</v>
      </c>
      <c r="AH148" s="21" t="s">
        <v>3425</v>
      </c>
      <c r="AI148" s="21">
        <v>67.5</v>
      </c>
      <c r="AJ148" s="21">
        <v>100</v>
      </c>
      <c r="AK148" s="21" t="s">
        <v>2054</v>
      </c>
      <c r="AL148" t="s">
        <v>75</v>
      </c>
      <c r="AM148" t="s">
        <v>2027</v>
      </c>
    </row>
    <row r="149" spans="1:39" ht="15" hidden="1" thickTop="1" x14ac:dyDescent="0.35">
      <c r="A149" t="s">
        <v>2673</v>
      </c>
      <c r="B149" t="s">
        <v>2669</v>
      </c>
      <c r="C149" t="s">
        <v>100</v>
      </c>
      <c r="D149" t="s">
        <v>2670</v>
      </c>
      <c r="E149" t="s">
        <v>119</v>
      </c>
      <c r="F149">
        <v>1</v>
      </c>
      <c r="G149" t="s">
        <v>2050</v>
      </c>
      <c r="H149" t="s">
        <v>2051</v>
      </c>
      <c r="I149" t="s">
        <v>53</v>
      </c>
      <c r="J149" t="s">
        <v>67</v>
      </c>
      <c r="K149" t="s">
        <v>68</v>
      </c>
      <c r="L149" t="s">
        <v>3397</v>
      </c>
      <c r="M149" t="s">
        <v>2317</v>
      </c>
      <c r="N149">
        <v>0</v>
      </c>
      <c r="O149">
        <v>0</v>
      </c>
      <c r="P149">
        <v>0</v>
      </c>
      <c r="Q149">
        <v>540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239</v>
      </c>
      <c r="AH149" s="21" t="s">
        <v>3429</v>
      </c>
      <c r="AI149" s="21">
        <v>40.500000000000007</v>
      </c>
      <c r="AJ149" s="21">
        <v>100</v>
      </c>
      <c r="AK149" s="21" t="s">
        <v>2054</v>
      </c>
      <c r="AL149" t="s">
        <v>70</v>
      </c>
      <c r="AM149" t="s">
        <v>2027</v>
      </c>
    </row>
    <row r="150" spans="1:39" ht="15" hidden="1" thickTop="1" x14ac:dyDescent="0.35">
      <c r="A150" t="s">
        <v>2689</v>
      </c>
      <c r="B150" t="s">
        <v>2675</v>
      </c>
      <c r="C150" t="s">
        <v>78</v>
      </c>
      <c r="D150" t="s">
        <v>2676</v>
      </c>
      <c r="E150" t="s">
        <v>559</v>
      </c>
      <c r="F150">
        <v>1</v>
      </c>
      <c r="G150" t="s">
        <v>2050</v>
      </c>
      <c r="H150" t="s">
        <v>2051</v>
      </c>
      <c r="I150" t="s">
        <v>53</v>
      </c>
      <c r="J150" t="s">
        <v>67</v>
      </c>
      <c r="K150" t="s">
        <v>68</v>
      </c>
      <c r="L150" t="s">
        <v>2052</v>
      </c>
      <c r="M150" t="s">
        <v>2083</v>
      </c>
      <c r="N150">
        <v>0</v>
      </c>
      <c r="O150">
        <v>0</v>
      </c>
      <c r="P150">
        <v>0</v>
      </c>
      <c r="Q150">
        <v>960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t="s">
        <v>240</v>
      </c>
      <c r="AH150" s="21" t="s">
        <v>3424</v>
      </c>
      <c r="AI150" s="21">
        <v>72.000000000000014</v>
      </c>
      <c r="AJ150" s="21">
        <v>100</v>
      </c>
      <c r="AK150" s="21" t="s">
        <v>2054</v>
      </c>
      <c r="AL150" t="s">
        <v>70</v>
      </c>
      <c r="AM150" t="s">
        <v>2029</v>
      </c>
    </row>
    <row r="151" spans="1:39" ht="15" hidden="1" thickTop="1" x14ac:dyDescent="0.35">
      <c r="A151" t="s">
        <v>2690</v>
      </c>
      <c r="B151" t="s">
        <v>2677</v>
      </c>
      <c r="C151" t="s">
        <v>66</v>
      </c>
      <c r="D151" t="s">
        <v>2678</v>
      </c>
      <c r="E151" t="s">
        <v>559</v>
      </c>
      <c r="F151">
        <v>1</v>
      </c>
      <c r="G151" t="s">
        <v>2050</v>
      </c>
      <c r="H151" t="s">
        <v>2051</v>
      </c>
      <c r="I151" t="s">
        <v>53</v>
      </c>
      <c r="J151" t="s">
        <v>67</v>
      </c>
      <c r="K151" t="s">
        <v>68</v>
      </c>
      <c r="L151" t="s">
        <v>2052</v>
      </c>
      <c r="M151" t="s">
        <v>2064</v>
      </c>
      <c r="N151">
        <v>0</v>
      </c>
      <c r="O151">
        <v>0</v>
      </c>
      <c r="P151">
        <v>0</v>
      </c>
      <c r="Q151">
        <v>900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t="s">
        <v>241</v>
      </c>
      <c r="AH151" s="21" t="s">
        <v>3424</v>
      </c>
      <c r="AI151" s="21">
        <v>67.5</v>
      </c>
      <c r="AJ151" s="21">
        <v>100</v>
      </c>
      <c r="AK151" s="21" t="s">
        <v>2054</v>
      </c>
      <c r="AL151" t="s">
        <v>70</v>
      </c>
      <c r="AM151" t="s">
        <v>2028</v>
      </c>
    </row>
    <row r="152" spans="1:39" ht="15" hidden="1" thickTop="1" x14ac:dyDescent="0.35">
      <c r="A152" t="s">
        <v>2691</v>
      </c>
      <c r="B152" t="s">
        <v>2679</v>
      </c>
      <c r="C152" t="s">
        <v>100</v>
      </c>
      <c r="D152" t="s">
        <v>2680</v>
      </c>
      <c r="E152" t="s">
        <v>559</v>
      </c>
      <c r="F152">
        <v>1</v>
      </c>
      <c r="G152" t="s">
        <v>2050</v>
      </c>
      <c r="H152" t="s">
        <v>2051</v>
      </c>
      <c r="I152" t="s">
        <v>53</v>
      </c>
      <c r="J152" t="s">
        <v>67</v>
      </c>
      <c r="K152" t="s">
        <v>68</v>
      </c>
      <c r="L152" t="s">
        <v>2052</v>
      </c>
      <c r="M152" t="s">
        <v>2053</v>
      </c>
      <c r="N152">
        <v>0</v>
      </c>
      <c r="O152">
        <v>0</v>
      </c>
      <c r="P152">
        <v>0</v>
      </c>
      <c r="Q152">
        <v>1440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242</v>
      </c>
      <c r="AH152" s="21" t="s">
        <v>3424</v>
      </c>
      <c r="AI152" s="21">
        <v>107.92500000000001</v>
      </c>
      <c r="AJ152" s="21">
        <v>100</v>
      </c>
      <c r="AK152" s="21" t="s">
        <v>2055</v>
      </c>
      <c r="AL152" t="s">
        <v>70</v>
      </c>
      <c r="AM152" t="s">
        <v>2030</v>
      </c>
    </row>
    <row r="153" spans="1:39" ht="15" hidden="1" thickTop="1" x14ac:dyDescent="0.35">
      <c r="A153" t="s">
        <v>2692</v>
      </c>
      <c r="B153" t="s">
        <v>2681</v>
      </c>
      <c r="C153" t="s">
        <v>100</v>
      </c>
      <c r="D153" t="s">
        <v>2682</v>
      </c>
      <c r="E153" t="s">
        <v>559</v>
      </c>
      <c r="F153">
        <v>1</v>
      </c>
      <c r="G153" t="s">
        <v>2050</v>
      </c>
      <c r="H153" t="s">
        <v>2051</v>
      </c>
      <c r="I153" t="s">
        <v>53</v>
      </c>
      <c r="J153" t="s">
        <v>67</v>
      </c>
      <c r="K153" t="s">
        <v>68</v>
      </c>
      <c r="L153" t="s">
        <v>2052</v>
      </c>
      <c r="M153" t="s">
        <v>2053</v>
      </c>
      <c r="N153">
        <v>0</v>
      </c>
      <c r="O153">
        <v>0</v>
      </c>
      <c r="P153">
        <v>0</v>
      </c>
      <c r="Q153">
        <v>1440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t="s">
        <v>243</v>
      </c>
      <c r="AH153" s="21" t="s">
        <v>3424</v>
      </c>
      <c r="AI153" s="21">
        <v>107.92500000000001</v>
      </c>
      <c r="AJ153" s="21">
        <v>100</v>
      </c>
      <c r="AK153" s="21" t="s">
        <v>2055</v>
      </c>
      <c r="AL153" t="s">
        <v>70</v>
      </c>
      <c r="AM153" t="s">
        <v>2030</v>
      </c>
    </row>
    <row r="154" spans="1:39" ht="15" hidden="1" thickTop="1" x14ac:dyDescent="0.35">
      <c r="A154" t="s">
        <v>2693</v>
      </c>
      <c r="B154" t="s">
        <v>2683</v>
      </c>
      <c r="C154" t="s">
        <v>76</v>
      </c>
      <c r="D154" t="s">
        <v>2684</v>
      </c>
      <c r="E154" t="s">
        <v>559</v>
      </c>
      <c r="F154">
        <v>2</v>
      </c>
      <c r="G154" t="s">
        <v>2050</v>
      </c>
      <c r="H154" t="s">
        <v>2051</v>
      </c>
      <c r="I154" t="s">
        <v>53</v>
      </c>
      <c r="J154" t="s">
        <v>67</v>
      </c>
      <c r="K154" t="s">
        <v>68</v>
      </c>
      <c r="L154" t="s">
        <v>2052</v>
      </c>
      <c r="M154" t="s">
        <v>2064</v>
      </c>
      <c r="N154">
        <v>0</v>
      </c>
      <c r="O154">
        <v>0</v>
      </c>
      <c r="P154">
        <v>0</v>
      </c>
      <c r="Q154">
        <v>900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t="s">
        <v>244</v>
      </c>
      <c r="AH154" s="21" t="s">
        <v>3424</v>
      </c>
      <c r="AI154" s="21">
        <v>67.5</v>
      </c>
      <c r="AJ154" s="21">
        <v>100</v>
      </c>
      <c r="AK154" s="21" t="s">
        <v>2054</v>
      </c>
      <c r="AL154" t="s">
        <v>70</v>
      </c>
      <c r="AM154" t="s">
        <v>2029</v>
      </c>
    </row>
    <row r="155" spans="1:39" ht="15" hidden="1" thickTop="1" x14ac:dyDescent="0.35">
      <c r="A155" t="s">
        <v>2694</v>
      </c>
      <c r="B155" t="s">
        <v>2685</v>
      </c>
      <c r="C155" t="s">
        <v>78</v>
      </c>
      <c r="D155" t="s">
        <v>2686</v>
      </c>
      <c r="E155" t="s">
        <v>559</v>
      </c>
      <c r="F155">
        <v>1</v>
      </c>
      <c r="G155" t="s">
        <v>2050</v>
      </c>
      <c r="H155" t="s">
        <v>2051</v>
      </c>
      <c r="I155" t="s">
        <v>53</v>
      </c>
      <c r="J155" t="s">
        <v>67</v>
      </c>
      <c r="K155" t="s">
        <v>68</v>
      </c>
      <c r="L155" t="s">
        <v>2052</v>
      </c>
      <c r="M155" t="s">
        <v>2083</v>
      </c>
      <c r="N155">
        <v>0</v>
      </c>
      <c r="O155">
        <v>0</v>
      </c>
      <c r="P155">
        <v>0</v>
      </c>
      <c r="Q155">
        <v>960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245</v>
      </c>
      <c r="AH155" s="21" t="s">
        <v>3424</v>
      </c>
      <c r="AI155" s="21">
        <v>72.000000000000014</v>
      </c>
      <c r="AJ155" s="21">
        <v>100</v>
      </c>
      <c r="AK155" s="21" t="s">
        <v>2054</v>
      </c>
      <c r="AL155" t="s">
        <v>70</v>
      </c>
      <c r="AM155" t="s">
        <v>2030</v>
      </c>
    </row>
    <row r="156" spans="1:39" ht="15" hidden="1" thickTop="1" x14ac:dyDescent="0.35">
      <c r="A156" t="s">
        <v>2704</v>
      </c>
      <c r="B156" t="s">
        <v>2696</v>
      </c>
      <c r="C156" t="s">
        <v>3376</v>
      </c>
      <c r="D156" t="s">
        <v>2697</v>
      </c>
      <c r="E156" t="s">
        <v>559</v>
      </c>
      <c r="F156">
        <v>1</v>
      </c>
      <c r="G156" t="s">
        <v>2050</v>
      </c>
      <c r="H156" t="s">
        <v>2051</v>
      </c>
      <c r="I156" t="s">
        <v>53</v>
      </c>
      <c r="J156" t="s">
        <v>67</v>
      </c>
      <c r="K156" t="s">
        <v>68</v>
      </c>
      <c r="L156" t="s">
        <v>2052</v>
      </c>
      <c r="M156" t="s">
        <v>2053</v>
      </c>
      <c r="N156">
        <v>0</v>
      </c>
      <c r="O156">
        <v>0</v>
      </c>
      <c r="P156">
        <v>0</v>
      </c>
      <c r="Q156">
        <v>1440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246</v>
      </c>
      <c r="AH156" s="21" t="s">
        <v>3424</v>
      </c>
      <c r="AI156" s="21">
        <v>107.92500000000001</v>
      </c>
      <c r="AJ156" s="21">
        <v>100</v>
      </c>
      <c r="AK156" s="21" t="s">
        <v>2054</v>
      </c>
      <c r="AL156" t="s">
        <v>70</v>
      </c>
      <c r="AM156" t="s">
        <v>2029</v>
      </c>
    </row>
    <row r="157" spans="1:39" ht="15" hidden="1" thickTop="1" x14ac:dyDescent="0.35">
      <c r="A157" t="s">
        <v>2705</v>
      </c>
      <c r="B157" t="s">
        <v>2698</v>
      </c>
      <c r="C157" t="s">
        <v>66</v>
      </c>
      <c r="D157" t="s">
        <v>2699</v>
      </c>
      <c r="E157" t="s">
        <v>559</v>
      </c>
      <c r="F157">
        <v>1</v>
      </c>
      <c r="G157" t="s">
        <v>2050</v>
      </c>
      <c r="H157" t="s">
        <v>2051</v>
      </c>
      <c r="I157" t="s">
        <v>53</v>
      </c>
      <c r="J157" t="s">
        <v>67</v>
      </c>
      <c r="K157" t="s">
        <v>68</v>
      </c>
      <c r="L157" t="s">
        <v>2052</v>
      </c>
      <c r="M157" t="s">
        <v>2053</v>
      </c>
      <c r="N157">
        <v>0</v>
      </c>
      <c r="O157">
        <v>0</v>
      </c>
      <c r="P157">
        <v>0</v>
      </c>
      <c r="Q157">
        <v>1440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247</v>
      </c>
      <c r="AH157" s="21" t="s">
        <v>3424</v>
      </c>
      <c r="AI157" s="21">
        <v>107.92500000000001</v>
      </c>
      <c r="AJ157" s="21">
        <v>100</v>
      </c>
      <c r="AK157" s="21" t="s">
        <v>2054</v>
      </c>
      <c r="AL157" t="s">
        <v>70</v>
      </c>
      <c r="AM157" t="s">
        <v>2027</v>
      </c>
    </row>
    <row r="158" spans="1:39" ht="15" hidden="1" thickTop="1" x14ac:dyDescent="0.35">
      <c r="A158" t="s">
        <v>2706</v>
      </c>
      <c r="B158" t="s">
        <v>2700</v>
      </c>
      <c r="C158" t="s">
        <v>92</v>
      </c>
      <c r="D158" t="s">
        <v>2701</v>
      </c>
      <c r="E158" t="s">
        <v>119</v>
      </c>
      <c r="F158">
        <v>1</v>
      </c>
      <c r="G158" t="s">
        <v>2050</v>
      </c>
      <c r="H158" t="s">
        <v>2051</v>
      </c>
      <c r="I158" t="s">
        <v>53</v>
      </c>
      <c r="J158" t="s">
        <v>67</v>
      </c>
      <c r="K158" t="s">
        <v>68</v>
      </c>
      <c r="L158" t="s">
        <v>2052</v>
      </c>
      <c r="M158" t="s">
        <v>2053</v>
      </c>
      <c r="N158">
        <v>0</v>
      </c>
      <c r="O158">
        <v>0</v>
      </c>
      <c r="P158">
        <v>0</v>
      </c>
      <c r="Q158">
        <v>1440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248</v>
      </c>
      <c r="AH158" s="21" t="s">
        <v>3424</v>
      </c>
      <c r="AI158" s="21">
        <v>107.92500000000001</v>
      </c>
      <c r="AJ158" s="21">
        <v>100</v>
      </c>
      <c r="AK158" s="21" t="s">
        <v>2054</v>
      </c>
      <c r="AL158" t="s">
        <v>70</v>
      </c>
      <c r="AM158" t="s">
        <v>2029</v>
      </c>
    </row>
    <row r="159" spans="1:39" ht="15" hidden="1" thickTop="1" x14ac:dyDescent="0.35">
      <c r="A159" t="s">
        <v>2711</v>
      </c>
      <c r="B159" t="s">
        <v>2708</v>
      </c>
      <c r="C159" t="s">
        <v>100</v>
      </c>
      <c r="D159" t="s">
        <v>2709</v>
      </c>
      <c r="E159" t="s">
        <v>559</v>
      </c>
      <c r="F159">
        <v>1</v>
      </c>
      <c r="G159" t="s">
        <v>2050</v>
      </c>
      <c r="H159" t="s">
        <v>2051</v>
      </c>
      <c r="I159" t="s">
        <v>53</v>
      </c>
      <c r="J159" t="s">
        <v>67</v>
      </c>
      <c r="K159" t="s">
        <v>68</v>
      </c>
      <c r="L159" t="s">
        <v>2052</v>
      </c>
      <c r="M159" t="s">
        <v>2078</v>
      </c>
      <c r="N159">
        <v>0</v>
      </c>
      <c r="O159">
        <v>0</v>
      </c>
      <c r="P159">
        <v>0</v>
      </c>
      <c r="Q159">
        <v>960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249</v>
      </c>
      <c r="AH159" s="21" t="s">
        <v>3424</v>
      </c>
      <c r="AI159" s="21">
        <v>72</v>
      </c>
      <c r="AJ159" s="21">
        <v>100</v>
      </c>
      <c r="AK159" s="21" t="s">
        <v>2054</v>
      </c>
      <c r="AL159" t="s">
        <v>70</v>
      </c>
      <c r="AM159" t="s">
        <v>2029</v>
      </c>
    </row>
    <row r="160" spans="1:39" ht="15" hidden="1" thickTop="1" x14ac:dyDescent="0.35">
      <c r="A160" t="s">
        <v>2716</v>
      </c>
      <c r="B160" t="s">
        <v>2713</v>
      </c>
      <c r="C160" t="s">
        <v>78</v>
      </c>
      <c r="D160" t="s">
        <v>2714</v>
      </c>
      <c r="E160" t="s">
        <v>559</v>
      </c>
      <c r="F160">
        <v>1</v>
      </c>
      <c r="G160" t="s">
        <v>2050</v>
      </c>
      <c r="H160" t="s">
        <v>2051</v>
      </c>
      <c r="I160" t="s">
        <v>53</v>
      </c>
      <c r="J160" t="s">
        <v>67</v>
      </c>
      <c r="K160" t="s">
        <v>68</v>
      </c>
      <c r="L160" t="s">
        <v>2052</v>
      </c>
      <c r="M160" t="s">
        <v>2053</v>
      </c>
      <c r="N160">
        <v>0</v>
      </c>
      <c r="O160">
        <v>0</v>
      </c>
      <c r="P160">
        <v>0</v>
      </c>
      <c r="Q160">
        <v>1440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250</v>
      </c>
      <c r="AH160" s="21" t="s">
        <v>3424</v>
      </c>
      <c r="AI160" s="21">
        <v>107.92500000000001</v>
      </c>
      <c r="AJ160" s="21">
        <v>100</v>
      </c>
      <c r="AK160" s="21" t="s">
        <v>2054</v>
      </c>
      <c r="AL160" t="s">
        <v>70</v>
      </c>
      <c r="AM160" t="s">
        <v>2028</v>
      </c>
    </row>
    <row r="161" spans="1:39" ht="15" hidden="1" thickTop="1" x14ac:dyDescent="0.35">
      <c r="A161" t="s">
        <v>2725</v>
      </c>
      <c r="B161" t="s">
        <v>2718</v>
      </c>
      <c r="C161" t="s">
        <v>102</v>
      </c>
      <c r="D161" t="s">
        <v>2719</v>
      </c>
      <c r="E161" t="s">
        <v>559</v>
      </c>
      <c r="F161">
        <v>1</v>
      </c>
      <c r="G161" t="s">
        <v>2050</v>
      </c>
      <c r="H161" t="s">
        <v>2051</v>
      </c>
      <c r="I161" t="s">
        <v>53</v>
      </c>
      <c r="J161" t="s">
        <v>67</v>
      </c>
      <c r="K161" t="s">
        <v>68</v>
      </c>
      <c r="L161" t="s">
        <v>2052</v>
      </c>
      <c r="M161" t="s">
        <v>2053</v>
      </c>
      <c r="N161">
        <v>0</v>
      </c>
      <c r="O161">
        <v>0</v>
      </c>
      <c r="P161">
        <v>0</v>
      </c>
      <c r="Q161">
        <v>1440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251</v>
      </c>
      <c r="AH161" s="21" t="s">
        <v>3424</v>
      </c>
      <c r="AI161" s="21">
        <v>107.92500000000001</v>
      </c>
      <c r="AJ161" s="21">
        <v>100</v>
      </c>
      <c r="AK161" s="21" t="s">
        <v>2054</v>
      </c>
      <c r="AL161" t="s">
        <v>70</v>
      </c>
      <c r="AM161" t="s">
        <v>2031</v>
      </c>
    </row>
    <row r="162" spans="1:39" ht="15" hidden="1" thickTop="1" x14ac:dyDescent="0.35">
      <c r="A162" t="s">
        <v>2726</v>
      </c>
      <c r="B162" t="s">
        <v>2720</v>
      </c>
      <c r="C162" t="s">
        <v>102</v>
      </c>
      <c r="D162" t="s">
        <v>2721</v>
      </c>
      <c r="E162" t="s">
        <v>559</v>
      </c>
      <c r="F162">
        <v>1</v>
      </c>
      <c r="G162" t="s">
        <v>2050</v>
      </c>
      <c r="H162" t="s">
        <v>2051</v>
      </c>
      <c r="I162" t="s">
        <v>53</v>
      </c>
      <c r="J162" t="s">
        <v>67</v>
      </c>
      <c r="K162" t="s">
        <v>68</v>
      </c>
      <c r="L162" t="s">
        <v>2052</v>
      </c>
      <c r="M162" t="s">
        <v>2053</v>
      </c>
      <c r="N162">
        <v>0</v>
      </c>
      <c r="O162">
        <v>0</v>
      </c>
      <c r="P162">
        <v>0</v>
      </c>
      <c r="Q162">
        <v>1440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252</v>
      </c>
      <c r="AH162" s="21" t="s">
        <v>3424</v>
      </c>
      <c r="AI162" s="21">
        <v>107.92500000000001</v>
      </c>
      <c r="AJ162" s="21">
        <v>100</v>
      </c>
      <c r="AK162" s="21" t="s">
        <v>2054</v>
      </c>
      <c r="AL162" t="s">
        <v>70</v>
      </c>
      <c r="AM162" t="s">
        <v>2030</v>
      </c>
    </row>
    <row r="163" spans="1:39" ht="15" hidden="1" thickTop="1" x14ac:dyDescent="0.35">
      <c r="A163" t="s">
        <v>2727</v>
      </c>
      <c r="B163" t="s">
        <v>2722</v>
      </c>
      <c r="C163" t="s">
        <v>102</v>
      </c>
      <c r="D163" t="s">
        <v>2723</v>
      </c>
      <c r="E163" t="s">
        <v>559</v>
      </c>
      <c r="F163">
        <v>1</v>
      </c>
      <c r="G163" t="s">
        <v>2050</v>
      </c>
      <c r="H163" t="s">
        <v>2051</v>
      </c>
      <c r="I163" t="s">
        <v>53</v>
      </c>
      <c r="J163" t="s">
        <v>67</v>
      </c>
      <c r="K163" t="s">
        <v>68</v>
      </c>
      <c r="L163" t="s">
        <v>2052</v>
      </c>
      <c r="M163" t="s">
        <v>2053</v>
      </c>
      <c r="N163">
        <v>0</v>
      </c>
      <c r="O163">
        <v>0</v>
      </c>
      <c r="P163">
        <v>0</v>
      </c>
      <c r="Q163">
        <v>1440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253</v>
      </c>
      <c r="AH163" s="21" t="s">
        <v>3424</v>
      </c>
      <c r="AI163" s="21">
        <v>107.92500000000001</v>
      </c>
      <c r="AJ163" s="21">
        <v>100</v>
      </c>
      <c r="AK163" s="21" t="s">
        <v>2055</v>
      </c>
      <c r="AL163" t="s">
        <v>70</v>
      </c>
      <c r="AM163" t="s">
        <v>2031</v>
      </c>
    </row>
    <row r="164" spans="1:39" ht="15" hidden="1" thickTop="1" x14ac:dyDescent="0.35">
      <c r="A164" t="s">
        <v>2733</v>
      </c>
      <c r="B164" t="s">
        <v>2730</v>
      </c>
      <c r="C164" t="s">
        <v>92</v>
      </c>
      <c r="D164" t="s">
        <v>2731</v>
      </c>
      <c r="E164" t="s">
        <v>119</v>
      </c>
      <c r="F164">
        <v>1</v>
      </c>
      <c r="G164" t="s">
        <v>2050</v>
      </c>
      <c r="H164" t="s">
        <v>2051</v>
      </c>
      <c r="I164" t="s">
        <v>53</v>
      </c>
      <c r="J164" t="s">
        <v>67</v>
      </c>
      <c r="K164" t="s">
        <v>68</v>
      </c>
      <c r="L164" t="s">
        <v>2052</v>
      </c>
      <c r="M164" t="s">
        <v>2053</v>
      </c>
      <c r="N164">
        <v>0</v>
      </c>
      <c r="O164">
        <v>0</v>
      </c>
      <c r="P164">
        <v>0</v>
      </c>
      <c r="Q164">
        <v>1440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t="s">
        <v>254</v>
      </c>
      <c r="AH164" s="21" t="s">
        <v>3424</v>
      </c>
      <c r="AI164" s="21">
        <v>107.92500000000001</v>
      </c>
      <c r="AJ164" s="21">
        <v>100</v>
      </c>
      <c r="AK164" s="21" t="s">
        <v>2054</v>
      </c>
      <c r="AL164" t="s">
        <v>70</v>
      </c>
      <c r="AM164" t="s">
        <v>2029</v>
      </c>
    </row>
    <row r="165" spans="1:39" ht="15" hidden="1" thickTop="1" x14ac:dyDescent="0.35">
      <c r="A165" t="s">
        <v>2740</v>
      </c>
      <c r="B165" t="s">
        <v>2735</v>
      </c>
      <c r="C165" t="s">
        <v>81</v>
      </c>
      <c r="D165" t="s">
        <v>2736</v>
      </c>
      <c r="E165" t="s">
        <v>559</v>
      </c>
      <c r="F165">
        <v>1</v>
      </c>
      <c r="G165" t="s">
        <v>2050</v>
      </c>
      <c r="H165" t="s">
        <v>2051</v>
      </c>
      <c r="I165" t="s">
        <v>53</v>
      </c>
      <c r="J165" t="s">
        <v>82</v>
      </c>
      <c r="K165" t="s">
        <v>68</v>
      </c>
      <c r="L165" t="s">
        <v>2052</v>
      </c>
      <c r="M165" t="s">
        <v>2053</v>
      </c>
      <c r="N165">
        <v>0</v>
      </c>
      <c r="O165">
        <v>0</v>
      </c>
      <c r="P165">
        <v>0</v>
      </c>
      <c r="Q165">
        <v>1440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255</v>
      </c>
      <c r="AH165" s="21" t="s">
        <v>3428</v>
      </c>
      <c r="AI165" s="21">
        <v>107.92500000000001</v>
      </c>
      <c r="AJ165" s="21">
        <v>100</v>
      </c>
      <c r="AK165" s="21" t="s">
        <v>2054</v>
      </c>
      <c r="AL165" t="s">
        <v>70</v>
      </c>
      <c r="AM165" t="s">
        <v>2029</v>
      </c>
    </row>
    <row r="166" spans="1:39" ht="15" hidden="1" thickTop="1" x14ac:dyDescent="0.35">
      <c r="A166" t="s">
        <v>2742</v>
      </c>
      <c r="B166" t="s">
        <v>2738</v>
      </c>
      <c r="C166" t="s">
        <v>92</v>
      </c>
      <c r="D166" t="s">
        <v>2739</v>
      </c>
      <c r="E166" t="s">
        <v>119</v>
      </c>
      <c r="F166">
        <v>1</v>
      </c>
      <c r="G166" t="s">
        <v>2050</v>
      </c>
      <c r="H166" t="s">
        <v>2051</v>
      </c>
      <c r="I166" t="s">
        <v>53</v>
      </c>
      <c r="J166" t="s">
        <v>67</v>
      </c>
      <c r="K166" t="s">
        <v>68</v>
      </c>
      <c r="L166" t="s">
        <v>2052</v>
      </c>
      <c r="M166" t="s">
        <v>2053</v>
      </c>
      <c r="N166">
        <v>0</v>
      </c>
      <c r="O166">
        <v>0</v>
      </c>
      <c r="P166">
        <v>0</v>
      </c>
      <c r="Q166">
        <v>1440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t="s">
        <v>256</v>
      </c>
      <c r="AH166" s="21" t="s">
        <v>3424</v>
      </c>
      <c r="AI166" s="21">
        <v>107.92500000000001</v>
      </c>
      <c r="AJ166" s="21">
        <v>100</v>
      </c>
      <c r="AK166" s="21" t="s">
        <v>2055</v>
      </c>
      <c r="AL166" t="s">
        <v>70</v>
      </c>
      <c r="AM166" t="s">
        <v>2030</v>
      </c>
    </row>
    <row r="167" spans="1:39" ht="15" hidden="1" thickTop="1" x14ac:dyDescent="0.35">
      <c r="A167" t="s">
        <v>2753</v>
      </c>
      <c r="B167" t="s">
        <v>2744</v>
      </c>
      <c r="C167" t="s">
        <v>66</v>
      </c>
      <c r="D167" t="s">
        <v>2745</v>
      </c>
      <c r="E167" t="s">
        <v>559</v>
      </c>
      <c r="F167">
        <v>1</v>
      </c>
      <c r="G167" t="s">
        <v>2050</v>
      </c>
      <c r="H167" t="s">
        <v>2051</v>
      </c>
      <c r="I167" t="s">
        <v>53</v>
      </c>
      <c r="J167" t="s">
        <v>67</v>
      </c>
      <c r="K167" t="s">
        <v>68</v>
      </c>
      <c r="L167" t="s">
        <v>2052</v>
      </c>
      <c r="M167" t="s">
        <v>2053</v>
      </c>
      <c r="N167">
        <v>0</v>
      </c>
      <c r="O167">
        <v>0</v>
      </c>
      <c r="P167">
        <v>0</v>
      </c>
      <c r="Q167">
        <v>1440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 t="s">
        <v>257</v>
      </c>
      <c r="AH167" s="21" t="s">
        <v>3424</v>
      </c>
      <c r="AI167" s="21">
        <v>107.92500000000001</v>
      </c>
      <c r="AJ167" s="21">
        <v>100</v>
      </c>
      <c r="AK167" s="21" t="s">
        <v>2055</v>
      </c>
      <c r="AL167" t="s">
        <v>70</v>
      </c>
      <c r="AM167" t="s">
        <v>2029</v>
      </c>
    </row>
    <row r="168" spans="1:39" ht="15" hidden="1" thickTop="1" x14ac:dyDescent="0.35">
      <c r="A168" t="s">
        <v>2754</v>
      </c>
      <c r="B168" t="s">
        <v>2746</v>
      </c>
      <c r="C168" t="s">
        <v>117</v>
      </c>
      <c r="D168" t="s">
        <v>2747</v>
      </c>
      <c r="E168" t="s">
        <v>559</v>
      </c>
      <c r="F168">
        <v>1</v>
      </c>
      <c r="G168" t="s">
        <v>2050</v>
      </c>
      <c r="H168" t="s">
        <v>2051</v>
      </c>
      <c r="I168" t="s">
        <v>53</v>
      </c>
      <c r="J168" t="s">
        <v>67</v>
      </c>
      <c r="K168" t="s">
        <v>68</v>
      </c>
      <c r="L168" t="s">
        <v>2052</v>
      </c>
      <c r="M168" t="s">
        <v>2053</v>
      </c>
      <c r="N168">
        <v>0</v>
      </c>
      <c r="O168">
        <v>0</v>
      </c>
      <c r="P168">
        <v>0</v>
      </c>
      <c r="Q168">
        <v>1440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t="s">
        <v>258</v>
      </c>
      <c r="AH168" s="21" t="s">
        <v>3424</v>
      </c>
      <c r="AI168" s="21">
        <v>107.92500000000001</v>
      </c>
      <c r="AJ168" s="21">
        <v>100</v>
      </c>
      <c r="AK168" s="21" t="s">
        <v>2054</v>
      </c>
      <c r="AL168" t="s">
        <v>70</v>
      </c>
      <c r="AM168" t="s">
        <v>2029</v>
      </c>
    </row>
    <row r="169" spans="1:39" ht="15" hidden="1" thickTop="1" x14ac:dyDescent="0.35">
      <c r="A169" t="s">
        <v>2755</v>
      </c>
      <c r="B169" t="s">
        <v>2748</v>
      </c>
      <c r="C169" t="s">
        <v>66</v>
      </c>
      <c r="D169" t="s">
        <v>2749</v>
      </c>
      <c r="E169" t="s">
        <v>559</v>
      </c>
      <c r="F169">
        <v>1</v>
      </c>
      <c r="G169" t="s">
        <v>2050</v>
      </c>
      <c r="H169" t="s">
        <v>2051</v>
      </c>
      <c r="I169" t="s">
        <v>53</v>
      </c>
      <c r="J169" t="s">
        <v>67</v>
      </c>
      <c r="K169" t="s">
        <v>68</v>
      </c>
      <c r="L169" t="s">
        <v>2052</v>
      </c>
      <c r="M169" t="s">
        <v>2053</v>
      </c>
      <c r="N169">
        <v>0</v>
      </c>
      <c r="O169">
        <v>0</v>
      </c>
      <c r="P169">
        <v>0</v>
      </c>
      <c r="Q169">
        <v>1440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t="s">
        <v>259</v>
      </c>
      <c r="AH169" s="21" t="s">
        <v>3427</v>
      </c>
      <c r="AI169" s="21">
        <v>107.92500000000001</v>
      </c>
      <c r="AJ169" s="21">
        <v>100</v>
      </c>
      <c r="AK169" s="21" t="s">
        <v>2054</v>
      </c>
      <c r="AL169" t="s">
        <v>70</v>
      </c>
      <c r="AM169" t="s">
        <v>2027</v>
      </c>
    </row>
    <row r="170" spans="1:39" ht="15" hidden="1" thickTop="1" x14ac:dyDescent="0.35">
      <c r="A170" t="s">
        <v>2757</v>
      </c>
      <c r="B170" t="s">
        <v>2750</v>
      </c>
      <c r="C170" t="s">
        <v>3376</v>
      </c>
      <c r="D170" t="s">
        <v>2751</v>
      </c>
      <c r="E170" t="s">
        <v>559</v>
      </c>
      <c r="F170">
        <v>1</v>
      </c>
      <c r="G170" t="s">
        <v>2050</v>
      </c>
      <c r="H170" t="s">
        <v>2051</v>
      </c>
      <c r="I170" t="s">
        <v>53</v>
      </c>
      <c r="J170" t="s">
        <v>67</v>
      </c>
      <c r="K170" t="s">
        <v>68</v>
      </c>
      <c r="L170" t="s">
        <v>2052</v>
      </c>
      <c r="M170" t="s">
        <v>2053</v>
      </c>
      <c r="N170">
        <v>0</v>
      </c>
      <c r="O170">
        <v>0</v>
      </c>
      <c r="P170">
        <v>0</v>
      </c>
      <c r="Q170">
        <v>1440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260</v>
      </c>
      <c r="AH170" s="21" t="s">
        <v>3424</v>
      </c>
      <c r="AI170" s="21">
        <v>107.92500000000001</v>
      </c>
      <c r="AJ170" s="21">
        <v>100</v>
      </c>
      <c r="AK170" s="21" t="s">
        <v>2054</v>
      </c>
      <c r="AL170" t="s">
        <v>70</v>
      </c>
      <c r="AM170" t="s">
        <v>2031</v>
      </c>
    </row>
    <row r="171" spans="1:39" ht="15" hidden="1" thickTop="1" x14ac:dyDescent="0.35">
      <c r="A171" t="s">
        <v>2765</v>
      </c>
      <c r="B171" t="s">
        <v>2758</v>
      </c>
      <c r="C171" t="s">
        <v>102</v>
      </c>
      <c r="D171" t="s">
        <v>2759</v>
      </c>
      <c r="E171" t="s">
        <v>559</v>
      </c>
      <c r="F171">
        <v>1</v>
      </c>
      <c r="G171" t="s">
        <v>2050</v>
      </c>
      <c r="H171" t="s">
        <v>2051</v>
      </c>
      <c r="I171" t="s">
        <v>53</v>
      </c>
      <c r="J171" t="s">
        <v>67</v>
      </c>
      <c r="K171" t="s">
        <v>68</v>
      </c>
      <c r="L171" t="s">
        <v>2052</v>
      </c>
      <c r="M171" t="s">
        <v>2053</v>
      </c>
      <c r="N171">
        <v>0</v>
      </c>
      <c r="O171">
        <v>0</v>
      </c>
      <c r="P171">
        <v>0</v>
      </c>
      <c r="Q171">
        <v>1440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261</v>
      </c>
      <c r="AH171" s="21" t="s">
        <v>3425</v>
      </c>
      <c r="AI171" s="21">
        <v>107.92500000000001</v>
      </c>
      <c r="AJ171" s="21">
        <v>100</v>
      </c>
      <c r="AK171" s="21" t="s">
        <v>2055</v>
      </c>
      <c r="AL171" t="s">
        <v>70</v>
      </c>
      <c r="AM171" t="s">
        <v>2030</v>
      </c>
    </row>
    <row r="172" spans="1:39" ht="15" hidden="1" thickTop="1" x14ac:dyDescent="0.35">
      <c r="A172" t="s">
        <v>2766</v>
      </c>
      <c r="B172" t="s">
        <v>2761</v>
      </c>
      <c r="C172" t="s">
        <v>111</v>
      </c>
      <c r="D172" t="s">
        <v>2762</v>
      </c>
      <c r="E172" t="s">
        <v>112</v>
      </c>
      <c r="F172">
        <v>1</v>
      </c>
      <c r="G172" t="s">
        <v>2050</v>
      </c>
      <c r="H172" t="s">
        <v>2051</v>
      </c>
      <c r="I172" t="s">
        <v>53</v>
      </c>
      <c r="J172" t="s">
        <v>113</v>
      </c>
      <c r="K172" t="s">
        <v>68</v>
      </c>
      <c r="L172" t="s">
        <v>2052</v>
      </c>
      <c r="M172" t="s">
        <v>2053</v>
      </c>
      <c r="N172">
        <v>0</v>
      </c>
      <c r="O172">
        <v>0</v>
      </c>
      <c r="P172">
        <v>0</v>
      </c>
      <c r="Q172">
        <v>1440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262</v>
      </c>
      <c r="AH172" s="21" t="s">
        <v>3425</v>
      </c>
      <c r="AI172" s="21">
        <v>107.92500000000001</v>
      </c>
      <c r="AJ172" s="21">
        <v>100</v>
      </c>
      <c r="AK172" s="21" t="s">
        <v>2054</v>
      </c>
      <c r="AL172" t="s">
        <v>115</v>
      </c>
      <c r="AM172" t="s">
        <v>2027</v>
      </c>
    </row>
    <row r="173" spans="1:39" ht="15" hidden="1" thickTop="1" x14ac:dyDescent="0.35">
      <c r="A173" t="s">
        <v>2774</v>
      </c>
      <c r="B173" t="s">
        <v>2769</v>
      </c>
      <c r="C173" t="s">
        <v>102</v>
      </c>
      <c r="D173" t="s">
        <v>2770</v>
      </c>
      <c r="E173" t="s">
        <v>559</v>
      </c>
      <c r="F173">
        <v>1</v>
      </c>
      <c r="G173" t="s">
        <v>2050</v>
      </c>
      <c r="H173" t="s">
        <v>2051</v>
      </c>
      <c r="I173" t="s">
        <v>53</v>
      </c>
      <c r="J173" t="s">
        <v>67</v>
      </c>
      <c r="K173" t="s">
        <v>68</v>
      </c>
      <c r="L173" t="s">
        <v>2052</v>
      </c>
      <c r="M173" t="s">
        <v>2053</v>
      </c>
      <c r="N173">
        <v>0</v>
      </c>
      <c r="O173">
        <v>0</v>
      </c>
      <c r="P173">
        <v>0</v>
      </c>
      <c r="Q173">
        <v>1440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263</v>
      </c>
      <c r="AH173" s="21" t="s">
        <v>3425</v>
      </c>
      <c r="AI173" s="21">
        <v>107.92500000000001</v>
      </c>
      <c r="AJ173" s="21">
        <v>100</v>
      </c>
      <c r="AK173" s="21" t="s">
        <v>2054</v>
      </c>
      <c r="AL173" t="s">
        <v>70</v>
      </c>
      <c r="AM173" t="s">
        <v>2029</v>
      </c>
    </row>
    <row r="174" spans="1:39" ht="15" hidden="1" thickTop="1" x14ac:dyDescent="0.35">
      <c r="A174" t="s">
        <v>2775</v>
      </c>
      <c r="B174" t="s">
        <v>2771</v>
      </c>
      <c r="C174" t="s">
        <v>565</v>
      </c>
      <c r="D174" t="s">
        <v>2772</v>
      </c>
      <c r="E174" t="s">
        <v>559</v>
      </c>
      <c r="F174">
        <v>2</v>
      </c>
      <c r="G174" t="s">
        <v>2050</v>
      </c>
      <c r="H174" t="s">
        <v>2051</v>
      </c>
      <c r="I174" t="s">
        <v>53</v>
      </c>
      <c r="J174" t="s">
        <v>427</v>
      </c>
      <c r="K174" t="s">
        <v>68</v>
      </c>
      <c r="L174" t="s">
        <v>2052</v>
      </c>
      <c r="M174" t="s">
        <v>2053</v>
      </c>
      <c r="N174">
        <v>0</v>
      </c>
      <c r="O174">
        <v>0</v>
      </c>
      <c r="P174">
        <v>0</v>
      </c>
      <c r="Q174">
        <v>1440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 t="s">
        <v>264</v>
      </c>
      <c r="AH174" s="21" t="s">
        <v>3427</v>
      </c>
      <c r="AI174" s="21">
        <v>107.92500000000001</v>
      </c>
      <c r="AJ174" s="21">
        <v>100</v>
      </c>
      <c r="AK174" s="21" t="s">
        <v>2054</v>
      </c>
      <c r="AL174" t="s">
        <v>70</v>
      </c>
      <c r="AM174" t="s">
        <v>2029</v>
      </c>
    </row>
    <row r="175" spans="1:39" ht="15" hidden="1" thickTop="1" x14ac:dyDescent="0.35">
      <c r="A175" t="s">
        <v>2780</v>
      </c>
      <c r="B175" t="s">
        <v>2778</v>
      </c>
      <c r="C175" t="s">
        <v>66</v>
      </c>
      <c r="D175" t="s">
        <v>2779</v>
      </c>
      <c r="E175" t="s">
        <v>119</v>
      </c>
      <c r="F175">
        <v>1</v>
      </c>
      <c r="G175" t="s">
        <v>2050</v>
      </c>
      <c r="H175" t="s">
        <v>2051</v>
      </c>
      <c r="I175" t="s">
        <v>53</v>
      </c>
      <c r="J175" t="s">
        <v>67</v>
      </c>
      <c r="K175" t="s">
        <v>68</v>
      </c>
      <c r="L175" t="s">
        <v>2052</v>
      </c>
      <c r="M175" t="s">
        <v>2063</v>
      </c>
      <c r="N175">
        <v>0</v>
      </c>
      <c r="O175">
        <v>0</v>
      </c>
      <c r="P175">
        <v>0</v>
      </c>
      <c r="Q175">
        <v>1020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265</v>
      </c>
      <c r="AH175" s="21" t="s">
        <v>3425</v>
      </c>
      <c r="AI175" s="21">
        <v>76.500000000000014</v>
      </c>
      <c r="AJ175" s="21">
        <v>100</v>
      </c>
      <c r="AK175" s="21" t="s">
        <v>2054</v>
      </c>
      <c r="AL175" t="s">
        <v>70</v>
      </c>
      <c r="AM175" t="s">
        <v>2028</v>
      </c>
    </row>
    <row r="176" spans="1:39" ht="15" hidden="1" thickTop="1" x14ac:dyDescent="0.35">
      <c r="A176" t="s">
        <v>2786</v>
      </c>
      <c r="B176" t="s">
        <v>2783</v>
      </c>
      <c r="C176" t="s">
        <v>78</v>
      </c>
      <c r="D176" t="s">
        <v>2784</v>
      </c>
      <c r="E176" t="s">
        <v>559</v>
      </c>
      <c r="F176">
        <v>1</v>
      </c>
      <c r="G176" t="s">
        <v>2050</v>
      </c>
      <c r="H176" t="s">
        <v>2051</v>
      </c>
      <c r="I176" t="s">
        <v>53</v>
      </c>
      <c r="J176" t="s">
        <v>67</v>
      </c>
      <c r="K176" t="s">
        <v>68</v>
      </c>
      <c r="L176" t="s">
        <v>2052</v>
      </c>
      <c r="M176" t="s">
        <v>2063</v>
      </c>
      <c r="N176">
        <v>0</v>
      </c>
      <c r="O176">
        <v>0</v>
      </c>
      <c r="P176">
        <v>0</v>
      </c>
      <c r="Q176">
        <v>1020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266</v>
      </c>
      <c r="AH176" s="21" t="s">
        <v>3425</v>
      </c>
      <c r="AI176" s="21">
        <v>76.500000000000014</v>
      </c>
      <c r="AJ176" s="21">
        <v>100</v>
      </c>
      <c r="AK176" s="21" t="s">
        <v>2055</v>
      </c>
      <c r="AL176" t="s">
        <v>70</v>
      </c>
      <c r="AM176" t="s">
        <v>2031</v>
      </c>
    </row>
    <row r="177" spans="1:39" ht="15" hidden="1" thickTop="1" x14ac:dyDescent="0.35">
      <c r="A177" t="s">
        <v>2792</v>
      </c>
      <c r="B177" t="s">
        <v>2787</v>
      </c>
      <c r="C177" t="s">
        <v>100</v>
      </c>
      <c r="D177" t="s">
        <v>2788</v>
      </c>
      <c r="E177" t="s">
        <v>559</v>
      </c>
      <c r="F177">
        <v>1</v>
      </c>
      <c r="G177" t="s">
        <v>2050</v>
      </c>
      <c r="H177" t="s">
        <v>2051</v>
      </c>
      <c r="I177" t="s">
        <v>53</v>
      </c>
      <c r="J177" t="s">
        <v>67</v>
      </c>
      <c r="K177" t="s">
        <v>68</v>
      </c>
      <c r="L177" t="s">
        <v>2052</v>
      </c>
      <c r="M177" t="s">
        <v>2083</v>
      </c>
      <c r="N177">
        <v>0</v>
      </c>
      <c r="O177">
        <v>0</v>
      </c>
      <c r="P177">
        <v>0</v>
      </c>
      <c r="Q177">
        <v>960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268</v>
      </c>
      <c r="AH177" s="21" t="s">
        <v>3427</v>
      </c>
      <c r="AI177" s="21">
        <v>72.000000000000014</v>
      </c>
      <c r="AJ177" s="21">
        <v>100</v>
      </c>
      <c r="AK177" s="21" t="s">
        <v>2054</v>
      </c>
      <c r="AL177" t="s">
        <v>70</v>
      </c>
      <c r="AM177" t="s">
        <v>2029</v>
      </c>
    </row>
    <row r="178" spans="1:39" ht="15" hidden="1" thickTop="1" x14ac:dyDescent="0.35">
      <c r="A178" t="s">
        <v>2797</v>
      </c>
      <c r="B178" t="s">
        <v>2794</v>
      </c>
      <c r="C178" t="s">
        <v>820</v>
      </c>
      <c r="D178" t="s">
        <v>2795</v>
      </c>
      <c r="E178" t="s">
        <v>72</v>
      </c>
      <c r="F178">
        <v>1</v>
      </c>
      <c r="G178" t="s">
        <v>2050</v>
      </c>
      <c r="H178" t="s">
        <v>2051</v>
      </c>
      <c r="I178" t="s">
        <v>53</v>
      </c>
      <c r="J178" t="s">
        <v>424</v>
      </c>
      <c r="K178" t="s">
        <v>68</v>
      </c>
      <c r="L178" t="s">
        <v>2052</v>
      </c>
      <c r="M178" t="s">
        <v>2053</v>
      </c>
      <c r="N178">
        <v>0</v>
      </c>
      <c r="O178">
        <v>0</v>
      </c>
      <c r="P178">
        <v>0</v>
      </c>
      <c r="Q178">
        <v>1440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 t="s">
        <v>269</v>
      </c>
      <c r="AH178" s="21" t="s">
        <v>3428</v>
      </c>
      <c r="AI178" s="21">
        <v>107.92500000000001</v>
      </c>
      <c r="AJ178" s="21">
        <v>100</v>
      </c>
      <c r="AK178" s="21" t="s">
        <v>2054</v>
      </c>
      <c r="AL178" t="s">
        <v>75</v>
      </c>
      <c r="AM178" t="s">
        <v>2027</v>
      </c>
    </row>
    <row r="179" spans="1:39" ht="15" hidden="1" thickTop="1" x14ac:dyDescent="0.35">
      <c r="A179" t="s">
        <v>2803</v>
      </c>
      <c r="B179" t="s">
        <v>2800</v>
      </c>
      <c r="C179" t="s">
        <v>102</v>
      </c>
      <c r="D179" t="s">
        <v>2801</v>
      </c>
      <c r="E179" t="s">
        <v>559</v>
      </c>
      <c r="F179">
        <v>1</v>
      </c>
      <c r="G179" t="s">
        <v>2050</v>
      </c>
      <c r="H179" t="s">
        <v>2051</v>
      </c>
      <c r="I179" t="s">
        <v>53</v>
      </c>
      <c r="J179" t="s">
        <v>67</v>
      </c>
      <c r="K179" t="s">
        <v>68</v>
      </c>
      <c r="L179" t="s">
        <v>2052</v>
      </c>
      <c r="M179" t="s">
        <v>2053</v>
      </c>
      <c r="N179">
        <v>0</v>
      </c>
      <c r="O179">
        <v>0</v>
      </c>
      <c r="P179">
        <v>0</v>
      </c>
      <c r="Q179">
        <v>1440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270</v>
      </c>
      <c r="AH179" s="21" t="s">
        <v>3425</v>
      </c>
      <c r="AI179" s="21">
        <v>107.92500000000001</v>
      </c>
      <c r="AJ179" s="21">
        <v>100</v>
      </c>
      <c r="AK179" s="21" t="s">
        <v>2054</v>
      </c>
      <c r="AL179" t="s">
        <v>70</v>
      </c>
      <c r="AM179" t="s">
        <v>2030</v>
      </c>
    </row>
    <row r="180" spans="1:39" ht="15" hidden="1" thickTop="1" x14ac:dyDescent="0.35">
      <c r="A180" t="s">
        <v>2809</v>
      </c>
      <c r="B180" t="s">
        <v>2805</v>
      </c>
      <c r="C180" t="s">
        <v>92</v>
      </c>
      <c r="D180" t="s">
        <v>2806</v>
      </c>
      <c r="E180" t="s">
        <v>559</v>
      </c>
      <c r="F180">
        <v>1</v>
      </c>
      <c r="G180" t="s">
        <v>2050</v>
      </c>
      <c r="H180" t="s">
        <v>2051</v>
      </c>
      <c r="I180" t="s">
        <v>53</v>
      </c>
      <c r="J180" t="s">
        <v>67</v>
      </c>
      <c r="K180" t="s">
        <v>68</v>
      </c>
      <c r="L180" t="s">
        <v>2052</v>
      </c>
      <c r="M180" t="s">
        <v>2053</v>
      </c>
      <c r="N180">
        <v>0</v>
      </c>
      <c r="O180">
        <v>0</v>
      </c>
      <c r="P180">
        <v>0</v>
      </c>
      <c r="Q180">
        <v>1440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271</v>
      </c>
      <c r="AH180" s="21" t="s">
        <v>3425</v>
      </c>
      <c r="AI180" s="21">
        <v>107.92500000000001</v>
      </c>
      <c r="AJ180" s="21">
        <v>100</v>
      </c>
      <c r="AK180" s="21" t="s">
        <v>2054</v>
      </c>
      <c r="AL180" t="s">
        <v>70</v>
      </c>
      <c r="AM180" t="s">
        <v>2029</v>
      </c>
    </row>
    <row r="181" spans="1:39" ht="15" hidden="1" thickTop="1" x14ac:dyDescent="0.35">
      <c r="A181" t="s">
        <v>2819</v>
      </c>
      <c r="B181" t="s">
        <v>2812</v>
      </c>
      <c r="C181" t="s">
        <v>111</v>
      </c>
      <c r="D181" t="s">
        <v>2813</v>
      </c>
      <c r="E181" t="s">
        <v>112</v>
      </c>
      <c r="F181">
        <v>1</v>
      </c>
      <c r="G181" t="s">
        <v>2050</v>
      </c>
      <c r="H181" t="s">
        <v>2051</v>
      </c>
      <c r="I181" t="s">
        <v>53</v>
      </c>
      <c r="J181" t="s">
        <v>113</v>
      </c>
      <c r="K181" t="s">
        <v>68</v>
      </c>
      <c r="L181" t="s">
        <v>2052</v>
      </c>
      <c r="M181" t="s">
        <v>2053</v>
      </c>
      <c r="N181">
        <v>0</v>
      </c>
      <c r="O181">
        <v>0</v>
      </c>
      <c r="P181">
        <v>0</v>
      </c>
      <c r="Q181">
        <v>1440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 t="s">
        <v>273</v>
      </c>
      <c r="AH181" s="21" t="s">
        <v>3424</v>
      </c>
      <c r="AI181" s="21">
        <v>107.92500000000001</v>
      </c>
      <c r="AJ181" s="21">
        <v>100</v>
      </c>
      <c r="AK181" s="21" t="s">
        <v>2054</v>
      </c>
      <c r="AL181" t="s">
        <v>115</v>
      </c>
      <c r="AM181" t="s">
        <v>2029</v>
      </c>
    </row>
    <row r="182" spans="1:39" ht="15" hidden="1" thickTop="1" x14ac:dyDescent="0.35">
      <c r="A182" t="s">
        <v>2822</v>
      </c>
      <c r="B182" t="s">
        <v>2814</v>
      </c>
      <c r="C182" t="s">
        <v>102</v>
      </c>
      <c r="D182" t="s">
        <v>2815</v>
      </c>
      <c r="E182" t="s">
        <v>559</v>
      </c>
      <c r="F182">
        <v>1</v>
      </c>
      <c r="G182" t="s">
        <v>2050</v>
      </c>
      <c r="H182" t="s">
        <v>2051</v>
      </c>
      <c r="I182" t="s">
        <v>53</v>
      </c>
      <c r="J182" t="s">
        <v>67</v>
      </c>
      <c r="K182" t="s">
        <v>68</v>
      </c>
      <c r="L182" t="s">
        <v>2052</v>
      </c>
      <c r="M182" t="s">
        <v>2064</v>
      </c>
      <c r="N182">
        <v>0</v>
      </c>
      <c r="O182">
        <v>0</v>
      </c>
      <c r="P182">
        <v>0</v>
      </c>
      <c r="Q182">
        <v>900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274</v>
      </c>
      <c r="AH182" s="21" t="s">
        <v>3429</v>
      </c>
      <c r="AI182" s="21">
        <v>67.5</v>
      </c>
      <c r="AJ182" s="21">
        <v>100</v>
      </c>
      <c r="AK182" s="21" t="s">
        <v>2054</v>
      </c>
      <c r="AL182" t="s">
        <v>70</v>
      </c>
      <c r="AM182" t="s">
        <v>2027</v>
      </c>
    </row>
    <row r="183" spans="1:39" ht="15" hidden="1" thickTop="1" x14ac:dyDescent="0.35">
      <c r="A183" t="s">
        <v>2823</v>
      </c>
      <c r="B183" t="s">
        <v>2817</v>
      </c>
      <c r="C183" t="s">
        <v>820</v>
      </c>
      <c r="D183" t="s">
        <v>2818</v>
      </c>
      <c r="E183" t="s">
        <v>72</v>
      </c>
      <c r="F183">
        <v>1</v>
      </c>
      <c r="G183" t="s">
        <v>2050</v>
      </c>
      <c r="H183" t="s">
        <v>2051</v>
      </c>
      <c r="I183" t="s">
        <v>53</v>
      </c>
      <c r="J183" t="s">
        <v>424</v>
      </c>
      <c r="K183" t="s">
        <v>68</v>
      </c>
      <c r="L183" t="s">
        <v>2052</v>
      </c>
      <c r="M183" t="s">
        <v>2064</v>
      </c>
      <c r="N183">
        <v>0</v>
      </c>
      <c r="O183">
        <v>0</v>
      </c>
      <c r="P183">
        <v>0</v>
      </c>
      <c r="Q183">
        <v>900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275</v>
      </c>
      <c r="AH183" s="21" t="s">
        <v>3425</v>
      </c>
      <c r="AI183" s="21">
        <v>67.5</v>
      </c>
      <c r="AJ183" s="21">
        <v>100</v>
      </c>
      <c r="AK183" s="21" t="s">
        <v>2054</v>
      </c>
      <c r="AL183" t="s">
        <v>75</v>
      </c>
      <c r="AM183" t="s">
        <v>2029</v>
      </c>
    </row>
    <row r="184" spans="1:39" ht="15" hidden="1" thickTop="1" x14ac:dyDescent="0.35">
      <c r="A184" t="s">
        <v>2536</v>
      </c>
      <c r="B184" t="s">
        <v>2825</v>
      </c>
      <c r="C184" t="s">
        <v>92</v>
      </c>
      <c r="D184" t="s">
        <v>2826</v>
      </c>
      <c r="E184" t="s">
        <v>119</v>
      </c>
      <c r="F184">
        <v>1</v>
      </c>
      <c r="G184" t="s">
        <v>2050</v>
      </c>
      <c r="H184" t="s">
        <v>2051</v>
      </c>
      <c r="I184" t="s">
        <v>53</v>
      </c>
      <c r="J184" t="s">
        <v>67</v>
      </c>
      <c r="K184" t="s">
        <v>68</v>
      </c>
      <c r="L184" t="s">
        <v>2052</v>
      </c>
      <c r="M184" t="s">
        <v>2053</v>
      </c>
      <c r="N184">
        <v>0</v>
      </c>
      <c r="O184">
        <v>0</v>
      </c>
      <c r="P184">
        <v>0</v>
      </c>
      <c r="Q184">
        <v>1440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 t="s">
        <v>276</v>
      </c>
      <c r="AH184" s="21" t="s">
        <v>3425</v>
      </c>
      <c r="AI184" s="21">
        <v>107.92500000000001</v>
      </c>
      <c r="AJ184" s="21">
        <v>100</v>
      </c>
      <c r="AK184" s="21" t="s">
        <v>2054</v>
      </c>
      <c r="AL184" t="s">
        <v>70</v>
      </c>
      <c r="AM184" t="s">
        <v>2028</v>
      </c>
    </row>
    <row r="185" spans="1:39" ht="15" hidden="1" thickTop="1" x14ac:dyDescent="0.35">
      <c r="A185" t="s">
        <v>2833</v>
      </c>
      <c r="B185" t="s">
        <v>2828</v>
      </c>
      <c r="C185" t="s">
        <v>78</v>
      </c>
      <c r="D185" t="s">
        <v>2829</v>
      </c>
      <c r="E185" t="s">
        <v>559</v>
      </c>
      <c r="F185">
        <v>2</v>
      </c>
      <c r="G185" t="s">
        <v>2050</v>
      </c>
      <c r="H185" t="s">
        <v>2051</v>
      </c>
      <c r="I185" t="s">
        <v>53</v>
      </c>
      <c r="J185" t="s">
        <v>67</v>
      </c>
      <c r="K185" t="s">
        <v>68</v>
      </c>
      <c r="L185" t="s">
        <v>2052</v>
      </c>
      <c r="M185" t="s">
        <v>2053</v>
      </c>
      <c r="N185">
        <v>0</v>
      </c>
      <c r="O185">
        <v>0</v>
      </c>
      <c r="P185">
        <v>0</v>
      </c>
      <c r="Q185">
        <v>1440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t="s">
        <v>277</v>
      </c>
      <c r="AH185" s="21" t="s">
        <v>3424</v>
      </c>
      <c r="AI185" s="21">
        <v>107.92500000000001</v>
      </c>
      <c r="AJ185" s="21">
        <v>100</v>
      </c>
      <c r="AK185" s="21" t="s">
        <v>2054</v>
      </c>
      <c r="AL185" t="s">
        <v>70</v>
      </c>
      <c r="AM185" t="s">
        <v>2027</v>
      </c>
    </row>
    <row r="186" spans="1:39" ht="15" hidden="1" thickTop="1" x14ac:dyDescent="0.35">
      <c r="A186" t="s">
        <v>2843</v>
      </c>
      <c r="B186" t="s">
        <v>2836</v>
      </c>
      <c r="C186" t="s">
        <v>117</v>
      </c>
      <c r="D186" t="s">
        <v>2837</v>
      </c>
      <c r="E186" t="s">
        <v>559</v>
      </c>
      <c r="F186">
        <v>1</v>
      </c>
      <c r="G186" t="s">
        <v>2050</v>
      </c>
      <c r="H186" t="s">
        <v>2051</v>
      </c>
      <c r="I186" t="s">
        <v>53</v>
      </c>
      <c r="J186" t="s">
        <v>67</v>
      </c>
      <c r="K186" t="s">
        <v>68</v>
      </c>
      <c r="L186" t="s">
        <v>2052</v>
      </c>
      <c r="M186" t="s">
        <v>2053</v>
      </c>
      <c r="N186">
        <v>0</v>
      </c>
      <c r="O186">
        <v>0</v>
      </c>
      <c r="P186">
        <v>0</v>
      </c>
      <c r="Q186">
        <v>1440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278</v>
      </c>
      <c r="AH186" s="21" t="s">
        <v>3425</v>
      </c>
      <c r="AI186" s="21">
        <v>107.92500000000001</v>
      </c>
      <c r="AJ186" s="21">
        <v>100</v>
      </c>
      <c r="AK186" s="21" t="s">
        <v>2054</v>
      </c>
      <c r="AL186" t="s">
        <v>70</v>
      </c>
      <c r="AM186" t="s">
        <v>2027</v>
      </c>
    </row>
    <row r="187" spans="1:39" ht="15" hidden="1" thickTop="1" x14ac:dyDescent="0.35">
      <c r="A187" t="s">
        <v>2844</v>
      </c>
      <c r="B187" t="s">
        <v>2838</v>
      </c>
      <c r="C187" t="s">
        <v>92</v>
      </c>
      <c r="D187" t="s">
        <v>2839</v>
      </c>
      <c r="E187" t="s">
        <v>119</v>
      </c>
      <c r="F187">
        <v>1</v>
      </c>
      <c r="G187" t="s">
        <v>2050</v>
      </c>
      <c r="H187" t="s">
        <v>2051</v>
      </c>
      <c r="I187" t="s">
        <v>53</v>
      </c>
      <c r="J187" t="s">
        <v>67</v>
      </c>
      <c r="K187" t="s">
        <v>68</v>
      </c>
      <c r="L187" t="s">
        <v>2052</v>
      </c>
      <c r="M187" t="s">
        <v>2053</v>
      </c>
      <c r="N187">
        <v>0</v>
      </c>
      <c r="O187">
        <v>0</v>
      </c>
      <c r="P187">
        <v>0</v>
      </c>
      <c r="Q187">
        <v>1440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279</v>
      </c>
      <c r="AH187" s="21" t="s">
        <v>3425</v>
      </c>
      <c r="AI187" s="21">
        <v>107.92500000000001</v>
      </c>
      <c r="AJ187" s="21">
        <v>100</v>
      </c>
      <c r="AK187" s="21" t="s">
        <v>2054</v>
      </c>
      <c r="AL187" t="s">
        <v>70</v>
      </c>
      <c r="AM187" t="s">
        <v>2029</v>
      </c>
    </row>
    <row r="188" spans="1:39" ht="15" hidden="1" thickTop="1" x14ac:dyDescent="0.35">
      <c r="A188" t="s">
        <v>2846</v>
      </c>
      <c r="B188" t="s">
        <v>2840</v>
      </c>
      <c r="C188" t="s">
        <v>92</v>
      </c>
      <c r="D188" t="s">
        <v>2841</v>
      </c>
      <c r="E188" t="s">
        <v>119</v>
      </c>
      <c r="F188">
        <v>1</v>
      </c>
      <c r="G188" t="s">
        <v>2050</v>
      </c>
      <c r="H188" t="s">
        <v>2051</v>
      </c>
      <c r="I188" t="s">
        <v>53</v>
      </c>
      <c r="J188" t="s">
        <v>67</v>
      </c>
      <c r="K188" t="s">
        <v>68</v>
      </c>
      <c r="L188" t="s">
        <v>2052</v>
      </c>
      <c r="M188" t="s">
        <v>2053</v>
      </c>
      <c r="N188">
        <v>0</v>
      </c>
      <c r="O188">
        <v>0</v>
      </c>
      <c r="P188">
        <v>0</v>
      </c>
      <c r="Q188">
        <v>1440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t="s">
        <v>280</v>
      </c>
      <c r="AH188" s="21" t="s">
        <v>3425</v>
      </c>
      <c r="AI188" s="21">
        <v>107.92500000000001</v>
      </c>
      <c r="AJ188" s="21">
        <v>100</v>
      </c>
      <c r="AK188" s="21" t="s">
        <v>2054</v>
      </c>
      <c r="AL188" t="s">
        <v>70</v>
      </c>
      <c r="AM188" t="s">
        <v>2029</v>
      </c>
    </row>
    <row r="189" spans="1:39" ht="15" hidden="1" thickTop="1" x14ac:dyDescent="0.35">
      <c r="A189" t="s">
        <v>285</v>
      </c>
      <c r="B189" t="s">
        <v>2849</v>
      </c>
      <c r="C189" t="s">
        <v>100</v>
      </c>
      <c r="D189" t="s">
        <v>2850</v>
      </c>
      <c r="E189" t="s">
        <v>559</v>
      </c>
      <c r="F189">
        <v>1</v>
      </c>
      <c r="G189" t="s">
        <v>2050</v>
      </c>
      <c r="H189" t="s">
        <v>2051</v>
      </c>
      <c r="I189" t="s">
        <v>53</v>
      </c>
      <c r="J189" t="s">
        <v>67</v>
      </c>
      <c r="K189" t="s">
        <v>68</v>
      </c>
      <c r="L189" t="s">
        <v>2052</v>
      </c>
      <c r="M189" t="s">
        <v>2053</v>
      </c>
      <c r="N189">
        <v>0</v>
      </c>
      <c r="O189">
        <v>0</v>
      </c>
      <c r="P189">
        <v>0</v>
      </c>
      <c r="Q189">
        <v>1440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281</v>
      </c>
      <c r="AH189" s="21" t="s">
        <v>3425</v>
      </c>
      <c r="AI189" s="21">
        <v>107.92500000000001</v>
      </c>
      <c r="AJ189" s="21">
        <v>100</v>
      </c>
      <c r="AK189" s="21" t="s">
        <v>2054</v>
      </c>
      <c r="AL189" t="s">
        <v>70</v>
      </c>
      <c r="AM189" t="s">
        <v>2029</v>
      </c>
    </row>
    <row r="190" spans="1:39" ht="15" hidden="1" thickTop="1" x14ac:dyDescent="0.35">
      <c r="A190" t="s">
        <v>2854</v>
      </c>
      <c r="B190" t="s">
        <v>2851</v>
      </c>
      <c r="C190" t="s">
        <v>71</v>
      </c>
      <c r="D190" t="s">
        <v>2852</v>
      </c>
      <c r="E190" t="s">
        <v>72</v>
      </c>
      <c r="F190">
        <v>1</v>
      </c>
      <c r="G190" t="s">
        <v>2050</v>
      </c>
      <c r="H190" t="s">
        <v>2051</v>
      </c>
      <c r="I190" t="s">
        <v>53</v>
      </c>
      <c r="J190" t="s">
        <v>73</v>
      </c>
      <c r="K190" t="s">
        <v>68</v>
      </c>
      <c r="L190" t="s">
        <v>2052</v>
      </c>
      <c r="M190" t="s">
        <v>2053</v>
      </c>
      <c r="N190">
        <v>0</v>
      </c>
      <c r="O190">
        <v>0</v>
      </c>
      <c r="P190">
        <v>0</v>
      </c>
      <c r="Q190">
        <v>1440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284</v>
      </c>
      <c r="AH190" s="21" t="s">
        <v>3428</v>
      </c>
      <c r="AI190" s="21">
        <v>107.92500000000001</v>
      </c>
      <c r="AJ190" s="21">
        <v>100</v>
      </c>
      <c r="AK190" s="21" t="s">
        <v>2054</v>
      </c>
      <c r="AL190" t="s">
        <v>75</v>
      </c>
      <c r="AM190" t="s">
        <v>2029</v>
      </c>
    </row>
    <row r="191" spans="1:39" ht="15" hidden="1" thickTop="1" x14ac:dyDescent="0.35">
      <c r="A191" t="s">
        <v>2860</v>
      </c>
      <c r="B191" t="s">
        <v>2857</v>
      </c>
      <c r="C191" t="s">
        <v>100</v>
      </c>
      <c r="D191" t="s">
        <v>2858</v>
      </c>
      <c r="E191" t="s">
        <v>559</v>
      </c>
      <c r="F191">
        <v>1</v>
      </c>
      <c r="G191" t="s">
        <v>2050</v>
      </c>
      <c r="H191" t="s">
        <v>2051</v>
      </c>
      <c r="I191" t="s">
        <v>53</v>
      </c>
      <c r="J191" t="s">
        <v>67</v>
      </c>
      <c r="K191" t="s">
        <v>68</v>
      </c>
      <c r="L191" t="s">
        <v>2052</v>
      </c>
      <c r="M191" t="s">
        <v>2053</v>
      </c>
      <c r="N191">
        <v>0</v>
      </c>
      <c r="O191">
        <v>0</v>
      </c>
      <c r="P191">
        <v>0</v>
      </c>
      <c r="Q191">
        <v>1440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289</v>
      </c>
      <c r="AH191" s="21" t="s">
        <v>3424</v>
      </c>
      <c r="AI191" s="21">
        <v>107.92500000000001</v>
      </c>
      <c r="AJ191" s="21">
        <v>100</v>
      </c>
      <c r="AK191" s="21" t="s">
        <v>2054</v>
      </c>
      <c r="AL191" t="s">
        <v>70</v>
      </c>
      <c r="AM191" t="s">
        <v>2028</v>
      </c>
    </row>
    <row r="192" spans="1:39" ht="15" hidden="1" thickTop="1" x14ac:dyDescent="0.35">
      <c r="A192" t="s">
        <v>2865</v>
      </c>
      <c r="B192" t="s">
        <v>2862</v>
      </c>
      <c r="C192" t="s">
        <v>81</v>
      </c>
      <c r="D192" t="s">
        <v>2863</v>
      </c>
      <c r="E192" t="s">
        <v>559</v>
      </c>
      <c r="F192">
        <v>1</v>
      </c>
      <c r="G192" t="s">
        <v>2050</v>
      </c>
      <c r="H192" t="s">
        <v>2051</v>
      </c>
      <c r="I192" t="s">
        <v>53</v>
      </c>
      <c r="J192" t="s">
        <v>82</v>
      </c>
      <c r="K192" t="s">
        <v>68</v>
      </c>
      <c r="L192" t="s">
        <v>2052</v>
      </c>
      <c r="M192" t="s">
        <v>2053</v>
      </c>
      <c r="N192">
        <v>0</v>
      </c>
      <c r="O192">
        <v>0</v>
      </c>
      <c r="P192">
        <v>0</v>
      </c>
      <c r="Q192">
        <v>1440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290</v>
      </c>
      <c r="AH192" s="21" t="s">
        <v>3424</v>
      </c>
      <c r="AI192" s="21">
        <v>107.92500000000001</v>
      </c>
      <c r="AJ192" s="21">
        <v>100</v>
      </c>
      <c r="AK192" s="21" t="s">
        <v>2054</v>
      </c>
      <c r="AL192" t="s">
        <v>70</v>
      </c>
      <c r="AM192" t="s">
        <v>2030</v>
      </c>
    </row>
    <row r="193" spans="1:39" ht="15" hidden="1" thickTop="1" x14ac:dyDescent="0.35">
      <c r="A193" t="s">
        <v>2871</v>
      </c>
      <c r="B193" t="s">
        <v>2868</v>
      </c>
      <c r="C193" t="s">
        <v>78</v>
      </c>
      <c r="D193" t="s">
        <v>2869</v>
      </c>
      <c r="E193" t="s">
        <v>559</v>
      </c>
      <c r="F193">
        <v>1</v>
      </c>
      <c r="G193" t="s">
        <v>2050</v>
      </c>
      <c r="H193" t="s">
        <v>2051</v>
      </c>
      <c r="I193" t="s">
        <v>53</v>
      </c>
      <c r="J193" t="s">
        <v>67</v>
      </c>
      <c r="K193" t="s">
        <v>68</v>
      </c>
      <c r="L193" t="s">
        <v>2052</v>
      </c>
      <c r="M193" t="s">
        <v>2064</v>
      </c>
      <c r="N193">
        <v>0</v>
      </c>
      <c r="O193">
        <v>0</v>
      </c>
      <c r="P193">
        <v>0</v>
      </c>
      <c r="Q193">
        <v>900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291</v>
      </c>
      <c r="AH193" s="21" t="s">
        <v>3424</v>
      </c>
      <c r="AI193" s="21">
        <v>67.5</v>
      </c>
      <c r="AJ193" s="21">
        <v>100</v>
      </c>
      <c r="AK193" s="21" t="s">
        <v>2054</v>
      </c>
      <c r="AL193" t="s">
        <v>70</v>
      </c>
      <c r="AM193" t="s">
        <v>2028</v>
      </c>
    </row>
    <row r="194" spans="1:39" ht="15" hidden="1" thickTop="1" x14ac:dyDescent="0.35">
      <c r="A194" t="s">
        <v>2874</v>
      </c>
      <c r="B194" t="s">
        <v>2876</v>
      </c>
      <c r="C194" t="s">
        <v>100</v>
      </c>
      <c r="D194" t="s">
        <v>2877</v>
      </c>
      <c r="E194" t="s">
        <v>559</v>
      </c>
      <c r="F194">
        <v>1</v>
      </c>
      <c r="G194" t="s">
        <v>2050</v>
      </c>
      <c r="H194" t="s">
        <v>2051</v>
      </c>
      <c r="I194" t="s">
        <v>53</v>
      </c>
      <c r="J194" t="s">
        <v>67</v>
      </c>
      <c r="K194" t="s">
        <v>68</v>
      </c>
      <c r="L194" t="s">
        <v>2052</v>
      </c>
      <c r="M194" t="s">
        <v>2053</v>
      </c>
      <c r="N194">
        <v>2</v>
      </c>
      <c r="O194">
        <v>40</v>
      </c>
      <c r="P194">
        <v>2.78</v>
      </c>
      <c r="Q194">
        <v>1440</v>
      </c>
      <c r="R194">
        <v>2</v>
      </c>
      <c r="S194">
        <v>40</v>
      </c>
      <c r="T194">
        <v>2.78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 t="s">
        <v>292</v>
      </c>
      <c r="AH194" s="21" t="s">
        <v>3424</v>
      </c>
      <c r="AI194" s="21">
        <v>107.92500000000001</v>
      </c>
      <c r="AJ194" s="21">
        <v>97.222222222222229</v>
      </c>
      <c r="AK194" s="21" t="s">
        <v>2054</v>
      </c>
      <c r="AL194" t="s">
        <v>70</v>
      </c>
      <c r="AM194" t="s">
        <v>2028</v>
      </c>
    </row>
    <row r="195" spans="1:39" ht="15" hidden="1" thickTop="1" x14ac:dyDescent="0.35">
      <c r="A195" t="s">
        <v>2881</v>
      </c>
      <c r="B195" t="s">
        <v>2883</v>
      </c>
      <c r="C195" t="s">
        <v>92</v>
      </c>
      <c r="D195" t="s">
        <v>2884</v>
      </c>
      <c r="E195" t="s">
        <v>559</v>
      </c>
      <c r="F195">
        <v>1</v>
      </c>
      <c r="G195" t="s">
        <v>2050</v>
      </c>
      <c r="H195" t="s">
        <v>2051</v>
      </c>
      <c r="I195" t="s">
        <v>53</v>
      </c>
      <c r="J195" t="s">
        <v>67</v>
      </c>
      <c r="K195" t="s">
        <v>68</v>
      </c>
      <c r="L195" t="s">
        <v>2052</v>
      </c>
      <c r="M195" t="s">
        <v>2053</v>
      </c>
      <c r="N195">
        <v>0</v>
      </c>
      <c r="O195">
        <v>0</v>
      </c>
      <c r="P195">
        <v>0</v>
      </c>
      <c r="Q195">
        <v>1440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 t="s">
        <v>293</v>
      </c>
      <c r="AH195" s="21" t="s">
        <v>3424</v>
      </c>
      <c r="AI195" s="21">
        <v>107.92500000000001</v>
      </c>
      <c r="AJ195" s="21">
        <v>100</v>
      </c>
      <c r="AK195" s="21" t="s">
        <v>2055</v>
      </c>
      <c r="AL195" t="s">
        <v>70</v>
      </c>
      <c r="AM195" t="s">
        <v>2029</v>
      </c>
    </row>
    <row r="196" spans="1:39" ht="15" hidden="1" thickTop="1" x14ac:dyDescent="0.35">
      <c r="A196" t="s">
        <v>2888</v>
      </c>
      <c r="B196" t="s">
        <v>2890</v>
      </c>
      <c r="C196" t="s">
        <v>92</v>
      </c>
      <c r="D196" t="s">
        <v>2891</v>
      </c>
      <c r="E196" t="s">
        <v>119</v>
      </c>
      <c r="F196">
        <v>1</v>
      </c>
      <c r="G196" t="s">
        <v>2050</v>
      </c>
      <c r="H196" t="s">
        <v>2051</v>
      </c>
      <c r="I196" t="s">
        <v>53</v>
      </c>
      <c r="J196" t="s">
        <v>67</v>
      </c>
      <c r="K196" t="s">
        <v>68</v>
      </c>
      <c r="L196" t="s">
        <v>2052</v>
      </c>
      <c r="M196" t="s">
        <v>2064</v>
      </c>
      <c r="N196">
        <v>0</v>
      </c>
      <c r="O196">
        <v>0</v>
      </c>
      <c r="P196">
        <v>0</v>
      </c>
      <c r="Q196">
        <v>900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294</v>
      </c>
      <c r="AH196" s="21" t="s">
        <v>3425</v>
      </c>
      <c r="AI196" s="21">
        <v>67.5</v>
      </c>
      <c r="AJ196" s="21">
        <v>100</v>
      </c>
      <c r="AK196" s="21" t="s">
        <v>2054</v>
      </c>
      <c r="AL196" t="s">
        <v>70</v>
      </c>
      <c r="AM196" t="s">
        <v>2027</v>
      </c>
    </row>
    <row r="197" spans="1:39" ht="15" hidden="1" thickTop="1" x14ac:dyDescent="0.35">
      <c r="A197" t="s">
        <v>2895</v>
      </c>
      <c r="B197" t="s">
        <v>2900</v>
      </c>
      <c r="C197" t="s">
        <v>76</v>
      </c>
      <c r="D197" t="s">
        <v>2901</v>
      </c>
      <c r="E197" t="s">
        <v>559</v>
      </c>
      <c r="F197">
        <v>1</v>
      </c>
      <c r="G197" t="s">
        <v>2050</v>
      </c>
      <c r="H197" t="s">
        <v>2051</v>
      </c>
      <c r="I197" t="s">
        <v>53</v>
      </c>
      <c r="J197" t="s">
        <v>67</v>
      </c>
      <c r="K197" t="s">
        <v>68</v>
      </c>
      <c r="L197" t="s">
        <v>2052</v>
      </c>
      <c r="M197" t="s">
        <v>2053</v>
      </c>
      <c r="N197">
        <v>0</v>
      </c>
      <c r="O197">
        <v>0</v>
      </c>
      <c r="P197">
        <v>0</v>
      </c>
      <c r="Q197">
        <v>1440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 t="s">
        <v>296</v>
      </c>
      <c r="AH197" s="21" t="s">
        <v>3427</v>
      </c>
      <c r="AI197" s="21">
        <v>107.92500000000001</v>
      </c>
      <c r="AJ197" s="21">
        <v>100</v>
      </c>
      <c r="AK197" s="21" t="s">
        <v>2055</v>
      </c>
      <c r="AL197" t="s">
        <v>70</v>
      </c>
      <c r="AM197" t="s">
        <v>2030</v>
      </c>
    </row>
    <row r="198" spans="1:39" ht="15" hidden="1" thickTop="1" x14ac:dyDescent="0.35">
      <c r="A198" t="s">
        <v>2899</v>
      </c>
      <c r="B198" t="s">
        <v>2906</v>
      </c>
      <c r="C198" t="s">
        <v>78</v>
      </c>
      <c r="D198" t="s">
        <v>2907</v>
      </c>
      <c r="E198" t="s">
        <v>559</v>
      </c>
      <c r="F198">
        <v>1</v>
      </c>
      <c r="G198" t="s">
        <v>2050</v>
      </c>
      <c r="H198" t="s">
        <v>2051</v>
      </c>
      <c r="I198" t="s">
        <v>53</v>
      </c>
      <c r="J198" t="s">
        <v>67</v>
      </c>
      <c r="K198" t="s">
        <v>68</v>
      </c>
      <c r="L198" t="s">
        <v>2052</v>
      </c>
      <c r="M198" t="s">
        <v>2053</v>
      </c>
      <c r="N198">
        <v>0</v>
      </c>
      <c r="O198">
        <v>0</v>
      </c>
      <c r="P198">
        <v>0</v>
      </c>
      <c r="Q198">
        <v>1440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t="s">
        <v>297</v>
      </c>
      <c r="AH198" s="21" t="s">
        <v>3427</v>
      </c>
      <c r="AI198" s="21">
        <v>107.92500000000001</v>
      </c>
      <c r="AJ198" s="21">
        <v>100</v>
      </c>
      <c r="AK198" s="21" t="s">
        <v>2054</v>
      </c>
      <c r="AL198" t="s">
        <v>70</v>
      </c>
      <c r="AM198" t="s">
        <v>2028</v>
      </c>
    </row>
    <row r="199" spans="1:39" ht="15" hidden="1" thickTop="1" x14ac:dyDescent="0.35">
      <c r="A199" t="s">
        <v>2908</v>
      </c>
      <c r="B199" t="s">
        <v>2913</v>
      </c>
      <c r="C199" t="s">
        <v>3376</v>
      </c>
      <c r="D199" t="s">
        <v>2914</v>
      </c>
      <c r="E199" t="s">
        <v>559</v>
      </c>
      <c r="F199">
        <v>1</v>
      </c>
      <c r="G199" t="s">
        <v>2050</v>
      </c>
      <c r="H199" t="s">
        <v>2051</v>
      </c>
      <c r="I199" t="s">
        <v>53</v>
      </c>
      <c r="J199" t="s">
        <v>67</v>
      </c>
      <c r="K199" t="s">
        <v>68</v>
      </c>
      <c r="L199" t="s">
        <v>2052</v>
      </c>
      <c r="M199" t="s">
        <v>2053</v>
      </c>
      <c r="N199">
        <v>0</v>
      </c>
      <c r="O199">
        <v>0</v>
      </c>
      <c r="P199">
        <v>0</v>
      </c>
      <c r="Q199">
        <v>1440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298</v>
      </c>
      <c r="AH199" s="21" t="s">
        <v>3427</v>
      </c>
      <c r="AI199" s="21">
        <v>107.92500000000001</v>
      </c>
      <c r="AJ199" s="21">
        <v>100</v>
      </c>
      <c r="AK199" s="21" t="s">
        <v>2054</v>
      </c>
      <c r="AL199" t="s">
        <v>70</v>
      </c>
      <c r="AM199" t="s">
        <v>2027</v>
      </c>
    </row>
    <row r="200" spans="1:39" ht="15" hidden="1" thickTop="1" x14ac:dyDescent="0.35">
      <c r="A200" t="s">
        <v>2915</v>
      </c>
      <c r="B200" t="s">
        <v>2922</v>
      </c>
      <c r="C200" t="s">
        <v>66</v>
      </c>
      <c r="D200" t="s">
        <v>2923</v>
      </c>
      <c r="E200" t="s">
        <v>559</v>
      </c>
      <c r="F200">
        <v>1</v>
      </c>
      <c r="G200" t="s">
        <v>2050</v>
      </c>
      <c r="H200" t="s">
        <v>2051</v>
      </c>
      <c r="I200" t="s">
        <v>53</v>
      </c>
      <c r="J200" t="s">
        <v>67</v>
      </c>
      <c r="K200" t="s">
        <v>68</v>
      </c>
      <c r="L200" t="s">
        <v>2052</v>
      </c>
      <c r="M200" t="s">
        <v>2053</v>
      </c>
      <c r="N200">
        <v>0</v>
      </c>
      <c r="O200">
        <v>0</v>
      </c>
      <c r="P200">
        <v>0</v>
      </c>
      <c r="Q200">
        <v>1440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299</v>
      </c>
      <c r="AH200" s="21" t="s">
        <v>3424</v>
      </c>
      <c r="AI200" s="21">
        <v>107.92500000000001</v>
      </c>
      <c r="AJ200" s="21">
        <v>100</v>
      </c>
      <c r="AK200" s="21" t="s">
        <v>2054</v>
      </c>
      <c r="AL200" t="s">
        <v>70</v>
      </c>
      <c r="AM200" t="s">
        <v>2028</v>
      </c>
    </row>
    <row r="201" spans="1:39" ht="15" hidden="1" thickTop="1" x14ac:dyDescent="0.35">
      <c r="A201" t="s">
        <v>2918</v>
      </c>
      <c r="B201" t="s">
        <v>2925</v>
      </c>
      <c r="C201" t="s">
        <v>102</v>
      </c>
      <c r="D201" t="s">
        <v>2926</v>
      </c>
      <c r="E201" t="s">
        <v>559</v>
      </c>
      <c r="F201">
        <v>1</v>
      </c>
      <c r="G201" t="s">
        <v>2050</v>
      </c>
      <c r="H201" t="s">
        <v>2051</v>
      </c>
      <c r="I201" t="s">
        <v>53</v>
      </c>
      <c r="J201" t="s">
        <v>67</v>
      </c>
      <c r="K201" t="s">
        <v>68</v>
      </c>
      <c r="L201" t="s">
        <v>2052</v>
      </c>
      <c r="M201" t="s">
        <v>2053</v>
      </c>
      <c r="N201">
        <v>0</v>
      </c>
      <c r="O201">
        <v>0</v>
      </c>
      <c r="P201">
        <v>0</v>
      </c>
      <c r="Q201">
        <v>1440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300</v>
      </c>
      <c r="AH201" s="21" t="s">
        <v>3424</v>
      </c>
      <c r="AI201" s="21">
        <v>107.92500000000001</v>
      </c>
      <c r="AJ201" s="21">
        <v>100</v>
      </c>
      <c r="AK201" s="21" t="s">
        <v>2054</v>
      </c>
      <c r="AL201" t="s">
        <v>70</v>
      </c>
      <c r="AM201" t="s">
        <v>2028</v>
      </c>
    </row>
    <row r="202" spans="1:39" ht="15" hidden="1" thickTop="1" x14ac:dyDescent="0.35">
      <c r="A202" t="s">
        <v>2927</v>
      </c>
      <c r="B202" t="s">
        <v>2935</v>
      </c>
      <c r="C202" t="s">
        <v>76</v>
      </c>
      <c r="D202" t="s">
        <v>2936</v>
      </c>
      <c r="E202" t="s">
        <v>559</v>
      </c>
      <c r="F202">
        <v>1</v>
      </c>
      <c r="G202" t="s">
        <v>2050</v>
      </c>
      <c r="H202" t="s">
        <v>2051</v>
      </c>
      <c r="I202" t="s">
        <v>53</v>
      </c>
      <c r="J202" t="s">
        <v>67</v>
      </c>
      <c r="K202" t="s">
        <v>68</v>
      </c>
      <c r="L202" t="s">
        <v>2052</v>
      </c>
      <c r="M202" t="s">
        <v>2053</v>
      </c>
      <c r="N202">
        <v>2</v>
      </c>
      <c r="O202">
        <v>214</v>
      </c>
      <c r="P202">
        <v>14.86</v>
      </c>
      <c r="Q202">
        <v>1440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2</v>
      </c>
      <c r="Y202">
        <v>214</v>
      </c>
      <c r="Z202">
        <v>14.86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301</v>
      </c>
      <c r="AH202" s="21" t="s">
        <v>3424</v>
      </c>
      <c r="AI202" s="21">
        <v>107.92500000000001</v>
      </c>
      <c r="AJ202" s="21">
        <v>85.138888888888886</v>
      </c>
      <c r="AK202" s="21" t="s">
        <v>2055</v>
      </c>
      <c r="AL202" t="s">
        <v>70</v>
      </c>
      <c r="AM202" t="s">
        <v>2028</v>
      </c>
    </row>
    <row r="203" spans="1:39" ht="15" hidden="1" thickTop="1" x14ac:dyDescent="0.35">
      <c r="A203" t="s">
        <v>2928</v>
      </c>
      <c r="B203" t="s">
        <v>2938</v>
      </c>
      <c r="C203" t="s">
        <v>76</v>
      </c>
      <c r="D203" t="s">
        <v>2939</v>
      </c>
      <c r="E203" t="s">
        <v>119</v>
      </c>
      <c r="F203">
        <v>1</v>
      </c>
      <c r="G203" t="s">
        <v>2050</v>
      </c>
      <c r="H203" t="s">
        <v>2051</v>
      </c>
      <c r="I203" t="s">
        <v>53</v>
      </c>
      <c r="J203" t="s">
        <v>67</v>
      </c>
      <c r="K203" t="s">
        <v>68</v>
      </c>
      <c r="L203" t="s">
        <v>2052</v>
      </c>
      <c r="M203" t="s">
        <v>2053</v>
      </c>
      <c r="N203">
        <v>0</v>
      </c>
      <c r="O203">
        <v>0</v>
      </c>
      <c r="P203">
        <v>0</v>
      </c>
      <c r="Q203">
        <v>1440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302</v>
      </c>
      <c r="AH203" s="21" t="s">
        <v>3424</v>
      </c>
      <c r="AI203" s="21">
        <v>107.92500000000001</v>
      </c>
      <c r="AJ203" s="21">
        <v>100</v>
      </c>
      <c r="AK203" s="21" t="s">
        <v>2055</v>
      </c>
      <c r="AL203" t="s">
        <v>70</v>
      </c>
      <c r="AM203" t="s">
        <v>2029</v>
      </c>
    </row>
    <row r="204" spans="1:39" ht="15" hidden="1" thickTop="1" x14ac:dyDescent="0.35">
      <c r="A204" t="s">
        <v>2555</v>
      </c>
      <c r="B204" t="s">
        <v>2942</v>
      </c>
      <c r="C204" t="s">
        <v>128</v>
      </c>
      <c r="D204" t="s">
        <v>2943</v>
      </c>
      <c r="E204" t="s">
        <v>112</v>
      </c>
      <c r="F204">
        <v>1</v>
      </c>
      <c r="G204" t="s">
        <v>2050</v>
      </c>
      <c r="H204" t="s">
        <v>2051</v>
      </c>
      <c r="I204" t="s">
        <v>53</v>
      </c>
      <c r="J204" t="s">
        <v>113</v>
      </c>
      <c r="K204" t="s">
        <v>68</v>
      </c>
      <c r="L204" t="s">
        <v>2052</v>
      </c>
      <c r="M204" t="s">
        <v>2053</v>
      </c>
      <c r="N204">
        <v>0</v>
      </c>
      <c r="O204">
        <v>0</v>
      </c>
      <c r="P204">
        <v>0</v>
      </c>
      <c r="Q204">
        <v>1440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t="s">
        <v>303</v>
      </c>
      <c r="AH204" s="21" t="s">
        <v>3427</v>
      </c>
      <c r="AI204" s="21">
        <v>107.92500000000001</v>
      </c>
      <c r="AJ204" s="21">
        <v>100</v>
      </c>
      <c r="AK204" s="21" t="s">
        <v>2054</v>
      </c>
      <c r="AL204" t="s">
        <v>115</v>
      </c>
      <c r="AM204" t="s">
        <v>2027</v>
      </c>
    </row>
    <row r="205" spans="1:39" ht="15" hidden="1" thickTop="1" x14ac:dyDescent="0.35">
      <c r="A205" t="s">
        <v>2933</v>
      </c>
      <c r="B205" t="s">
        <v>2944</v>
      </c>
      <c r="C205" t="s">
        <v>237</v>
      </c>
      <c r="D205" t="s">
        <v>2945</v>
      </c>
      <c r="E205" t="s">
        <v>72</v>
      </c>
      <c r="F205">
        <v>1</v>
      </c>
      <c r="G205" t="s">
        <v>2050</v>
      </c>
      <c r="H205" t="s">
        <v>2051</v>
      </c>
      <c r="I205" t="s">
        <v>53</v>
      </c>
      <c r="J205" t="s">
        <v>73</v>
      </c>
      <c r="K205" t="s">
        <v>68</v>
      </c>
      <c r="L205" t="s">
        <v>2052</v>
      </c>
      <c r="M205" t="s">
        <v>2053</v>
      </c>
      <c r="N205">
        <v>0</v>
      </c>
      <c r="O205">
        <v>0</v>
      </c>
      <c r="P205">
        <v>0</v>
      </c>
      <c r="Q205">
        <v>1440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304</v>
      </c>
      <c r="AH205" s="21" t="s">
        <v>3427</v>
      </c>
      <c r="AI205" s="21">
        <v>107.92500000000001</v>
      </c>
      <c r="AJ205" s="21">
        <v>100</v>
      </c>
      <c r="AK205" s="21" t="s">
        <v>2054</v>
      </c>
      <c r="AL205" t="s">
        <v>75</v>
      </c>
      <c r="AM205" t="s">
        <v>2027</v>
      </c>
    </row>
    <row r="206" spans="1:39" ht="15" hidden="1" thickTop="1" x14ac:dyDescent="0.35">
      <c r="A206" t="s">
        <v>2946</v>
      </c>
      <c r="B206" t="s">
        <v>2953</v>
      </c>
      <c r="C206" t="s">
        <v>81</v>
      </c>
      <c r="D206" t="s">
        <v>2954</v>
      </c>
      <c r="E206" t="s">
        <v>559</v>
      </c>
      <c r="F206">
        <v>2</v>
      </c>
      <c r="G206" t="s">
        <v>2050</v>
      </c>
      <c r="H206" t="s">
        <v>2051</v>
      </c>
      <c r="I206" t="s">
        <v>53</v>
      </c>
      <c r="J206" t="s">
        <v>82</v>
      </c>
      <c r="K206" t="s">
        <v>68</v>
      </c>
      <c r="L206" t="s">
        <v>2052</v>
      </c>
      <c r="M206" t="s">
        <v>2083</v>
      </c>
      <c r="N206">
        <v>0</v>
      </c>
      <c r="O206">
        <v>0</v>
      </c>
      <c r="P206">
        <v>0</v>
      </c>
      <c r="Q206">
        <v>960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305</v>
      </c>
      <c r="AH206" s="21" t="s">
        <v>3427</v>
      </c>
      <c r="AI206" s="21">
        <v>72.000000000000014</v>
      </c>
      <c r="AJ206" s="21">
        <v>100</v>
      </c>
      <c r="AK206" s="21" t="s">
        <v>2054</v>
      </c>
      <c r="AL206" t="s">
        <v>70</v>
      </c>
      <c r="AM206" t="s">
        <v>2029</v>
      </c>
    </row>
    <row r="207" spans="1:39" ht="15" hidden="1" thickTop="1" x14ac:dyDescent="0.35">
      <c r="A207" t="s">
        <v>2947</v>
      </c>
      <c r="B207" t="s">
        <v>2955</v>
      </c>
      <c r="C207" t="s">
        <v>92</v>
      </c>
      <c r="D207" t="s">
        <v>2956</v>
      </c>
      <c r="E207" t="s">
        <v>559</v>
      </c>
      <c r="F207">
        <v>1</v>
      </c>
      <c r="G207" t="s">
        <v>2050</v>
      </c>
      <c r="H207" t="s">
        <v>2051</v>
      </c>
      <c r="I207" t="s">
        <v>53</v>
      </c>
      <c r="J207" t="s">
        <v>67</v>
      </c>
      <c r="K207" t="s">
        <v>68</v>
      </c>
      <c r="L207" t="s">
        <v>2052</v>
      </c>
      <c r="M207" t="s">
        <v>2053</v>
      </c>
      <c r="N207">
        <v>0</v>
      </c>
      <c r="O207">
        <v>0</v>
      </c>
      <c r="P207">
        <v>0</v>
      </c>
      <c r="Q207">
        <v>1440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306</v>
      </c>
      <c r="AH207" s="21" t="s">
        <v>3424</v>
      </c>
      <c r="AI207" s="21">
        <v>107.92500000000001</v>
      </c>
      <c r="AJ207" s="21">
        <v>100</v>
      </c>
      <c r="AK207" s="21" t="s">
        <v>2054</v>
      </c>
      <c r="AL207" t="s">
        <v>70</v>
      </c>
      <c r="AM207" t="s">
        <v>2027</v>
      </c>
    </row>
    <row r="208" spans="1:39" ht="15" hidden="1" thickTop="1" x14ac:dyDescent="0.35">
      <c r="A208" t="s">
        <v>2948</v>
      </c>
      <c r="B208" t="s">
        <v>2957</v>
      </c>
      <c r="C208" t="s">
        <v>66</v>
      </c>
      <c r="D208" t="s">
        <v>2958</v>
      </c>
      <c r="E208" t="s">
        <v>559</v>
      </c>
      <c r="F208">
        <v>1</v>
      </c>
      <c r="G208" t="s">
        <v>2050</v>
      </c>
      <c r="H208" t="s">
        <v>2051</v>
      </c>
      <c r="I208" t="s">
        <v>53</v>
      </c>
      <c r="J208" t="s">
        <v>67</v>
      </c>
      <c r="K208" t="s">
        <v>68</v>
      </c>
      <c r="L208" t="s">
        <v>2052</v>
      </c>
      <c r="M208" t="s">
        <v>2053</v>
      </c>
      <c r="N208">
        <v>0</v>
      </c>
      <c r="O208">
        <v>0</v>
      </c>
      <c r="P208">
        <v>0</v>
      </c>
      <c r="Q208">
        <v>1440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307</v>
      </c>
      <c r="AH208" s="21" t="s">
        <v>3424</v>
      </c>
      <c r="AI208" s="21">
        <v>107.92500000000001</v>
      </c>
      <c r="AJ208" s="21">
        <v>100</v>
      </c>
      <c r="AK208" s="21" t="s">
        <v>2054</v>
      </c>
      <c r="AL208" t="s">
        <v>70</v>
      </c>
      <c r="AM208" t="s">
        <v>2028</v>
      </c>
    </row>
    <row r="209" spans="1:39" ht="15" hidden="1" thickTop="1" x14ac:dyDescent="0.35">
      <c r="A209" t="s">
        <v>2959</v>
      </c>
      <c r="B209" t="s">
        <v>2968</v>
      </c>
      <c r="C209" t="s">
        <v>92</v>
      </c>
      <c r="D209" t="s">
        <v>2969</v>
      </c>
      <c r="E209" t="s">
        <v>119</v>
      </c>
      <c r="F209">
        <v>1</v>
      </c>
      <c r="G209" t="s">
        <v>2050</v>
      </c>
      <c r="H209" t="s">
        <v>2051</v>
      </c>
      <c r="I209" t="s">
        <v>53</v>
      </c>
      <c r="J209" t="s">
        <v>67</v>
      </c>
      <c r="K209" t="s">
        <v>68</v>
      </c>
      <c r="L209" t="s">
        <v>2052</v>
      </c>
      <c r="M209" t="s">
        <v>2053</v>
      </c>
      <c r="N209">
        <v>1</v>
      </c>
      <c r="O209">
        <v>40</v>
      </c>
      <c r="P209">
        <v>2.78</v>
      </c>
      <c r="Q209">
        <v>1440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40</v>
      </c>
      <c r="Z209">
        <v>2.78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 t="s">
        <v>308</v>
      </c>
      <c r="AH209" s="21" t="s">
        <v>3424</v>
      </c>
      <c r="AI209" s="21">
        <v>107.92500000000001</v>
      </c>
      <c r="AJ209" s="21">
        <v>97.222222222222229</v>
      </c>
      <c r="AK209" s="21" t="s">
        <v>2054</v>
      </c>
      <c r="AL209" t="s">
        <v>70</v>
      </c>
      <c r="AM209" t="s">
        <v>2028</v>
      </c>
    </row>
    <row r="210" spans="1:39" ht="15" hidden="1" thickTop="1" x14ac:dyDescent="0.35">
      <c r="A210" t="s">
        <v>2963</v>
      </c>
      <c r="B210" t="s">
        <v>2970</v>
      </c>
      <c r="C210" t="s">
        <v>86</v>
      </c>
      <c r="D210" t="s">
        <v>2971</v>
      </c>
      <c r="E210" t="s">
        <v>72</v>
      </c>
      <c r="F210">
        <v>1</v>
      </c>
      <c r="G210" t="s">
        <v>2050</v>
      </c>
      <c r="H210" t="s">
        <v>2051</v>
      </c>
      <c r="I210" t="s">
        <v>53</v>
      </c>
      <c r="J210" t="s">
        <v>73</v>
      </c>
      <c r="K210" t="s">
        <v>68</v>
      </c>
      <c r="L210" t="s">
        <v>2052</v>
      </c>
      <c r="M210" t="s">
        <v>2053</v>
      </c>
      <c r="N210">
        <v>0</v>
      </c>
      <c r="O210">
        <v>0</v>
      </c>
      <c r="P210">
        <v>0</v>
      </c>
      <c r="Q210">
        <v>1440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309</v>
      </c>
      <c r="AH210" s="21" t="s">
        <v>3424</v>
      </c>
      <c r="AI210" s="21">
        <v>107.92500000000001</v>
      </c>
      <c r="AJ210" s="21">
        <v>100</v>
      </c>
      <c r="AK210" s="21" t="s">
        <v>2054</v>
      </c>
      <c r="AL210" t="s">
        <v>75</v>
      </c>
      <c r="AM210" t="s">
        <v>2027</v>
      </c>
    </row>
    <row r="211" spans="1:39" ht="15" hidden="1" thickTop="1" x14ac:dyDescent="0.35">
      <c r="A211" t="s">
        <v>2972</v>
      </c>
      <c r="B211" t="s">
        <v>2977</v>
      </c>
      <c r="C211" t="s">
        <v>66</v>
      </c>
      <c r="D211" t="s">
        <v>2978</v>
      </c>
      <c r="E211" t="s">
        <v>559</v>
      </c>
      <c r="F211">
        <v>1</v>
      </c>
      <c r="G211" t="s">
        <v>2050</v>
      </c>
      <c r="H211" t="s">
        <v>2051</v>
      </c>
      <c r="I211" t="s">
        <v>53</v>
      </c>
      <c r="J211" t="s">
        <v>67</v>
      </c>
      <c r="K211" t="s">
        <v>68</v>
      </c>
      <c r="L211" t="s">
        <v>2052</v>
      </c>
      <c r="M211" t="s">
        <v>2064</v>
      </c>
      <c r="N211">
        <v>0</v>
      </c>
      <c r="O211">
        <v>0</v>
      </c>
      <c r="P211">
        <v>0</v>
      </c>
      <c r="Q211">
        <v>900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t="s">
        <v>310</v>
      </c>
      <c r="AH211" s="21" t="s">
        <v>3424</v>
      </c>
      <c r="AI211" s="21">
        <v>67.5</v>
      </c>
      <c r="AJ211" s="21">
        <v>100</v>
      </c>
      <c r="AK211" s="21" t="s">
        <v>2054</v>
      </c>
      <c r="AL211" t="s">
        <v>70</v>
      </c>
      <c r="AM211" t="s">
        <v>2029</v>
      </c>
    </row>
    <row r="212" spans="1:39" ht="15" hidden="1" thickTop="1" x14ac:dyDescent="0.35">
      <c r="A212" t="s">
        <v>2979</v>
      </c>
      <c r="B212" t="s">
        <v>2984</v>
      </c>
      <c r="C212" t="s">
        <v>76</v>
      </c>
      <c r="D212" t="s">
        <v>2985</v>
      </c>
      <c r="E212" t="s">
        <v>119</v>
      </c>
      <c r="F212">
        <v>1</v>
      </c>
      <c r="G212" t="s">
        <v>2050</v>
      </c>
      <c r="H212" t="s">
        <v>2051</v>
      </c>
      <c r="I212" t="s">
        <v>53</v>
      </c>
      <c r="J212" t="s">
        <v>67</v>
      </c>
      <c r="K212" t="s">
        <v>68</v>
      </c>
      <c r="L212" t="s">
        <v>2052</v>
      </c>
      <c r="M212" t="s">
        <v>2053</v>
      </c>
      <c r="N212">
        <v>0</v>
      </c>
      <c r="O212">
        <v>0</v>
      </c>
      <c r="P212">
        <v>0</v>
      </c>
      <c r="Q212">
        <v>1440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t="s">
        <v>311</v>
      </c>
      <c r="AH212" s="21" t="s">
        <v>3429</v>
      </c>
      <c r="AI212" s="21">
        <v>107.92500000000001</v>
      </c>
      <c r="AJ212" s="21">
        <v>100</v>
      </c>
      <c r="AK212" s="21" t="s">
        <v>2054</v>
      </c>
      <c r="AL212" t="s">
        <v>70</v>
      </c>
      <c r="AM212" t="s">
        <v>2029</v>
      </c>
    </row>
    <row r="213" spans="1:39" ht="15" hidden="1" thickTop="1" x14ac:dyDescent="0.35">
      <c r="A213" t="s">
        <v>2986</v>
      </c>
      <c r="B213" t="s">
        <v>2996</v>
      </c>
      <c r="C213" t="s">
        <v>71</v>
      </c>
      <c r="D213" t="s">
        <v>2997</v>
      </c>
      <c r="E213" t="s">
        <v>72</v>
      </c>
      <c r="F213">
        <v>2</v>
      </c>
      <c r="G213" t="s">
        <v>2050</v>
      </c>
      <c r="H213" t="s">
        <v>2051</v>
      </c>
      <c r="I213" t="s">
        <v>53</v>
      </c>
      <c r="J213" t="s">
        <v>73</v>
      </c>
      <c r="K213" t="s">
        <v>68</v>
      </c>
      <c r="L213" t="s">
        <v>2052</v>
      </c>
      <c r="M213" t="s">
        <v>2053</v>
      </c>
      <c r="N213">
        <v>0</v>
      </c>
      <c r="O213">
        <v>0</v>
      </c>
      <c r="P213">
        <v>0</v>
      </c>
      <c r="Q213">
        <v>1440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t="s">
        <v>312</v>
      </c>
      <c r="AH213" s="21" t="s">
        <v>3424</v>
      </c>
      <c r="AI213" s="21">
        <v>107.92500000000001</v>
      </c>
      <c r="AJ213" s="21">
        <v>100</v>
      </c>
      <c r="AK213" s="21" t="s">
        <v>2054</v>
      </c>
      <c r="AL213" t="s">
        <v>75</v>
      </c>
      <c r="AM213" t="s">
        <v>2028</v>
      </c>
    </row>
    <row r="214" spans="1:39" ht="15" hidden="1" thickTop="1" x14ac:dyDescent="0.35">
      <c r="A214" t="s">
        <v>2987</v>
      </c>
      <c r="B214" t="s">
        <v>2999</v>
      </c>
      <c r="C214" t="s">
        <v>86</v>
      </c>
      <c r="D214" t="s">
        <v>3000</v>
      </c>
      <c r="E214" t="s">
        <v>72</v>
      </c>
      <c r="F214">
        <v>2</v>
      </c>
      <c r="G214" t="s">
        <v>2050</v>
      </c>
      <c r="H214" t="s">
        <v>2051</v>
      </c>
      <c r="I214" t="s">
        <v>53</v>
      </c>
      <c r="J214" t="s">
        <v>73</v>
      </c>
      <c r="K214" t="s">
        <v>68</v>
      </c>
      <c r="L214" t="s">
        <v>2052</v>
      </c>
      <c r="M214" t="s">
        <v>2053</v>
      </c>
      <c r="N214">
        <v>0</v>
      </c>
      <c r="O214">
        <v>0</v>
      </c>
      <c r="P214">
        <v>0</v>
      </c>
      <c r="Q214">
        <v>1440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t="s">
        <v>313</v>
      </c>
      <c r="AH214" s="21" t="s">
        <v>3427</v>
      </c>
      <c r="AI214" s="21">
        <v>107.92500000000001</v>
      </c>
      <c r="AJ214" s="21">
        <v>100</v>
      </c>
      <c r="AK214" s="21" t="s">
        <v>2055</v>
      </c>
      <c r="AL214" t="s">
        <v>75</v>
      </c>
      <c r="AM214" t="s">
        <v>2029</v>
      </c>
    </row>
    <row r="215" spans="1:39" ht="15" hidden="1" thickTop="1" x14ac:dyDescent="0.35">
      <c r="A215" t="s">
        <v>2992</v>
      </c>
      <c r="B215" t="s">
        <v>3007</v>
      </c>
      <c r="C215" t="s">
        <v>102</v>
      </c>
      <c r="D215" t="s">
        <v>3008</v>
      </c>
      <c r="E215" t="s">
        <v>559</v>
      </c>
      <c r="F215">
        <v>1</v>
      </c>
      <c r="G215" t="s">
        <v>2050</v>
      </c>
      <c r="H215" t="s">
        <v>2051</v>
      </c>
      <c r="I215" t="s">
        <v>53</v>
      </c>
      <c r="J215" t="s">
        <v>67</v>
      </c>
      <c r="K215" t="s">
        <v>68</v>
      </c>
      <c r="L215" t="s">
        <v>2052</v>
      </c>
      <c r="M215" t="s">
        <v>2064</v>
      </c>
      <c r="N215">
        <v>0</v>
      </c>
      <c r="O215">
        <v>0</v>
      </c>
      <c r="P215">
        <v>0</v>
      </c>
      <c r="Q215">
        <v>900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314</v>
      </c>
      <c r="AH215" s="21" t="s">
        <v>3424</v>
      </c>
      <c r="AI215" s="21">
        <v>67.5</v>
      </c>
      <c r="AJ215" s="21">
        <v>100</v>
      </c>
      <c r="AK215" s="21" t="s">
        <v>2055</v>
      </c>
      <c r="AL215" t="s">
        <v>70</v>
      </c>
      <c r="AM215" t="s">
        <v>2029</v>
      </c>
    </row>
    <row r="216" spans="1:39" ht="15" hidden="1" thickTop="1" x14ac:dyDescent="0.35">
      <c r="A216" t="s">
        <v>2993</v>
      </c>
      <c r="B216" t="s">
        <v>3009</v>
      </c>
      <c r="C216" t="s">
        <v>66</v>
      </c>
      <c r="D216" t="s">
        <v>3010</v>
      </c>
      <c r="E216" t="s">
        <v>559</v>
      </c>
      <c r="F216">
        <v>1</v>
      </c>
      <c r="G216" t="s">
        <v>2050</v>
      </c>
      <c r="H216" t="s">
        <v>2051</v>
      </c>
      <c r="I216" t="s">
        <v>53</v>
      </c>
      <c r="J216" t="s">
        <v>67</v>
      </c>
      <c r="K216" t="s">
        <v>68</v>
      </c>
      <c r="L216" t="s">
        <v>2052</v>
      </c>
      <c r="M216" t="s">
        <v>2053</v>
      </c>
      <c r="N216">
        <v>0</v>
      </c>
      <c r="O216">
        <v>0</v>
      </c>
      <c r="P216">
        <v>0</v>
      </c>
      <c r="Q216">
        <v>1440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315</v>
      </c>
      <c r="AH216" s="21" t="s">
        <v>3428</v>
      </c>
      <c r="AI216" s="21">
        <v>107.92500000000001</v>
      </c>
      <c r="AJ216" s="21">
        <v>100</v>
      </c>
      <c r="AK216" s="21" t="s">
        <v>2055</v>
      </c>
      <c r="AL216" t="s">
        <v>70</v>
      </c>
      <c r="AM216" t="s">
        <v>2028</v>
      </c>
    </row>
    <row r="217" spans="1:39" ht="15" hidden="1" thickTop="1" x14ac:dyDescent="0.35">
      <c r="A217" t="s">
        <v>3002</v>
      </c>
      <c r="B217" t="s">
        <v>3015</v>
      </c>
      <c r="C217" t="s">
        <v>66</v>
      </c>
      <c r="D217" t="s">
        <v>3016</v>
      </c>
      <c r="E217" t="s">
        <v>119</v>
      </c>
      <c r="F217">
        <v>1</v>
      </c>
      <c r="G217" t="s">
        <v>2050</v>
      </c>
      <c r="H217" t="s">
        <v>2051</v>
      </c>
      <c r="I217" t="s">
        <v>53</v>
      </c>
      <c r="J217" t="s">
        <v>67</v>
      </c>
      <c r="K217" t="s">
        <v>68</v>
      </c>
      <c r="L217" t="s">
        <v>2052</v>
      </c>
      <c r="M217" t="s">
        <v>2053</v>
      </c>
      <c r="N217">
        <v>0</v>
      </c>
      <c r="O217">
        <v>0</v>
      </c>
      <c r="P217">
        <v>0</v>
      </c>
      <c r="Q217">
        <v>1440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316</v>
      </c>
      <c r="AH217" s="21" t="s">
        <v>3425</v>
      </c>
      <c r="AI217" s="21">
        <v>107.92500000000001</v>
      </c>
      <c r="AJ217" s="21">
        <v>100</v>
      </c>
      <c r="AK217" s="21" t="s">
        <v>2054</v>
      </c>
      <c r="AL217" t="s">
        <v>70</v>
      </c>
      <c r="AM217" t="s">
        <v>2027</v>
      </c>
    </row>
    <row r="218" spans="1:39" ht="15" hidden="1" thickTop="1" x14ac:dyDescent="0.35">
      <c r="A218" t="s">
        <v>2561</v>
      </c>
      <c r="B218" t="s">
        <v>3020</v>
      </c>
      <c r="C218" t="s">
        <v>66</v>
      </c>
      <c r="D218" t="s">
        <v>3021</v>
      </c>
      <c r="E218" t="s">
        <v>559</v>
      </c>
      <c r="F218">
        <v>1</v>
      </c>
      <c r="G218" t="s">
        <v>2050</v>
      </c>
      <c r="H218" t="s">
        <v>2051</v>
      </c>
      <c r="I218" t="s">
        <v>53</v>
      </c>
      <c r="J218" t="s">
        <v>67</v>
      </c>
      <c r="K218" t="s">
        <v>68</v>
      </c>
      <c r="L218" t="s">
        <v>2052</v>
      </c>
      <c r="M218" t="s">
        <v>2064</v>
      </c>
      <c r="N218">
        <v>0</v>
      </c>
      <c r="O218">
        <v>0</v>
      </c>
      <c r="P218">
        <v>0</v>
      </c>
      <c r="Q218">
        <v>900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317</v>
      </c>
      <c r="AH218" s="21" t="s">
        <v>3425</v>
      </c>
      <c r="AI218" s="21">
        <v>67.5</v>
      </c>
      <c r="AJ218" s="21">
        <v>100</v>
      </c>
      <c r="AK218" s="21" t="s">
        <v>2054</v>
      </c>
      <c r="AL218" t="s">
        <v>70</v>
      </c>
      <c r="AM218" t="s">
        <v>2029</v>
      </c>
    </row>
    <row r="219" spans="1:39" ht="15" hidden="1" thickTop="1" x14ac:dyDescent="0.35">
      <c r="A219" t="s">
        <v>3017</v>
      </c>
      <c r="B219" t="s">
        <v>3030</v>
      </c>
      <c r="C219" t="s">
        <v>3376</v>
      </c>
      <c r="D219" t="s">
        <v>3031</v>
      </c>
      <c r="E219" t="s">
        <v>559</v>
      </c>
      <c r="F219">
        <v>1</v>
      </c>
      <c r="G219" t="s">
        <v>2050</v>
      </c>
      <c r="H219" t="s">
        <v>2051</v>
      </c>
      <c r="I219" t="s">
        <v>53</v>
      </c>
      <c r="J219" t="s">
        <v>67</v>
      </c>
      <c r="K219" t="s">
        <v>68</v>
      </c>
      <c r="L219" t="s">
        <v>2052</v>
      </c>
      <c r="M219" t="s">
        <v>2053</v>
      </c>
      <c r="N219">
        <v>0</v>
      </c>
      <c r="O219">
        <v>0</v>
      </c>
      <c r="P219">
        <v>0</v>
      </c>
      <c r="Q219">
        <v>1440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t="s">
        <v>318</v>
      </c>
      <c r="AH219" s="21" t="s">
        <v>3424</v>
      </c>
      <c r="AI219" s="21">
        <v>107.92500000000001</v>
      </c>
      <c r="AJ219" s="21">
        <v>100</v>
      </c>
      <c r="AK219" s="21" t="s">
        <v>2054</v>
      </c>
      <c r="AL219" t="s">
        <v>70</v>
      </c>
      <c r="AM219" t="s">
        <v>2027</v>
      </c>
    </row>
    <row r="220" spans="1:39" ht="15" hidden="1" thickTop="1" x14ac:dyDescent="0.35">
      <c r="A220" t="s">
        <v>3022</v>
      </c>
      <c r="B220" t="s">
        <v>3032</v>
      </c>
      <c r="C220" t="s">
        <v>111</v>
      </c>
      <c r="D220" t="s">
        <v>3033</v>
      </c>
      <c r="E220" t="s">
        <v>112</v>
      </c>
      <c r="F220">
        <v>1</v>
      </c>
      <c r="G220" t="s">
        <v>2050</v>
      </c>
      <c r="H220" t="s">
        <v>2051</v>
      </c>
      <c r="I220" t="s">
        <v>53</v>
      </c>
      <c r="J220" t="s">
        <v>113</v>
      </c>
      <c r="K220" t="s">
        <v>68</v>
      </c>
      <c r="L220" t="s">
        <v>2052</v>
      </c>
      <c r="M220" t="s">
        <v>2053</v>
      </c>
      <c r="N220">
        <v>0</v>
      </c>
      <c r="O220">
        <v>0</v>
      </c>
      <c r="P220">
        <v>0</v>
      </c>
      <c r="Q220">
        <v>1440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319</v>
      </c>
      <c r="AH220" s="21" t="s">
        <v>3424</v>
      </c>
      <c r="AI220" s="21">
        <v>107.92500000000001</v>
      </c>
      <c r="AJ220" s="21">
        <v>100</v>
      </c>
      <c r="AK220" s="21" t="s">
        <v>2054</v>
      </c>
      <c r="AL220" t="s">
        <v>115</v>
      </c>
      <c r="AM220" t="s">
        <v>2029</v>
      </c>
    </row>
    <row r="221" spans="1:39" ht="15" hidden="1" thickTop="1" x14ac:dyDescent="0.35">
      <c r="A221" t="s">
        <v>2564</v>
      </c>
      <c r="B221" t="s">
        <v>3034</v>
      </c>
      <c r="C221" t="s">
        <v>78</v>
      </c>
      <c r="D221" t="s">
        <v>3035</v>
      </c>
      <c r="E221" t="s">
        <v>559</v>
      </c>
      <c r="F221">
        <v>1</v>
      </c>
      <c r="G221" t="s">
        <v>2050</v>
      </c>
      <c r="H221" t="s">
        <v>2051</v>
      </c>
      <c r="I221" t="s">
        <v>53</v>
      </c>
      <c r="J221" t="s">
        <v>67</v>
      </c>
      <c r="K221" t="s">
        <v>68</v>
      </c>
      <c r="L221" t="s">
        <v>2052</v>
      </c>
      <c r="M221" t="s">
        <v>2064</v>
      </c>
      <c r="N221">
        <v>0</v>
      </c>
      <c r="O221">
        <v>0</v>
      </c>
      <c r="P221">
        <v>0</v>
      </c>
      <c r="Q221">
        <v>900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320</v>
      </c>
      <c r="AH221" s="21" t="s">
        <v>3425</v>
      </c>
      <c r="AI221" s="21">
        <v>67.5</v>
      </c>
      <c r="AJ221" s="21">
        <v>100</v>
      </c>
      <c r="AK221" s="21" t="s">
        <v>2054</v>
      </c>
      <c r="AL221" t="s">
        <v>70</v>
      </c>
      <c r="AM221" t="s">
        <v>2029</v>
      </c>
    </row>
    <row r="222" spans="1:39" ht="15" hidden="1" thickTop="1" x14ac:dyDescent="0.35">
      <c r="A222" t="s">
        <v>3036</v>
      </c>
      <c r="B222" t="s">
        <v>3046</v>
      </c>
      <c r="C222" t="s">
        <v>237</v>
      </c>
      <c r="D222" t="s">
        <v>3047</v>
      </c>
      <c r="E222" t="s">
        <v>72</v>
      </c>
      <c r="F222">
        <v>1</v>
      </c>
      <c r="G222" t="s">
        <v>2050</v>
      </c>
      <c r="H222" t="s">
        <v>2051</v>
      </c>
      <c r="I222" t="s">
        <v>53</v>
      </c>
      <c r="J222" t="s">
        <v>73</v>
      </c>
      <c r="K222" t="s">
        <v>68</v>
      </c>
      <c r="L222" t="s">
        <v>2052</v>
      </c>
      <c r="M222" t="s">
        <v>2053</v>
      </c>
      <c r="N222">
        <v>0</v>
      </c>
      <c r="O222">
        <v>0</v>
      </c>
      <c r="P222">
        <v>0</v>
      </c>
      <c r="Q222">
        <v>1440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321</v>
      </c>
      <c r="AH222" s="21" t="s">
        <v>3428</v>
      </c>
      <c r="AI222" s="21">
        <v>107.92500000000001</v>
      </c>
      <c r="AJ222" s="21">
        <v>100</v>
      </c>
      <c r="AK222" s="21" t="s">
        <v>2054</v>
      </c>
      <c r="AL222" t="s">
        <v>75</v>
      </c>
      <c r="AM222" t="s">
        <v>2029</v>
      </c>
    </row>
    <row r="223" spans="1:39" ht="15" hidden="1" thickTop="1" x14ac:dyDescent="0.35">
      <c r="A223" t="s">
        <v>3039</v>
      </c>
      <c r="B223" t="s">
        <v>3050</v>
      </c>
      <c r="C223" t="s">
        <v>71</v>
      </c>
      <c r="D223" t="s">
        <v>3051</v>
      </c>
      <c r="E223" t="s">
        <v>72</v>
      </c>
      <c r="F223">
        <v>1</v>
      </c>
      <c r="G223" t="s">
        <v>2050</v>
      </c>
      <c r="H223" t="s">
        <v>2051</v>
      </c>
      <c r="I223" t="s">
        <v>53</v>
      </c>
      <c r="J223" t="s">
        <v>73</v>
      </c>
      <c r="K223" t="s">
        <v>68</v>
      </c>
      <c r="L223" t="s">
        <v>2052</v>
      </c>
      <c r="M223" t="s">
        <v>2053</v>
      </c>
      <c r="N223">
        <v>0</v>
      </c>
      <c r="O223">
        <v>0</v>
      </c>
      <c r="P223">
        <v>0</v>
      </c>
      <c r="Q223">
        <v>1440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 t="s">
        <v>322</v>
      </c>
      <c r="AH223" s="21" t="s">
        <v>3427</v>
      </c>
      <c r="AI223" s="21">
        <v>107.92500000000001</v>
      </c>
      <c r="AJ223" s="21">
        <v>100</v>
      </c>
      <c r="AK223" s="21" t="s">
        <v>2054</v>
      </c>
      <c r="AL223" t="s">
        <v>75</v>
      </c>
      <c r="AM223" t="s">
        <v>2029</v>
      </c>
    </row>
    <row r="224" spans="1:39" ht="15" hidden="1" thickTop="1" x14ac:dyDescent="0.35">
      <c r="A224" t="s">
        <v>3042</v>
      </c>
      <c r="B224" t="s">
        <v>3052</v>
      </c>
      <c r="C224" t="s">
        <v>237</v>
      </c>
      <c r="D224" t="s">
        <v>3053</v>
      </c>
      <c r="E224" t="s">
        <v>72</v>
      </c>
      <c r="F224">
        <v>1</v>
      </c>
      <c r="G224" t="s">
        <v>2050</v>
      </c>
      <c r="H224" t="s">
        <v>2051</v>
      </c>
      <c r="I224" t="s">
        <v>53</v>
      </c>
      <c r="J224" t="s">
        <v>73</v>
      </c>
      <c r="K224" t="s">
        <v>68</v>
      </c>
      <c r="L224" t="s">
        <v>2052</v>
      </c>
      <c r="M224" t="s">
        <v>2053</v>
      </c>
      <c r="N224">
        <v>0</v>
      </c>
      <c r="O224">
        <v>0</v>
      </c>
      <c r="P224">
        <v>0</v>
      </c>
      <c r="Q224">
        <v>1440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323</v>
      </c>
      <c r="AH224" s="21" t="s">
        <v>3424</v>
      </c>
      <c r="AI224" s="21">
        <v>107.92500000000001</v>
      </c>
      <c r="AJ224" s="21">
        <v>100</v>
      </c>
      <c r="AK224" s="21" t="s">
        <v>2054</v>
      </c>
      <c r="AL224" t="s">
        <v>75</v>
      </c>
      <c r="AM224" t="s">
        <v>2029</v>
      </c>
    </row>
    <row r="225" spans="1:39" ht="15" hidden="1" thickTop="1" x14ac:dyDescent="0.35">
      <c r="A225" t="s">
        <v>2573</v>
      </c>
      <c r="B225" t="s">
        <v>3054</v>
      </c>
      <c r="C225" t="s">
        <v>71</v>
      </c>
      <c r="D225" t="s">
        <v>3055</v>
      </c>
      <c r="E225" t="s">
        <v>72</v>
      </c>
      <c r="F225">
        <v>2</v>
      </c>
      <c r="G225" t="s">
        <v>2050</v>
      </c>
      <c r="H225" t="s">
        <v>2051</v>
      </c>
      <c r="I225" t="s">
        <v>53</v>
      </c>
      <c r="J225" t="s">
        <v>73</v>
      </c>
      <c r="K225" t="s">
        <v>68</v>
      </c>
      <c r="L225" t="s">
        <v>2052</v>
      </c>
      <c r="M225" t="s">
        <v>2053</v>
      </c>
      <c r="N225">
        <v>0</v>
      </c>
      <c r="O225">
        <v>0</v>
      </c>
      <c r="P225">
        <v>0</v>
      </c>
      <c r="Q225">
        <v>1440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 t="s">
        <v>324</v>
      </c>
      <c r="AH225" s="21" t="s">
        <v>3428</v>
      </c>
      <c r="AI225" s="21">
        <v>107.92500000000001</v>
      </c>
      <c r="AJ225" s="21">
        <v>100</v>
      </c>
      <c r="AK225" s="21" t="s">
        <v>2054</v>
      </c>
      <c r="AL225" t="s">
        <v>75</v>
      </c>
      <c r="AM225" t="s">
        <v>2029</v>
      </c>
    </row>
    <row r="226" spans="1:39" ht="15" hidden="1" thickTop="1" x14ac:dyDescent="0.35">
      <c r="A226" t="s">
        <v>3056</v>
      </c>
      <c r="B226" t="s">
        <v>3061</v>
      </c>
      <c r="C226" t="s">
        <v>76</v>
      </c>
      <c r="D226" t="s">
        <v>3062</v>
      </c>
      <c r="E226" t="s">
        <v>559</v>
      </c>
      <c r="F226">
        <v>1</v>
      </c>
      <c r="G226" t="s">
        <v>2050</v>
      </c>
      <c r="H226" t="s">
        <v>2051</v>
      </c>
      <c r="I226" t="s">
        <v>53</v>
      </c>
      <c r="J226" t="s">
        <v>67</v>
      </c>
      <c r="K226" t="s">
        <v>68</v>
      </c>
      <c r="L226" t="s">
        <v>2052</v>
      </c>
      <c r="M226" t="s">
        <v>2053</v>
      </c>
      <c r="N226">
        <v>0</v>
      </c>
      <c r="O226">
        <v>0</v>
      </c>
      <c r="P226">
        <v>0</v>
      </c>
      <c r="Q226">
        <v>1440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 t="s">
        <v>325</v>
      </c>
      <c r="AH226" s="21" t="s">
        <v>3424</v>
      </c>
      <c r="AI226" s="21">
        <v>107.92500000000001</v>
      </c>
      <c r="AJ226" s="21">
        <v>100</v>
      </c>
      <c r="AK226" s="21" t="s">
        <v>2055</v>
      </c>
      <c r="AL226" t="s">
        <v>70</v>
      </c>
      <c r="AM226" t="s">
        <v>2028</v>
      </c>
    </row>
    <row r="227" spans="1:39" ht="15" hidden="1" thickTop="1" x14ac:dyDescent="0.35">
      <c r="A227" t="s">
        <v>3063</v>
      </c>
      <c r="B227" t="s">
        <v>3068</v>
      </c>
      <c r="C227" t="s">
        <v>78</v>
      </c>
      <c r="D227" t="s">
        <v>3069</v>
      </c>
      <c r="E227" t="s">
        <v>559</v>
      </c>
      <c r="F227">
        <v>1</v>
      </c>
      <c r="G227" t="s">
        <v>2050</v>
      </c>
      <c r="H227" t="s">
        <v>2051</v>
      </c>
      <c r="I227" t="s">
        <v>53</v>
      </c>
      <c r="J227" t="s">
        <v>67</v>
      </c>
      <c r="K227" t="s">
        <v>68</v>
      </c>
      <c r="L227" t="s">
        <v>2052</v>
      </c>
      <c r="M227" t="s">
        <v>2053</v>
      </c>
      <c r="N227">
        <v>0</v>
      </c>
      <c r="O227">
        <v>0</v>
      </c>
      <c r="P227">
        <v>0</v>
      </c>
      <c r="Q227">
        <v>1440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326</v>
      </c>
      <c r="AH227" s="21" t="s">
        <v>3425</v>
      </c>
      <c r="AI227" s="21">
        <v>107.92500000000001</v>
      </c>
      <c r="AJ227" s="21">
        <v>100</v>
      </c>
      <c r="AK227" s="21" t="s">
        <v>2054</v>
      </c>
      <c r="AL227" t="s">
        <v>70</v>
      </c>
      <c r="AM227" t="s">
        <v>2029</v>
      </c>
    </row>
    <row r="228" spans="1:39" ht="15" hidden="1" thickTop="1" x14ac:dyDescent="0.35">
      <c r="A228" t="s">
        <v>3070</v>
      </c>
      <c r="B228" t="s">
        <v>3086</v>
      </c>
      <c r="C228" t="s">
        <v>92</v>
      </c>
      <c r="D228" t="s">
        <v>3087</v>
      </c>
      <c r="E228" t="s">
        <v>119</v>
      </c>
      <c r="F228">
        <v>1</v>
      </c>
      <c r="G228" t="s">
        <v>2050</v>
      </c>
      <c r="H228" t="s">
        <v>2051</v>
      </c>
      <c r="I228" t="s">
        <v>53</v>
      </c>
      <c r="J228" t="s">
        <v>67</v>
      </c>
      <c r="K228" t="s">
        <v>68</v>
      </c>
      <c r="L228" t="s">
        <v>2052</v>
      </c>
      <c r="M228" t="s">
        <v>2064</v>
      </c>
      <c r="N228">
        <v>0</v>
      </c>
      <c r="O228">
        <v>0</v>
      </c>
      <c r="P228">
        <v>0</v>
      </c>
      <c r="Q228">
        <v>900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t="s">
        <v>327</v>
      </c>
      <c r="AH228" s="21" t="s">
        <v>3425</v>
      </c>
      <c r="AI228" s="21">
        <v>67.5</v>
      </c>
      <c r="AJ228" s="21">
        <v>100</v>
      </c>
      <c r="AK228" s="21" t="s">
        <v>2054</v>
      </c>
      <c r="AL228" t="s">
        <v>70</v>
      </c>
      <c r="AM228" t="s">
        <v>2029</v>
      </c>
    </row>
    <row r="229" spans="1:39" ht="15" hidden="1" thickTop="1" x14ac:dyDescent="0.35">
      <c r="A229" t="s">
        <v>3075</v>
      </c>
      <c r="B229" t="s">
        <v>3094</v>
      </c>
      <c r="C229" t="s">
        <v>76</v>
      </c>
      <c r="D229" t="s">
        <v>3095</v>
      </c>
      <c r="E229" t="s">
        <v>119</v>
      </c>
      <c r="F229">
        <v>1</v>
      </c>
      <c r="G229" t="s">
        <v>2050</v>
      </c>
      <c r="H229" t="s">
        <v>2051</v>
      </c>
      <c r="I229" t="s">
        <v>53</v>
      </c>
      <c r="J229" t="s">
        <v>67</v>
      </c>
      <c r="K229" t="s">
        <v>68</v>
      </c>
      <c r="L229" t="s">
        <v>2052</v>
      </c>
      <c r="M229" t="s">
        <v>2053</v>
      </c>
      <c r="N229">
        <v>0</v>
      </c>
      <c r="O229">
        <v>0</v>
      </c>
      <c r="P229">
        <v>0</v>
      </c>
      <c r="Q229">
        <v>1440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328</v>
      </c>
      <c r="AH229" s="21" t="s">
        <v>3425</v>
      </c>
      <c r="AI229" s="21">
        <v>107.92500000000001</v>
      </c>
      <c r="AJ229" s="21">
        <v>100</v>
      </c>
      <c r="AK229" s="21" t="s">
        <v>2054</v>
      </c>
      <c r="AL229" t="s">
        <v>70</v>
      </c>
      <c r="AM229" t="s">
        <v>2028</v>
      </c>
    </row>
    <row r="230" spans="1:39" ht="15" hidden="1" thickTop="1" x14ac:dyDescent="0.35">
      <c r="A230" t="s">
        <v>3079</v>
      </c>
      <c r="B230" t="s">
        <v>3100</v>
      </c>
      <c r="C230" t="s">
        <v>100</v>
      </c>
      <c r="D230" t="s">
        <v>3101</v>
      </c>
      <c r="E230" t="s">
        <v>559</v>
      </c>
      <c r="F230">
        <v>1</v>
      </c>
      <c r="G230" t="s">
        <v>2050</v>
      </c>
      <c r="H230" t="s">
        <v>2051</v>
      </c>
      <c r="I230" t="s">
        <v>53</v>
      </c>
      <c r="J230" t="s">
        <v>67</v>
      </c>
      <c r="K230" t="s">
        <v>68</v>
      </c>
      <c r="L230" t="s">
        <v>2052</v>
      </c>
      <c r="M230" t="s">
        <v>2053</v>
      </c>
      <c r="N230">
        <v>0</v>
      </c>
      <c r="O230">
        <v>0</v>
      </c>
      <c r="P230">
        <v>0</v>
      </c>
      <c r="Q230">
        <v>1440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t="s">
        <v>329</v>
      </c>
      <c r="AH230" s="21" t="s">
        <v>3427</v>
      </c>
      <c r="AI230" s="21">
        <v>107.92500000000001</v>
      </c>
      <c r="AJ230" s="21">
        <v>100</v>
      </c>
      <c r="AK230" s="21" t="s">
        <v>2054</v>
      </c>
      <c r="AL230" t="s">
        <v>70</v>
      </c>
      <c r="AM230" t="s">
        <v>2030</v>
      </c>
    </row>
    <row r="231" spans="1:39" ht="15" hidden="1" thickTop="1" x14ac:dyDescent="0.35">
      <c r="A231" t="s">
        <v>3083</v>
      </c>
      <c r="B231" t="s">
        <v>3106</v>
      </c>
      <c r="C231" t="s">
        <v>66</v>
      </c>
      <c r="D231" t="s">
        <v>3107</v>
      </c>
      <c r="E231" t="s">
        <v>559</v>
      </c>
      <c r="F231">
        <v>1</v>
      </c>
      <c r="G231" t="s">
        <v>2050</v>
      </c>
      <c r="H231" t="s">
        <v>2051</v>
      </c>
      <c r="I231" t="s">
        <v>53</v>
      </c>
      <c r="J231" t="s">
        <v>67</v>
      </c>
      <c r="K231" t="s">
        <v>68</v>
      </c>
      <c r="L231" t="s">
        <v>2052</v>
      </c>
      <c r="M231" t="s">
        <v>2053</v>
      </c>
      <c r="N231">
        <v>0</v>
      </c>
      <c r="O231">
        <v>0</v>
      </c>
      <c r="P231">
        <v>0</v>
      </c>
      <c r="Q231">
        <v>1440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330</v>
      </c>
      <c r="AH231" s="21" t="s">
        <v>3424</v>
      </c>
      <c r="AI231" s="21">
        <v>107.92500000000001</v>
      </c>
      <c r="AJ231" s="21">
        <v>100</v>
      </c>
      <c r="AK231" s="21" t="s">
        <v>2054</v>
      </c>
      <c r="AL231" t="s">
        <v>70</v>
      </c>
      <c r="AM231" t="s">
        <v>2028</v>
      </c>
    </row>
    <row r="232" spans="1:39" ht="15" hidden="1" thickTop="1" x14ac:dyDescent="0.35">
      <c r="A232" t="s">
        <v>3084</v>
      </c>
      <c r="B232" t="s">
        <v>3109</v>
      </c>
      <c r="C232" t="s">
        <v>100</v>
      </c>
      <c r="D232" t="s">
        <v>3110</v>
      </c>
      <c r="E232" t="s">
        <v>559</v>
      </c>
      <c r="F232">
        <v>1</v>
      </c>
      <c r="G232" t="s">
        <v>2050</v>
      </c>
      <c r="H232" t="s">
        <v>2051</v>
      </c>
      <c r="I232" t="s">
        <v>53</v>
      </c>
      <c r="J232" t="s">
        <v>67</v>
      </c>
      <c r="K232" t="s">
        <v>68</v>
      </c>
      <c r="L232" t="s">
        <v>2052</v>
      </c>
      <c r="M232" t="s">
        <v>2053</v>
      </c>
      <c r="N232">
        <v>0</v>
      </c>
      <c r="O232">
        <v>0</v>
      </c>
      <c r="P232">
        <v>0</v>
      </c>
      <c r="Q232">
        <v>1440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331</v>
      </c>
      <c r="AH232" s="21" t="s">
        <v>3424</v>
      </c>
      <c r="AI232" s="21">
        <v>107.92500000000001</v>
      </c>
      <c r="AJ232" s="21">
        <v>100</v>
      </c>
      <c r="AK232" s="21" t="s">
        <v>2054</v>
      </c>
      <c r="AL232" t="s">
        <v>70</v>
      </c>
      <c r="AM232" t="s">
        <v>2029</v>
      </c>
    </row>
    <row r="233" spans="1:39" ht="15" hidden="1" thickTop="1" x14ac:dyDescent="0.35">
      <c r="A233" t="s">
        <v>3085</v>
      </c>
      <c r="B233" t="s">
        <v>3112</v>
      </c>
      <c r="C233" t="s">
        <v>66</v>
      </c>
      <c r="D233" t="s">
        <v>3113</v>
      </c>
      <c r="E233" t="s">
        <v>559</v>
      </c>
      <c r="F233">
        <v>1</v>
      </c>
      <c r="G233" t="s">
        <v>2050</v>
      </c>
      <c r="H233" t="s">
        <v>2051</v>
      </c>
      <c r="I233" t="s">
        <v>53</v>
      </c>
      <c r="J233" t="s">
        <v>67</v>
      </c>
      <c r="K233" t="s">
        <v>68</v>
      </c>
      <c r="L233" t="s">
        <v>2052</v>
      </c>
      <c r="M233" t="s">
        <v>2053</v>
      </c>
      <c r="N233">
        <v>0</v>
      </c>
      <c r="O233">
        <v>0</v>
      </c>
      <c r="P233">
        <v>0</v>
      </c>
      <c r="Q233">
        <v>1440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t="s">
        <v>332</v>
      </c>
      <c r="AH233" s="21" t="s">
        <v>3424</v>
      </c>
      <c r="AI233" s="21">
        <v>107.92500000000001</v>
      </c>
      <c r="AJ233" s="21">
        <v>100</v>
      </c>
      <c r="AK233" s="21" t="s">
        <v>2054</v>
      </c>
      <c r="AL233" t="s">
        <v>70</v>
      </c>
      <c r="AM233" t="s">
        <v>2029</v>
      </c>
    </row>
    <row r="234" spans="1:39" ht="15" hidden="1" thickTop="1" x14ac:dyDescent="0.35">
      <c r="A234" t="s">
        <v>3088</v>
      </c>
      <c r="B234" t="s">
        <v>3114</v>
      </c>
      <c r="C234" t="s">
        <v>76</v>
      </c>
      <c r="D234" t="s">
        <v>3115</v>
      </c>
      <c r="E234" t="s">
        <v>559</v>
      </c>
      <c r="F234">
        <v>1</v>
      </c>
      <c r="G234" t="s">
        <v>2050</v>
      </c>
      <c r="H234" t="s">
        <v>2051</v>
      </c>
      <c r="I234" t="s">
        <v>53</v>
      </c>
      <c r="J234" t="s">
        <v>67</v>
      </c>
      <c r="K234" t="s">
        <v>68</v>
      </c>
      <c r="L234" t="s">
        <v>2052</v>
      </c>
      <c r="M234" t="s">
        <v>2053</v>
      </c>
      <c r="N234">
        <v>0</v>
      </c>
      <c r="O234">
        <v>0</v>
      </c>
      <c r="P234">
        <v>0</v>
      </c>
      <c r="Q234">
        <v>1440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333</v>
      </c>
      <c r="AH234" s="21" t="s">
        <v>3429</v>
      </c>
      <c r="AI234" s="21">
        <v>107.92500000000001</v>
      </c>
      <c r="AJ234" s="21">
        <v>100</v>
      </c>
      <c r="AK234" s="21" t="s">
        <v>2054</v>
      </c>
      <c r="AL234" t="s">
        <v>70</v>
      </c>
      <c r="AM234" t="s">
        <v>2027</v>
      </c>
    </row>
    <row r="235" spans="1:39" ht="15" hidden="1" thickTop="1" x14ac:dyDescent="0.35">
      <c r="A235" t="s">
        <v>3090</v>
      </c>
      <c r="B235" t="s">
        <v>3116</v>
      </c>
      <c r="C235" t="s">
        <v>66</v>
      </c>
      <c r="D235" t="s">
        <v>3117</v>
      </c>
      <c r="E235" t="s">
        <v>559</v>
      </c>
      <c r="F235">
        <v>1</v>
      </c>
      <c r="G235" t="s">
        <v>2050</v>
      </c>
      <c r="H235" t="s">
        <v>2051</v>
      </c>
      <c r="I235" t="s">
        <v>53</v>
      </c>
      <c r="J235" t="s">
        <v>67</v>
      </c>
      <c r="K235" t="s">
        <v>68</v>
      </c>
      <c r="L235" t="s">
        <v>2052</v>
      </c>
      <c r="M235" t="s">
        <v>2053</v>
      </c>
      <c r="N235">
        <v>0</v>
      </c>
      <c r="O235">
        <v>0</v>
      </c>
      <c r="P235">
        <v>0</v>
      </c>
      <c r="Q235">
        <v>1440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334</v>
      </c>
      <c r="AH235" s="21" t="s">
        <v>3424</v>
      </c>
      <c r="AI235" s="21">
        <v>107.92500000000001</v>
      </c>
      <c r="AJ235" s="21">
        <v>100</v>
      </c>
      <c r="AK235" s="21" t="s">
        <v>2054</v>
      </c>
      <c r="AL235" t="s">
        <v>70</v>
      </c>
      <c r="AM235" t="s">
        <v>2029</v>
      </c>
    </row>
    <row r="236" spans="1:39" ht="15" hidden="1" thickTop="1" x14ac:dyDescent="0.35">
      <c r="A236" t="s">
        <v>3096</v>
      </c>
      <c r="B236" t="s">
        <v>3119</v>
      </c>
      <c r="C236" t="s">
        <v>102</v>
      </c>
      <c r="D236" t="s">
        <v>3120</v>
      </c>
      <c r="E236" t="s">
        <v>559</v>
      </c>
      <c r="F236">
        <v>1</v>
      </c>
      <c r="G236" t="s">
        <v>2050</v>
      </c>
      <c r="H236" t="s">
        <v>2051</v>
      </c>
      <c r="I236" t="s">
        <v>53</v>
      </c>
      <c r="J236" t="s">
        <v>67</v>
      </c>
      <c r="K236" t="s">
        <v>68</v>
      </c>
      <c r="L236" t="s">
        <v>2052</v>
      </c>
      <c r="M236" t="s">
        <v>2053</v>
      </c>
      <c r="N236">
        <v>0</v>
      </c>
      <c r="O236">
        <v>0</v>
      </c>
      <c r="P236">
        <v>0</v>
      </c>
      <c r="Q236">
        <v>1440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335</v>
      </c>
      <c r="AH236" s="21" t="s">
        <v>3424</v>
      </c>
      <c r="AI236" s="21">
        <v>107.92500000000001</v>
      </c>
      <c r="AJ236" s="21">
        <v>100</v>
      </c>
      <c r="AK236" s="21" t="s">
        <v>2054</v>
      </c>
      <c r="AL236" t="s">
        <v>70</v>
      </c>
      <c r="AM236" t="s">
        <v>2028</v>
      </c>
    </row>
    <row r="237" spans="1:39" ht="15" hidden="1" thickTop="1" x14ac:dyDescent="0.35">
      <c r="A237" t="s">
        <v>3097</v>
      </c>
      <c r="B237" t="s">
        <v>3122</v>
      </c>
      <c r="C237" t="s">
        <v>100</v>
      </c>
      <c r="D237" t="s">
        <v>3123</v>
      </c>
      <c r="E237" t="s">
        <v>559</v>
      </c>
      <c r="F237">
        <v>1</v>
      </c>
      <c r="G237" t="s">
        <v>2050</v>
      </c>
      <c r="H237" t="s">
        <v>2051</v>
      </c>
      <c r="I237" t="s">
        <v>53</v>
      </c>
      <c r="J237" t="s">
        <v>67</v>
      </c>
      <c r="K237" t="s">
        <v>68</v>
      </c>
      <c r="L237" t="s">
        <v>2052</v>
      </c>
      <c r="M237" t="s">
        <v>2064</v>
      </c>
      <c r="N237">
        <v>0</v>
      </c>
      <c r="O237">
        <v>0</v>
      </c>
      <c r="P237">
        <v>0</v>
      </c>
      <c r="Q237">
        <v>900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336</v>
      </c>
      <c r="AH237" s="21" t="s">
        <v>3424</v>
      </c>
      <c r="AI237" s="21">
        <v>67.5</v>
      </c>
      <c r="AJ237" s="21">
        <v>100</v>
      </c>
      <c r="AK237" s="21" t="s">
        <v>2054</v>
      </c>
      <c r="AL237" t="s">
        <v>70</v>
      </c>
      <c r="AM237" t="s">
        <v>2027</v>
      </c>
    </row>
    <row r="238" spans="1:39" ht="15" hidden="1" thickTop="1" x14ac:dyDescent="0.35">
      <c r="A238" t="s">
        <v>3103</v>
      </c>
      <c r="B238" t="s">
        <v>3128</v>
      </c>
      <c r="C238" t="s">
        <v>92</v>
      </c>
      <c r="D238" t="s">
        <v>3129</v>
      </c>
      <c r="E238" t="s">
        <v>119</v>
      </c>
      <c r="F238">
        <v>1</v>
      </c>
      <c r="G238" t="s">
        <v>2050</v>
      </c>
      <c r="H238" t="s">
        <v>2051</v>
      </c>
      <c r="I238" t="s">
        <v>53</v>
      </c>
      <c r="J238" t="s">
        <v>67</v>
      </c>
      <c r="K238" t="s">
        <v>68</v>
      </c>
      <c r="L238" t="s">
        <v>2052</v>
      </c>
      <c r="M238" t="s">
        <v>2064</v>
      </c>
      <c r="N238">
        <v>0</v>
      </c>
      <c r="O238">
        <v>0</v>
      </c>
      <c r="P238">
        <v>0</v>
      </c>
      <c r="Q238">
        <v>900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337</v>
      </c>
      <c r="AH238" s="21" t="s">
        <v>3425</v>
      </c>
      <c r="AI238" s="21">
        <v>67.5</v>
      </c>
      <c r="AJ238" s="21">
        <v>100</v>
      </c>
      <c r="AK238" s="21" t="s">
        <v>2054</v>
      </c>
      <c r="AL238" t="s">
        <v>70</v>
      </c>
      <c r="AM238" t="s">
        <v>2029</v>
      </c>
    </row>
    <row r="239" spans="1:39" ht="15" hidden="1" thickTop="1" x14ac:dyDescent="0.35">
      <c r="A239" t="s">
        <v>3118</v>
      </c>
      <c r="B239" t="s">
        <v>3131</v>
      </c>
      <c r="C239" t="s">
        <v>71</v>
      </c>
      <c r="D239" t="s">
        <v>3132</v>
      </c>
      <c r="E239" t="s">
        <v>72</v>
      </c>
      <c r="F239">
        <v>1</v>
      </c>
      <c r="G239" t="s">
        <v>2050</v>
      </c>
      <c r="H239" t="s">
        <v>2051</v>
      </c>
      <c r="I239" t="s">
        <v>53</v>
      </c>
      <c r="J239" t="s">
        <v>73</v>
      </c>
      <c r="K239" t="s">
        <v>68</v>
      </c>
      <c r="L239" t="s">
        <v>2052</v>
      </c>
      <c r="M239" t="s">
        <v>2082</v>
      </c>
      <c r="N239">
        <v>0</v>
      </c>
      <c r="O239">
        <v>0</v>
      </c>
      <c r="P239">
        <v>0</v>
      </c>
      <c r="Q239">
        <v>780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t="s">
        <v>339</v>
      </c>
      <c r="AH239" s="21" t="s">
        <v>3424</v>
      </c>
      <c r="AI239" s="21">
        <v>58.500000000000014</v>
      </c>
      <c r="AJ239" s="21">
        <v>100</v>
      </c>
      <c r="AK239" s="21" t="s">
        <v>2054</v>
      </c>
      <c r="AL239" t="s">
        <v>75</v>
      </c>
      <c r="AM239" t="s">
        <v>2027</v>
      </c>
    </row>
    <row r="240" spans="1:39" ht="15" hidden="1" thickTop="1" x14ac:dyDescent="0.35">
      <c r="A240" t="s">
        <v>3121</v>
      </c>
      <c r="B240" t="s">
        <v>3133</v>
      </c>
      <c r="C240" t="s">
        <v>135</v>
      </c>
      <c r="D240" t="s">
        <v>3134</v>
      </c>
      <c r="E240" t="s">
        <v>136</v>
      </c>
      <c r="F240">
        <v>4</v>
      </c>
      <c r="G240" t="s">
        <v>2050</v>
      </c>
      <c r="H240" t="s">
        <v>2051</v>
      </c>
      <c r="I240" t="s">
        <v>53</v>
      </c>
      <c r="J240" t="s">
        <v>137</v>
      </c>
      <c r="K240" t="s">
        <v>68</v>
      </c>
      <c r="L240" t="s">
        <v>2052</v>
      </c>
      <c r="M240" t="s">
        <v>2053</v>
      </c>
      <c r="N240">
        <v>0</v>
      </c>
      <c r="O240">
        <v>0</v>
      </c>
      <c r="P240">
        <v>0</v>
      </c>
      <c r="Q240">
        <v>1440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t="s">
        <v>340</v>
      </c>
      <c r="AH240" s="21" t="s">
        <v>3430</v>
      </c>
      <c r="AI240" s="21">
        <v>107.92500000000001</v>
      </c>
      <c r="AJ240" s="21">
        <v>100</v>
      </c>
      <c r="AK240" s="21" t="s">
        <v>2055</v>
      </c>
      <c r="AL240" t="s">
        <v>115</v>
      </c>
      <c r="AM240" t="s">
        <v>2029</v>
      </c>
    </row>
    <row r="241" spans="1:39" ht="15" hidden="1" thickTop="1" x14ac:dyDescent="0.35">
      <c r="A241" t="s">
        <v>3124</v>
      </c>
      <c r="B241" t="s">
        <v>3135</v>
      </c>
      <c r="C241" t="s">
        <v>820</v>
      </c>
      <c r="D241" t="s">
        <v>3136</v>
      </c>
      <c r="E241" t="s">
        <v>72</v>
      </c>
      <c r="F241">
        <v>1</v>
      </c>
      <c r="G241" t="s">
        <v>2050</v>
      </c>
      <c r="H241" t="s">
        <v>2051</v>
      </c>
      <c r="I241" t="s">
        <v>53</v>
      </c>
      <c r="J241" t="s">
        <v>424</v>
      </c>
      <c r="K241" t="s">
        <v>68</v>
      </c>
      <c r="L241" t="s">
        <v>2052</v>
      </c>
      <c r="M241" t="s">
        <v>2053</v>
      </c>
      <c r="N241">
        <v>0</v>
      </c>
      <c r="O241">
        <v>0</v>
      </c>
      <c r="P241">
        <v>0</v>
      </c>
      <c r="Q241">
        <v>1440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341</v>
      </c>
      <c r="AH241" s="21" t="s">
        <v>3427</v>
      </c>
      <c r="AI241" s="21">
        <v>107.92500000000001</v>
      </c>
      <c r="AJ241" s="21">
        <v>100</v>
      </c>
      <c r="AK241" s="21" t="s">
        <v>2054</v>
      </c>
      <c r="AL241" t="s">
        <v>75</v>
      </c>
      <c r="AM241" t="s">
        <v>2027</v>
      </c>
    </row>
    <row r="242" spans="1:39" ht="15" hidden="1" thickTop="1" x14ac:dyDescent="0.35">
      <c r="A242" t="s">
        <v>3137</v>
      </c>
      <c r="B242" t="s">
        <v>3145</v>
      </c>
      <c r="C242" t="s">
        <v>117</v>
      </c>
      <c r="D242" t="s">
        <v>3146</v>
      </c>
      <c r="E242" t="s">
        <v>559</v>
      </c>
      <c r="F242">
        <v>1</v>
      </c>
      <c r="G242" t="s">
        <v>2050</v>
      </c>
      <c r="H242" t="s">
        <v>2051</v>
      </c>
      <c r="I242" t="s">
        <v>53</v>
      </c>
      <c r="J242" t="s">
        <v>67</v>
      </c>
      <c r="K242" t="s">
        <v>68</v>
      </c>
      <c r="L242" t="s">
        <v>2052</v>
      </c>
      <c r="M242" t="s">
        <v>2053</v>
      </c>
      <c r="N242">
        <v>0</v>
      </c>
      <c r="O242">
        <v>0</v>
      </c>
      <c r="P242">
        <v>0</v>
      </c>
      <c r="Q242">
        <v>1440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t="s">
        <v>342</v>
      </c>
      <c r="AH242" s="21" t="s">
        <v>3424</v>
      </c>
      <c r="AI242" s="21">
        <v>107.92500000000001</v>
      </c>
      <c r="AJ242" s="21">
        <v>100</v>
      </c>
      <c r="AK242" s="21" t="s">
        <v>2054</v>
      </c>
      <c r="AL242" t="s">
        <v>70</v>
      </c>
      <c r="AM242" t="s">
        <v>2029</v>
      </c>
    </row>
    <row r="243" spans="1:39" ht="15" hidden="1" thickTop="1" x14ac:dyDescent="0.35">
      <c r="A243" t="s">
        <v>3140</v>
      </c>
      <c r="B243" t="s">
        <v>3147</v>
      </c>
      <c r="C243" t="s">
        <v>102</v>
      </c>
      <c r="D243" t="s">
        <v>3148</v>
      </c>
      <c r="E243" t="s">
        <v>559</v>
      </c>
      <c r="F243">
        <v>1</v>
      </c>
      <c r="G243" t="s">
        <v>2050</v>
      </c>
      <c r="H243" t="s">
        <v>2051</v>
      </c>
      <c r="I243" t="s">
        <v>53</v>
      </c>
      <c r="J243" t="s">
        <v>67</v>
      </c>
      <c r="K243" t="s">
        <v>68</v>
      </c>
      <c r="L243" t="s">
        <v>2052</v>
      </c>
      <c r="M243" t="s">
        <v>2053</v>
      </c>
      <c r="N243">
        <v>0</v>
      </c>
      <c r="O243">
        <v>0</v>
      </c>
      <c r="P243">
        <v>0</v>
      </c>
      <c r="Q243">
        <v>1440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t="s">
        <v>343</v>
      </c>
      <c r="AH243" s="21" t="s">
        <v>3424</v>
      </c>
      <c r="AI243" s="21">
        <v>107.92500000000001</v>
      </c>
      <c r="AJ243" s="21">
        <v>100</v>
      </c>
      <c r="AK243" s="21" t="s">
        <v>2055</v>
      </c>
      <c r="AL243" t="s">
        <v>70</v>
      </c>
      <c r="AM243" t="s">
        <v>2027</v>
      </c>
    </row>
    <row r="244" spans="1:39" ht="15" hidden="1" thickTop="1" x14ac:dyDescent="0.35">
      <c r="A244" t="s">
        <v>2580</v>
      </c>
      <c r="B244" t="s">
        <v>3151</v>
      </c>
      <c r="C244" t="s">
        <v>76</v>
      </c>
      <c r="D244" t="s">
        <v>3152</v>
      </c>
      <c r="E244" t="s">
        <v>559</v>
      </c>
      <c r="F244">
        <v>1</v>
      </c>
      <c r="G244" t="s">
        <v>2050</v>
      </c>
      <c r="H244" t="s">
        <v>2051</v>
      </c>
      <c r="I244" t="s">
        <v>53</v>
      </c>
      <c r="J244" t="s">
        <v>67</v>
      </c>
      <c r="K244" t="s">
        <v>68</v>
      </c>
      <c r="L244" t="s">
        <v>2052</v>
      </c>
      <c r="M244" t="s">
        <v>2053</v>
      </c>
      <c r="N244">
        <v>0</v>
      </c>
      <c r="O244">
        <v>0</v>
      </c>
      <c r="P244">
        <v>0</v>
      </c>
      <c r="Q244">
        <v>1440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344</v>
      </c>
      <c r="AH244" s="21" t="s">
        <v>3427</v>
      </c>
      <c r="AI244" s="21">
        <v>107.92500000000001</v>
      </c>
      <c r="AJ244" s="21">
        <v>100</v>
      </c>
      <c r="AK244" s="21" t="s">
        <v>2054</v>
      </c>
      <c r="AL244" t="s">
        <v>70</v>
      </c>
      <c r="AM244" t="s">
        <v>2028</v>
      </c>
    </row>
    <row r="245" spans="1:39" ht="15" hidden="1" thickTop="1" x14ac:dyDescent="0.35">
      <c r="A245" t="s">
        <v>3153</v>
      </c>
      <c r="B245" t="s">
        <v>3165</v>
      </c>
      <c r="C245" t="s">
        <v>117</v>
      </c>
      <c r="D245" t="s">
        <v>3166</v>
      </c>
      <c r="E245" t="s">
        <v>559</v>
      </c>
      <c r="F245">
        <v>1</v>
      </c>
      <c r="G245" t="s">
        <v>2050</v>
      </c>
      <c r="H245" t="s">
        <v>2051</v>
      </c>
      <c r="I245" t="s">
        <v>53</v>
      </c>
      <c r="J245" t="s">
        <v>67</v>
      </c>
      <c r="K245" t="s">
        <v>68</v>
      </c>
      <c r="L245" t="s">
        <v>2052</v>
      </c>
      <c r="M245" t="s">
        <v>2053</v>
      </c>
      <c r="N245">
        <v>0</v>
      </c>
      <c r="O245">
        <v>0</v>
      </c>
      <c r="P245">
        <v>0</v>
      </c>
      <c r="Q245">
        <v>1440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345</v>
      </c>
      <c r="AH245" s="21" t="s">
        <v>3427</v>
      </c>
      <c r="AI245" s="21">
        <v>107.92500000000001</v>
      </c>
      <c r="AJ245" s="21">
        <v>100</v>
      </c>
      <c r="AK245" s="21" t="s">
        <v>2054</v>
      </c>
      <c r="AL245" t="s">
        <v>70</v>
      </c>
      <c r="AM245" t="s">
        <v>2029</v>
      </c>
    </row>
    <row r="246" spans="1:39" ht="15" hidden="1" thickTop="1" x14ac:dyDescent="0.35">
      <c r="A246" t="s">
        <v>3158</v>
      </c>
      <c r="B246" t="s">
        <v>3171</v>
      </c>
      <c r="C246" t="s">
        <v>66</v>
      </c>
      <c r="D246" t="s">
        <v>3010</v>
      </c>
      <c r="E246" t="s">
        <v>559</v>
      </c>
      <c r="F246">
        <v>1</v>
      </c>
      <c r="G246" t="s">
        <v>2050</v>
      </c>
      <c r="H246" t="s">
        <v>2051</v>
      </c>
      <c r="I246" t="s">
        <v>53</v>
      </c>
      <c r="J246" t="s">
        <v>67</v>
      </c>
      <c r="K246" t="s">
        <v>68</v>
      </c>
      <c r="L246" t="s">
        <v>2052</v>
      </c>
      <c r="M246" t="s">
        <v>2053</v>
      </c>
      <c r="N246">
        <v>0</v>
      </c>
      <c r="O246">
        <v>0</v>
      </c>
      <c r="P246">
        <v>0</v>
      </c>
      <c r="Q246">
        <v>1440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346</v>
      </c>
      <c r="AH246" s="21" t="s">
        <v>3428</v>
      </c>
      <c r="AI246" s="21">
        <v>107.92500000000001</v>
      </c>
      <c r="AJ246" s="21">
        <v>100</v>
      </c>
      <c r="AK246" s="21" t="s">
        <v>2055</v>
      </c>
      <c r="AL246" t="s">
        <v>70</v>
      </c>
      <c r="AM246" t="s">
        <v>2030</v>
      </c>
    </row>
    <row r="247" spans="1:39" ht="15" hidden="1" thickTop="1" x14ac:dyDescent="0.35">
      <c r="A247" t="s">
        <v>2587</v>
      </c>
      <c r="B247" t="s">
        <v>3172</v>
      </c>
      <c r="C247" t="s">
        <v>66</v>
      </c>
      <c r="D247" t="s">
        <v>3173</v>
      </c>
      <c r="E247" t="s">
        <v>559</v>
      </c>
      <c r="F247">
        <v>1</v>
      </c>
      <c r="G247" t="s">
        <v>2050</v>
      </c>
      <c r="H247" t="s">
        <v>2051</v>
      </c>
      <c r="I247" t="s">
        <v>53</v>
      </c>
      <c r="J247" t="s">
        <v>67</v>
      </c>
      <c r="K247" t="s">
        <v>68</v>
      </c>
      <c r="L247" t="s">
        <v>2052</v>
      </c>
      <c r="M247" t="s">
        <v>2053</v>
      </c>
      <c r="N247">
        <v>0</v>
      </c>
      <c r="O247">
        <v>0</v>
      </c>
      <c r="P247">
        <v>0</v>
      </c>
      <c r="Q247">
        <v>1440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347</v>
      </c>
      <c r="AH247" s="21" t="s">
        <v>3427</v>
      </c>
      <c r="AI247" s="21">
        <v>107.92500000000001</v>
      </c>
      <c r="AJ247" s="21">
        <v>100</v>
      </c>
      <c r="AK247" s="21" t="s">
        <v>2055</v>
      </c>
      <c r="AL247" t="s">
        <v>70</v>
      </c>
      <c r="AM247" t="s">
        <v>2030</v>
      </c>
    </row>
    <row r="248" spans="1:39" ht="15" hidden="1" thickTop="1" x14ac:dyDescent="0.35">
      <c r="A248" t="s">
        <v>3167</v>
      </c>
      <c r="B248" t="s">
        <v>3174</v>
      </c>
      <c r="C248" t="s">
        <v>117</v>
      </c>
      <c r="D248" t="s">
        <v>3175</v>
      </c>
      <c r="E248" t="s">
        <v>559</v>
      </c>
      <c r="F248">
        <v>1</v>
      </c>
      <c r="G248" t="s">
        <v>2050</v>
      </c>
      <c r="H248" t="s">
        <v>2051</v>
      </c>
      <c r="I248" t="s">
        <v>53</v>
      </c>
      <c r="J248" t="s">
        <v>67</v>
      </c>
      <c r="K248" t="s">
        <v>68</v>
      </c>
      <c r="L248" t="s">
        <v>2052</v>
      </c>
      <c r="M248" t="s">
        <v>2053</v>
      </c>
      <c r="N248">
        <v>0</v>
      </c>
      <c r="O248">
        <v>0</v>
      </c>
      <c r="P248">
        <v>0</v>
      </c>
      <c r="Q248">
        <v>1440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348</v>
      </c>
      <c r="AH248" s="21" t="s">
        <v>3430</v>
      </c>
      <c r="AI248" s="21">
        <v>107.92500000000001</v>
      </c>
      <c r="AJ248" s="21">
        <v>100</v>
      </c>
      <c r="AK248" s="21" t="s">
        <v>2054</v>
      </c>
      <c r="AL248" t="s">
        <v>70</v>
      </c>
      <c r="AM248" t="s">
        <v>2030</v>
      </c>
    </row>
    <row r="249" spans="1:39" ht="15" hidden="1" thickTop="1" x14ac:dyDescent="0.35">
      <c r="A249" t="s">
        <v>3176</v>
      </c>
      <c r="B249" t="s">
        <v>3186</v>
      </c>
      <c r="C249" t="s">
        <v>117</v>
      </c>
      <c r="D249" t="s">
        <v>3187</v>
      </c>
      <c r="E249" t="s">
        <v>559</v>
      </c>
      <c r="F249">
        <v>1</v>
      </c>
      <c r="G249" t="s">
        <v>2050</v>
      </c>
      <c r="H249" t="s">
        <v>2051</v>
      </c>
      <c r="I249" t="s">
        <v>53</v>
      </c>
      <c r="J249" t="s">
        <v>67</v>
      </c>
      <c r="K249" t="s">
        <v>68</v>
      </c>
      <c r="L249" t="s">
        <v>2052</v>
      </c>
      <c r="M249" t="s">
        <v>2053</v>
      </c>
      <c r="N249">
        <v>0</v>
      </c>
      <c r="O249">
        <v>0</v>
      </c>
      <c r="P249">
        <v>0</v>
      </c>
      <c r="Q249">
        <v>1440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349</v>
      </c>
      <c r="AH249" s="21" t="s">
        <v>3427</v>
      </c>
      <c r="AI249" s="21">
        <v>107.92500000000001</v>
      </c>
      <c r="AJ249" s="21">
        <v>100</v>
      </c>
      <c r="AK249" s="21" t="s">
        <v>2054</v>
      </c>
      <c r="AL249" t="s">
        <v>70</v>
      </c>
      <c r="AM249" t="s">
        <v>2029</v>
      </c>
    </row>
    <row r="250" spans="1:39" ht="15" hidden="1" thickTop="1" x14ac:dyDescent="0.35">
      <c r="A250" t="s">
        <v>3177</v>
      </c>
      <c r="B250" t="s">
        <v>3188</v>
      </c>
      <c r="C250" t="s">
        <v>92</v>
      </c>
      <c r="D250" t="s">
        <v>3189</v>
      </c>
      <c r="E250" t="s">
        <v>119</v>
      </c>
      <c r="F250">
        <v>1</v>
      </c>
      <c r="G250" t="s">
        <v>2050</v>
      </c>
      <c r="H250" t="s">
        <v>2051</v>
      </c>
      <c r="I250" t="s">
        <v>53</v>
      </c>
      <c r="J250" t="s">
        <v>67</v>
      </c>
      <c r="K250" t="s">
        <v>68</v>
      </c>
      <c r="L250" t="s">
        <v>2052</v>
      </c>
      <c r="M250" t="s">
        <v>2053</v>
      </c>
      <c r="N250">
        <v>0</v>
      </c>
      <c r="O250">
        <v>0</v>
      </c>
      <c r="P250">
        <v>0</v>
      </c>
      <c r="Q250">
        <v>1440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350</v>
      </c>
      <c r="AH250" s="21" t="s">
        <v>3427</v>
      </c>
      <c r="AI250" s="21">
        <v>107.92500000000001</v>
      </c>
      <c r="AJ250" s="21">
        <v>100</v>
      </c>
      <c r="AK250" s="21" t="s">
        <v>2054</v>
      </c>
      <c r="AL250" t="s">
        <v>70</v>
      </c>
      <c r="AM250" t="s">
        <v>2027</v>
      </c>
    </row>
    <row r="251" spans="1:39" ht="15" hidden="1" thickTop="1" x14ac:dyDescent="0.35">
      <c r="A251" t="s">
        <v>3182</v>
      </c>
      <c r="B251" t="s">
        <v>3190</v>
      </c>
      <c r="C251" t="s">
        <v>71</v>
      </c>
      <c r="D251" t="s">
        <v>3191</v>
      </c>
      <c r="E251" t="s">
        <v>72</v>
      </c>
      <c r="F251">
        <v>1</v>
      </c>
      <c r="G251" t="s">
        <v>2050</v>
      </c>
      <c r="H251" t="s">
        <v>2051</v>
      </c>
      <c r="I251" t="s">
        <v>53</v>
      </c>
      <c r="J251" t="s">
        <v>73</v>
      </c>
      <c r="K251" t="s">
        <v>68</v>
      </c>
      <c r="L251" t="s">
        <v>2052</v>
      </c>
      <c r="M251" t="s">
        <v>2053</v>
      </c>
      <c r="N251">
        <v>0</v>
      </c>
      <c r="O251">
        <v>0</v>
      </c>
      <c r="P251">
        <v>0</v>
      </c>
      <c r="Q251">
        <v>1440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351</v>
      </c>
      <c r="AH251" s="21" t="s">
        <v>3427</v>
      </c>
      <c r="AI251" s="21">
        <v>107.92500000000001</v>
      </c>
      <c r="AJ251" s="21">
        <v>100</v>
      </c>
      <c r="AK251" s="21" t="s">
        <v>2054</v>
      </c>
      <c r="AL251" t="s">
        <v>75</v>
      </c>
      <c r="AM251" t="s">
        <v>2030</v>
      </c>
    </row>
    <row r="252" spans="1:39" ht="15" hidden="1" thickTop="1" x14ac:dyDescent="0.35">
      <c r="A252" t="s">
        <v>2614</v>
      </c>
      <c r="B252" t="s">
        <v>3201</v>
      </c>
      <c r="C252" t="s">
        <v>76</v>
      </c>
      <c r="D252" t="s">
        <v>3202</v>
      </c>
      <c r="E252" t="s">
        <v>559</v>
      </c>
      <c r="F252">
        <v>1</v>
      </c>
      <c r="G252" t="s">
        <v>2050</v>
      </c>
      <c r="H252" t="s">
        <v>2051</v>
      </c>
      <c r="I252" t="s">
        <v>53</v>
      </c>
      <c r="J252" t="s">
        <v>67</v>
      </c>
      <c r="K252" t="s">
        <v>68</v>
      </c>
      <c r="L252" t="s">
        <v>2052</v>
      </c>
      <c r="M252" t="s">
        <v>2064</v>
      </c>
      <c r="N252">
        <v>0</v>
      </c>
      <c r="O252">
        <v>0</v>
      </c>
      <c r="P252">
        <v>0</v>
      </c>
      <c r="Q252">
        <v>900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353</v>
      </c>
      <c r="AH252" s="21" t="s">
        <v>3425</v>
      </c>
      <c r="AI252" s="21">
        <v>67.5</v>
      </c>
      <c r="AJ252" s="21">
        <v>100</v>
      </c>
      <c r="AK252" s="21" t="s">
        <v>2055</v>
      </c>
      <c r="AL252" t="s">
        <v>70</v>
      </c>
      <c r="AM252" t="s">
        <v>2028</v>
      </c>
    </row>
    <row r="253" spans="1:39" ht="15" hidden="1" thickTop="1" x14ac:dyDescent="0.35">
      <c r="A253" t="s">
        <v>3192</v>
      </c>
      <c r="B253" t="s">
        <v>3204</v>
      </c>
      <c r="C253" t="s">
        <v>102</v>
      </c>
      <c r="D253" t="s">
        <v>3205</v>
      </c>
      <c r="E253" t="s">
        <v>559</v>
      </c>
      <c r="F253">
        <v>1</v>
      </c>
      <c r="G253" t="s">
        <v>2050</v>
      </c>
      <c r="H253" t="s">
        <v>2051</v>
      </c>
      <c r="I253" t="s">
        <v>53</v>
      </c>
      <c r="J253" t="s">
        <v>67</v>
      </c>
      <c r="K253" t="s">
        <v>68</v>
      </c>
      <c r="L253" t="s">
        <v>2052</v>
      </c>
      <c r="M253" t="s">
        <v>2053</v>
      </c>
      <c r="N253">
        <v>0</v>
      </c>
      <c r="O253">
        <v>0</v>
      </c>
      <c r="P253">
        <v>0</v>
      </c>
      <c r="Q253">
        <v>1440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t="s">
        <v>354</v>
      </c>
      <c r="AH253" s="21" t="s">
        <v>3425</v>
      </c>
      <c r="AI253" s="21">
        <v>107.92500000000001</v>
      </c>
      <c r="AJ253" s="21">
        <v>100</v>
      </c>
      <c r="AK253" s="21" t="s">
        <v>2054</v>
      </c>
      <c r="AL253" t="s">
        <v>70</v>
      </c>
      <c r="AM253" t="s">
        <v>2027</v>
      </c>
    </row>
    <row r="254" spans="1:39" ht="15" hidden="1" thickTop="1" x14ac:dyDescent="0.35">
      <c r="A254" t="s">
        <v>3196</v>
      </c>
      <c r="B254" t="s">
        <v>3216</v>
      </c>
      <c r="C254" t="s">
        <v>111</v>
      </c>
      <c r="D254" t="s">
        <v>3217</v>
      </c>
      <c r="E254" t="s">
        <v>112</v>
      </c>
      <c r="F254">
        <v>1</v>
      </c>
      <c r="G254" t="s">
        <v>2050</v>
      </c>
      <c r="H254" t="s">
        <v>2051</v>
      </c>
      <c r="I254" t="s">
        <v>53</v>
      </c>
      <c r="J254" t="s">
        <v>113</v>
      </c>
      <c r="K254" t="s">
        <v>68</v>
      </c>
      <c r="L254" t="s">
        <v>2052</v>
      </c>
      <c r="M254" t="s">
        <v>2053</v>
      </c>
      <c r="N254">
        <v>0</v>
      </c>
      <c r="O254">
        <v>0</v>
      </c>
      <c r="P254">
        <v>0</v>
      </c>
      <c r="Q254">
        <v>1440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355</v>
      </c>
      <c r="AH254" s="21" t="s">
        <v>3424</v>
      </c>
      <c r="AI254" s="21">
        <v>107.92500000000001</v>
      </c>
      <c r="AJ254" s="21">
        <v>100</v>
      </c>
      <c r="AK254" s="21" t="s">
        <v>2054</v>
      </c>
      <c r="AL254" t="s">
        <v>115</v>
      </c>
      <c r="AM254" t="s">
        <v>2029</v>
      </c>
    </row>
    <row r="255" spans="1:39" ht="15" hidden="1" thickTop="1" x14ac:dyDescent="0.35">
      <c r="A255" t="s">
        <v>3203</v>
      </c>
      <c r="B255" t="s">
        <v>3219</v>
      </c>
      <c r="C255" t="s">
        <v>92</v>
      </c>
      <c r="D255" t="s">
        <v>3220</v>
      </c>
      <c r="E255" t="s">
        <v>119</v>
      </c>
      <c r="F255">
        <v>1</v>
      </c>
      <c r="G255" t="s">
        <v>2050</v>
      </c>
      <c r="H255" t="s">
        <v>2051</v>
      </c>
      <c r="I255" t="s">
        <v>53</v>
      </c>
      <c r="J255" t="s">
        <v>67</v>
      </c>
      <c r="K255" t="s">
        <v>68</v>
      </c>
      <c r="L255" t="s">
        <v>2052</v>
      </c>
      <c r="M255" t="s">
        <v>2082</v>
      </c>
      <c r="N255">
        <v>0</v>
      </c>
      <c r="O255">
        <v>0</v>
      </c>
      <c r="P255">
        <v>0</v>
      </c>
      <c r="Q255">
        <v>780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t="s">
        <v>356</v>
      </c>
      <c r="AH255" s="21" t="s">
        <v>3424</v>
      </c>
      <c r="AI255" s="21">
        <v>58.500000000000014</v>
      </c>
      <c r="AJ255" s="21">
        <v>100</v>
      </c>
      <c r="AK255" s="21" t="s">
        <v>2054</v>
      </c>
      <c r="AL255" t="s">
        <v>70</v>
      </c>
      <c r="AM255" t="s">
        <v>2027</v>
      </c>
    </row>
    <row r="256" spans="1:39" ht="15" hidden="1" thickTop="1" x14ac:dyDescent="0.35">
      <c r="A256" t="s">
        <v>3209</v>
      </c>
      <c r="B256" t="s">
        <v>3230</v>
      </c>
      <c r="C256" t="s">
        <v>100</v>
      </c>
      <c r="D256" t="s">
        <v>3231</v>
      </c>
      <c r="E256" t="s">
        <v>559</v>
      </c>
      <c r="F256">
        <v>1</v>
      </c>
      <c r="G256" t="s">
        <v>2050</v>
      </c>
      <c r="H256" t="s">
        <v>2051</v>
      </c>
      <c r="I256" t="s">
        <v>53</v>
      </c>
      <c r="J256" t="s">
        <v>67</v>
      </c>
      <c r="K256" t="s">
        <v>68</v>
      </c>
      <c r="L256" t="s">
        <v>2052</v>
      </c>
      <c r="M256" t="s">
        <v>2064</v>
      </c>
      <c r="N256">
        <v>0</v>
      </c>
      <c r="O256">
        <v>0</v>
      </c>
      <c r="P256">
        <v>0</v>
      </c>
      <c r="Q256">
        <v>900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t="s">
        <v>358</v>
      </c>
      <c r="AH256" s="21" t="s">
        <v>3424</v>
      </c>
      <c r="AI256" s="21">
        <v>67.5</v>
      </c>
      <c r="AJ256" s="21">
        <v>100</v>
      </c>
      <c r="AK256" s="21" t="s">
        <v>2054</v>
      </c>
      <c r="AL256" t="s">
        <v>70</v>
      </c>
      <c r="AM256" t="s">
        <v>2028</v>
      </c>
    </row>
    <row r="257" spans="1:39" ht="15" hidden="1" thickTop="1" x14ac:dyDescent="0.35">
      <c r="A257" t="s">
        <v>3211</v>
      </c>
      <c r="B257" t="s">
        <v>3234</v>
      </c>
      <c r="C257" t="s">
        <v>102</v>
      </c>
      <c r="D257" t="s">
        <v>3235</v>
      </c>
      <c r="E257" t="s">
        <v>559</v>
      </c>
      <c r="F257">
        <v>1</v>
      </c>
      <c r="G257" t="s">
        <v>2050</v>
      </c>
      <c r="H257" t="s">
        <v>2051</v>
      </c>
      <c r="I257" t="s">
        <v>53</v>
      </c>
      <c r="J257" t="s">
        <v>67</v>
      </c>
      <c r="K257" t="s">
        <v>68</v>
      </c>
      <c r="L257" t="s">
        <v>2052</v>
      </c>
      <c r="M257" t="s">
        <v>2053</v>
      </c>
      <c r="N257">
        <v>0</v>
      </c>
      <c r="O257">
        <v>0</v>
      </c>
      <c r="P257">
        <v>0</v>
      </c>
      <c r="Q257">
        <v>1440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 t="s">
        <v>359</v>
      </c>
      <c r="AH257" s="21" t="s">
        <v>3424</v>
      </c>
      <c r="AI257" s="21">
        <v>107.92500000000001</v>
      </c>
      <c r="AJ257" s="21">
        <v>100</v>
      </c>
      <c r="AK257" s="21" t="s">
        <v>2054</v>
      </c>
      <c r="AL257" t="s">
        <v>70</v>
      </c>
      <c r="AM257" t="s">
        <v>2029</v>
      </c>
    </row>
    <row r="258" spans="1:39" ht="15" hidden="1" thickTop="1" x14ac:dyDescent="0.35">
      <c r="A258" t="s">
        <v>3218</v>
      </c>
      <c r="B258" t="s">
        <v>3243</v>
      </c>
      <c r="C258" t="s">
        <v>81</v>
      </c>
      <c r="D258" t="s">
        <v>3244</v>
      </c>
      <c r="E258" t="s">
        <v>559</v>
      </c>
      <c r="F258">
        <v>2</v>
      </c>
      <c r="G258" t="s">
        <v>2050</v>
      </c>
      <c r="H258" t="s">
        <v>2051</v>
      </c>
      <c r="I258" t="s">
        <v>53</v>
      </c>
      <c r="J258" t="s">
        <v>82</v>
      </c>
      <c r="K258" t="s">
        <v>68</v>
      </c>
      <c r="L258" t="s">
        <v>2052</v>
      </c>
      <c r="M258" t="s">
        <v>2078</v>
      </c>
      <c r="N258">
        <v>0</v>
      </c>
      <c r="O258">
        <v>0</v>
      </c>
      <c r="P258">
        <v>0</v>
      </c>
      <c r="Q258">
        <v>960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 t="s">
        <v>360</v>
      </c>
      <c r="AH258" s="21" t="s">
        <v>3424</v>
      </c>
      <c r="AI258" s="21">
        <v>72</v>
      </c>
      <c r="AJ258" s="21">
        <v>100</v>
      </c>
      <c r="AK258" s="21" t="s">
        <v>2054</v>
      </c>
      <c r="AL258" t="s">
        <v>70</v>
      </c>
      <c r="AM258" t="s">
        <v>2030</v>
      </c>
    </row>
    <row r="259" spans="1:39" ht="15" hidden="1" thickTop="1" x14ac:dyDescent="0.35">
      <c r="A259" t="s">
        <v>3222</v>
      </c>
      <c r="B259" t="s">
        <v>3247</v>
      </c>
      <c r="C259" t="s">
        <v>78</v>
      </c>
      <c r="D259" t="s">
        <v>3248</v>
      </c>
      <c r="E259" t="s">
        <v>559</v>
      </c>
      <c r="F259">
        <v>1</v>
      </c>
      <c r="G259" t="s">
        <v>2050</v>
      </c>
      <c r="H259" t="s">
        <v>2051</v>
      </c>
      <c r="I259" t="s">
        <v>53</v>
      </c>
      <c r="J259" t="s">
        <v>67</v>
      </c>
      <c r="K259" t="s">
        <v>68</v>
      </c>
      <c r="L259" t="s">
        <v>2052</v>
      </c>
      <c r="M259" t="s">
        <v>2053</v>
      </c>
      <c r="N259">
        <v>0</v>
      </c>
      <c r="O259">
        <v>0</v>
      </c>
      <c r="P259">
        <v>0</v>
      </c>
      <c r="Q259">
        <v>1440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361</v>
      </c>
      <c r="AH259" s="21" t="s">
        <v>3429</v>
      </c>
      <c r="AI259" s="21">
        <v>107.92500000000001</v>
      </c>
      <c r="AJ259" s="21">
        <v>100</v>
      </c>
      <c r="AK259" s="21" t="s">
        <v>2054</v>
      </c>
      <c r="AL259" t="s">
        <v>70</v>
      </c>
      <c r="AM259" t="s">
        <v>2029</v>
      </c>
    </row>
    <row r="260" spans="1:39" ht="15" hidden="1" thickTop="1" x14ac:dyDescent="0.35">
      <c r="A260" t="s">
        <v>3224</v>
      </c>
      <c r="B260" t="s">
        <v>3251</v>
      </c>
      <c r="C260" t="s">
        <v>66</v>
      </c>
      <c r="D260" t="s">
        <v>3252</v>
      </c>
      <c r="E260" t="s">
        <v>559</v>
      </c>
      <c r="F260">
        <v>1</v>
      </c>
      <c r="G260" t="s">
        <v>2050</v>
      </c>
      <c r="H260" t="s">
        <v>2051</v>
      </c>
      <c r="I260" t="s">
        <v>53</v>
      </c>
      <c r="J260" t="s">
        <v>67</v>
      </c>
      <c r="K260" t="s">
        <v>68</v>
      </c>
      <c r="L260" t="s">
        <v>2052</v>
      </c>
      <c r="M260" t="s">
        <v>2064</v>
      </c>
      <c r="N260">
        <v>0</v>
      </c>
      <c r="O260">
        <v>0</v>
      </c>
      <c r="P260">
        <v>0</v>
      </c>
      <c r="Q260">
        <v>900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362</v>
      </c>
      <c r="AH260" s="21" t="s">
        <v>3425</v>
      </c>
      <c r="AI260" s="21">
        <v>67.5</v>
      </c>
      <c r="AJ260" s="21">
        <v>100</v>
      </c>
      <c r="AK260" s="21" t="s">
        <v>2054</v>
      </c>
      <c r="AL260" t="s">
        <v>70</v>
      </c>
      <c r="AM260" t="s">
        <v>2031</v>
      </c>
    </row>
    <row r="261" spans="1:39" ht="15" hidden="1" thickTop="1" x14ac:dyDescent="0.35">
      <c r="A261" t="s">
        <v>3226</v>
      </c>
      <c r="B261" t="s">
        <v>3256</v>
      </c>
      <c r="C261" t="s">
        <v>3376</v>
      </c>
      <c r="D261" t="s">
        <v>3257</v>
      </c>
      <c r="E261" t="s">
        <v>559</v>
      </c>
      <c r="F261">
        <v>1</v>
      </c>
      <c r="G261" t="s">
        <v>2050</v>
      </c>
      <c r="H261" t="s">
        <v>2051</v>
      </c>
      <c r="I261" t="s">
        <v>53</v>
      </c>
      <c r="J261" t="s">
        <v>67</v>
      </c>
      <c r="K261" t="s">
        <v>68</v>
      </c>
      <c r="L261" t="s">
        <v>2052</v>
      </c>
      <c r="M261" t="s">
        <v>2053</v>
      </c>
      <c r="N261">
        <v>0</v>
      </c>
      <c r="O261">
        <v>0</v>
      </c>
      <c r="P261">
        <v>0</v>
      </c>
      <c r="Q261">
        <v>1440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363</v>
      </c>
      <c r="AH261" s="21" t="s">
        <v>3424</v>
      </c>
      <c r="AI261" s="21">
        <v>107.92500000000001</v>
      </c>
      <c r="AJ261" s="21">
        <v>100</v>
      </c>
      <c r="AK261" s="21" t="s">
        <v>2054</v>
      </c>
      <c r="AL261" t="s">
        <v>70</v>
      </c>
      <c r="AM261" t="s">
        <v>2027</v>
      </c>
    </row>
    <row r="262" spans="1:39" ht="15" hidden="1" thickTop="1" x14ac:dyDescent="0.35">
      <c r="A262" t="s">
        <v>3228</v>
      </c>
      <c r="B262" t="s">
        <v>3260</v>
      </c>
      <c r="C262" t="s">
        <v>92</v>
      </c>
      <c r="D262" t="s">
        <v>3261</v>
      </c>
      <c r="E262" t="s">
        <v>119</v>
      </c>
      <c r="F262">
        <v>1</v>
      </c>
      <c r="G262" t="s">
        <v>2050</v>
      </c>
      <c r="H262" t="s">
        <v>2051</v>
      </c>
      <c r="I262" t="s">
        <v>53</v>
      </c>
      <c r="J262" t="s">
        <v>67</v>
      </c>
      <c r="K262" t="s">
        <v>68</v>
      </c>
      <c r="L262" t="s">
        <v>2052</v>
      </c>
      <c r="M262" t="s">
        <v>2053</v>
      </c>
      <c r="N262">
        <v>0</v>
      </c>
      <c r="O262">
        <v>0</v>
      </c>
      <c r="P262">
        <v>0</v>
      </c>
      <c r="Q262">
        <v>1440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364</v>
      </c>
      <c r="AH262" s="21" t="s">
        <v>3425</v>
      </c>
      <c r="AI262" s="21">
        <v>107.92500000000001</v>
      </c>
      <c r="AJ262" s="21">
        <v>100</v>
      </c>
      <c r="AK262" s="21" t="s">
        <v>2054</v>
      </c>
      <c r="AL262" t="s">
        <v>70</v>
      </c>
      <c r="AM262" t="s">
        <v>2028</v>
      </c>
    </row>
    <row r="263" spans="1:39" ht="15" hidden="1" thickTop="1" x14ac:dyDescent="0.35">
      <c r="A263" t="s">
        <v>3229</v>
      </c>
      <c r="B263" t="s">
        <v>3263</v>
      </c>
      <c r="C263" t="s">
        <v>128</v>
      </c>
      <c r="D263" t="s">
        <v>3264</v>
      </c>
      <c r="E263" t="s">
        <v>112</v>
      </c>
      <c r="F263">
        <v>1</v>
      </c>
      <c r="G263" t="s">
        <v>2050</v>
      </c>
      <c r="H263" t="s">
        <v>2051</v>
      </c>
      <c r="I263" t="s">
        <v>53</v>
      </c>
      <c r="J263" t="s">
        <v>113</v>
      </c>
      <c r="K263" t="s">
        <v>68</v>
      </c>
      <c r="L263" t="s">
        <v>2052</v>
      </c>
      <c r="M263" t="s">
        <v>2053</v>
      </c>
      <c r="N263">
        <v>0</v>
      </c>
      <c r="O263">
        <v>0</v>
      </c>
      <c r="P263">
        <v>0</v>
      </c>
      <c r="Q263">
        <v>1440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365</v>
      </c>
      <c r="AH263" s="21" t="s">
        <v>3427</v>
      </c>
      <c r="AI263" s="21">
        <v>107.92500000000001</v>
      </c>
      <c r="AJ263" s="21">
        <v>100</v>
      </c>
      <c r="AK263" s="21" t="s">
        <v>2054</v>
      </c>
      <c r="AL263" t="s">
        <v>115</v>
      </c>
      <c r="AM263" t="s">
        <v>2029</v>
      </c>
    </row>
    <row r="264" spans="1:39" ht="15" hidden="1" thickTop="1" x14ac:dyDescent="0.35">
      <c r="A264" t="s">
        <v>3238</v>
      </c>
      <c r="B264" t="s">
        <v>3270</v>
      </c>
      <c r="C264" t="s">
        <v>76</v>
      </c>
      <c r="D264" t="s">
        <v>3271</v>
      </c>
      <c r="E264" t="s">
        <v>559</v>
      </c>
      <c r="F264">
        <v>1</v>
      </c>
      <c r="G264" t="s">
        <v>2050</v>
      </c>
      <c r="H264" t="s">
        <v>2051</v>
      </c>
      <c r="I264" t="s">
        <v>53</v>
      </c>
      <c r="J264" t="s">
        <v>67</v>
      </c>
      <c r="K264" t="s">
        <v>68</v>
      </c>
      <c r="L264" t="s">
        <v>2052</v>
      </c>
      <c r="M264" t="s">
        <v>2053</v>
      </c>
      <c r="N264">
        <v>0</v>
      </c>
      <c r="O264">
        <v>0</v>
      </c>
      <c r="P264">
        <v>0</v>
      </c>
      <c r="Q264">
        <v>1440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366</v>
      </c>
      <c r="AH264" s="21" t="s">
        <v>3424</v>
      </c>
      <c r="AI264" s="21">
        <v>107.92500000000001</v>
      </c>
      <c r="AJ264" s="21">
        <v>100</v>
      </c>
      <c r="AK264" s="21" t="s">
        <v>2054</v>
      </c>
      <c r="AL264" t="s">
        <v>70</v>
      </c>
      <c r="AM264" t="s">
        <v>2029</v>
      </c>
    </row>
    <row r="265" spans="1:39" ht="15" hidden="1" thickTop="1" x14ac:dyDescent="0.35">
      <c r="A265" t="s">
        <v>3245</v>
      </c>
      <c r="B265" t="s">
        <v>3277</v>
      </c>
      <c r="C265" t="s">
        <v>76</v>
      </c>
      <c r="D265" t="s">
        <v>3278</v>
      </c>
      <c r="E265" t="s">
        <v>559</v>
      </c>
      <c r="F265">
        <v>1</v>
      </c>
      <c r="G265" t="s">
        <v>2050</v>
      </c>
      <c r="H265" t="s">
        <v>2051</v>
      </c>
      <c r="I265" t="s">
        <v>53</v>
      </c>
      <c r="J265" t="s">
        <v>67</v>
      </c>
      <c r="K265" t="s">
        <v>68</v>
      </c>
      <c r="L265" t="s">
        <v>2052</v>
      </c>
      <c r="M265" t="s">
        <v>2064</v>
      </c>
      <c r="N265">
        <v>0</v>
      </c>
      <c r="O265">
        <v>0</v>
      </c>
      <c r="P265">
        <v>0</v>
      </c>
      <c r="Q265">
        <v>900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367</v>
      </c>
      <c r="AH265" s="21" t="s">
        <v>3427</v>
      </c>
      <c r="AI265" s="21">
        <v>67.5</v>
      </c>
      <c r="AJ265" s="21">
        <v>100</v>
      </c>
      <c r="AK265" s="21" t="s">
        <v>2055</v>
      </c>
      <c r="AL265" t="s">
        <v>70</v>
      </c>
      <c r="AM265" t="s">
        <v>2030</v>
      </c>
    </row>
    <row r="266" spans="1:39" ht="15" hidden="1" thickTop="1" x14ac:dyDescent="0.35">
      <c r="A266" t="s">
        <v>3253</v>
      </c>
      <c r="B266" t="s">
        <v>3283</v>
      </c>
      <c r="C266" t="s">
        <v>78</v>
      </c>
      <c r="D266" t="s">
        <v>3284</v>
      </c>
      <c r="E266" t="s">
        <v>559</v>
      </c>
      <c r="F266">
        <v>1</v>
      </c>
      <c r="G266" t="s">
        <v>2050</v>
      </c>
      <c r="H266" t="s">
        <v>2051</v>
      </c>
      <c r="I266" t="s">
        <v>53</v>
      </c>
      <c r="J266" t="s">
        <v>67</v>
      </c>
      <c r="K266" t="s">
        <v>68</v>
      </c>
      <c r="L266" t="s">
        <v>2052</v>
      </c>
      <c r="M266" t="s">
        <v>2053</v>
      </c>
      <c r="N266">
        <v>0</v>
      </c>
      <c r="O266">
        <v>0</v>
      </c>
      <c r="P266">
        <v>0</v>
      </c>
      <c r="Q266">
        <v>1440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368</v>
      </c>
      <c r="AH266" s="21" t="s">
        <v>3427</v>
      </c>
      <c r="AI266" s="21">
        <v>107.92500000000001</v>
      </c>
      <c r="AJ266" s="21">
        <v>100</v>
      </c>
      <c r="AK266" s="21" t="s">
        <v>2055</v>
      </c>
      <c r="AL266" t="s">
        <v>70</v>
      </c>
      <c r="AM266" t="s">
        <v>2031</v>
      </c>
    </row>
    <row r="267" spans="1:39" ht="15" hidden="1" thickTop="1" x14ac:dyDescent="0.35">
      <c r="A267" t="s">
        <v>3254</v>
      </c>
      <c r="B267" t="s">
        <v>3286</v>
      </c>
      <c r="C267" t="s">
        <v>66</v>
      </c>
      <c r="D267" t="s">
        <v>3287</v>
      </c>
      <c r="E267" t="s">
        <v>559</v>
      </c>
      <c r="F267">
        <v>1</v>
      </c>
      <c r="G267" t="s">
        <v>2050</v>
      </c>
      <c r="H267" t="s">
        <v>2051</v>
      </c>
      <c r="I267" t="s">
        <v>53</v>
      </c>
      <c r="J267" t="s">
        <v>67</v>
      </c>
      <c r="K267" t="s">
        <v>68</v>
      </c>
      <c r="L267" t="s">
        <v>2052</v>
      </c>
      <c r="M267" t="s">
        <v>2064</v>
      </c>
      <c r="N267">
        <v>0</v>
      </c>
      <c r="O267">
        <v>0</v>
      </c>
      <c r="P267">
        <v>0</v>
      </c>
      <c r="Q267">
        <v>900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 t="s">
        <v>369</v>
      </c>
      <c r="AH267" s="21" t="s">
        <v>3424</v>
      </c>
      <c r="AI267" s="21">
        <v>67.5</v>
      </c>
      <c r="AJ267" s="21">
        <v>100</v>
      </c>
      <c r="AK267" s="21" t="s">
        <v>2055</v>
      </c>
      <c r="AL267" t="s">
        <v>70</v>
      </c>
      <c r="AM267" t="s">
        <v>2029</v>
      </c>
    </row>
    <row r="268" spans="1:39" ht="15" hidden="1" thickTop="1" x14ac:dyDescent="0.35">
      <c r="A268" t="s">
        <v>3258</v>
      </c>
      <c r="B268" t="s">
        <v>3290</v>
      </c>
      <c r="C268" t="s">
        <v>92</v>
      </c>
      <c r="D268" t="s">
        <v>3291</v>
      </c>
      <c r="E268" t="s">
        <v>119</v>
      </c>
      <c r="F268">
        <v>1</v>
      </c>
      <c r="G268" t="s">
        <v>2050</v>
      </c>
      <c r="H268" t="s">
        <v>2051</v>
      </c>
      <c r="I268" t="s">
        <v>53</v>
      </c>
      <c r="J268" t="s">
        <v>67</v>
      </c>
      <c r="K268" t="s">
        <v>68</v>
      </c>
      <c r="L268" t="s">
        <v>2052</v>
      </c>
      <c r="M268" t="s">
        <v>2063</v>
      </c>
      <c r="N268">
        <v>0</v>
      </c>
      <c r="O268">
        <v>0</v>
      </c>
      <c r="P268">
        <v>0</v>
      </c>
      <c r="Q268">
        <v>1020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370</v>
      </c>
      <c r="AH268" s="21" t="s">
        <v>3424</v>
      </c>
      <c r="AI268" s="21">
        <v>76.500000000000014</v>
      </c>
      <c r="AJ268" s="21">
        <v>100</v>
      </c>
      <c r="AK268" s="21" t="s">
        <v>2054</v>
      </c>
      <c r="AL268" t="s">
        <v>70</v>
      </c>
      <c r="AM268" t="s">
        <v>2027</v>
      </c>
    </row>
    <row r="269" spans="1:39" ht="15" hidden="1" thickTop="1" x14ac:dyDescent="0.35">
      <c r="A269" t="s">
        <v>3262</v>
      </c>
      <c r="B269" t="s">
        <v>3292</v>
      </c>
      <c r="C269" t="s">
        <v>86</v>
      </c>
      <c r="D269" t="s">
        <v>3293</v>
      </c>
      <c r="E269" t="s">
        <v>72</v>
      </c>
      <c r="F269">
        <v>1</v>
      </c>
      <c r="G269" t="s">
        <v>2050</v>
      </c>
      <c r="H269" t="s">
        <v>2051</v>
      </c>
      <c r="I269" t="s">
        <v>53</v>
      </c>
      <c r="J269" t="s">
        <v>73</v>
      </c>
      <c r="K269" t="s">
        <v>68</v>
      </c>
      <c r="L269" t="s">
        <v>2052</v>
      </c>
      <c r="M269" t="s">
        <v>2083</v>
      </c>
      <c r="N269">
        <v>0</v>
      </c>
      <c r="O269">
        <v>0</v>
      </c>
      <c r="P269">
        <v>0</v>
      </c>
      <c r="Q269">
        <v>960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t="s">
        <v>371</v>
      </c>
      <c r="AH269" s="21" t="s">
        <v>3424</v>
      </c>
      <c r="AI269" s="21">
        <v>72.000000000000014</v>
      </c>
      <c r="AJ269" s="21">
        <v>100</v>
      </c>
      <c r="AK269" s="21" t="s">
        <v>2054</v>
      </c>
      <c r="AL269" t="s">
        <v>75</v>
      </c>
      <c r="AM269" t="s">
        <v>2029</v>
      </c>
    </row>
    <row r="270" spans="1:39" ht="15" hidden="1" thickTop="1" x14ac:dyDescent="0.35">
      <c r="A270" t="s">
        <v>3265</v>
      </c>
      <c r="B270" t="s">
        <v>3294</v>
      </c>
      <c r="C270" t="s">
        <v>66</v>
      </c>
      <c r="D270" t="s">
        <v>3295</v>
      </c>
      <c r="E270" t="s">
        <v>559</v>
      </c>
      <c r="F270">
        <v>1</v>
      </c>
      <c r="G270" t="s">
        <v>2050</v>
      </c>
      <c r="H270" t="s">
        <v>2051</v>
      </c>
      <c r="I270" t="s">
        <v>53</v>
      </c>
      <c r="J270" t="s">
        <v>67</v>
      </c>
      <c r="K270" t="s">
        <v>68</v>
      </c>
      <c r="L270" t="s">
        <v>2052</v>
      </c>
      <c r="M270" t="s">
        <v>2064</v>
      </c>
      <c r="N270">
        <v>0</v>
      </c>
      <c r="O270">
        <v>0</v>
      </c>
      <c r="P270">
        <v>0</v>
      </c>
      <c r="Q270">
        <v>900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t="s">
        <v>372</v>
      </c>
      <c r="AH270" s="21" t="s">
        <v>3424</v>
      </c>
      <c r="AI270" s="21">
        <v>67.5</v>
      </c>
      <c r="AJ270" s="21">
        <v>100</v>
      </c>
      <c r="AK270" s="21" t="s">
        <v>2054</v>
      </c>
      <c r="AL270" t="s">
        <v>70</v>
      </c>
      <c r="AM270" t="s">
        <v>2030</v>
      </c>
    </row>
    <row r="271" spans="1:39" ht="15" hidden="1" thickTop="1" x14ac:dyDescent="0.35">
      <c r="A271" t="s">
        <v>3272</v>
      </c>
      <c r="B271" t="s">
        <v>3303</v>
      </c>
      <c r="C271" t="s">
        <v>92</v>
      </c>
      <c r="D271" t="s">
        <v>3304</v>
      </c>
      <c r="E271" t="s">
        <v>559</v>
      </c>
      <c r="F271">
        <v>1</v>
      </c>
      <c r="G271" t="s">
        <v>2050</v>
      </c>
      <c r="H271" t="s">
        <v>2051</v>
      </c>
      <c r="I271" t="s">
        <v>53</v>
      </c>
      <c r="J271" t="s">
        <v>67</v>
      </c>
      <c r="K271" t="s">
        <v>68</v>
      </c>
      <c r="L271" t="s">
        <v>2052</v>
      </c>
      <c r="M271" t="s">
        <v>2053</v>
      </c>
      <c r="N271">
        <v>0</v>
      </c>
      <c r="O271">
        <v>0</v>
      </c>
      <c r="P271">
        <v>0</v>
      </c>
      <c r="Q271">
        <v>1440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373</v>
      </c>
      <c r="AH271" s="21" t="s">
        <v>3424</v>
      </c>
      <c r="AI271" s="21">
        <v>107.92500000000001</v>
      </c>
      <c r="AJ271" s="21">
        <v>100</v>
      </c>
      <c r="AK271" s="21" t="s">
        <v>2054</v>
      </c>
      <c r="AL271" t="s">
        <v>70</v>
      </c>
      <c r="AM271" t="s">
        <v>2031</v>
      </c>
    </row>
    <row r="272" spans="1:39" ht="15" hidden="1" thickTop="1" x14ac:dyDescent="0.35">
      <c r="A272" t="s">
        <v>3275</v>
      </c>
      <c r="B272" t="s">
        <v>3308</v>
      </c>
      <c r="C272" t="s">
        <v>78</v>
      </c>
      <c r="D272" t="s">
        <v>3309</v>
      </c>
      <c r="E272" t="s">
        <v>559</v>
      </c>
      <c r="F272">
        <v>1</v>
      </c>
      <c r="G272" t="s">
        <v>2050</v>
      </c>
      <c r="H272" t="s">
        <v>2051</v>
      </c>
      <c r="I272" t="s">
        <v>53</v>
      </c>
      <c r="J272" t="s">
        <v>67</v>
      </c>
      <c r="K272" t="s">
        <v>68</v>
      </c>
      <c r="L272" t="s">
        <v>2052</v>
      </c>
      <c r="M272" t="s">
        <v>2053</v>
      </c>
      <c r="N272">
        <v>0</v>
      </c>
      <c r="O272">
        <v>0</v>
      </c>
      <c r="P272">
        <v>0</v>
      </c>
      <c r="Q272">
        <v>1440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374</v>
      </c>
      <c r="AH272" s="21" t="s">
        <v>3427</v>
      </c>
      <c r="AI272" s="21">
        <v>107.92500000000001</v>
      </c>
      <c r="AJ272" s="21">
        <v>100</v>
      </c>
      <c r="AK272" s="21" t="s">
        <v>2055</v>
      </c>
      <c r="AL272" t="s">
        <v>70</v>
      </c>
      <c r="AM272" t="s">
        <v>2028</v>
      </c>
    </row>
    <row r="273" spans="1:39" ht="15" hidden="1" thickTop="1" x14ac:dyDescent="0.35">
      <c r="A273" t="s">
        <v>3281</v>
      </c>
      <c r="B273" t="s">
        <v>3314</v>
      </c>
      <c r="C273" t="s">
        <v>76</v>
      </c>
      <c r="D273" t="s">
        <v>3315</v>
      </c>
      <c r="E273" t="s">
        <v>119</v>
      </c>
      <c r="F273">
        <v>1</v>
      </c>
      <c r="G273" t="s">
        <v>2050</v>
      </c>
      <c r="H273" t="s">
        <v>2051</v>
      </c>
      <c r="I273" t="s">
        <v>53</v>
      </c>
      <c r="J273" t="s">
        <v>67</v>
      </c>
      <c r="K273" t="s">
        <v>68</v>
      </c>
      <c r="L273" t="s">
        <v>2052</v>
      </c>
      <c r="M273" t="s">
        <v>2064</v>
      </c>
      <c r="N273">
        <v>0</v>
      </c>
      <c r="O273">
        <v>0</v>
      </c>
      <c r="P273">
        <v>0</v>
      </c>
      <c r="Q273">
        <v>900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375</v>
      </c>
      <c r="AH273" s="21" t="s">
        <v>3427</v>
      </c>
      <c r="AI273" s="21">
        <v>67.5</v>
      </c>
      <c r="AJ273" s="21">
        <v>100</v>
      </c>
      <c r="AK273" s="21" t="s">
        <v>2054</v>
      </c>
      <c r="AL273" t="s">
        <v>70</v>
      </c>
      <c r="AM273" t="s">
        <v>2028</v>
      </c>
    </row>
    <row r="274" spans="1:39" ht="15" hidden="1" thickTop="1" x14ac:dyDescent="0.35">
      <c r="A274" t="s">
        <v>3296</v>
      </c>
      <c r="B274" t="s">
        <v>3324</v>
      </c>
      <c r="C274" t="s">
        <v>76</v>
      </c>
      <c r="D274" t="s">
        <v>3325</v>
      </c>
      <c r="E274" t="s">
        <v>559</v>
      </c>
      <c r="F274">
        <v>1</v>
      </c>
      <c r="G274" t="s">
        <v>2050</v>
      </c>
      <c r="H274" t="s">
        <v>2051</v>
      </c>
      <c r="I274" t="s">
        <v>53</v>
      </c>
      <c r="J274" t="s">
        <v>67</v>
      </c>
      <c r="K274" t="s">
        <v>68</v>
      </c>
      <c r="L274" t="s">
        <v>2052</v>
      </c>
      <c r="M274" t="s">
        <v>2053</v>
      </c>
      <c r="N274">
        <v>0</v>
      </c>
      <c r="O274">
        <v>0</v>
      </c>
      <c r="P274">
        <v>0</v>
      </c>
      <c r="Q274">
        <v>1440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376</v>
      </c>
      <c r="AH274" s="21" t="s">
        <v>3425</v>
      </c>
      <c r="AI274" s="21">
        <v>107.92500000000001</v>
      </c>
      <c r="AJ274" s="21">
        <v>100</v>
      </c>
      <c r="AK274" s="21" t="s">
        <v>2054</v>
      </c>
      <c r="AL274" t="s">
        <v>70</v>
      </c>
      <c r="AM274" t="s">
        <v>2028</v>
      </c>
    </row>
    <row r="275" spans="1:39" ht="15" hidden="1" thickTop="1" x14ac:dyDescent="0.35">
      <c r="A275" t="s">
        <v>3297</v>
      </c>
      <c r="B275" t="s">
        <v>3326</v>
      </c>
      <c r="C275" t="s">
        <v>86</v>
      </c>
      <c r="D275" t="s">
        <v>3327</v>
      </c>
      <c r="E275" t="s">
        <v>72</v>
      </c>
      <c r="F275">
        <v>2</v>
      </c>
      <c r="G275" t="s">
        <v>2050</v>
      </c>
      <c r="H275" t="s">
        <v>2051</v>
      </c>
      <c r="I275" t="s">
        <v>53</v>
      </c>
      <c r="J275" t="s">
        <v>73</v>
      </c>
      <c r="K275" t="s">
        <v>68</v>
      </c>
      <c r="L275" t="s">
        <v>2052</v>
      </c>
      <c r="M275" t="s">
        <v>2053</v>
      </c>
      <c r="N275">
        <v>0</v>
      </c>
      <c r="O275">
        <v>0</v>
      </c>
      <c r="P275">
        <v>0</v>
      </c>
      <c r="Q275">
        <v>1440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377</v>
      </c>
      <c r="AH275" s="21" t="s">
        <v>3424</v>
      </c>
      <c r="AI275" s="21">
        <v>107.92500000000001</v>
      </c>
      <c r="AJ275" s="21">
        <v>100</v>
      </c>
      <c r="AK275" s="21" t="s">
        <v>2054</v>
      </c>
      <c r="AL275" t="s">
        <v>75</v>
      </c>
      <c r="AM275" t="s">
        <v>2029</v>
      </c>
    </row>
    <row r="276" spans="1:39" ht="15" hidden="1" thickTop="1" x14ac:dyDescent="0.35">
      <c r="A276" t="s">
        <v>3302</v>
      </c>
      <c r="B276" t="s">
        <v>3336</v>
      </c>
      <c r="C276" t="s">
        <v>76</v>
      </c>
      <c r="D276" t="s">
        <v>3337</v>
      </c>
      <c r="E276" t="s">
        <v>559</v>
      </c>
      <c r="F276">
        <v>1</v>
      </c>
      <c r="G276" t="s">
        <v>2050</v>
      </c>
      <c r="H276" t="s">
        <v>2051</v>
      </c>
      <c r="I276" t="s">
        <v>53</v>
      </c>
      <c r="J276" t="s">
        <v>67</v>
      </c>
      <c r="K276" t="s">
        <v>68</v>
      </c>
      <c r="L276" t="s">
        <v>2052</v>
      </c>
      <c r="M276" t="s">
        <v>2053</v>
      </c>
      <c r="N276">
        <v>0</v>
      </c>
      <c r="O276">
        <v>0</v>
      </c>
      <c r="P276">
        <v>0</v>
      </c>
      <c r="Q276">
        <v>1440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378</v>
      </c>
      <c r="AH276" s="21" t="s">
        <v>3424</v>
      </c>
      <c r="AI276" s="21">
        <v>107.92500000000001</v>
      </c>
      <c r="AJ276" s="21">
        <v>100</v>
      </c>
      <c r="AK276" s="21" t="s">
        <v>2054</v>
      </c>
      <c r="AL276" t="s">
        <v>70</v>
      </c>
      <c r="AM276" t="s">
        <v>2029</v>
      </c>
    </row>
    <row r="277" spans="1:39" ht="15" hidden="1" thickTop="1" x14ac:dyDescent="0.35">
      <c r="A277" t="s">
        <v>3311</v>
      </c>
      <c r="B277" t="s">
        <v>3338</v>
      </c>
      <c r="C277" t="s">
        <v>102</v>
      </c>
      <c r="D277" t="s">
        <v>3339</v>
      </c>
      <c r="E277" t="s">
        <v>559</v>
      </c>
      <c r="F277">
        <v>1</v>
      </c>
      <c r="G277" t="s">
        <v>2050</v>
      </c>
      <c r="H277" t="s">
        <v>2051</v>
      </c>
      <c r="I277" t="s">
        <v>53</v>
      </c>
      <c r="J277" t="s">
        <v>67</v>
      </c>
      <c r="K277" t="s">
        <v>68</v>
      </c>
      <c r="L277" t="s">
        <v>2052</v>
      </c>
      <c r="M277" t="s">
        <v>2053</v>
      </c>
      <c r="N277">
        <v>0</v>
      </c>
      <c r="O277">
        <v>0</v>
      </c>
      <c r="P277">
        <v>0</v>
      </c>
      <c r="Q277">
        <v>1440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379</v>
      </c>
      <c r="AH277" s="21" t="s">
        <v>3424</v>
      </c>
      <c r="AI277" s="21">
        <v>107.92500000000001</v>
      </c>
      <c r="AJ277" s="21">
        <v>100</v>
      </c>
      <c r="AK277" s="21" t="s">
        <v>2054</v>
      </c>
      <c r="AL277" t="s">
        <v>70</v>
      </c>
      <c r="AM277" t="s">
        <v>2027</v>
      </c>
    </row>
    <row r="278" spans="1:39" ht="15" hidden="1" thickTop="1" x14ac:dyDescent="0.35">
      <c r="A278" t="s">
        <v>3312</v>
      </c>
      <c r="B278" t="s">
        <v>3340</v>
      </c>
      <c r="C278" t="s">
        <v>102</v>
      </c>
      <c r="D278" t="s">
        <v>3341</v>
      </c>
      <c r="E278" t="s">
        <v>559</v>
      </c>
      <c r="F278">
        <v>1</v>
      </c>
      <c r="G278" t="s">
        <v>2050</v>
      </c>
      <c r="H278" t="s">
        <v>2051</v>
      </c>
      <c r="I278" t="s">
        <v>53</v>
      </c>
      <c r="J278" t="s">
        <v>67</v>
      </c>
      <c r="K278" t="s">
        <v>68</v>
      </c>
      <c r="L278" t="s">
        <v>2052</v>
      </c>
      <c r="M278" t="s">
        <v>2053</v>
      </c>
      <c r="N278">
        <v>0</v>
      </c>
      <c r="O278">
        <v>0</v>
      </c>
      <c r="P278">
        <v>0</v>
      </c>
      <c r="Q278">
        <v>1440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380</v>
      </c>
      <c r="AH278" s="21" t="s">
        <v>3425</v>
      </c>
      <c r="AI278" s="21">
        <v>107.92500000000001</v>
      </c>
      <c r="AJ278" s="21">
        <v>100</v>
      </c>
      <c r="AK278" s="21" t="s">
        <v>2054</v>
      </c>
      <c r="AL278" t="s">
        <v>70</v>
      </c>
      <c r="AM278" t="s">
        <v>2028</v>
      </c>
    </row>
    <row r="279" spans="1:39" ht="15" hidden="1" thickTop="1" x14ac:dyDescent="0.35">
      <c r="A279" t="s">
        <v>3313</v>
      </c>
      <c r="B279" t="s">
        <v>3342</v>
      </c>
      <c r="C279" t="s">
        <v>66</v>
      </c>
      <c r="D279" t="s">
        <v>3343</v>
      </c>
      <c r="E279" t="s">
        <v>559</v>
      </c>
      <c r="F279">
        <v>2</v>
      </c>
      <c r="G279" t="s">
        <v>2050</v>
      </c>
      <c r="H279" t="s">
        <v>2051</v>
      </c>
      <c r="I279" t="s">
        <v>53</v>
      </c>
      <c r="J279" t="s">
        <v>67</v>
      </c>
      <c r="K279" t="s">
        <v>68</v>
      </c>
      <c r="L279" t="s">
        <v>2052</v>
      </c>
      <c r="M279" t="s">
        <v>2053</v>
      </c>
      <c r="N279">
        <v>0</v>
      </c>
      <c r="O279">
        <v>0</v>
      </c>
      <c r="P279">
        <v>0</v>
      </c>
      <c r="Q279">
        <v>1440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381</v>
      </c>
      <c r="AH279" s="21" t="s">
        <v>3425</v>
      </c>
      <c r="AI279" s="21">
        <v>107.92500000000001</v>
      </c>
      <c r="AJ279" s="21">
        <v>100</v>
      </c>
      <c r="AK279" s="21" t="s">
        <v>2054</v>
      </c>
      <c r="AL279" t="s">
        <v>70</v>
      </c>
      <c r="AM279" t="s">
        <v>2028</v>
      </c>
    </row>
    <row r="280" spans="1:39" ht="15" hidden="1" thickTop="1" x14ac:dyDescent="0.35">
      <c r="A280" t="s">
        <v>3316</v>
      </c>
      <c r="B280" t="s">
        <v>3344</v>
      </c>
      <c r="C280" t="s">
        <v>78</v>
      </c>
      <c r="D280" t="s">
        <v>3345</v>
      </c>
      <c r="E280" t="s">
        <v>559</v>
      </c>
      <c r="F280">
        <v>1</v>
      </c>
      <c r="G280" t="s">
        <v>2050</v>
      </c>
      <c r="H280" t="s">
        <v>2051</v>
      </c>
      <c r="I280" t="s">
        <v>53</v>
      </c>
      <c r="J280" t="s">
        <v>67</v>
      </c>
      <c r="K280" t="s">
        <v>68</v>
      </c>
      <c r="L280" t="s">
        <v>2052</v>
      </c>
      <c r="M280" t="s">
        <v>2064</v>
      </c>
      <c r="N280">
        <v>0</v>
      </c>
      <c r="O280">
        <v>0</v>
      </c>
      <c r="P280">
        <v>0</v>
      </c>
      <c r="Q280">
        <v>900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382</v>
      </c>
      <c r="AH280" s="21" t="s">
        <v>3424</v>
      </c>
      <c r="AI280" s="21">
        <v>67.5</v>
      </c>
      <c r="AJ280" s="21">
        <v>100</v>
      </c>
      <c r="AK280" s="21" t="s">
        <v>2054</v>
      </c>
      <c r="AL280" t="s">
        <v>70</v>
      </c>
      <c r="AM280" t="s">
        <v>2028</v>
      </c>
    </row>
    <row r="281" spans="1:39" ht="15" hidden="1" thickTop="1" x14ac:dyDescent="0.35">
      <c r="A281" t="s">
        <v>3317</v>
      </c>
      <c r="B281" t="s">
        <v>3347</v>
      </c>
      <c r="C281" t="s">
        <v>78</v>
      </c>
      <c r="D281" t="s">
        <v>3348</v>
      </c>
      <c r="E281" t="s">
        <v>559</v>
      </c>
      <c r="F281">
        <v>2</v>
      </c>
      <c r="G281" t="s">
        <v>2050</v>
      </c>
      <c r="H281" t="s">
        <v>2051</v>
      </c>
      <c r="I281" t="s">
        <v>53</v>
      </c>
      <c r="J281" t="s">
        <v>67</v>
      </c>
      <c r="K281" t="s">
        <v>68</v>
      </c>
      <c r="L281" t="s">
        <v>2052</v>
      </c>
      <c r="M281" t="s">
        <v>2053</v>
      </c>
      <c r="N281">
        <v>0</v>
      </c>
      <c r="O281">
        <v>0</v>
      </c>
      <c r="P281">
        <v>0</v>
      </c>
      <c r="Q281">
        <v>1440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383</v>
      </c>
      <c r="AH281" s="21" t="s">
        <v>3425</v>
      </c>
      <c r="AI281" s="21">
        <v>107.92500000000001</v>
      </c>
      <c r="AJ281" s="21">
        <v>100</v>
      </c>
      <c r="AK281" s="21" t="s">
        <v>2054</v>
      </c>
      <c r="AL281" t="s">
        <v>70</v>
      </c>
      <c r="AM281" t="s">
        <v>2028</v>
      </c>
    </row>
    <row r="282" spans="1:39" ht="15" hidden="1" thickTop="1" x14ac:dyDescent="0.35">
      <c r="A282" t="s">
        <v>3320</v>
      </c>
      <c r="B282" t="s">
        <v>3352</v>
      </c>
      <c r="C282" t="s">
        <v>100</v>
      </c>
      <c r="D282" t="s">
        <v>3353</v>
      </c>
      <c r="E282" t="s">
        <v>559</v>
      </c>
      <c r="F282">
        <v>1</v>
      </c>
      <c r="G282" t="s">
        <v>2050</v>
      </c>
      <c r="H282" t="s">
        <v>2051</v>
      </c>
      <c r="I282" t="s">
        <v>53</v>
      </c>
      <c r="J282" t="s">
        <v>67</v>
      </c>
      <c r="K282" t="s">
        <v>68</v>
      </c>
      <c r="L282" t="s">
        <v>2052</v>
      </c>
      <c r="M282" t="s">
        <v>2053</v>
      </c>
      <c r="N282">
        <v>0</v>
      </c>
      <c r="O282">
        <v>0</v>
      </c>
      <c r="P282">
        <v>0</v>
      </c>
      <c r="Q282">
        <v>1440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384</v>
      </c>
      <c r="AH282" s="21" t="s">
        <v>3425</v>
      </c>
      <c r="AI282" s="21">
        <v>107.92500000000001</v>
      </c>
      <c r="AJ282" s="21">
        <v>100</v>
      </c>
      <c r="AK282" s="21" t="s">
        <v>2054</v>
      </c>
      <c r="AL282" t="s">
        <v>70</v>
      </c>
      <c r="AM282" t="s">
        <v>2031</v>
      </c>
    </row>
    <row r="283" spans="1:39" ht="15" hidden="1" thickTop="1" x14ac:dyDescent="0.35">
      <c r="A283" t="s">
        <v>3321</v>
      </c>
      <c r="B283" t="s">
        <v>3354</v>
      </c>
      <c r="C283" t="s">
        <v>86</v>
      </c>
      <c r="D283" t="s">
        <v>3355</v>
      </c>
      <c r="E283" t="s">
        <v>72</v>
      </c>
      <c r="F283">
        <v>1</v>
      </c>
      <c r="G283" t="s">
        <v>2050</v>
      </c>
      <c r="H283" t="s">
        <v>2051</v>
      </c>
      <c r="I283" t="s">
        <v>53</v>
      </c>
      <c r="J283" t="s">
        <v>73</v>
      </c>
      <c r="K283" t="s">
        <v>68</v>
      </c>
      <c r="L283" t="s">
        <v>2052</v>
      </c>
      <c r="M283" t="s">
        <v>2053</v>
      </c>
      <c r="N283">
        <v>0</v>
      </c>
      <c r="O283">
        <v>0</v>
      </c>
      <c r="P283">
        <v>0</v>
      </c>
      <c r="Q283">
        <v>1440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t="s">
        <v>385</v>
      </c>
      <c r="AH283" s="21" t="s">
        <v>3427</v>
      </c>
      <c r="AI283" s="21">
        <v>107.92500000000001</v>
      </c>
      <c r="AJ283" s="21">
        <v>100</v>
      </c>
      <c r="AK283" s="21" t="s">
        <v>2054</v>
      </c>
      <c r="AL283" t="s">
        <v>75</v>
      </c>
      <c r="AM283" t="s">
        <v>2027</v>
      </c>
    </row>
    <row r="284" spans="1:39" ht="15" hidden="1" thickTop="1" x14ac:dyDescent="0.35">
      <c r="A284" t="s">
        <v>3322</v>
      </c>
      <c r="B284" t="s">
        <v>3356</v>
      </c>
      <c r="C284" t="s">
        <v>71</v>
      </c>
      <c r="D284" t="s">
        <v>3357</v>
      </c>
      <c r="E284" t="s">
        <v>72</v>
      </c>
      <c r="F284">
        <v>1</v>
      </c>
      <c r="G284" t="s">
        <v>2050</v>
      </c>
      <c r="H284" t="s">
        <v>2051</v>
      </c>
      <c r="I284" t="s">
        <v>53</v>
      </c>
      <c r="J284" t="s">
        <v>73</v>
      </c>
      <c r="K284" t="s">
        <v>68</v>
      </c>
      <c r="L284" t="s">
        <v>2052</v>
      </c>
      <c r="M284" t="s">
        <v>2053</v>
      </c>
      <c r="N284">
        <v>0</v>
      </c>
      <c r="O284">
        <v>0</v>
      </c>
      <c r="P284">
        <v>0</v>
      </c>
      <c r="Q284">
        <v>1440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t="s">
        <v>386</v>
      </c>
      <c r="AH284" s="21" t="s">
        <v>3424</v>
      </c>
      <c r="AI284" s="21">
        <v>107.92500000000001</v>
      </c>
      <c r="AJ284" s="21">
        <v>100</v>
      </c>
      <c r="AK284" s="21" t="s">
        <v>2054</v>
      </c>
      <c r="AL284" t="s">
        <v>75</v>
      </c>
      <c r="AM284" t="s">
        <v>2028</v>
      </c>
    </row>
    <row r="285" spans="1:39" ht="15" hidden="1" thickTop="1" x14ac:dyDescent="0.35">
      <c r="A285" t="s">
        <v>3323</v>
      </c>
      <c r="B285" t="s">
        <v>3358</v>
      </c>
      <c r="C285" t="s">
        <v>66</v>
      </c>
      <c r="D285" t="s">
        <v>3359</v>
      </c>
      <c r="E285" t="s">
        <v>559</v>
      </c>
      <c r="F285">
        <v>1</v>
      </c>
      <c r="G285" t="s">
        <v>2050</v>
      </c>
      <c r="H285" t="s">
        <v>2051</v>
      </c>
      <c r="I285" t="s">
        <v>53</v>
      </c>
      <c r="J285" t="s">
        <v>67</v>
      </c>
      <c r="K285" t="s">
        <v>68</v>
      </c>
      <c r="L285" t="s">
        <v>2052</v>
      </c>
      <c r="M285" t="s">
        <v>2053</v>
      </c>
      <c r="N285">
        <v>0</v>
      </c>
      <c r="O285">
        <v>0</v>
      </c>
      <c r="P285">
        <v>0</v>
      </c>
      <c r="Q285">
        <v>1440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387</v>
      </c>
      <c r="AH285" s="21" t="s">
        <v>3425</v>
      </c>
      <c r="AI285" s="21">
        <v>107.92500000000001</v>
      </c>
      <c r="AJ285" s="21">
        <v>100</v>
      </c>
      <c r="AK285" s="21" t="s">
        <v>2054</v>
      </c>
      <c r="AL285" t="s">
        <v>70</v>
      </c>
      <c r="AM285" t="s">
        <v>2028</v>
      </c>
    </row>
    <row r="286" spans="1:39" ht="15" hidden="1" thickTop="1" x14ac:dyDescent="0.35">
      <c r="A286" t="s">
        <v>3331</v>
      </c>
      <c r="B286" t="s">
        <v>3361</v>
      </c>
      <c r="C286" t="s">
        <v>76</v>
      </c>
      <c r="D286" t="s">
        <v>3362</v>
      </c>
      <c r="E286" t="s">
        <v>559</v>
      </c>
      <c r="F286">
        <v>2</v>
      </c>
      <c r="G286" t="s">
        <v>2050</v>
      </c>
      <c r="H286" t="s">
        <v>2051</v>
      </c>
      <c r="I286" t="s">
        <v>53</v>
      </c>
      <c r="J286" t="s">
        <v>67</v>
      </c>
      <c r="K286" t="s">
        <v>68</v>
      </c>
      <c r="L286" t="s">
        <v>2052</v>
      </c>
      <c r="M286" t="s">
        <v>2064</v>
      </c>
      <c r="N286">
        <v>0</v>
      </c>
      <c r="O286">
        <v>0</v>
      </c>
      <c r="P286">
        <v>0</v>
      </c>
      <c r="Q286">
        <v>900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t="s">
        <v>388</v>
      </c>
      <c r="AH286" s="21" t="s">
        <v>3424</v>
      </c>
      <c r="AI286" s="21">
        <v>67.5</v>
      </c>
      <c r="AJ286" s="21">
        <v>100</v>
      </c>
      <c r="AK286" s="21" t="s">
        <v>2055</v>
      </c>
      <c r="AL286" t="s">
        <v>70</v>
      </c>
      <c r="AM286" t="s">
        <v>2029</v>
      </c>
    </row>
    <row r="287" spans="1:39" ht="15" hidden="1" thickTop="1" x14ac:dyDescent="0.35">
      <c r="A287" t="s">
        <v>3346</v>
      </c>
      <c r="B287" t="s">
        <v>3369</v>
      </c>
      <c r="C287" t="s">
        <v>100</v>
      </c>
      <c r="D287" t="s">
        <v>3370</v>
      </c>
      <c r="E287" t="s">
        <v>559</v>
      </c>
      <c r="F287">
        <v>1</v>
      </c>
      <c r="G287" t="s">
        <v>2050</v>
      </c>
      <c r="H287" t="s">
        <v>2051</v>
      </c>
      <c r="I287" t="s">
        <v>53</v>
      </c>
      <c r="J287" t="s">
        <v>67</v>
      </c>
      <c r="K287" t="s">
        <v>68</v>
      </c>
      <c r="L287" t="s">
        <v>2052</v>
      </c>
      <c r="M287" t="s">
        <v>2053</v>
      </c>
      <c r="N287">
        <v>0</v>
      </c>
      <c r="O287">
        <v>0</v>
      </c>
      <c r="P287">
        <v>0</v>
      </c>
      <c r="Q287">
        <v>1440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389</v>
      </c>
      <c r="AH287" s="21" t="s">
        <v>3427</v>
      </c>
      <c r="AI287" s="21">
        <v>107.92500000000001</v>
      </c>
      <c r="AJ287" s="21">
        <v>100</v>
      </c>
      <c r="AK287" s="21" t="s">
        <v>2054</v>
      </c>
      <c r="AL287" t="s">
        <v>70</v>
      </c>
      <c r="AM287" t="s">
        <v>2031</v>
      </c>
    </row>
    <row r="288" spans="1:39" ht="15" hidden="1" thickTop="1" x14ac:dyDescent="0.35">
      <c r="A288" t="s">
        <v>3360</v>
      </c>
      <c r="B288" t="s">
        <v>3371</v>
      </c>
      <c r="C288" t="s">
        <v>100</v>
      </c>
      <c r="D288" t="s">
        <v>3372</v>
      </c>
      <c r="E288" t="s">
        <v>559</v>
      </c>
      <c r="F288">
        <v>1</v>
      </c>
      <c r="G288" t="s">
        <v>2050</v>
      </c>
      <c r="H288" t="s">
        <v>2051</v>
      </c>
      <c r="I288" t="s">
        <v>53</v>
      </c>
      <c r="J288" t="s">
        <v>67</v>
      </c>
      <c r="K288" t="s">
        <v>68</v>
      </c>
      <c r="L288" t="s">
        <v>2052</v>
      </c>
      <c r="M288" t="s">
        <v>2064</v>
      </c>
      <c r="N288">
        <v>0</v>
      </c>
      <c r="O288">
        <v>0</v>
      </c>
      <c r="P288">
        <v>0</v>
      </c>
      <c r="Q288">
        <v>900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390</v>
      </c>
      <c r="AH288" s="21" t="s">
        <v>3424</v>
      </c>
      <c r="AI288" s="21">
        <v>67.5</v>
      </c>
      <c r="AJ288" s="21">
        <v>100</v>
      </c>
      <c r="AK288" s="21" t="s">
        <v>2054</v>
      </c>
      <c r="AL288" t="s">
        <v>70</v>
      </c>
      <c r="AM288" t="s">
        <v>2028</v>
      </c>
    </row>
    <row r="289" spans="1:39" ht="15" hidden="1" thickTop="1" x14ac:dyDescent="0.35">
      <c r="A289" t="s">
        <v>3363</v>
      </c>
      <c r="B289" t="s">
        <v>3373</v>
      </c>
      <c r="C289" t="s">
        <v>92</v>
      </c>
      <c r="D289" t="s">
        <v>3374</v>
      </c>
      <c r="E289" t="s">
        <v>119</v>
      </c>
      <c r="F289">
        <v>1</v>
      </c>
      <c r="G289" t="s">
        <v>2050</v>
      </c>
      <c r="H289" t="s">
        <v>2051</v>
      </c>
      <c r="I289" t="s">
        <v>53</v>
      </c>
      <c r="J289" t="s">
        <v>67</v>
      </c>
      <c r="K289" t="s">
        <v>68</v>
      </c>
      <c r="L289" t="s">
        <v>2052</v>
      </c>
      <c r="M289" t="s">
        <v>2064</v>
      </c>
      <c r="N289">
        <v>0</v>
      </c>
      <c r="O289">
        <v>0</v>
      </c>
      <c r="P289">
        <v>0</v>
      </c>
      <c r="Q289">
        <v>900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391</v>
      </c>
      <c r="AH289" s="21" t="s">
        <v>3425</v>
      </c>
      <c r="AI289" s="21">
        <v>67.5</v>
      </c>
      <c r="AJ289" s="21">
        <v>100</v>
      </c>
      <c r="AK289" s="21" t="s">
        <v>2054</v>
      </c>
      <c r="AL289" t="s">
        <v>70</v>
      </c>
      <c r="AM289" t="s">
        <v>2030</v>
      </c>
    </row>
    <row r="290" spans="1:39" ht="15" thickTop="1" x14ac:dyDescent="0.35">
      <c r="AH290" s="21"/>
      <c r="AI290" s="21"/>
      <c r="AJ290" s="21"/>
      <c r="AK290" s="21"/>
    </row>
    <row r="291" spans="1:39" x14ac:dyDescent="0.35">
      <c r="AH291" s="21"/>
      <c r="AI291" s="21"/>
      <c r="AJ291" s="21"/>
      <c r="AK291" s="21"/>
    </row>
    <row r="292" spans="1:39" x14ac:dyDescent="0.35">
      <c r="AH292" s="21"/>
      <c r="AI292" s="21"/>
      <c r="AJ292" s="21"/>
      <c r="AK292" s="21"/>
    </row>
    <row r="293" spans="1:39" x14ac:dyDescent="0.35">
      <c r="AH293" s="21"/>
      <c r="AI293" s="21"/>
      <c r="AJ293" s="21"/>
      <c r="AK293" s="21"/>
    </row>
    <row r="294" spans="1:39" x14ac:dyDescent="0.35">
      <c r="AH294" s="21"/>
      <c r="AI294" s="21"/>
      <c r="AJ294" s="21"/>
      <c r="AK294" s="21"/>
    </row>
    <row r="295" spans="1:39" x14ac:dyDescent="0.35">
      <c r="AH295" s="21"/>
      <c r="AI295" s="21"/>
      <c r="AJ295" s="21"/>
      <c r="AK295" s="21"/>
    </row>
    <row r="296" spans="1:39" x14ac:dyDescent="0.35">
      <c r="AH296" s="21"/>
      <c r="AI296" s="21"/>
      <c r="AJ296" s="21"/>
      <c r="AK296" s="21"/>
    </row>
    <row r="297" spans="1:39" x14ac:dyDescent="0.35">
      <c r="AH297" s="21"/>
      <c r="AI297" s="21"/>
      <c r="AJ297" s="21"/>
      <c r="AK297" s="21"/>
    </row>
    <row r="298" spans="1:39" x14ac:dyDescent="0.35">
      <c r="AH298" s="21"/>
      <c r="AI298" s="21"/>
      <c r="AJ298" s="21"/>
      <c r="AK298" s="21"/>
    </row>
    <row r="299" spans="1:39" x14ac:dyDescent="0.35">
      <c r="AH299" s="21"/>
      <c r="AI299" s="21"/>
      <c r="AJ299" s="21"/>
      <c r="AK299" s="21"/>
    </row>
    <row r="300" spans="1:39" x14ac:dyDescent="0.35">
      <c r="AH300" s="21"/>
      <c r="AI300" s="21"/>
      <c r="AJ300" s="21"/>
      <c r="AK300" s="21"/>
    </row>
    <row r="301" spans="1:39" x14ac:dyDescent="0.35">
      <c r="AH301" s="21"/>
      <c r="AI301" s="21"/>
      <c r="AJ301" s="21"/>
      <c r="AK301" s="21"/>
    </row>
    <row r="302" spans="1:39" x14ac:dyDescent="0.35">
      <c r="AH302" s="21"/>
      <c r="AI302" s="21"/>
      <c r="AJ302" s="21"/>
      <c r="AK302" s="21"/>
    </row>
    <row r="303" spans="1:39" x14ac:dyDescent="0.35">
      <c r="AH303" s="21"/>
      <c r="AI303" s="21"/>
      <c r="AJ303" s="21"/>
      <c r="AK303" s="21"/>
    </row>
    <row r="304" spans="1:39" x14ac:dyDescent="0.35">
      <c r="AH304" s="21"/>
      <c r="AI304" s="21"/>
      <c r="AJ304" s="21"/>
      <c r="AK304" s="21"/>
    </row>
    <row r="305" spans="34:37" x14ac:dyDescent="0.35">
      <c r="AH305" s="21"/>
      <c r="AI305" s="21"/>
      <c r="AJ305" s="21"/>
      <c r="AK305" s="21"/>
    </row>
    <row r="306" spans="34:37" x14ac:dyDescent="0.35">
      <c r="AH306" s="21"/>
      <c r="AI306" s="21"/>
      <c r="AJ306" s="21"/>
      <c r="AK306" s="21"/>
    </row>
    <row r="307" spans="34:37" x14ac:dyDescent="0.35">
      <c r="AH307" s="21"/>
      <c r="AI307" s="21"/>
      <c r="AJ307" s="21"/>
      <c r="AK307" s="21"/>
    </row>
    <row r="308" spans="34:37" x14ac:dyDescent="0.35">
      <c r="AH308" s="21"/>
      <c r="AI308" s="21"/>
      <c r="AJ308" s="21"/>
      <c r="AK308" s="21"/>
    </row>
    <row r="309" spans="34:37" x14ac:dyDescent="0.35">
      <c r="AH309" s="21"/>
      <c r="AI309" s="21"/>
      <c r="AJ309" s="21"/>
      <c r="AK309" s="21"/>
    </row>
    <row r="310" spans="34:37" x14ac:dyDescent="0.35">
      <c r="AH310" s="21"/>
      <c r="AI310" s="21"/>
      <c r="AJ310" s="21"/>
      <c r="AK310" s="21"/>
    </row>
    <row r="311" spans="34:37" x14ac:dyDescent="0.35">
      <c r="AH311" s="21"/>
      <c r="AI311" s="21"/>
      <c r="AJ311" s="21"/>
      <c r="AK311" s="21"/>
    </row>
    <row r="312" spans="34:37" x14ac:dyDescent="0.35">
      <c r="AH312" s="21"/>
      <c r="AI312" s="21"/>
      <c r="AJ312" s="21"/>
      <c r="AK312" s="21"/>
    </row>
    <row r="313" spans="34:37" x14ac:dyDescent="0.35">
      <c r="AH313" s="21"/>
      <c r="AI313" s="21"/>
      <c r="AJ313" s="21"/>
      <c r="AK313" s="21"/>
    </row>
    <row r="314" spans="34:37" x14ac:dyDescent="0.35">
      <c r="AH314" s="21"/>
      <c r="AI314" s="21"/>
      <c r="AJ314" s="21"/>
      <c r="AK314" s="21"/>
    </row>
    <row r="315" spans="34:37" x14ac:dyDescent="0.35">
      <c r="AH315" s="21"/>
      <c r="AI315" s="21"/>
      <c r="AJ315" s="21"/>
      <c r="AK315" s="21"/>
    </row>
    <row r="316" spans="34:37" x14ac:dyDescent="0.35">
      <c r="AH316" s="21"/>
      <c r="AI316" s="21"/>
      <c r="AJ316" s="21"/>
      <c r="AK316" s="21"/>
    </row>
    <row r="317" spans="34:37" x14ac:dyDescent="0.35">
      <c r="AH317" s="21"/>
      <c r="AI317" s="21"/>
      <c r="AJ317" s="21"/>
      <c r="AK317" s="21"/>
    </row>
    <row r="318" spans="34:37" x14ac:dyDescent="0.35">
      <c r="AH318" s="21"/>
      <c r="AI318" s="21"/>
      <c r="AJ318" s="21"/>
      <c r="AK318" s="21"/>
    </row>
    <row r="319" spans="34:37" x14ac:dyDescent="0.35">
      <c r="AH319" s="21"/>
      <c r="AI319" s="21"/>
      <c r="AJ319" s="21"/>
      <c r="AK319" s="21"/>
    </row>
    <row r="320" spans="34:37" x14ac:dyDescent="0.35">
      <c r="AH320" s="21"/>
      <c r="AI320" s="21"/>
      <c r="AJ320" s="21"/>
      <c r="AK320" s="21"/>
    </row>
    <row r="321" spans="34:37" x14ac:dyDescent="0.35">
      <c r="AH321" s="21"/>
      <c r="AI321" s="21"/>
      <c r="AJ321" s="21"/>
      <c r="AK321" s="21"/>
    </row>
    <row r="322" spans="34:37" x14ac:dyDescent="0.35">
      <c r="AH322" s="21"/>
      <c r="AI322" s="21"/>
      <c r="AJ322" s="21"/>
      <c r="AK322" s="21"/>
    </row>
    <row r="323" spans="34:37" x14ac:dyDescent="0.35">
      <c r="AH323" s="21"/>
      <c r="AI323" s="21"/>
      <c r="AJ323" s="21"/>
      <c r="AK323" s="21"/>
    </row>
    <row r="324" spans="34:37" x14ac:dyDescent="0.35">
      <c r="AH324" s="21"/>
      <c r="AI324" s="21"/>
      <c r="AJ324" s="21"/>
      <c r="AK324" s="21"/>
    </row>
    <row r="325" spans="34:37" x14ac:dyDescent="0.35">
      <c r="AH325" s="21"/>
      <c r="AI325" s="21"/>
      <c r="AJ325" s="21"/>
      <c r="AK325" s="21"/>
    </row>
    <row r="326" spans="34:37" x14ac:dyDescent="0.35">
      <c r="AH326" s="21"/>
      <c r="AI326" s="21"/>
      <c r="AJ326" s="21"/>
      <c r="AK326" s="21"/>
    </row>
    <row r="327" spans="34:37" x14ac:dyDescent="0.35">
      <c r="AH327" s="21"/>
      <c r="AI327" s="21"/>
      <c r="AJ327" s="21"/>
      <c r="AK327" s="21"/>
    </row>
    <row r="328" spans="34:37" x14ac:dyDescent="0.35">
      <c r="AH328" s="21"/>
      <c r="AI328" s="21"/>
      <c r="AJ328" s="21"/>
      <c r="AK328" s="21"/>
    </row>
    <row r="329" spans="34:37" x14ac:dyDescent="0.35">
      <c r="AH329" s="21"/>
      <c r="AI329" s="21"/>
      <c r="AJ329" s="21"/>
      <c r="AK329" s="21"/>
    </row>
    <row r="330" spans="34:37" x14ac:dyDescent="0.35">
      <c r="AH330" s="21"/>
      <c r="AI330" s="21"/>
      <c r="AJ330" s="21"/>
      <c r="AK330" s="21"/>
    </row>
    <row r="331" spans="34:37" x14ac:dyDescent="0.35">
      <c r="AH331" s="21"/>
      <c r="AI331" s="21"/>
      <c r="AJ331" s="21"/>
      <c r="AK331" s="21"/>
    </row>
    <row r="332" spans="34:37" x14ac:dyDescent="0.35">
      <c r="AH332" s="21"/>
      <c r="AI332" s="21"/>
      <c r="AJ332" s="21"/>
      <c r="AK332" s="21"/>
    </row>
    <row r="333" spans="34:37" x14ac:dyDescent="0.35">
      <c r="AH333" s="21"/>
      <c r="AI333" s="21"/>
      <c r="AJ333" s="21"/>
      <c r="AK333" s="21"/>
    </row>
    <row r="334" spans="34:37" x14ac:dyDescent="0.35">
      <c r="AH334" s="21"/>
      <c r="AI334" s="21"/>
      <c r="AJ334" s="21"/>
      <c r="AK334" s="21"/>
    </row>
    <row r="335" spans="34:37" x14ac:dyDescent="0.35">
      <c r="AH335" s="21"/>
      <c r="AI335" s="21"/>
      <c r="AJ335" s="21"/>
      <c r="AK335" s="21"/>
    </row>
    <row r="336" spans="34:37" x14ac:dyDescent="0.35">
      <c r="AH336" s="21"/>
      <c r="AI336" s="21"/>
      <c r="AJ336" s="21"/>
      <c r="AK336" s="21"/>
    </row>
    <row r="337" spans="34:37" x14ac:dyDescent="0.35">
      <c r="AH337" s="21"/>
      <c r="AI337" s="21"/>
      <c r="AJ337" s="21"/>
      <c r="AK337" s="21"/>
    </row>
    <row r="338" spans="34:37" x14ac:dyDescent="0.35">
      <c r="AH338" s="21"/>
      <c r="AI338" s="21"/>
      <c r="AJ338" s="21"/>
      <c r="AK338" s="21"/>
    </row>
    <row r="339" spans="34:37" x14ac:dyDescent="0.35">
      <c r="AH339" s="21"/>
      <c r="AI339" s="21"/>
      <c r="AJ339" s="21"/>
      <c r="AK339" s="21"/>
    </row>
    <row r="340" spans="34:37" x14ac:dyDescent="0.35">
      <c r="AH340" s="21"/>
      <c r="AI340" s="21"/>
      <c r="AJ340" s="21"/>
      <c r="AK340" s="21"/>
    </row>
    <row r="341" spans="34:37" x14ac:dyDescent="0.35">
      <c r="AH341" s="21"/>
      <c r="AI341" s="21"/>
      <c r="AJ341" s="21"/>
      <c r="AK341" s="21"/>
    </row>
    <row r="342" spans="34:37" x14ac:dyDescent="0.35">
      <c r="AH342" s="21"/>
      <c r="AI342" s="21"/>
      <c r="AJ342" s="21"/>
      <c r="AK342" s="21"/>
    </row>
    <row r="343" spans="34:37" x14ac:dyDescent="0.35">
      <c r="AH343" s="21"/>
      <c r="AI343" s="21"/>
      <c r="AJ343" s="21"/>
      <c r="AK343" s="21"/>
    </row>
    <row r="344" spans="34:37" x14ac:dyDescent="0.35">
      <c r="AH344" s="21"/>
      <c r="AI344" s="21"/>
      <c r="AJ344" s="21"/>
      <c r="AK344" s="21"/>
    </row>
    <row r="345" spans="34:37" x14ac:dyDescent="0.35">
      <c r="AH345" s="21"/>
      <c r="AI345" s="21"/>
      <c r="AJ345" s="21"/>
      <c r="AK345" s="21"/>
    </row>
    <row r="346" spans="34:37" x14ac:dyDescent="0.35">
      <c r="AH346" s="21"/>
      <c r="AI346" s="21"/>
      <c r="AJ346" s="21"/>
      <c r="AK346" s="21"/>
    </row>
    <row r="347" spans="34:37" x14ac:dyDescent="0.35">
      <c r="AH347" s="21"/>
      <c r="AI347" s="21"/>
      <c r="AJ347" s="21"/>
      <c r="AK347" s="21"/>
    </row>
    <row r="348" spans="34:37" x14ac:dyDescent="0.35">
      <c r="AH348" s="21"/>
      <c r="AI348" s="21"/>
      <c r="AJ348" s="21"/>
      <c r="AK348" s="21"/>
    </row>
    <row r="349" spans="34:37" x14ac:dyDescent="0.35">
      <c r="AH349" s="21"/>
      <c r="AI349" s="21"/>
      <c r="AJ349" s="21"/>
      <c r="AK349" s="21"/>
    </row>
    <row r="350" spans="34:37" x14ac:dyDescent="0.35">
      <c r="AH350" s="21"/>
      <c r="AI350" s="21"/>
      <c r="AJ350" s="21"/>
      <c r="AK350" s="21"/>
    </row>
    <row r="351" spans="34:37" x14ac:dyDescent="0.35">
      <c r="AH351" s="21"/>
      <c r="AI351" s="21"/>
      <c r="AJ351" s="21"/>
      <c r="AK351" s="21"/>
    </row>
    <row r="352" spans="34:37" x14ac:dyDescent="0.35">
      <c r="AH352" s="21"/>
      <c r="AI352" s="21"/>
      <c r="AJ352" s="21"/>
      <c r="AK352" s="21"/>
    </row>
    <row r="353" spans="34:37" x14ac:dyDescent="0.35">
      <c r="AH353" s="21"/>
      <c r="AI353" s="21"/>
      <c r="AJ353" s="21"/>
      <c r="AK353" s="21"/>
    </row>
    <row r="354" spans="34:37" x14ac:dyDescent="0.35">
      <c r="AH354" s="21"/>
      <c r="AI354" s="21"/>
      <c r="AJ354" s="21"/>
      <c r="AK354" s="21"/>
    </row>
    <row r="355" spans="34:37" x14ac:dyDescent="0.35">
      <c r="AH355" s="21"/>
      <c r="AI355" s="21"/>
      <c r="AJ355" s="21"/>
      <c r="AK355" s="21"/>
    </row>
    <row r="356" spans="34:37" x14ac:dyDescent="0.35">
      <c r="AH356" s="21"/>
      <c r="AI356" s="21"/>
      <c r="AJ356" s="21"/>
      <c r="AK356" s="21"/>
    </row>
    <row r="357" spans="34:37" x14ac:dyDescent="0.35">
      <c r="AH357" s="21"/>
      <c r="AI357" s="21"/>
      <c r="AJ357" s="21"/>
      <c r="AK357" s="21"/>
    </row>
    <row r="358" spans="34:37" x14ac:dyDescent="0.35">
      <c r="AH358" s="21"/>
      <c r="AI358" s="21"/>
      <c r="AJ358" s="21"/>
      <c r="AK358" s="21"/>
    </row>
    <row r="359" spans="34:37" x14ac:dyDescent="0.35">
      <c r="AH359" s="21"/>
      <c r="AI359" s="21"/>
      <c r="AJ359" s="21"/>
      <c r="AK359" s="21"/>
    </row>
    <row r="360" spans="34:37" x14ac:dyDescent="0.35">
      <c r="AH360" s="21"/>
      <c r="AI360" s="21"/>
      <c r="AJ360" s="21"/>
      <c r="AK360" s="21"/>
    </row>
    <row r="361" spans="34:37" x14ac:dyDescent="0.35">
      <c r="AH361" s="21"/>
      <c r="AI361" s="21"/>
      <c r="AJ361" s="21"/>
      <c r="AK361" s="21"/>
    </row>
    <row r="362" spans="34:37" x14ac:dyDescent="0.35">
      <c r="AH362" s="21"/>
      <c r="AI362" s="21"/>
      <c r="AJ362" s="21"/>
      <c r="AK362" s="21"/>
    </row>
    <row r="363" spans="34:37" x14ac:dyDescent="0.35">
      <c r="AH363" s="21"/>
      <c r="AI363" s="21"/>
      <c r="AJ363" s="21"/>
      <c r="AK363" s="21"/>
    </row>
    <row r="364" spans="34:37" x14ac:dyDescent="0.35">
      <c r="AH364" s="21"/>
      <c r="AI364" s="21"/>
      <c r="AJ364" s="21"/>
      <c r="AK364" s="21"/>
    </row>
    <row r="365" spans="34:37" x14ac:dyDescent="0.35">
      <c r="AH365" s="21"/>
      <c r="AI365" s="21"/>
      <c r="AJ365" s="21"/>
      <c r="AK365" s="21"/>
    </row>
    <row r="366" spans="34:37" x14ac:dyDescent="0.35">
      <c r="AH366" s="21"/>
      <c r="AI366" s="21"/>
      <c r="AJ366" s="21"/>
      <c r="AK366" s="21"/>
    </row>
    <row r="367" spans="34:37" x14ac:dyDescent="0.35">
      <c r="AH367" s="21"/>
      <c r="AI367" s="21"/>
      <c r="AJ367" s="21"/>
      <c r="AK367" s="21"/>
    </row>
    <row r="368" spans="34:37" x14ac:dyDescent="0.35">
      <c r="AH368" s="21"/>
      <c r="AI368" s="21"/>
      <c r="AJ368" s="21"/>
      <c r="AK368" s="21"/>
    </row>
    <row r="369" spans="34:37" x14ac:dyDescent="0.35">
      <c r="AH369" s="21"/>
      <c r="AI369" s="21"/>
      <c r="AJ369" s="21"/>
      <c r="AK369" s="21"/>
    </row>
    <row r="370" spans="34:37" x14ac:dyDescent="0.35">
      <c r="AH370" s="21"/>
      <c r="AI370" s="21"/>
      <c r="AJ370" s="21"/>
      <c r="AK370" s="21"/>
    </row>
    <row r="371" spans="34:37" x14ac:dyDescent="0.35">
      <c r="AH371" s="21"/>
      <c r="AI371" s="21"/>
      <c r="AJ371" s="21"/>
      <c r="AK371" s="21"/>
    </row>
    <row r="372" spans="34:37" x14ac:dyDescent="0.35">
      <c r="AH372" s="21"/>
      <c r="AI372" s="21"/>
      <c r="AJ372" s="21"/>
      <c r="AK372" s="21"/>
    </row>
    <row r="373" spans="34:37" x14ac:dyDescent="0.35">
      <c r="AH373" s="21"/>
      <c r="AI373" s="21"/>
      <c r="AJ373" s="21"/>
      <c r="AK373" s="21"/>
    </row>
    <row r="374" spans="34:37" x14ac:dyDescent="0.35">
      <c r="AH374" s="21"/>
      <c r="AI374" s="21"/>
      <c r="AJ374" s="21"/>
      <c r="AK374" s="21"/>
    </row>
    <row r="375" spans="34:37" x14ac:dyDescent="0.35">
      <c r="AH375" s="21"/>
      <c r="AI375" s="21"/>
      <c r="AJ375" s="21"/>
      <c r="AK375" s="21"/>
    </row>
    <row r="376" spans="34:37" x14ac:dyDescent="0.35">
      <c r="AH376" s="21"/>
      <c r="AI376" s="21"/>
      <c r="AJ376" s="21"/>
      <c r="AK376" s="21"/>
    </row>
    <row r="377" spans="34:37" x14ac:dyDescent="0.35">
      <c r="AH377" s="21"/>
      <c r="AI377" s="21"/>
      <c r="AJ377" s="21"/>
      <c r="AK377" s="21"/>
    </row>
    <row r="378" spans="34:37" x14ac:dyDescent="0.35">
      <c r="AH378" s="21"/>
      <c r="AI378" s="21"/>
      <c r="AJ378" s="21"/>
      <c r="AK378" s="21"/>
    </row>
    <row r="379" spans="34:37" x14ac:dyDescent="0.35">
      <c r="AH379" s="21"/>
      <c r="AI379" s="21"/>
      <c r="AJ379" s="21"/>
      <c r="AK379" s="21"/>
    </row>
    <row r="380" spans="34:37" x14ac:dyDescent="0.35">
      <c r="AH380" s="21"/>
      <c r="AI380" s="21"/>
      <c r="AJ380" s="21"/>
      <c r="AK380" s="21"/>
    </row>
    <row r="381" spans="34:37" x14ac:dyDescent="0.35">
      <c r="AH381" s="21"/>
      <c r="AI381" s="21"/>
      <c r="AJ381" s="21"/>
      <c r="AK381" s="21"/>
    </row>
    <row r="382" spans="34:37" x14ac:dyDescent="0.35">
      <c r="AH382" s="21"/>
      <c r="AI382" s="21"/>
      <c r="AJ382" s="21"/>
      <c r="AK382" s="21"/>
    </row>
    <row r="383" spans="34:37" x14ac:dyDescent="0.35">
      <c r="AH383" s="21"/>
      <c r="AI383" s="21"/>
      <c r="AJ383" s="21"/>
      <c r="AK383" s="21"/>
    </row>
    <row r="384" spans="34:37" x14ac:dyDescent="0.35">
      <c r="AH384" s="21"/>
      <c r="AI384" s="21"/>
      <c r="AJ384" s="21"/>
      <c r="AK384" s="21"/>
    </row>
    <row r="385" spans="34:37" x14ac:dyDescent="0.35">
      <c r="AH385" s="21"/>
      <c r="AI385" s="21"/>
      <c r="AJ385" s="21"/>
      <c r="AK385" s="21"/>
    </row>
    <row r="386" spans="34:37" x14ac:dyDescent="0.35">
      <c r="AH386" s="21"/>
      <c r="AI386" s="21"/>
      <c r="AJ386" s="21"/>
      <c r="AK386" s="21"/>
    </row>
    <row r="387" spans="34:37" x14ac:dyDescent="0.35">
      <c r="AH387" s="21"/>
      <c r="AI387" s="21"/>
      <c r="AJ387" s="21"/>
      <c r="AK387" s="21"/>
    </row>
    <row r="388" spans="34:37" x14ac:dyDescent="0.35">
      <c r="AH388" s="21"/>
      <c r="AI388" s="21"/>
      <c r="AJ388" s="21"/>
      <c r="AK388" s="21"/>
    </row>
    <row r="389" spans="34:37" x14ac:dyDescent="0.35">
      <c r="AH389" s="21"/>
      <c r="AI389" s="21"/>
      <c r="AJ389" s="21"/>
      <c r="AK389" s="21"/>
    </row>
    <row r="390" spans="34:37" x14ac:dyDescent="0.35">
      <c r="AH390" s="21"/>
      <c r="AI390" s="21"/>
      <c r="AJ390" s="21"/>
      <c r="AK390" s="21"/>
    </row>
    <row r="391" spans="34:37" x14ac:dyDescent="0.35">
      <c r="AH391" s="21"/>
      <c r="AI391" s="21"/>
      <c r="AJ391" s="21"/>
      <c r="AK391" s="21"/>
    </row>
    <row r="392" spans="34:37" x14ac:dyDescent="0.35">
      <c r="AH392" s="21"/>
      <c r="AI392" s="21"/>
      <c r="AJ392" s="21"/>
      <c r="AK392" s="21"/>
    </row>
    <row r="393" spans="34:37" x14ac:dyDescent="0.35">
      <c r="AH393" s="21"/>
      <c r="AI393" s="21"/>
      <c r="AJ393" s="21"/>
      <c r="AK393" s="21"/>
    </row>
    <row r="394" spans="34:37" x14ac:dyDescent="0.35">
      <c r="AH394" s="21"/>
      <c r="AI394" s="21"/>
      <c r="AJ394" s="21"/>
      <c r="AK394" s="21"/>
    </row>
    <row r="395" spans="34:37" x14ac:dyDescent="0.35">
      <c r="AH395" s="21"/>
      <c r="AI395" s="21"/>
      <c r="AJ395" s="21"/>
      <c r="AK395" s="21"/>
    </row>
    <row r="396" spans="34:37" x14ac:dyDescent="0.35">
      <c r="AH396" s="21"/>
      <c r="AI396" s="21"/>
      <c r="AJ396" s="21"/>
      <c r="AK396" s="21"/>
    </row>
    <row r="397" spans="34:37" x14ac:dyDescent="0.35">
      <c r="AH397" s="21"/>
      <c r="AI397" s="21"/>
      <c r="AJ397" s="21"/>
      <c r="AK397" s="21"/>
    </row>
    <row r="398" spans="34:37" x14ac:dyDescent="0.35">
      <c r="AH398" s="21"/>
      <c r="AI398" s="21"/>
      <c r="AJ398" s="21"/>
      <c r="AK398" s="21"/>
    </row>
    <row r="399" spans="34:37" x14ac:dyDescent="0.35">
      <c r="AH399" s="21"/>
      <c r="AI399" s="21"/>
      <c r="AJ399" s="21"/>
      <c r="AK399" s="21"/>
    </row>
    <row r="400" spans="34:37" x14ac:dyDescent="0.35">
      <c r="AH400" s="21"/>
      <c r="AI400" s="21"/>
      <c r="AJ400" s="21"/>
      <c r="AK400" s="21"/>
    </row>
    <row r="401" spans="34:37" x14ac:dyDescent="0.35">
      <c r="AH401" s="21"/>
      <c r="AI401" s="21"/>
      <c r="AJ401" s="21"/>
      <c r="AK401" s="21"/>
    </row>
    <row r="402" spans="34:37" x14ac:dyDescent="0.35">
      <c r="AH402" s="21"/>
      <c r="AI402" s="21"/>
      <c r="AJ402" s="21"/>
      <c r="AK402" s="21"/>
    </row>
    <row r="403" spans="34:37" x14ac:dyDescent="0.35">
      <c r="AH403" s="21"/>
      <c r="AI403" s="21"/>
      <c r="AJ403" s="21"/>
      <c r="AK403" s="21"/>
    </row>
    <row r="404" spans="34:37" x14ac:dyDescent="0.35">
      <c r="AH404" s="21"/>
      <c r="AI404" s="21"/>
      <c r="AJ404" s="21"/>
      <c r="AK404" s="21"/>
    </row>
    <row r="405" spans="34:37" x14ac:dyDescent="0.35">
      <c r="AH405" s="21"/>
      <c r="AI405" s="21"/>
      <c r="AJ405" s="21"/>
      <c r="AK405" s="21"/>
    </row>
    <row r="406" spans="34:37" x14ac:dyDescent="0.35">
      <c r="AH406" s="21"/>
      <c r="AI406" s="21"/>
      <c r="AJ406" s="21"/>
      <c r="AK406" s="21"/>
    </row>
    <row r="407" spans="34:37" x14ac:dyDescent="0.35">
      <c r="AH407" s="21"/>
      <c r="AI407" s="21"/>
      <c r="AJ407" s="21"/>
      <c r="AK407" s="21"/>
    </row>
    <row r="408" spans="34:37" x14ac:dyDescent="0.35">
      <c r="AH408" s="21"/>
      <c r="AI408" s="21"/>
      <c r="AJ408" s="21"/>
      <c r="AK408" s="21"/>
    </row>
    <row r="409" spans="34:37" x14ac:dyDescent="0.35">
      <c r="AH409" s="21"/>
      <c r="AI409" s="21"/>
      <c r="AJ409" s="21"/>
      <c r="AK409" s="21"/>
    </row>
    <row r="410" spans="34:37" x14ac:dyDescent="0.35">
      <c r="AH410" s="21"/>
      <c r="AI410" s="21"/>
      <c r="AJ410" s="21"/>
      <c r="AK410" s="21"/>
    </row>
    <row r="411" spans="34:37" x14ac:dyDescent="0.35">
      <c r="AH411" s="21"/>
      <c r="AI411" s="21"/>
      <c r="AJ411" s="21"/>
      <c r="AK411" s="21"/>
    </row>
    <row r="412" spans="34:37" x14ac:dyDescent="0.35">
      <c r="AH412" s="21"/>
      <c r="AI412" s="21"/>
      <c r="AJ412" s="21"/>
      <c r="AK412" s="21"/>
    </row>
    <row r="413" spans="34:37" x14ac:dyDescent="0.35">
      <c r="AH413" s="21"/>
      <c r="AI413" s="21"/>
      <c r="AJ413" s="21"/>
      <c r="AK413" s="21"/>
    </row>
    <row r="414" spans="34:37" x14ac:dyDescent="0.35">
      <c r="AH414" s="21"/>
      <c r="AI414" s="21"/>
      <c r="AJ414" s="21"/>
      <c r="AK414" s="21"/>
    </row>
    <row r="415" spans="34:37" x14ac:dyDescent="0.35">
      <c r="AH415" s="21"/>
      <c r="AI415" s="21"/>
      <c r="AJ415" s="21"/>
      <c r="AK415" s="21"/>
    </row>
    <row r="416" spans="34:37" x14ac:dyDescent="0.35">
      <c r="AH416" s="21"/>
      <c r="AI416" s="21"/>
      <c r="AJ416" s="21"/>
      <c r="AK416" s="21"/>
    </row>
    <row r="417" spans="34:37" x14ac:dyDescent="0.35">
      <c r="AH417" s="21"/>
      <c r="AI417" s="21"/>
      <c r="AJ417" s="21"/>
      <c r="AK417" s="21"/>
    </row>
    <row r="418" spans="34:37" x14ac:dyDescent="0.35">
      <c r="AH418" s="21"/>
      <c r="AI418" s="21"/>
      <c r="AJ418" s="21"/>
      <c r="AK418" s="21"/>
    </row>
    <row r="419" spans="34:37" x14ac:dyDescent="0.35">
      <c r="AH419" s="21"/>
      <c r="AI419" s="21"/>
      <c r="AJ419" s="21"/>
      <c r="AK419" s="21"/>
    </row>
    <row r="420" spans="34:37" x14ac:dyDescent="0.35">
      <c r="AH420" s="21"/>
      <c r="AI420" s="21"/>
      <c r="AJ420" s="21"/>
      <c r="AK420" s="21"/>
    </row>
    <row r="421" spans="34:37" x14ac:dyDescent="0.35">
      <c r="AH421" s="21"/>
      <c r="AI421" s="21"/>
      <c r="AJ421" s="21"/>
      <c r="AK421" s="21"/>
    </row>
    <row r="422" spans="34:37" x14ac:dyDescent="0.35">
      <c r="AH422" s="21"/>
      <c r="AI422" s="21"/>
      <c r="AJ422" s="21"/>
      <c r="AK422" s="21"/>
    </row>
    <row r="423" spans="34:37" x14ac:dyDescent="0.35">
      <c r="AH423" s="21"/>
      <c r="AI423" s="21"/>
      <c r="AJ423" s="21"/>
      <c r="AK423" s="21"/>
    </row>
    <row r="424" spans="34:37" x14ac:dyDescent="0.35">
      <c r="AH424" s="21"/>
      <c r="AI424" s="21"/>
      <c r="AJ424" s="21"/>
      <c r="AK424" s="21"/>
    </row>
    <row r="425" spans="34:37" x14ac:dyDescent="0.35">
      <c r="AH425" s="21"/>
      <c r="AI425" s="21"/>
      <c r="AJ425" s="21"/>
      <c r="AK425" s="21"/>
    </row>
    <row r="426" spans="34:37" x14ac:dyDescent="0.35">
      <c r="AH426" s="21"/>
      <c r="AI426" s="21"/>
      <c r="AJ426" s="21"/>
      <c r="AK426" s="21"/>
    </row>
    <row r="427" spans="34:37" x14ac:dyDescent="0.35">
      <c r="AH427" s="21"/>
      <c r="AI427" s="21"/>
      <c r="AJ427" s="21"/>
      <c r="AK427" s="21"/>
    </row>
    <row r="428" spans="34:37" x14ac:dyDescent="0.35">
      <c r="AH428" s="21"/>
      <c r="AI428" s="21"/>
      <c r="AJ428" s="21"/>
      <c r="AK428" s="21"/>
    </row>
    <row r="429" spans="34:37" x14ac:dyDescent="0.35">
      <c r="AH429" s="21"/>
      <c r="AI429" s="21"/>
      <c r="AJ429" s="21"/>
      <c r="AK429" s="21"/>
    </row>
    <row r="430" spans="34:37" x14ac:dyDescent="0.35">
      <c r="AH430" s="21"/>
      <c r="AI430" s="21"/>
      <c r="AJ430" s="21"/>
      <c r="AK430" s="21"/>
    </row>
    <row r="431" spans="34:37" x14ac:dyDescent="0.35">
      <c r="AH431" s="21"/>
      <c r="AI431" s="21"/>
      <c r="AJ431" s="21"/>
      <c r="AK431" s="21"/>
    </row>
    <row r="432" spans="34:37" x14ac:dyDescent="0.35">
      <c r="AH432" s="21"/>
      <c r="AI432" s="21"/>
      <c r="AJ432" s="21"/>
      <c r="AK432" s="21"/>
    </row>
    <row r="433" spans="34:37" x14ac:dyDescent="0.35">
      <c r="AH433" s="21"/>
      <c r="AI433" s="21"/>
      <c r="AJ433" s="21"/>
      <c r="AK433" s="21"/>
    </row>
    <row r="434" spans="34:37" x14ac:dyDescent="0.35">
      <c r="AH434" s="21"/>
      <c r="AI434" s="21"/>
      <c r="AJ434" s="21"/>
      <c r="AK434" s="21"/>
    </row>
    <row r="435" spans="34:37" x14ac:dyDescent="0.35">
      <c r="AH435" s="21"/>
      <c r="AI435" s="21"/>
      <c r="AJ435" s="21"/>
      <c r="AK435" s="21"/>
    </row>
    <row r="436" spans="34:37" x14ac:dyDescent="0.35">
      <c r="AH436" s="21"/>
      <c r="AI436" s="21"/>
      <c r="AJ436" s="21"/>
      <c r="AK436" s="21"/>
    </row>
    <row r="437" spans="34:37" x14ac:dyDescent="0.35">
      <c r="AH437" s="21"/>
      <c r="AI437" s="21"/>
      <c r="AJ437" s="21"/>
      <c r="AK437" s="21"/>
    </row>
    <row r="438" spans="34:37" x14ac:dyDescent="0.35">
      <c r="AH438" s="21"/>
      <c r="AI438" s="21"/>
      <c r="AJ438" s="21"/>
      <c r="AK438" s="21"/>
    </row>
    <row r="439" spans="34:37" x14ac:dyDescent="0.35">
      <c r="AH439" s="21"/>
      <c r="AI439" s="21"/>
      <c r="AJ439" s="21"/>
      <c r="AK439" s="21"/>
    </row>
    <row r="440" spans="34:37" x14ac:dyDescent="0.35">
      <c r="AH440" s="21"/>
      <c r="AI440" s="21"/>
      <c r="AJ440" s="21"/>
      <c r="AK440" s="21"/>
    </row>
    <row r="441" spans="34:37" x14ac:dyDescent="0.35">
      <c r="AH441" s="21"/>
      <c r="AI441" s="21"/>
      <c r="AJ441" s="21"/>
      <c r="AK441" s="21"/>
    </row>
    <row r="442" spans="34:37" x14ac:dyDescent="0.35">
      <c r="AH442" s="21"/>
      <c r="AI442" s="21"/>
      <c r="AJ442" s="21"/>
      <c r="AK442" s="21"/>
    </row>
    <row r="443" spans="34:37" x14ac:dyDescent="0.35">
      <c r="AH443" s="21"/>
      <c r="AI443" s="21"/>
      <c r="AJ443" s="21"/>
      <c r="AK443" s="21"/>
    </row>
    <row r="444" spans="34:37" x14ac:dyDescent="0.35">
      <c r="AH444" s="21"/>
      <c r="AI444" s="21"/>
      <c r="AJ444" s="21"/>
      <c r="AK444" s="21"/>
    </row>
    <row r="445" spans="34:37" x14ac:dyDescent="0.35">
      <c r="AH445" s="21"/>
      <c r="AI445" s="21"/>
      <c r="AJ445" s="21"/>
      <c r="AK445" s="21"/>
    </row>
    <row r="446" spans="34:37" x14ac:dyDescent="0.35">
      <c r="AH446" s="21"/>
      <c r="AI446" s="21"/>
      <c r="AJ446" s="21"/>
      <c r="AK446" s="21"/>
    </row>
    <row r="447" spans="34:37" x14ac:dyDescent="0.35">
      <c r="AH447" s="21"/>
      <c r="AI447" s="21"/>
      <c r="AJ447" s="21"/>
      <c r="AK447" s="21"/>
    </row>
    <row r="448" spans="34:37" x14ac:dyDescent="0.35">
      <c r="AH448" s="21"/>
      <c r="AI448" s="21"/>
      <c r="AJ448" s="21"/>
      <c r="AK448" s="21"/>
    </row>
    <row r="449" spans="34:37" x14ac:dyDescent="0.35">
      <c r="AH449" s="21"/>
      <c r="AI449" s="21"/>
      <c r="AJ449" s="21"/>
      <c r="AK449" s="21"/>
    </row>
    <row r="450" spans="34:37" x14ac:dyDescent="0.35">
      <c r="AH450" s="21"/>
      <c r="AI450" s="21"/>
      <c r="AJ450" s="21"/>
      <c r="AK450" s="21"/>
    </row>
    <row r="451" spans="34:37" x14ac:dyDescent="0.35">
      <c r="AH451" s="21"/>
      <c r="AI451" s="21"/>
      <c r="AJ451" s="21"/>
      <c r="AK451" s="21"/>
    </row>
  </sheetData>
  <autoFilter ref="A6:AM451" xr:uid="{0FC65D1E-43CF-4D24-9579-1813F5AEC023}">
    <filterColumn colId="8">
      <filters>
        <filter val="CRML"/>
        <filter val="CRMS"/>
      </filters>
    </filterColumn>
  </autoFilter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2A653-27DF-43BD-AE69-2549A7B96692}">
  <dimension ref="A1:AM168"/>
  <sheetViews>
    <sheetView workbookViewId="0">
      <selection activeCell="D12" sqref="D12"/>
    </sheetView>
  </sheetViews>
  <sheetFormatPr defaultRowHeight="14.5" x14ac:dyDescent="0.35"/>
  <sheetData>
    <row r="1" spans="1:39" ht="20" x14ac:dyDescent="0.35">
      <c r="B1" s="6" t="s">
        <v>49</v>
      </c>
      <c r="C1" s="6"/>
      <c r="D1" s="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9" x14ac:dyDescent="0.35">
      <c r="B2" s="7" t="s">
        <v>50</v>
      </c>
      <c r="C2" t="s">
        <v>3396</v>
      </c>
      <c r="D2" s="8" t="s">
        <v>51</v>
      </c>
      <c r="G2" t="s">
        <v>3396</v>
      </c>
    </row>
    <row r="3" spans="1:39" x14ac:dyDescent="0.35">
      <c r="B3" s="9" t="s">
        <v>52</v>
      </c>
      <c r="C3" s="10" t="e">
        <f>100-(D3/E3*100)</f>
        <v>#DIV/0!</v>
      </c>
      <c r="D3" s="11">
        <f>SUBTOTAL(9,O7:O99999)</f>
        <v>0</v>
      </c>
      <c r="E3" s="12">
        <f>SUBTOTAL(9,Q7:Q99999)</f>
        <v>0</v>
      </c>
      <c r="F3" s="12">
        <f>SUBTOTAL(3,B7:B99999)</f>
        <v>0</v>
      </c>
      <c r="G3" s="13"/>
      <c r="H3" s="13"/>
      <c r="I3" s="86" t="str">
        <f>CONCATENATE("A=",COUNTIF(H:H,"A"),", B=",COUNTIF(H:H,"B"),", C=",COUNTIF(H:H,"C"),", J=",COUNTIF(H:H,"J")," , #N/A= ",COUNTIF(H:H,"#N/A"),", Inactive = ",COUNTIF(H:H,"Inactive"),", TL = ",COUNTIF(H:H,"TL"))</f>
        <v>A=0, B=0, C=0, J=0 , #N/A= 0, Inactive = 0, TL = 0</v>
      </c>
      <c r="J3" s="14"/>
      <c r="K3" s="13"/>
      <c r="L3" s="13"/>
      <c r="M3" s="13"/>
      <c r="N3" s="13"/>
      <c r="O3" s="13"/>
      <c r="P3" s="13"/>
      <c r="Q3" s="12" t="e">
        <f>+E3/F3/DAY(G2)</f>
        <v>#DIV/0!</v>
      </c>
    </row>
    <row r="6" spans="1:39" ht="15" thickBot="1" x14ac:dyDescent="0.4">
      <c r="A6" s="1" t="s">
        <v>26</v>
      </c>
      <c r="B6" s="40" t="s">
        <v>25</v>
      </c>
      <c r="C6" s="40" t="s">
        <v>24</v>
      </c>
      <c r="D6" s="40" t="s">
        <v>23</v>
      </c>
      <c r="E6" s="41" t="s">
        <v>22</v>
      </c>
      <c r="F6" s="41" t="s">
        <v>21</v>
      </c>
      <c r="G6" s="41" t="s">
        <v>20</v>
      </c>
      <c r="H6" s="42" t="s">
        <v>19</v>
      </c>
      <c r="I6" s="42" t="s">
        <v>18</v>
      </c>
      <c r="J6" s="42" t="s">
        <v>17</v>
      </c>
      <c r="K6" s="42" t="s">
        <v>16</v>
      </c>
      <c r="L6" s="42" t="s">
        <v>15</v>
      </c>
      <c r="M6" s="42" t="s">
        <v>14</v>
      </c>
      <c r="N6" s="118" t="s">
        <v>12</v>
      </c>
      <c r="O6" s="119" t="s">
        <v>11</v>
      </c>
      <c r="P6" s="107" t="s">
        <v>10</v>
      </c>
      <c r="Q6" s="107" t="s">
        <v>13</v>
      </c>
      <c r="R6" s="18" t="s">
        <v>12</v>
      </c>
      <c r="S6" s="19" t="s">
        <v>11</v>
      </c>
      <c r="T6" s="20" t="s">
        <v>10</v>
      </c>
      <c r="U6" s="18" t="s">
        <v>12</v>
      </c>
      <c r="V6" s="19" t="s">
        <v>11</v>
      </c>
      <c r="W6" s="20" t="s">
        <v>10</v>
      </c>
      <c r="X6" s="18" t="s">
        <v>12</v>
      </c>
      <c r="Y6" s="19" t="s">
        <v>11</v>
      </c>
      <c r="Z6" s="20" t="s">
        <v>10</v>
      </c>
      <c r="AA6" s="18" t="s">
        <v>12</v>
      </c>
      <c r="AB6" s="19" t="s">
        <v>11</v>
      </c>
      <c r="AC6" s="20" t="s">
        <v>10</v>
      </c>
      <c r="AD6" s="18" t="s">
        <v>9</v>
      </c>
      <c r="AE6" s="19" t="s">
        <v>8</v>
      </c>
      <c r="AF6" s="20" t="s">
        <v>7</v>
      </c>
      <c r="AG6" s="21" t="s">
        <v>6</v>
      </c>
      <c r="AH6" s="21" t="s">
        <v>5</v>
      </c>
      <c r="AI6" s="21" t="s">
        <v>4</v>
      </c>
      <c r="AJ6" s="21" t="s">
        <v>3</v>
      </c>
      <c r="AK6" s="21" t="s">
        <v>2</v>
      </c>
      <c r="AL6" s="21" t="s">
        <v>1</v>
      </c>
      <c r="AM6" s="108" t="s">
        <v>2026</v>
      </c>
    </row>
    <row r="7" spans="1:39" ht="15" thickTop="1" x14ac:dyDescent="0.35">
      <c r="AH7" s="21"/>
      <c r="AI7" s="21"/>
      <c r="AJ7" s="21"/>
      <c r="AK7" s="21"/>
    </row>
    <row r="8" spans="1:39" x14ac:dyDescent="0.35">
      <c r="AH8" s="21"/>
      <c r="AI8" s="21"/>
      <c r="AJ8" s="21"/>
      <c r="AK8" s="21"/>
    </row>
    <row r="9" spans="1:39" x14ac:dyDescent="0.35">
      <c r="AH9" s="21"/>
      <c r="AI9" s="21"/>
      <c r="AJ9" s="21"/>
      <c r="AK9" s="21"/>
    </row>
    <row r="10" spans="1:39" x14ac:dyDescent="0.35">
      <c r="AH10" s="21"/>
      <c r="AI10" s="21"/>
      <c r="AJ10" s="21"/>
      <c r="AK10" s="21"/>
    </row>
    <row r="11" spans="1:39" x14ac:dyDescent="0.35">
      <c r="AH11" s="21"/>
      <c r="AI11" s="21"/>
      <c r="AJ11" s="21"/>
      <c r="AK11" s="21"/>
    </row>
    <row r="12" spans="1:39" x14ac:dyDescent="0.35">
      <c r="AH12" s="21"/>
      <c r="AI12" s="21"/>
      <c r="AJ12" s="21"/>
      <c r="AK12" s="21"/>
    </row>
    <row r="13" spans="1:39" x14ac:dyDescent="0.35">
      <c r="AH13" s="21"/>
      <c r="AI13" s="21"/>
      <c r="AJ13" s="21"/>
      <c r="AK13" s="21"/>
    </row>
    <row r="14" spans="1:39" x14ac:dyDescent="0.35">
      <c r="AH14" s="21"/>
      <c r="AI14" s="21"/>
      <c r="AJ14" s="21"/>
      <c r="AK14" s="21"/>
    </row>
    <row r="15" spans="1:39" x14ac:dyDescent="0.35">
      <c r="AH15" s="21"/>
      <c r="AI15" s="21"/>
      <c r="AJ15" s="21"/>
      <c r="AK15" s="21"/>
    </row>
    <row r="16" spans="1:39" x14ac:dyDescent="0.35">
      <c r="AH16" s="21"/>
      <c r="AI16" s="21"/>
      <c r="AJ16" s="21"/>
      <c r="AK16" s="21"/>
    </row>
    <row r="17" spans="34:37" x14ac:dyDescent="0.35">
      <c r="AH17" s="21"/>
      <c r="AI17" s="21"/>
      <c r="AJ17" s="21"/>
      <c r="AK17" s="21"/>
    </row>
    <row r="18" spans="34:37" x14ac:dyDescent="0.35">
      <c r="AH18" s="21"/>
      <c r="AI18" s="21"/>
      <c r="AJ18" s="21"/>
      <c r="AK18" s="21"/>
    </row>
    <row r="19" spans="34:37" x14ac:dyDescent="0.35">
      <c r="AH19" s="21"/>
      <c r="AI19" s="21"/>
      <c r="AJ19" s="21"/>
      <c r="AK19" s="21"/>
    </row>
    <row r="20" spans="34:37" x14ac:dyDescent="0.35">
      <c r="AH20" s="21"/>
      <c r="AI20" s="21"/>
      <c r="AJ20" s="21"/>
      <c r="AK20" s="21"/>
    </row>
    <row r="21" spans="34:37" x14ac:dyDescent="0.35">
      <c r="AH21" s="21"/>
      <c r="AI21" s="21"/>
      <c r="AJ21" s="21"/>
      <c r="AK21" s="21"/>
    </row>
    <row r="22" spans="34:37" x14ac:dyDescent="0.35">
      <c r="AH22" s="21"/>
      <c r="AI22" s="21"/>
      <c r="AJ22" s="21"/>
      <c r="AK22" s="21"/>
    </row>
    <row r="23" spans="34:37" x14ac:dyDescent="0.35">
      <c r="AH23" s="21"/>
      <c r="AI23" s="21"/>
      <c r="AJ23" s="21"/>
      <c r="AK23" s="21"/>
    </row>
    <row r="24" spans="34:37" x14ac:dyDescent="0.35">
      <c r="AH24" s="21"/>
      <c r="AI24" s="21"/>
      <c r="AJ24" s="21"/>
      <c r="AK24" s="21"/>
    </row>
    <row r="25" spans="34:37" x14ac:dyDescent="0.35">
      <c r="AH25" s="21"/>
      <c r="AI25" s="21"/>
      <c r="AJ25" s="21"/>
      <c r="AK25" s="21"/>
    </row>
    <row r="26" spans="34:37" x14ac:dyDescent="0.35">
      <c r="AH26" s="21"/>
      <c r="AI26" s="21"/>
      <c r="AJ26" s="21"/>
      <c r="AK26" s="21"/>
    </row>
    <row r="27" spans="34:37" x14ac:dyDescent="0.35">
      <c r="AH27" s="21"/>
      <c r="AI27" s="21"/>
      <c r="AJ27" s="21"/>
      <c r="AK27" s="21"/>
    </row>
    <row r="28" spans="34:37" x14ac:dyDescent="0.35">
      <c r="AH28" s="21"/>
      <c r="AI28" s="21"/>
      <c r="AJ28" s="21"/>
      <c r="AK28" s="21"/>
    </row>
    <row r="29" spans="34:37" x14ac:dyDescent="0.35">
      <c r="AH29" s="21"/>
      <c r="AI29" s="21"/>
      <c r="AJ29" s="21"/>
      <c r="AK29" s="21"/>
    </row>
    <row r="30" spans="34:37" x14ac:dyDescent="0.35">
      <c r="AH30" s="21"/>
      <c r="AI30" s="21"/>
      <c r="AJ30" s="21"/>
      <c r="AK30" s="21"/>
    </row>
    <row r="31" spans="34:37" x14ac:dyDescent="0.35">
      <c r="AH31" s="21"/>
      <c r="AI31" s="21"/>
      <c r="AJ31" s="21"/>
      <c r="AK31" s="21"/>
    </row>
    <row r="32" spans="34:37" x14ac:dyDescent="0.35">
      <c r="AH32" s="21"/>
      <c r="AI32" s="21"/>
      <c r="AJ32" s="21"/>
      <c r="AK32" s="21"/>
    </row>
    <row r="33" spans="34:37" x14ac:dyDescent="0.35">
      <c r="AH33" s="21"/>
      <c r="AI33" s="21"/>
      <c r="AJ33" s="21"/>
      <c r="AK33" s="21"/>
    </row>
    <row r="34" spans="34:37" x14ac:dyDescent="0.35">
      <c r="AH34" s="21"/>
      <c r="AI34" s="21"/>
      <c r="AJ34" s="21"/>
      <c r="AK34" s="21"/>
    </row>
    <row r="35" spans="34:37" x14ac:dyDescent="0.35">
      <c r="AH35" s="21"/>
      <c r="AI35" s="21"/>
      <c r="AJ35" s="21"/>
      <c r="AK35" s="21"/>
    </row>
    <row r="36" spans="34:37" x14ac:dyDescent="0.35">
      <c r="AH36" s="21"/>
      <c r="AI36" s="21"/>
      <c r="AJ36" s="21"/>
      <c r="AK36" s="21"/>
    </row>
    <row r="37" spans="34:37" x14ac:dyDescent="0.35">
      <c r="AH37" s="21"/>
      <c r="AI37" s="21"/>
      <c r="AJ37" s="21"/>
      <c r="AK37" s="21"/>
    </row>
    <row r="38" spans="34:37" x14ac:dyDescent="0.35">
      <c r="AH38" s="21"/>
      <c r="AI38" s="21"/>
      <c r="AJ38" s="21"/>
      <c r="AK38" s="21"/>
    </row>
    <row r="39" spans="34:37" x14ac:dyDescent="0.35">
      <c r="AH39" s="21"/>
      <c r="AI39" s="21"/>
      <c r="AJ39" s="21"/>
      <c r="AK39" s="21"/>
    </row>
    <row r="40" spans="34:37" x14ac:dyDescent="0.35">
      <c r="AH40" s="21"/>
      <c r="AI40" s="21"/>
      <c r="AJ40" s="21"/>
      <c r="AK40" s="21"/>
    </row>
    <row r="41" spans="34:37" x14ac:dyDescent="0.35">
      <c r="AH41" s="21"/>
      <c r="AI41" s="21"/>
      <c r="AJ41" s="21"/>
      <c r="AK41" s="21"/>
    </row>
    <row r="42" spans="34:37" x14ac:dyDescent="0.35">
      <c r="AH42" s="21"/>
      <c r="AI42" s="21"/>
      <c r="AJ42" s="21"/>
      <c r="AK42" s="21"/>
    </row>
    <row r="43" spans="34:37" x14ac:dyDescent="0.35">
      <c r="AH43" s="21"/>
      <c r="AI43" s="21"/>
      <c r="AJ43" s="21"/>
      <c r="AK43" s="21"/>
    </row>
    <row r="44" spans="34:37" x14ac:dyDescent="0.35">
      <c r="AH44" s="21"/>
      <c r="AI44" s="21"/>
      <c r="AJ44" s="21"/>
      <c r="AK44" s="21"/>
    </row>
    <row r="45" spans="34:37" x14ac:dyDescent="0.35">
      <c r="AH45" s="21"/>
      <c r="AI45" s="21"/>
      <c r="AJ45" s="21"/>
      <c r="AK45" s="21"/>
    </row>
    <row r="46" spans="34:37" x14ac:dyDescent="0.35">
      <c r="AH46" s="21"/>
      <c r="AI46" s="21"/>
      <c r="AJ46" s="21"/>
      <c r="AK46" s="21"/>
    </row>
    <row r="47" spans="34:37" x14ac:dyDescent="0.35">
      <c r="AH47" s="21"/>
      <c r="AI47" s="21"/>
      <c r="AJ47" s="21"/>
      <c r="AK47" s="21"/>
    </row>
    <row r="48" spans="34:37" x14ac:dyDescent="0.35">
      <c r="AH48" s="21"/>
      <c r="AI48" s="21"/>
      <c r="AJ48" s="21"/>
      <c r="AK48" s="21"/>
    </row>
    <row r="49" spans="34:37" x14ac:dyDescent="0.35">
      <c r="AH49" s="21"/>
      <c r="AI49" s="21"/>
      <c r="AJ49" s="21"/>
      <c r="AK49" s="21"/>
    </row>
    <row r="50" spans="34:37" x14ac:dyDescent="0.35">
      <c r="AH50" s="21"/>
      <c r="AI50" s="21"/>
      <c r="AJ50" s="21"/>
      <c r="AK50" s="21"/>
    </row>
    <row r="51" spans="34:37" x14ac:dyDescent="0.35">
      <c r="AH51" s="21"/>
      <c r="AI51" s="21"/>
      <c r="AJ51" s="21"/>
      <c r="AK51" s="21"/>
    </row>
    <row r="52" spans="34:37" x14ac:dyDescent="0.35">
      <c r="AH52" s="21"/>
      <c r="AI52" s="21"/>
      <c r="AJ52" s="21"/>
      <c r="AK52" s="21"/>
    </row>
    <row r="53" spans="34:37" x14ac:dyDescent="0.35">
      <c r="AH53" s="21"/>
      <c r="AI53" s="21"/>
      <c r="AJ53" s="21"/>
      <c r="AK53" s="21"/>
    </row>
    <row r="54" spans="34:37" x14ac:dyDescent="0.35">
      <c r="AH54" s="21"/>
      <c r="AI54" s="21"/>
      <c r="AJ54" s="21"/>
      <c r="AK54" s="21"/>
    </row>
    <row r="55" spans="34:37" x14ac:dyDescent="0.35">
      <c r="AH55" s="21"/>
      <c r="AI55" s="21"/>
      <c r="AJ55" s="21"/>
      <c r="AK55" s="21"/>
    </row>
    <row r="56" spans="34:37" x14ac:dyDescent="0.35">
      <c r="AH56" s="21"/>
      <c r="AI56" s="21"/>
      <c r="AJ56" s="21"/>
      <c r="AK56" s="21"/>
    </row>
    <row r="57" spans="34:37" x14ac:dyDescent="0.35">
      <c r="AH57" s="21"/>
      <c r="AI57" s="21"/>
      <c r="AJ57" s="21"/>
      <c r="AK57" s="21"/>
    </row>
    <row r="58" spans="34:37" x14ac:dyDescent="0.35">
      <c r="AH58" s="21"/>
      <c r="AI58" s="21"/>
      <c r="AJ58" s="21"/>
      <c r="AK58" s="21"/>
    </row>
    <row r="59" spans="34:37" x14ac:dyDescent="0.35">
      <c r="AH59" s="21"/>
      <c r="AI59" s="21"/>
      <c r="AJ59" s="21"/>
      <c r="AK59" s="21"/>
    </row>
    <row r="60" spans="34:37" x14ac:dyDescent="0.35">
      <c r="AH60" s="21"/>
      <c r="AI60" s="21"/>
      <c r="AJ60" s="21"/>
      <c r="AK60" s="21"/>
    </row>
    <row r="61" spans="34:37" x14ac:dyDescent="0.35">
      <c r="AH61" s="21"/>
      <c r="AI61" s="21"/>
      <c r="AJ61" s="21"/>
      <c r="AK61" s="21"/>
    </row>
    <row r="62" spans="34:37" x14ac:dyDescent="0.35">
      <c r="AH62" s="21"/>
      <c r="AI62" s="21"/>
      <c r="AJ62" s="21"/>
      <c r="AK62" s="21"/>
    </row>
    <row r="63" spans="34:37" x14ac:dyDescent="0.35">
      <c r="AH63" s="21"/>
      <c r="AI63" s="21"/>
      <c r="AJ63" s="21"/>
      <c r="AK63" s="21"/>
    </row>
    <row r="64" spans="34:37" x14ac:dyDescent="0.35">
      <c r="AH64" s="21"/>
      <c r="AI64" s="21"/>
      <c r="AJ64" s="21"/>
      <c r="AK64" s="21"/>
    </row>
    <row r="65" spans="34:37" x14ac:dyDescent="0.35">
      <c r="AH65" s="21"/>
      <c r="AI65" s="21"/>
      <c r="AJ65" s="21"/>
      <c r="AK65" s="21"/>
    </row>
    <row r="66" spans="34:37" x14ac:dyDescent="0.35">
      <c r="AH66" s="21"/>
      <c r="AI66" s="21"/>
      <c r="AJ66" s="21"/>
      <c r="AK66" s="21"/>
    </row>
    <row r="67" spans="34:37" x14ac:dyDescent="0.35">
      <c r="AH67" s="21"/>
      <c r="AI67" s="21"/>
      <c r="AJ67" s="21"/>
      <c r="AK67" s="21"/>
    </row>
    <row r="68" spans="34:37" x14ac:dyDescent="0.35">
      <c r="AH68" s="21"/>
      <c r="AI68" s="21"/>
      <c r="AJ68" s="21"/>
      <c r="AK68" s="21"/>
    </row>
    <row r="69" spans="34:37" x14ac:dyDescent="0.35">
      <c r="AH69" s="21"/>
      <c r="AI69" s="21"/>
      <c r="AJ69" s="21"/>
      <c r="AK69" s="21"/>
    </row>
    <row r="70" spans="34:37" x14ac:dyDescent="0.35">
      <c r="AH70" s="21"/>
      <c r="AI70" s="21"/>
      <c r="AJ70" s="21"/>
      <c r="AK70" s="21"/>
    </row>
    <row r="71" spans="34:37" x14ac:dyDescent="0.35">
      <c r="AH71" s="21"/>
      <c r="AI71" s="21"/>
      <c r="AJ71" s="21"/>
      <c r="AK71" s="21"/>
    </row>
    <row r="72" spans="34:37" x14ac:dyDescent="0.35">
      <c r="AH72" s="21"/>
      <c r="AI72" s="21"/>
      <c r="AJ72" s="21"/>
      <c r="AK72" s="21"/>
    </row>
    <row r="73" spans="34:37" x14ac:dyDescent="0.35">
      <c r="AH73" s="21"/>
      <c r="AI73" s="21"/>
      <c r="AJ73" s="21"/>
      <c r="AK73" s="21"/>
    </row>
    <row r="74" spans="34:37" x14ac:dyDescent="0.35">
      <c r="AH74" s="21"/>
      <c r="AI74" s="21"/>
      <c r="AJ74" s="21"/>
      <c r="AK74" s="21"/>
    </row>
    <row r="75" spans="34:37" x14ac:dyDescent="0.35">
      <c r="AH75" s="21"/>
      <c r="AI75" s="21"/>
      <c r="AJ75" s="21"/>
      <c r="AK75" s="21"/>
    </row>
    <row r="76" spans="34:37" x14ac:dyDescent="0.35">
      <c r="AH76" s="21"/>
      <c r="AI76" s="21"/>
      <c r="AJ76" s="21"/>
      <c r="AK76" s="21"/>
    </row>
    <row r="77" spans="34:37" x14ac:dyDescent="0.35">
      <c r="AH77" s="21"/>
      <c r="AI77" s="21"/>
      <c r="AJ77" s="21"/>
      <c r="AK77" s="21"/>
    </row>
    <row r="78" spans="34:37" x14ac:dyDescent="0.35">
      <c r="AH78" s="21"/>
      <c r="AI78" s="21"/>
      <c r="AJ78" s="21"/>
      <c r="AK78" s="21"/>
    </row>
    <row r="79" spans="34:37" x14ac:dyDescent="0.35">
      <c r="AH79" s="21"/>
      <c r="AI79" s="21"/>
      <c r="AJ79" s="21"/>
      <c r="AK79" s="21"/>
    </row>
    <row r="80" spans="34:37" x14ac:dyDescent="0.35">
      <c r="AH80" s="21"/>
      <c r="AI80" s="21"/>
      <c r="AJ80" s="21"/>
      <c r="AK80" s="21"/>
    </row>
    <row r="81" spans="34:37" x14ac:dyDescent="0.35">
      <c r="AH81" s="21"/>
      <c r="AI81" s="21"/>
      <c r="AJ81" s="21"/>
      <c r="AK81" s="21"/>
    </row>
    <row r="82" spans="34:37" x14ac:dyDescent="0.35">
      <c r="AH82" s="21"/>
      <c r="AI82" s="21"/>
      <c r="AJ82" s="21"/>
      <c r="AK82" s="21"/>
    </row>
    <row r="83" spans="34:37" x14ac:dyDescent="0.35">
      <c r="AH83" s="21"/>
      <c r="AI83" s="21"/>
      <c r="AJ83" s="21"/>
      <c r="AK83" s="21"/>
    </row>
    <row r="84" spans="34:37" x14ac:dyDescent="0.35">
      <c r="AH84" s="21"/>
      <c r="AI84" s="21"/>
      <c r="AJ84" s="21"/>
      <c r="AK84" s="21"/>
    </row>
    <row r="85" spans="34:37" x14ac:dyDescent="0.35">
      <c r="AH85" s="21"/>
      <c r="AI85" s="21"/>
      <c r="AJ85" s="21"/>
      <c r="AK85" s="21"/>
    </row>
    <row r="86" spans="34:37" x14ac:dyDescent="0.35">
      <c r="AH86" s="21"/>
      <c r="AI86" s="21"/>
      <c r="AJ86" s="21"/>
      <c r="AK86" s="21"/>
    </row>
    <row r="87" spans="34:37" x14ac:dyDescent="0.35">
      <c r="AH87" s="21"/>
      <c r="AI87" s="21"/>
      <c r="AJ87" s="21"/>
      <c r="AK87" s="21"/>
    </row>
    <row r="88" spans="34:37" x14ac:dyDescent="0.35">
      <c r="AH88" s="21"/>
      <c r="AI88" s="21"/>
      <c r="AJ88" s="21"/>
      <c r="AK88" s="21"/>
    </row>
    <row r="89" spans="34:37" x14ac:dyDescent="0.35">
      <c r="AH89" s="21"/>
      <c r="AI89" s="21"/>
      <c r="AJ89" s="21"/>
      <c r="AK89" s="21"/>
    </row>
    <row r="90" spans="34:37" x14ac:dyDescent="0.35">
      <c r="AH90" s="21"/>
      <c r="AI90" s="21"/>
      <c r="AJ90" s="21"/>
      <c r="AK90" s="21"/>
    </row>
    <row r="91" spans="34:37" x14ac:dyDescent="0.35">
      <c r="AH91" s="21"/>
      <c r="AI91" s="21"/>
      <c r="AJ91" s="21"/>
      <c r="AK91" s="21"/>
    </row>
    <row r="92" spans="34:37" x14ac:dyDescent="0.35">
      <c r="AH92" s="21"/>
      <c r="AI92" s="21"/>
      <c r="AJ92" s="21"/>
      <c r="AK92" s="21"/>
    </row>
    <row r="93" spans="34:37" x14ac:dyDescent="0.35">
      <c r="AH93" s="21"/>
      <c r="AI93" s="21"/>
      <c r="AJ93" s="21"/>
      <c r="AK93" s="21"/>
    </row>
    <row r="94" spans="34:37" x14ac:dyDescent="0.35">
      <c r="AH94" s="21"/>
      <c r="AI94" s="21"/>
      <c r="AJ94" s="21"/>
      <c r="AK94" s="21"/>
    </row>
    <row r="95" spans="34:37" x14ac:dyDescent="0.35">
      <c r="AH95" s="21"/>
      <c r="AI95" s="21"/>
      <c r="AJ95" s="21"/>
      <c r="AK95" s="21"/>
    </row>
    <row r="96" spans="34:37" x14ac:dyDescent="0.35">
      <c r="AH96" s="21"/>
      <c r="AI96" s="21"/>
      <c r="AJ96" s="21"/>
      <c r="AK96" s="21"/>
    </row>
    <row r="97" spans="34:37" x14ac:dyDescent="0.35">
      <c r="AH97" s="21"/>
      <c r="AI97" s="21"/>
      <c r="AJ97" s="21"/>
      <c r="AK97" s="21"/>
    </row>
    <row r="98" spans="34:37" x14ac:dyDescent="0.35">
      <c r="AH98" s="21"/>
      <c r="AI98" s="21"/>
      <c r="AJ98" s="21"/>
      <c r="AK98" s="21"/>
    </row>
    <row r="99" spans="34:37" x14ac:dyDescent="0.35">
      <c r="AH99" s="21"/>
      <c r="AI99" s="21"/>
      <c r="AJ99" s="21"/>
      <c r="AK99" s="21"/>
    </row>
    <row r="100" spans="34:37" x14ac:dyDescent="0.35">
      <c r="AH100" s="21"/>
      <c r="AI100" s="21"/>
      <c r="AJ100" s="21"/>
      <c r="AK100" s="21"/>
    </row>
    <row r="101" spans="34:37" x14ac:dyDescent="0.35">
      <c r="AH101" s="21"/>
      <c r="AI101" s="21"/>
      <c r="AJ101" s="21"/>
      <c r="AK101" s="21"/>
    </row>
    <row r="102" spans="34:37" x14ac:dyDescent="0.35">
      <c r="AH102" s="21"/>
      <c r="AI102" s="21"/>
      <c r="AJ102" s="21"/>
      <c r="AK102" s="21"/>
    </row>
    <row r="103" spans="34:37" x14ac:dyDescent="0.35">
      <c r="AH103" s="21"/>
      <c r="AI103" s="21"/>
      <c r="AJ103" s="21"/>
      <c r="AK103" s="21"/>
    </row>
    <row r="104" spans="34:37" x14ac:dyDescent="0.35">
      <c r="AH104" s="21"/>
      <c r="AI104" s="21"/>
      <c r="AJ104" s="21"/>
      <c r="AK104" s="21"/>
    </row>
    <row r="105" spans="34:37" x14ac:dyDescent="0.35">
      <c r="AH105" s="21"/>
      <c r="AI105" s="21"/>
      <c r="AJ105" s="21"/>
      <c r="AK105" s="21"/>
    </row>
    <row r="106" spans="34:37" x14ac:dyDescent="0.35">
      <c r="AH106" s="21"/>
      <c r="AI106" s="21"/>
      <c r="AJ106" s="21"/>
      <c r="AK106" s="21"/>
    </row>
    <row r="107" spans="34:37" x14ac:dyDescent="0.35">
      <c r="AH107" s="21"/>
      <c r="AI107" s="21"/>
      <c r="AJ107" s="21"/>
      <c r="AK107" s="21"/>
    </row>
    <row r="108" spans="34:37" x14ac:dyDescent="0.35">
      <c r="AH108" s="21"/>
      <c r="AI108" s="21"/>
      <c r="AJ108" s="21"/>
      <c r="AK108" s="21"/>
    </row>
    <row r="109" spans="34:37" x14ac:dyDescent="0.35">
      <c r="AH109" s="21"/>
      <c r="AI109" s="21"/>
      <c r="AJ109" s="21"/>
      <c r="AK109" s="21"/>
    </row>
    <row r="110" spans="34:37" x14ac:dyDescent="0.35">
      <c r="AH110" s="21"/>
      <c r="AI110" s="21"/>
      <c r="AJ110" s="21"/>
      <c r="AK110" s="21"/>
    </row>
    <row r="111" spans="34:37" x14ac:dyDescent="0.35">
      <c r="AH111" s="21"/>
      <c r="AI111" s="21"/>
      <c r="AJ111" s="21"/>
      <c r="AK111" s="21"/>
    </row>
    <row r="112" spans="34:37" x14ac:dyDescent="0.35">
      <c r="AH112" s="21"/>
      <c r="AI112" s="21"/>
      <c r="AJ112" s="21"/>
      <c r="AK112" s="21"/>
    </row>
    <row r="113" spans="34:37" x14ac:dyDescent="0.35">
      <c r="AH113" s="21"/>
      <c r="AI113" s="21"/>
      <c r="AJ113" s="21"/>
      <c r="AK113" s="21"/>
    </row>
    <row r="114" spans="34:37" x14ac:dyDescent="0.35">
      <c r="AH114" s="21"/>
      <c r="AI114" s="21"/>
      <c r="AJ114" s="21"/>
      <c r="AK114" s="21"/>
    </row>
    <row r="115" spans="34:37" x14ac:dyDescent="0.35">
      <c r="AH115" s="21"/>
      <c r="AI115" s="21"/>
      <c r="AJ115" s="21"/>
      <c r="AK115" s="21"/>
    </row>
    <row r="116" spans="34:37" x14ac:dyDescent="0.35">
      <c r="AH116" s="21"/>
      <c r="AI116" s="21"/>
      <c r="AJ116" s="21"/>
      <c r="AK116" s="21"/>
    </row>
    <row r="117" spans="34:37" x14ac:dyDescent="0.35">
      <c r="AH117" s="21"/>
      <c r="AI117" s="21"/>
      <c r="AJ117" s="21"/>
      <c r="AK117" s="21"/>
    </row>
    <row r="118" spans="34:37" x14ac:dyDescent="0.35">
      <c r="AH118" s="21"/>
      <c r="AI118" s="21"/>
      <c r="AJ118" s="21"/>
      <c r="AK118" s="21"/>
    </row>
    <row r="119" spans="34:37" x14ac:dyDescent="0.35">
      <c r="AH119" s="21"/>
      <c r="AI119" s="21"/>
      <c r="AJ119" s="21"/>
      <c r="AK119" s="21"/>
    </row>
    <row r="120" spans="34:37" x14ac:dyDescent="0.35">
      <c r="AH120" s="21"/>
      <c r="AI120" s="21"/>
      <c r="AJ120" s="21"/>
      <c r="AK120" s="21"/>
    </row>
    <row r="121" spans="34:37" x14ac:dyDescent="0.35">
      <c r="AH121" s="21"/>
      <c r="AI121" s="21"/>
      <c r="AJ121" s="21"/>
      <c r="AK121" s="21"/>
    </row>
    <row r="122" spans="34:37" x14ac:dyDescent="0.35">
      <c r="AH122" s="21"/>
      <c r="AI122" s="21"/>
      <c r="AJ122" s="21"/>
      <c r="AK122" s="21"/>
    </row>
    <row r="123" spans="34:37" x14ac:dyDescent="0.35">
      <c r="AH123" s="21"/>
      <c r="AI123" s="21"/>
      <c r="AJ123" s="21"/>
      <c r="AK123" s="21"/>
    </row>
    <row r="124" spans="34:37" x14ac:dyDescent="0.35">
      <c r="AH124" s="21"/>
      <c r="AI124" s="21"/>
      <c r="AJ124" s="21"/>
      <c r="AK124" s="21"/>
    </row>
    <row r="125" spans="34:37" x14ac:dyDescent="0.35">
      <c r="AH125" s="21"/>
      <c r="AI125" s="21"/>
      <c r="AJ125" s="21"/>
      <c r="AK125" s="21"/>
    </row>
    <row r="126" spans="34:37" x14ac:dyDescent="0.35">
      <c r="AH126" s="21"/>
      <c r="AI126" s="21"/>
      <c r="AJ126" s="21"/>
      <c r="AK126" s="21"/>
    </row>
    <row r="127" spans="34:37" x14ac:dyDescent="0.35">
      <c r="AH127" s="21"/>
      <c r="AI127" s="21"/>
      <c r="AJ127" s="21"/>
      <c r="AK127" s="21"/>
    </row>
    <row r="128" spans="34:37" x14ac:dyDescent="0.35">
      <c r="AH128" s="21"/>
      <c r="AI128" s="21"/>
      <c r="AJ128" s="21"/>
      <c r="AK128" s="21"/>
    </row>
    <row r="129" spans="34:37" x14ac:dyDescent="0.35">
      <c r="AH129" s="21"/>
      <c r="AI129" s="21"/>
      <c r="AJ129" s="21"/>
      <c r="AK129" s="21"/>
    </row>
    <row r="130" spans="34:37" x14ac:dyDescent="0.35">
      <c r="AH130" s="21"/>
      <c r="AI130" s="21"/>
      <c r="AJ130" s="21"/>
      <c r="AK130" s="21"/>
    </row>
    <row r="131" spans="34:37" x14ac:dyDescent="0.35">
      <c r="AH131" s="21"/>
      <c r="AI131" s="21"/>
      <c r="AJ131" s="21"/>
      <c r="AK131" s="21"/>
    </row>
    <row r="132" spans="34:37" x14ac:dyDescent="0.35">
      <c r="AH132" s="21"/>
      <c r="AI132" s="21"/>
      <c r="AJ132" s="21"/>
      <c r="AK132" s="21"/>
    </row>
    <row r="133" spans="34:37" x14ac:dyDescent="0.35">
      <c r="AH133" s="21"/>
      <c r="AI133" s="21"/>
      <c r="AJ133" s="21"/>
      <c r="AK133" s="21"/>
    </row>
    <row r="134" spans="34:37" x14ac:dyDescent="0.35">
      <c r="AH134" s="21"/>
      <c r="AI134" s="21"/>
      <c r="AJ134" s="21"/>
      <c r="AK134" s="21"/>
    </row>
    <row r="135" spans="34:37" x14ac:dyDescent="0.35">
      <c r="AH135" s="21"/>
      <c r="AI135" s="21"/>
      <c r="AJ135" s="21"/>
      <c r="AK135" s="21"/>
    </row>
    <row r="136" spans="34:37" x14ac:dyDescent="0.35">
      <c r="AH136" s="21"/>
      <c r="AI136" s="21"/>
      <c r="AJ136" s="21"/>
      <c r="AK136" s="21"/>
    </row>
    <row r="137" spans="34:37" x14ac:dyDescent="0.35">
      <c r="AH137" s="21"/>
      <c r="AI137" s="21"/>
      <c r="AJ137" s="21"/>
      <c r="AK137" s="21"/>
    </row>
    <row r="138" spans="34:37" x14ac:dyDescent="0.35">
      <c r="AH138" s="21"/>
      <c r="AI138" s="21"/>
      <c r="AJ138" s="21"/>
      <c r="AK138" s="21"/>
    </row>
    <row r="139" spans="34:37" x14ac:dyDescent="0.35">
      <c r="AH139" s="21"/>
      <c r="AI139" s="21"/>
      <c r="AJ139" s="21"/>
      <c r="AK139" s="21"/>
    </row>
    <row r="140" spans="34:37" x14ac:dyDescent="0.35">
      <c r="AH140" s="21"/>
      <c r="AI140" s="21"/>
      <c r="AJ140" s="21"/>
      <c r="AK140" s="21"/>
    </row>
    <row r="141" spans="34:37" x14ac:dyDescent="0.35">
      <c r="AH141" s="21"/>
      <c r="AI141" s="21"/>
      <c r="AJ141" s="21"/>
      <c r="AK141" s="21"/>
    </row>
    <row r="142" spans="34:37" x14ac:dyDescent="0.35">
      <c r="AH142" s="21"/>
      <c r="AI142" s="21"/>
      <c r="AJ142" s="21"/>
      <c r="AK142" s="21"/>
    </row>
    <row r="143" spans="34:37" x14ac:dyDescent="0.35">
      <c r="AH143" s="21"/>
      <c r="AI143" s="21"/>
      <c r="AJ143" s="21"/>
      <c r="AK143" s="21"/>
    </row>
    <row r="144" spans="34:37" x14ac:dyDescent="0.35">
      <c r="AH144" s="21"/>
      <c r="AI144" s="21"/>
      <c r="AJ144" s="21"/>
      <c r="AK144" s="21"/>
    </row>
    <row r="145" spans="34:37" x14ac:dyDescent="0.35">
      <c r="AH145" s="21"/>
      <c r="AI145" s="21"/>
      <c r="AJ145" s="21"/>
      <c r="AK145" s="21"/>
    </row>
    <row r="146" spans="34:37" x14ac:dyDescent="0.35">
      <c r="AH146" s="21"/>
      <c r="AI146" s="21"/>
      <c r="AJ146" s="21"/>
      <c r="AK146" s="21"/>
    </row>
    <row r="147" spans="34:37" x14ac:dyDescent="0.35">
      <c r="AH147" s="21"/>
      <c r="AI147" s="21"/>
      <c r="AJ147" s="21"/>
      <c r="AK147" s="21"/>
    </row>
    <row r="148" spans="34:37" x14ac:dyDescent="0.35">
      <c r="AH148" s="21"/>
      <c r="AI148" s="21"/>
      <c r="AJ148" s="21"/>
      <c r="AK148" s="21"/>
    </row>
    <row r="149" spans="34:37" x14ac:dyDescent="0.35">
      <c r="AH149" s="21"/>
      <c r="AI149" s="21"/>
      <c r="AJ149" s="21"/>
      <c r="AK149" s="21"/>
    </row>
    <row r="150" spans="34:37" x14ac:dyDescent="0.35">
      <c r="AH150" s="21"/>
      <c r="AI150" s="21"/>
      <c r="AJ150" s="21"/>
      <c r="AK150" s="21"/>
    </row>
    <row r="151" spans="34:37" x14ac:dyDescent="0.35">
      <c r="AH151" s="21"/>
      <c r="AI151" s="21"/>
      <c r="AJ151" s="21"/>
      <c r="AK151" s="21"/>
    </row>
    <row r="152" spans="34:37" x14ac:dyDescent="0.35">
      <c r="AH152" s="21"/>
      <c r="AI152" s="21"/>
      <c r="AJ152" s="21"/>
      <c r="AK152" s="21"/>
    </row>
    <row r="153" spans="34:37" x14ac:dyDescent="0.35">
      <c r="AH153" s="21"/>
      <c r="AI153" s="21"/>
      <c r="AJ153" s="21"/>
      <c r="AK153" s="21"/>
    </row>
    <row r="154" spans="34:37" x14ac:dyDescent="0.35">
      <c r="AH154" s="21"/>
      <c r="AI154" s="21"/>
      <c r="AJ154" s="21"/>
      <c r="AK154" s="21"/>
    </row>
    <row r="155" spans="34:37" x14ac:dyDescent="0.35">
      <c r="AH155" s="21"/>
      <c r="AI155" s="21"/>
      <c r="AJ155" s="21"/>
      <c r="AK155" s="21"/>
    </row>
    <row r="156" spans="34:37" x14ac:dyDescent="0.35">
      <c r="AH156" s="21"/>
      <c r="AI156" s="21"/>
      <c r="AJ156" s="21"/>
      <c r="AK156" s="21"/>
    </row>
    <row r="157" spans="34:37" x14ac:dyDescent="0.35">
      <c r="AH157" s="21"/>
      <c r="AI157" s="21"/>
      <c r="AJ157" s="21"/>
      <c r="AK157" s="21"/>
    </row>
    <row r="158" spans="34:37" x14ac:dyDescent="0.35">
      <c r="AH158" s="21"/>
      <c r="AI158" s="21"/>
      <c r="AJ158" s="21"/>
      <c r="AK158" s="21"/>
    </row>
    <row r="159" spans="34:37" x14ac:dyDescent="0.35">
      <c r="AH159" s="21"/>
      <c r="AI159" s="21"/>
      <c r="AJ159" s="21"/>
      <c r="AK159" s="21"/>
    </row>
    <row r="160" spans="34:37" x14ac:dyDescent="0.35">
      <c r="AH160" s="21"/>
      <c r="AI160" s="21"/>
      <c r="AJ160" s="21"/>
      <c r="AK160" s="21"/>
    </row>
    <row r="161" spans="34:37" x14ac:dyDescent="0.35">
      <c r="AH161" s="21"/>
      <c r="AI161" s="21"/>
      <c r="AJ161" s="21"/>
      <c r="AK161" s="21"/>
    </row>
    <row r="162" spans="34:37" x14ac:dyDescent="0.35">
      <c r="AH162" s="21"/>
      <c r="AI162" s="21"/>
      <c r="AJ162" s="21"/>
      <c r="AK162" s="21"/>
    </row>
    <row r="163" spans="34:37" x14ac:dyDescent="0.35">
      <c r="AH163" s="21"/>
      <c r="AI163" s="21"/>
      <c r="AJ163" s="21"/>
      <c r="AK163" s="21"/>
    </row>
    <row r="164" spans="34:37" x14ac:dyDescent="0.35">
      <c r="AH164" s="21"/>
      <c r="AI164" s="21"/>
      <c r="AJ164" s="21"/>
      <c r="AK164" s="21"/>
    </row>
    <row r="165" spans="34:37" x14ac:dyDescent="0.35">
      <c r="AH165" s="21"/>
      <c r="AI165" s="21"/>
      <c r="AJ165" s="21"/>
      <c r="AK165" s="21"/>
    </row>
    <row r="166" spans="34:37" x14ac:dyDescent="0.35">
      <c r="AH166" s="21"/>
      <c r="AI166" s="21"/>
      <c r="AJ166" s="21"/>
      <c r="AK166" s="21"/>
    </row>
    <row r="167" spans="34:37" x14ac:dyDescent="0.35">
      <c r="AH167" s="21"/>
      <c r="AI167" s="21"/>
      <c r="AJ167" s="21"/>
      <c r="AK167" s="21"/>
    </row>
    <row r="168" spans="34:37" x14ac:dyDescent="0.35">
      <c r="AH168" s="21"/>
      <c r="AI168" s="21"/>
      <c r="AJ168" s="21"/>
      <c r="AK168" s="21"/>
    </row>
  </sheetData>
  <autoFilter ref="A6:AM168" xr:uid="{DC52A653-27DF-43BD-AE69-2549A7B9669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840B26-31EB-4E99-B5BB-EC2D523CC3F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BALI NUSRA</vt:lpstr>
      <vt:lpstr>UPTIME HARIAN</vt:lpstr>
      <vt:lpstr>BY SN &amp; PKT</vt:lpstr>
      <vt:lpstr>PKT TIPE MESIN</vt:lpstr>
      <vt:lpstr>FRX DT</vt:lpstr>
      <vt:lpstr>atm total</vt:lpstr>
      <vt:lpstr>SITE BLNS</vt:lpstr>
      <vt:lpstr>MainVisit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 dipkalibata09</dc:creator>
  <cp:lastModifiedBy>ms miftahul bali</cp:lastModifiedBy>
  <dcterms:created xsi:type="dcterms:W3CDTF">2025-07-14T05:50:12Z</dcterms:created>
  <dcterms:modified xsi:type="dcterms:W3CDTF">2026-10-03T03:45:09Z</dcterms:modified>
</cp:coreProperties>
</file>